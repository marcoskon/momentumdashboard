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792" documentId="8_{EB75218D-2B89-4C0B-9C31-74AD954AF6A1}" xr6:coauthVersionLast="47" xr6:coauthVersionMax="47" xr10:uidLastSave="{467DE083-A18B-4B6C-92AD-04778A0735D8}"/>
  <bookViews>
    <workbookView xWindow="-289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E14" i="56"/>
  <c r="I100" i="3"/>
  <c r="L32" i="1" l="1"/>
  <c r="L12" i="1"/>
  <c r="L13" i="1"/>
  <c r="I99" i="3"/>
  <c r="I98" i="3"/>
  <c r="I97" i="3"/>
  <c r="I96" i="3"/>
  <c r="I95" i="3"/>
  <c r="I94" i="3"/>
  <c r="I92" i="3" l="1"/>
  <c r="I93" i="3"/>
  <c r="E103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5" i="7" l="1"/>
  <c r="W17" i="7"/>
  <c r="W29" i="7"/>
  <c r="W41" i="7"/>
  <c r="W53" i="7"/>
  <c r="W65" i="7"/>
  <c r="W77" i="7"/>
  <c r="W89" i="7"/>
  <c r="W101" i="7"/>
  <c r="W113" i="7"/>
  <c r="W125" i="7"/>
  <c r="W137" i="7"/>
  <c r="W149" i="7"/>
  <c r="W161" i="7"/>
  <c r="W173" i="7"/>
  <c r="W185" i="7"/>
  <c r="W197" i="7"/>
  <c r="W209" i="7"/>
  <c r="W221" i="7"/>
  <c r="W233" i="7"/>
  <c r="W245" i="7"/>
  <c r="W257" i="7"/>
  <c r="W269" i="7"/>
  <c r="W281" i="7"/>
  <c r="W293" i="7"/>
  <c r="W305" i="7"/>
  <c r="W317" i="7"/>
  <c r="W329" i="7"/>
  <c r="W341" i="7"/>
  <c r="W353" i="7"/>
  <c r="W365" i="7"/>
  <c r="W377" i="7"/>
  <c r="W389" i="7"/>
  <c r="W401" i="7"/>
  <c r="W413" i="7"/>
  <c r="W425" i="7"/>
  <c r="W437" i="7"/>
  <c r="W449" i="7"/>
  <c r="W461" i="7"/>
  <c r="W473" i="7"/>
  <c r="W485" i="7"/>
  <c r="W497" i="7"/>
  <c r="W509" i="7"/>
  <c r="W521" i="7"/>
  <c r="W533" i="7"/>
  <c r="W545" i="7"/>
  <c r="W557" i="7"/>
  <c r="W569" i="7"/>
  <c r="W581" i="7"/>
  <c r="W593" i="7"/>
  <c r="W605" i="7"/>
  <c r="W617" i="7"/>
  <c r="W629" i="7"/>
  <c r="W641" i="7"/>
  <c r="W653" i="7"/>
  <c r="W665" i="7"/>
  <c r="W677" i="7"/>
  <c r="W689" i="7"/>
  <c r="W701" i="7"/>
  <c r="W713" i="7"/>
  <c r="W725" i="7"/>
  <c r="W737" i="7"/>
  <c r="W749" i="7"/>
  <c r="W761" i="7"/>
  <c r="W773" i="7"/>
  <c r="W785" i="7"/>
  <c r="W797" i="7"/>
  <c r="W809" i="7"/>
  <c r="W821" i="7"/>
  <c r="W833" i="7"/>
  <c r="W845" i="7"/>
  <c r="W857" i="7"/>
  <c r="W869" i="7"/>
  <c r="W881" i="7"/>
  <c r="W893" i="7"/>
  <c r="W905" i="7"/>
  <c r="W917" i="7"/>
  <c r="W929" i="7"/>
  <c r="W941" i="7"/>
  <c r="W953" i="7"/>
  <c r="W965" i="7"/>
  <c r="W977" i="7"/>
  <c r="W989" i="7"/>
  <c r="W1001" i="7"/>
  <c r="W1013" i="7"/>
  <c r="W6" i="7"/>
  <c r="W18" i="7"/>
  <c r="W30" i="7"/>
  <c r="W42" i="7"/>
  <c r="W54" i="7"/>
  <c r="W66" i="7"/>
  <c r="W78" i="7"/>
  <c r="W90" i="7"/>
  <c r="W102" i="7"/>
  <c r="W114" i="7"/>
  <c r="W126" i="7"/>
  <c r="W138" i="7"/>
  <c r="W150" i="7"/>
  <c r="W162" i="7"/>
  <c r="W174" i="7"/>
  <c r="W186" i="7"/>
  <c r="W198" i="7"/>
  <c r="W210" i="7"/>
  <c r="W222" i="7"/>
  <c r="W234" i="7"/>
  <c r="W246" i="7"/>
  <c r="W258" i="7"/>
  <c r="W270" i="7"/>
  <c r="W282" i="7"/>
  <c r="W294" i="7"/>
  <c r="W306" i="7"/>
  <c r="W318" i="7"/>
  <c r="W330" i="7"/>
  <c r="W342" i="7"/>
  <c r="W354" i="7"/>
  <c r="W366" i="7"/>
  <c r="W378" i="7"/>
  <c r="W390" i="7"/>
  <c r="W402" i="7"/>
  <c r="W414" i="7"/>
  <c r="W426" i="7"/>
  <c r="W438" i="7"/>
  <c r="W450" i="7"/>
  <c r="W462" i="7"/>
  <c r="W474" i="7"/>
  <c r="W486" i="7"/>
  <c r="W498" i="7"/>
  <c r="W510" i="7"/>
  <c r="W522" i="7"/>
  <c r="W534" i="7"/>
  <c r="W546" i="7"/>
  <c r="W558" i="7"/>
  <c r="W570" i="7"/>
  <c r="W582" i="7"/>
  <c r="W594" i="7"/>
  <c r="W606" i="7"/>
  <c r="W618" i="7"/>
  <c r="W630" i="7"/>
  <c r="W642" i="7"/>
  <c r="W654" i="7"/>
  <c r="W666" i="7"/>
  <c r="W678" i="7"/>
  <c r="W690" i="7"/>
  <c r="W702" i="7"/>
  <c r="W714" i="7"/>
  <c r="W726" i="7"/>
  <c r="W738" i="7"/>
  <c r="W750" i="7"/>
  <c r="W762" i="7"/>
  <c r="W774" i="7"/>
  <c r="W786" i="7"/>
  <c r="W798" i="7"/>
  <c r="W810" i="7"/>
  <c r="W822" i="7"/>
  <c r="W834" i="7"/>
  <c r="W846" i="7"/>
  <c r="W858" i="7"/>
  <c r="W870" i="7"/>
  <c r="W882" i="7"/>
  <c r="W894" i="7"/>
  <c r="W906" i="7"/>
  <c r="W918" i="7"/>
  <c r="W930" i="7"/>
  <c r="W942" i="7"/>
  <c r="W954" i="7"/>
  <c r="W966" i="7"/>
  <c r="W978" i="7"/>
  <c r="W990" i="7"/>
  <c r="W1002" i="7"/>
  <c r="W1014" i="7"/>
  <c r="W7" i="7"/>
  <c r="W19" i="7"/>
  <c r="W31" i="7"/>
  <c r="W43" i="7"/>
  <c r="W55" i="7"/>
  <c r="W67" i="7"/>
  <c r="W79" i="7"/>
  <c r="W91" i="7"/>
  <c r="W103" i="7"/>
  <c r="W115" i="7"/>
  <c r="W127" i="7"/>
  <c r="W139" i="7"/>
  <c r="W151" i="7"/>
  <c r="W163" i="7"/>
  <c r="W175" i="7"/>
  <c r="W187" i="7"/>
  <c r="W199" i="7"/>
  <c r="W211" i="7"/>
  <c r="W223" i="7"/>
  <c r="W235" i="7"/>
  <c r="W247" i="7"/>
  <c r="W259" i="7"/>
  <c r="W271" i="7"/>
  <c r="W283" i="7"/>
  <c r="W295" i="7"/>
  <c r="W307" i="7"/>
  <c r="W319" i="7"/>
  <c r="W331" i="7"/>
  <c r="W343" i="7"/>
  <c r="W355" i="7"/>
  <c r="W367" i="7"/>
  <c r="W379" i="7"/>
  <c r="W391" i="7"/>
  <c r="W403" i="7"/>
  <c r="W415" i="7"/>
  <c r="W427" i="7"/>
  <c r="W439" i="7"/>
  <c r="W451" i="7"/>
  <c r="W463" i="7"/>
  <c r="W475" i="7"/>
  <c r="W487" i="7"/>
  <c r="W499" i="7"/>
  <c r="W511" i="7"/>
  <c r="W523" i="7"/>
  <c r="W535" i="7"/>
  <c r="W547" i="7"/>
  <c r="W559" i="7"/>
  <c r="W571" i="7"/>
  <c r="W583" i="7"/>
  <c r="W595" i="7"/>
  <c r="W607" i="7"/>
  <c r="W619" i="7"/>
  <c r="W631" i="7"/>
  <c r="W643" i="7"/>
  <c r="W655" i="7"/>
  <c r="W667" i="7"/>
  <c r="W679" i="7"/>
  <c r="W691" i="7"/>
  <c r="W703" i="7"/>
  <c r="W715" i="7"/>
  <c r="W727" i="7"/>
  <c r="W739" i="7"/>
  <c r="W751" i="7"/>
  <c r="W763" i="7"/>
  <c r="W775" i="7"/>
  <c r="W787" i="7"/>
  <c r="W799" i="7"/>
  <c r="W811" i="7"/>
  <c r="W823" i="7"/>
  <c r="W835" i="7"/>
  <c r="W847" i="7"/>
  <c r="W859" i="7"/>
  <c r="W871" i="7"/>
  <c r="W883" i="7"/>
  <c r="W895" i="7"/>
  <c r="W907" i="7"/>
  <c r="W919" i="7"/>
  <c r="W931" i="7"/>
  <c r="W943" i="7"/>
  <c r="W955" i="7"/>
  <c r="W967" i="7"/>
  <c r="W979" i="7"/>
  <c r="W991" i="7"/>
  <c r="W1003" i="7"/>
  <c r="W1015" i="7"/>
  <c r="W8" i="7"/>
  <c r="W20" i="7"/>
  <c r="W32" i="7"/>
  <c r="W44" i="7"/>
  <c r="W56" i="7"/>
  <c r="W68" i="7"/>
  <c r="W80" i="7"/>
  <c r="W92" i="7"/>
  <c r="W104" i="7"/>
  <c r="W116" i="7"/>
  <c r="W128" i="7"/>
  <c r="W140" i="7"/>
  <c r="W152" i="7"/>
  <c r="W164" i="7"/>
  <c r="W176" i="7"/>
  <c r="W188" i="7"/>
  <c r="W200" i="7"/>
  <c r="W212" i="7"/>
  <c r="W224" i="7"/>
  <c r="W236" i="7"/>
  <c r="W248" i="7"/>
  <c r="W260" i="7"/>
  <c r="W272" i="7"/>
  <c r="W284" i="7"/>
  <c r="W296" i="7"/>
  <c r="W308" i="7"/>
  <c r="W320" i="7"/>
  <c r="W332" i="7"/>
  <c r="W344" i="7"/>
  <c r="W356" i="7"/>
  <c r="W368" i="7"/>
  <c r="W380" i="7"/>
  <c r="W392" i="7"/>
  <c r="W404" i="7"/>
  <c r="W416" i="7"/>
  <c r="W428" i="7"/>
  <c r="W440" i="7"/>
  <c r="W452" i="7"/>
  <c r="W464" i="7"/>
  <c r="W476" i="7"/>
  <c r="W488" i="7"/>
  <c r="W500" i="7"/>
  <c r="W512" i="7"/>
  <c r="W524" i="7"/>
  <c r="W536" i="7"/>
  <c r="W548" i="7"/>
  <c r="W560" i="7"/>
  <c r="W572" i="7"/>
  <c r="W584" i="7"/>
  <c r="W596" i="7"/>
  <c r="W608" i="7"/>
  <c r="W620" i="7"/>
  <c r="W632" i="7"/>
  <c r="W644" i="7"/>
  <c r="W656" i="7"/>
  <c r="W668" i="7"/>
  <c r="W680" i="7"/>
  <c r="W692" i="7"/>
  <c r="W704" i="7"/>
  <c r="W716" i="7"/>
  <c r="W728" i="7"/>
  <c r="W740" i="7"/>
  <c r="W752" i="7"/>
  <c r="W764" i="7"/>
  <c r="W776" i="7"/>
  <c r="W788" i="7"/>
  <c r="W800" i="7"/>
  <c r="W812" i="7"/>
  <c r="W824" i="7"/>
  <c r="W836" i="7"/>
  <c r="W848" i="7"/>
  <c r="W860" i="7"/>
  <c r="W872" i="7"/>
  <c r="W884" i="7"/>
  <c r="W896" i="7"/>
  <c r="W908" i="7"/>
  <c r="W920" i="7"/>
  <c r="W932" i="7"/>
  <c r="W944" i="7"/>
  <c r="W956" i="7"/>
  <c r="W968" i="7"/>
  <c r="W980" i="7"/>
  <c r="W992" i="7"/>
  <c r="W1004" i="7"/>
  <c r="W1016" i="7"/>
  <c r="W13" i="7"/>
  <c r="W25" i="7"/>
  <c r="W37" i="7"/>
  <c r="W49" i="7"/>
  <c r="W61" i="7"/>
  <c r="W73" i="7"/>
  <c r="W85" i="7"/>
  <c r="W97" i="7"/>
  <c r="W109" i="7"/>
  <c r="W121" i="7"/>
  <c r="W133" i="7"/>
  <c r="W145" i="7"/>
  <c r="W157" i="7"/>
  <c r="W169" i="7"/>
  <c r="W181" i="7"/>
  <c r="W193" i="7"/>
  <c r="W205" i="7"/>
  <c r="W217" i="7"/>
  <c r="W229" i="7"/>
  <c r="W241" i="7"/>
  <c r="W253" i="7"/>
  <c r="W265" i="7"/>
  <c r="W277" i="7"/>
  <c r="W289" i="7"/>
  <c r="W301" i="7"/>
  <c r="W313" i="7"/>
  <c r="W325" i="7"/>
  <c r="W337" i="7"/>
  <c r="W349" i="7"/>
  <c r="W361" i="7"/>
  <c r="W373" i="7"/>
  <c r="W385" i="7"/>
  <c r="W397" i="7"/>
  <c r="W409" i="7"/>
  <c r="W421" i="7"/>
  <c r="W433" i="7"/>
  <c r="W445" i="7"/>
  <c r="W457" i="7"/>
  <c r="W469" i="7"/>
  <c r="W481" i="7"/>
  <c r="W493" i="7"/>
  <c r="W505" i="7"/>
  <c r="W517" i="7"/>
  <c r="W529" i="7"/>
  <c r="W541" i="7"/>
  <c r="W553" i="7"/>
  <c r="W565" i="7"/>
  <c r="W577" i="7"/>
  <c r="W589" i="7"/>
  <c r="W601" i="7"/>
  <c r="W613" i="7"/>
  <c r="W625" i="7"/>
  <c r="W637" i="7"/>
  <c r="W649" i="7"/>
  <c r="W661" i="7"/>
  <c r="W673" i="7"/>
  <c r="W685" i="7"/>
  <c r="W697" i="7"/>
  <c r="W709" i="7"/>
  <c r="W721" i="7"/>
  <c r="W733" i="7"/>
  <c r="W745" i="7"/>
  <c r="W757" i="7"/>
  <c r="W769" i="7"/>
  <c r="W781" i="7"/>
  <c r="W793" i="7"/>
  <c r="W805" i="7"/>
  <c r="W817" i="7"/>
  <c r="W829" i="7"/>
  <c r="W841" i="7"/>
  <c r="W853" i="7"/>
  <c r="W865" i="7"/>
  <c r="W877" i="7"/>
  <c r="W889" i="7"/>
  <c r="W901" i="7"/>
  <c r="W913" i="7"/>
  <c r="W925" i="7"/>
  <c r="W937" i="7"/>
  <c r="W949" i="7"/>
  <c r="W961" i="7"/>
  <c r="W973" i="7"/>
  <c r="W985" i="7"/>
  <c r="W997" i="7"/>
  <c r="W1009" i="7"/>
  <c r="W1021" i="7"/>
  <c r="W9" i="7"/>
  <c r="W27" i="7"/>
  <c r="W48" i="7"/>
  <c r="W70" i="7"/>
  <c r="W88" i="7"/>
  <c r="W110" i="7"/>
  <c r="W131" i="7"/>
  <c r="W153" i="7"/>
  <c r="W171" i="7"/>
  <c r="W192" i="7"/>
  <c r="W214" i="7"/>
  <c r="W232" i="7"/>
  <c r="W254" i="7"/>
  <c r="W275" i="7"/>
  <c r="W297" i="7"/>
  <c r="W315" i="7"/>
  <c r="W336" i="7"/>
  <c r="W358" i="7"/>
  <c r="W376" i="7"/>
  <c r="W398" i="7"/>
  <c r="W419" i="7"/>
  <c r="W441" i="7"/>
  <c r="W459" i="7"/>
  <c r="W480" i="7"/>
  <c r="W502" i="7"/>
  <c r="W520" i="7"/>
  <c r="W542" i="7"/>
  <c r="W563" i="7"/>
  <c r="W585" i="7"/>
  <c r="W603" i="7"/>
  <c r="W624" i="7"/>
  <c r="W646" i="7"/>
  <c r="W664" i="7"/>
  <c r="W686" i="7"/>
  <c r="W707" i="7"/>
  <c r="W729" i="7"/>
  <c r="W747" i="7"/>
  <c r="W768" i="7"/>
  <c r="W790" i="7"/>
  <c r="W808" i="7"/>
  <c r="W830" i="7"/>
  <c r="W851" i="7"/>
  <c r="W873" i="7"/>
  <c r="W891" i="7"/>
  <c r="W912" i="7"/>
  <c r="W934" i="7"/>
  <c r="W952" i="7"/>
  <c r="W974" i="7"/>
  <c r="W995" i="7"/>
  <c r="W1017" i="7"/>
  <c r="W1030" i="7"/>
  <c r="W1042" i="7"/>
  <c r="W1054" i="7"/>
  <c r="W1066" i="7"/>
  <c r="W1078" i="7"/>
  <c r="W1090" i="7"/>
  <c r="W1102" i="7"/>
  <c r="W1114" i="7"/>
  <c r="W1126" i="7"/>
  <c r="W1138" i="7"/>
  <c r="W1150" i="7"/>
  <c r="W1162" i="7"/>
  <c r="W1174" i="7"/>
  <c r="W1186" i="7"/>
  <c r="W1198" i="7"/>
  <c r="W1210" i="7"/>
  <c r="W1222" i="7"/>
  <c r="W1234" i="7"/>
  <c r="W1246" i="7"/>
  <c r="W1258" i="7"/>
  <c r="W1270" i="7"/>
  <c r="W1282" i="7"/>
  <c r="W1294" i="7"/>
  <c r="W1306" i="7"/>
  <c r="W1318" i="7"/>
  <c r="W1330" i="7"/>
  <c r="W1342" i="7"/>
  <c r="W1354" i="7"/>
  <c r="W1366" i="7"/>
  <c r="W1378" i="7"/>
  <c r="W1390" i="7"/>
  <c r="W1402" i="7"/>
  <c r="W1414" i="7"/>
  <c r="W1426" i="7"/>
  <c r="W1438" i="7"/>
  <c r="W1450" i="7"/>
  <c r="W1462" i="7"/>
  <c r="W1474" i="7"/>
  <c r="W1486" i="7"/>
  <c r="W1498" i="7"/>
  <c r="W1510" i="7"/>
  <c r="W10" i="7"/>
  <c r="W28" i="7"/>
  <c r="W50" i="7"/>
  <c r="W71" i="7"/>
  <c r="W93" i="7"/>
  <c r="W111" i="7"/>
  <c r="W132" i="7"/>
  <c r="W154" i="7"/>
  <c r="W172" i="7"/>
  <c r="W194" i="7"/>
  <c r="W215" i="7"/>
  <c r="W237" i="7"/>
  <c r="W255" i="7"/>
  <c r="W276" i="7"/>
  <c r="W298" i="7"/>
  <c r="W316" i="7"/>
  <c r="W338" i="7"/>
  <c r="W359" i="7"/>
  <c r="W381" i="7"/>
  <c r="W399" i="7"/>
  <c r="W420" i="7"/>
  <c r="W442" i="7"/>
  <c r="W460" i="7"/>
  <c r="W482" i="7"/>
  <c r="W503" i="7"/>
  <c r="W525" i="7"/>
  <c r="W543" i="7"/>
  <c r="W564" i="7"/>
  <c r="W586" i="7"/>
  <c r="W604" i="7"/>
  <c r="W626" i="7"/>
  <c r="W647" i="7"/>
  <c r="W669" i="7"/>
  <c r="W687" i="7"/>
  <c r="W708" i="7"/>
  <c r="W730" i="7"/>
  <c r="W748" i="7"/>
  <c r="W770" i="7"/>
  <c r="W791" i="7"/>
  <c r="W813" i="7"/>
  <c r="W831" i="7"/>
  <c r="W852" i="7"/>
  <c r="W874" i="7"/>
  <c r="W892" i="7"/>
  <c r="W914" i="7"/>
  <c r="W935" i="7"/>
  <c r="W957" i="7"/>
  <c r="W975" i="7"/>
  <c r="W996" i="7"/>
  <c r="W1018" i="7"/>
  <c r="W1031" i="7"/>
  <c r="W1043" i="7"/>
  <c r="W1055" i="7"/>
  <c r="W1067" i="7"/>
  <c r="W1079" i="7"/>
  <c r="W1091" i="7"/>
  <c r="W1103" i="7"/>
  <c r="W1115" i="7"/>
  <c r="W1127" i="7"/>
  <c r="W1139" i="7"/>
  <c r="W1151" i="7"/>
  <c r="W1163" i="7"/>
  <c r="W1175" i="7"/>
  <c r="W1187" i="7"/>
  <c r="W1199" i="7"/>
  <c r="W1211" i="7"/>
  <c r="W1223" i="7"/>
  <c r="W1235" i="7"/>
  <c r="W1247" i="7"/>
  <c r="W1259" i="7"/>
  <c r="W1271" i="7"/>
  <c r="W1283" i="7"/>
  <c r="W1295" i="7"/>
  <c r="W1307" i="7"/>
  <c r="W1319" i="7"/>
  <c r="W1331" i="7"/>
  <c r="W1343" i="7"/>
  <c r="W1355" i="7"/>
  <c r="W1367" i="7"/>
  <c r="W1379" i="7"/>
  <c r="W1391" i="7"/>
  <c r="W1403" i="7"/>
  <c r="W1415" i="7"/>
  <c r="W1427" i="7"/>
  <c r="W1439" i="7"/>
  <c r="W11" i="7"/>
  <c r="W33" i="7"/>
  <c r="W51" i="7"/>
  <c r="W72" i="7"/>
  <c r="W94" i="7"/>
  <c r="W112" i="7"/>
  <c r="W134" i="7"/>
  <c r="W155" i="7"/>
  <c r="W177" i="7"/>
  <c r="W195" i="7"/>
  <c r="W216" i="7"/>
  <c r="W238" i="7"/>
  <c r="W256" i="7"/>
  <c r="W278" i="7"/>
  <c r="W299" i="7"/>
  <c r="W321" i="7"/>
  <c r="W339" i="7"/>
  <c r="W360" i="7"/>
  <c r="W382" i="7"/>
  <c r="W400" i="7"/>
  <c r="W422" i="7"/>
  <c r="W443" i="7"/>
  <c r="W465" i="7"/>
  <c r="W483" i="7"/>
  <c r="W504" i="7"/>
  <c r="W526" i="7"/>
  <c r="W544" i="7"/>
  <c r="W566" i="7"/>
  <c r="W587" i="7"/>
  <c r="W609" i="7"/>
  <c r="W627" i="7"/>
  <c r="W648" i="7"/>
  <c r="W670" i="7"/>
  <c r="W688" i="7"/>
  <c r="W710" i="7"/>
  <c r="W731" i="7"/>
  <c r="W753" i="7"/>
  <c r="W771" i="7"/>
  <c r="W792" i="7"/>
  <c r="W814" i="7"/>
  <c r="W832" i="7"/>
  <c r="W854" i="7"/>
  <c r="W875" i="7"/>
  <c r="W897" i="7"/>
  <c r="W915" i="7"/>
  <c r="W936" i="7"/>
  <c r="W958" i="7"/>
  <c r="W976" i="7"/>
  <c r="W998" i="7"/>
  <c r="W1019" i="7"/>
  <c r="W1032" i="7"/>
  <c r="W1044" i="7"/>
  <c r="W1056" i="7"/>
  <c r="W1068" i="7"/>
  <c r="W1080" i="7"/>
  <c r="W1092" i="7"/>
  <c r="W1104" i="7"/>
  <c r="W1116" i="7"/>
  <c r="W1128" i="7"/>
  <c r="W1140" i="7"/>
  <c r="W1152" i="7"/>
  <c r="W1164" i="7"/>
  <c r="W1176" i="7"/>
  <c r="W1188" i="7"/>
  <c r="W1200" i="7"/>
  <c r="W1212" i="7"/>
  <c r="W1224" i="7"/>
  <c r="W1236" i="7"/>
  <c r="W1248" i="7"/>
  <c r="W1260" i="7"/>
  <c r="W1272" i="7"/>
  <c r="W1284" i="7"/>
  <c r="W1296" i="7"/>
  <c r="W1308" i="7"/>
  <c r="W1320" i="7"/>
  <c r="W1332" i="7"/>
  <c r="W1344" i="7"/>
  <c r="W1356" i="7"/>
  <c r="W1368" i="7"/>
  <c r="W12" i="7"/>
  <c r="W34" i="7"/>
  <c r="W52" i="7"/>
  <c r="W74" i="7"/>
  <c r="W95" i="7"/>
  <c r="W117" i="7"/>
  <c r="W135" i="7"/>
  <c r="W156" i="7"/>
  <c r="W178" i="7"/>
  <c r="W196" i="7"/>
  <c r="W218" i="7"/>
  <c r="W239" i="7"/>
  <c r="W261" i="7"/>
  <c r="W279" i="7"/>
  <c r="W300" i="7"/>
  <c r="W322" i="7"/>
  <c r="W340" i="7"/>
  <c r="W362" i="7"/>
  <c r="W383" i="7"/>
  <c r="W405" i="7"/>
  <c r="W423" i="7"/>
  <c r="W444" i="7"/>
  <c r="W466" i="7"/>
  <c r="W484" i="7"/>
  <c r="W506" i="7"/>
  <c r="W527" i="7"/>
  <c r="W549" i="7"/>
  <c r="W567" i="7"/>
  <c r="W588" i="7"/>
  <c r="W610" i="7"/>
  <c r="W628" i="7"/>
  <c r="W650" i="7"/>
  <c r="W671" i="7"/>
  <c r="W693" i="7"/>
  <c r="W711" i="7"/>
  <c r="W732" i="7"/>
  <c r="W754" i="7"/>
  <c r="W772" i="7"/>
  <c r="W794" i="7"/>
  <c r="W815" i="7"/>
  <c r="W837" i="7"/>
  <c r="W855" i="7"/>
  <c r="W876" i="7"/>
  <c r="W898" i="7"/>
  <c r="W916" i="7"/>
  <c r="W938" i="7"/>
  <c r="W959" i="7"/>
  <c r="W981" i="7"/>
  <c r="W999" i="7"/>
  <c r="W1020" i="7"/>
  <c r="W1033" i="7"/>
  <c r="W1045" i="7"/>
  <c r="W1057" i="7"/>
  <c r="W1069" i="7"/>
  <c r="W1081" i="7"/>
  <c r="W1093" i="7"/>
  <c r="W1105" i="7"/>
  <c r="W1117" i="7"/>
  <c r="W1129" i="7"/>
  <c r="W1141" i="7"/>
  <c r="W1153" i="7"/>
  <c r="W1165" i="7"/>
  <c r="W1177" i="7"/>
  <c r="W1189" i="7"/>
  <c r="W1201" i="7"/>
  <c r="W1213" i="7"/>
  <c r="W1225" i="7"/>
  <c r="W1237" i="7"/>
  <c r="W1249" i="7"/>
  <c r="W1261" i="7"/>
  <c r="W1273" i="7"/>
  <c r="W1285" i="7"/>
  <c r="W1297" i="7"/>
  <c r="W1309" i="7"/>
  <c r="W1321" i="7"/>
  <c r="W22" i="7"/>
  <c r="W40" i="7"/>
  <c r="W62" i="7"/>
  <c r="W83" i="7"/>
  <c r="W105" i="7"/>
  <c r="W123" i="7"/>
  <c r="W144" i="7"/>
  <c r="W166" i="7"/>
  <c r="W184" i="7"/>
  <c r="W206" i="7"/>
  <c r="W227" i="7"/>
  <c r="W249" i="7"/>
  <c r="W267" i="7"/>
  <c r="W288" i="7"/>
  <c r="W310" i="7"/>
  <c r="W328" i="7"/>
  <c r="W350" i="7"/>
  <c r="W371" i="7"/>
  <c r="W393" i="7"/>
  <c r="W411" i="7"/>
  <c r="W432" i="7"/>
  <c r="W454" i="7"/>
  <c r="W472" i="7"/>
  <c r="W494" i="7"/>
  <c r="W515" i="7"/>
  <c r="W537" i="7"/>
  <c r="W555" i="7"/>
  <c r="W576" i="7"/>
  <c r="W598" i="7"/>
  <c r="W616" i="7"/>
  <c r="W638" i="7"/>
  <c r="W659" i="7"/>
  <c r="W681" i="7"/>
  <c r="W699" i="7"/>
  <c r="W720" i="7"/>
  <c r="W742" i="7"/>
  <c r="W760" i="7"/>
  <c r="W782" i="7"/>
  <c r="W803" i="7"/>
  <c r="W825" i="7"/>
  <c r="W843" i="7"/>
  <c r="W864" i="7"/>
  <c r="W886" i="7"/>
  <c r="W904" i="7"/>
  <c r="W926" i="7"/>
  <c r="W947" i="7"/>
  <c r="W969" i="7"/>
  <c r="W987" i="7"/>
  <c r="W1008" i="7"/>
  <c r="W1026" i="7"/>
  <c r="W1038" i="7"/>
  <c r="W1050" i="7"/>
  <c r="W1062" i="7"/>
  <c r="W1074" i="7"/>
  <c r="W1086" i="7"/>
  <c r="W1098" i="7"/>
  <c r="W1110" i="7"/>
  <c r="W1122" i="7"/>
  <c r="W1134" i="7"/>
  <c r="W1146" i="7"/>
  <c r="W1158" i="7"/>
  <c r="W1170" i="7"/>
  <c r="W1182" i="7"/>
  <c r="W1194" i="7"/>
  <c r="W1206" i="7"/>
  <c r="W1218" i="7"/>
  <c r="W1230" i="7"/>
  <c r="W1242" i="7"/>
  <c r="W1254" i="7"/>
  <c r="W1266" i="7"/>
  <c r="W14" i="7"/>
  <c r="W46" i="7"/>
  <c r="W82" i="7"/>
  <c r="W119" i="7"/>
  <c r="W148" i="7"/>
  <c r="W189" i="7"/>
  <c r="W225" i="7"/>
  <c r="W262" i="7"/>
  <c r="W291" i="7"/>
  <c r="W327" i="7"/>
  <c r="W364" i="7"/>
  <c r="W396" i="7"/>
  <c r="W434" i="7"/>
  <c r="W470" i="7"/>
  <c r="W507" i="7"/>
  <c r="W539" i="7"/>
  <c r="W575" i="7"/>
  <c r="W612" i="7"/>
  <c r="W645" i="7"/>
  <c r="W682" i="7"/>
  <c r="W718" i="7"/>
  <c r="W755" i="7"/>
  <c r="W784" i="7"/>
  <c r="W820" i="7"/>
  <c r="W861" i="7"/>
  <c r="W890" i="7"/>
  <c r="W927" i="7"/>
  <c r="W963" i="7"/>
  <c r="W1000" i="7"/>
  <c r="W1028" i="7"/>
  <c r="W1049" i="7"/>
  <c r="W1071" i="7"/>
  <c r="W1089" i="7"/>
  <c r="W1111" i="7"/>
  <c r="W1132" i="7"/>
  <c r="W1154" i="7"/>
  <c r="W1172" i="7"/>
  <c r="W1193" i="7"/>
  <c r="W1215" i="7"/>
  <c r="W1233" i="7"/>
  <c r="W1255" i="7"/>
  <c r="W1276" i="7"/>
  <c r="W1292" i="7"/>
  <c r="W1312" i="7"/>
  <c r="W1328" i="7"/>
  <c r="W1346" i="7"/>
  <c r="W1361" i="7"/>
  <c r="W1376" i="7"/>
  <c r="W1392" i="7"/>
  <c r="W1406" i="7"/>
  <c r="W1420" i="7"/>
  <c r="W1434" i="7"/>
  <c r="W1448" i="7"/>
  <c r="W1461" i="7"/>
  <c r="W1475" i="7"/>
  <c r="W1488" i="7"/>
  <c r="W1501" i="7"/>
  <c r="W1514" i="7"/>
  <c r="W1526" i="7"/>
  <c r="W1538" i="7"/>
  <c r="W1550" i="7"/>
  <c r="W1562" i="7"/>
  <c r="W1574" i="7"/>
  <c r="W1586" i="7"/>
  <c r="W1598" i="7"/>
  <c r="W1610" i="7"/>
  <c r="W1622" i="7"/>
  <c r="W1634" i="7"/>
  <c r="W1646" i="7"/>
  <c r="W1658" i="7"/>
  <c r="W1670" i="7"/>
  <c r="W96" i="7"/>
  <c r="W15" i="7"/>
  <c r="W47" i="7"/>
  <c r="W84" i="7"/>
  <c r="W120" i="7"/>
  <c r="W158" i="7"/>
  <c r="W190" i="7"/>
  <c r="W226" i="7"/>
  <c r="W263" i="7"/>
  <c r="W292" i="7"/>
  <c r="W333" i="7"/>
  <c r="W369" i="7"/>
  <c r="W406" i="7"/>
  <c r="W435" i="7"/>
  <c r="W471" i="7"/>
  <c r="W508" i="7"/>
  <c r="W540" i="7"/>
  <c r="W578" i="7"/>
  <c r="W614" i="7"/>
  <c r="W651" i="7"/>
  <c r="W683" i="7"/>
  <c r="W719" i="7"/>
  <c r="W756" i="7"/>
  <c r="W789" i="7"/>
  <c r="W826" i="7"/>
  <c r="W862" i="7"/>
  <c r="W899" i="7"/>
  <c r="W928" i="7"/>
  <c r="W964" i="7"/>
  <c r="W1005" i="7"/>
  <c r="W1029" i="7"/>
  <c r="W1051" i="7"/>
  <c r="W1072" i="7"/>
  <c r="W1094" i="7"/>
  <c r="W1112" i="7"/>
  <c r="W1133" i="7"/>
  <c r="W1155" i="7"/>
  <c r="W1173" i="7"/>
  <c r="W1195" i="7"/>
  <c r="W1216" i="7"/>
  <c r="W1238" i="7"/>
  <c r="W1256" i="7"/>
  <c r="W1277" i="7"/>
  <c r="W1293" i="7"/>
  <c r="W1313" i="7"/>
  <c r="W1329" i="7"/>
  <c r="W1347" i="7"/>
  <c r="W1362" i="7"/>
  <c r="W1377" i="7"/>
  <c r="W1393" i="7"/>
  <c r="W1407" i="7"/>
  <c r="W1421" i="7"/>
  <c r="W1435" i="7"/>
  <c r="W1449" i="7"/>
  <c r="W1463" i="7"/>
  <c r="W1476" i="7"/>
  <c r="W1489" i="7"/>
  <c r="W1502" i="7"/>
  <c r="W1515" i="7"/>
  <c r="W1527" i="7"/>
  <c r="W1539" i="7"/>
  <c r="W1551" i="7"/>
  <c r="W1563" i="7"/>
  <c r="W1575" i="7"/>
  <c r="W1587" i="7"/>
  <c r="W1599" i="7"/>
  <c r="W1611" i="7"/>
  <c r="W1623" i="7"/>
  <c r="W1635" i="7"/>
  <c r="W1647" i="7"/>
  <c r="W1659" i="7"/>
  <c r="W1671" i="7"/>
  <c r="W129" i="7"/>
  <c r="W16" i="7"/>
  <c r="W57" i="7"/>
  <c r="W86" i="7"/>
  <c r="W122" i="7"/>
  <c r="W159" i="7"/>
  <c r="W191" i="7"/>
  <c r="W228" i="7"/>
  <c r="W264" i="7"/>
  <c r="W302" i="7"/>
  <c r="W334" i="7"/>
  <c r="W370" i="7"/>
  <c r="W407" i="7"/>
  <c r="W436" i="7"/>
  <c r="W477" i="7"/>
  <c r="W513" i="7"/>
  <c r="W550" i="7"/>
  <c r="W579" i="7"/>
  <c r="W615" i="7"/>
  <c r="W652" i="7"/>
  <c r="W684" i="7"/>
  <c r="W722" i="7"/>
  <c r="W758" i="7"/>
  <c r="W795" i="7"/>
  <c r="W827" i="7"/>
  <c r="W863" i="7"/>
  <c r="W900" i="7"/>
  <c r="W933" i="7"/>
  <c r="W970" i="7"/>
  <c r="W1006" i="7"/>
  <c r="W1034" i="7"/>
  <c r="W1052" i="7"/>
  <c r="W1073" i="7"/>
  <c r="W1095" i="7"/>
  <c r="W1113" i="7"/>
  <c r="W1135" i="7"/>
  <c r="W1156" i="7"/>
  <c r="W1178" i="7"/>
  <c r="W1196" i="7"/>
  <c r="W1217" i="7"/>
  <c r="W1239" i="7"/>
  <c r="W1257" i="7"/>
  <c r="W1278" i="7"/>
  <c r="W1298" i="7"/>
  <c r="W1314" i="7"/>
  <c r="W1333" i="7"/>
  <c r="W1348" i="7"/>
  <c r="W1363" i="7"/>
  <c r="W1380" i="7"/>
  <c r="W1394" i="7"/>
  <c r="W1408" i="7"/>
  <c r="W1422" i="7"/>
  <c r="W1436" i="7"/>
  <c r="W1451" i="7"/>
  <c r="W1464" i="7"/>
  <c r="W1477" i="7"/>
  <c r="W1490" i="7"/>
  <c r="W1503" i="7"/>
  <c r="W1516" i="7"/>
  <c r="W1528" i="7"/>
  <c r="W1540" i="7"/>
  <c r="W1552" i="7"/>
  <c r="W1564" i="7"/>
  <c r="W1576" i="7"/>
  <c r="W1588" i="7"/>
  <c r="W1600" i="7"/>
  <c r="W1612" i="7"/>
  <c r="W1624" i="7"/>
  <c r="W1636" i="7"/>
  <c r="W1648" i="7"/>
  <c r="W1660" i="7"/>
  <c r="W1672" i="7"/>
  <c r="W59" i="7"/>
  <c r="W21" i="7"/>
  <c r="W58" i="7"/>
  <c r="W87" i="7"/>
  <c r="W124" i="7"/>
  <c r="W160" i="7"/>
  <c r="W201" i="7"/>
  <c r="W230" i="7"/>
  <c r="W266" i="7"/>
  <c r="W303" i="7"/>
  <c r="W335" i="7"/>
  <c r="W372" i="7"/>
  <c r="W408" i="7"/>
  <c r="W446" i="7"/>
  <c r="W478" i="7"/>
  <c r="W514" i="7"/>
  <c r="W551" i="7"/>
  <c r="W580" i="7"/>
  <c r="W621" i="7"/>
  <c r="W657" i="7"/>
  <c r="W694" i="7"/>
  <c r="W723" i="7"/>
  <c r="W759" i="7"/>
  <c r="W796" i="7"/>
  <c r="W828" i="7"/>
  <c r="W866" i="7"/>
  <c r="W902" i="7"/>
  <c r="W939" i="7"/>
  <c r="W971" i="7"/>
  <c r="W1007" i="7"/>
  <c r="W1035" i="7"/>
  <c r="W1053" i="7"/>
  <c r="W1075" i="7"/>
  <c r="W1096" i="7"/>
  <c r="W1118" i="7"/>
  <c r="W1136" i="7"/>
  <c r="W1157" i="7"/>
  <c r="W1179" i="7"/>
  <c r="W1197" i="7"/>
  <c r="W1219" i="7"/>
  <c r="W1240" i="7"/>
  <c r="W1262" i="7"/>
  <c r="W1279" i="7"/>
  <c r="W1299" i="7"/>
  <c r="W1315" i="7"/>
  <c r="W1334" i="7"/>
  <c r="W1349" i="7"/>
  <c r="W1364" i="7"/>
  <c r="W1381" i="7"/>
  <c r="W1395" i="7"/>
  <c r="W1409" i="7"/>
  <c r="W1423" i="7"/>
  <c r="W1437" i="7"/>
  <c r="W1452" i="7"/>
  <c r="W1465" i="7"/>
  <c r="W1478" i="7"/>
  <c r="W1491" i="7"/>
  <c r="W1504" i="7"/>
  <c r="W1517" i="7"/>
  <c r="W1529" i="7"/>
  <c r="W1541" i="7"/>
  <c r="W1553" i="7"/>
  <c r="W1565" i="7"/>
  <c r="W1577" i="7"/>
  <c r="W1589" i="7"/>
  <c r="W1601" i="7"/>
  <c r="W1613" i="7"/>
  <c r="W1625" i="7"/>
  <c r="W1637" i="7"/>
  <c r="W1649" i="7"/>
  <c r="W1661" i="7"/>
  <c r="W1673" i="7"/>
  <c r="W23" i="7"/>
  <c r="W165" i="7"/>
  <c r="W202" i="7"/>
  <c r="W231" i="7"/>
  <c r="W268" i="7"/>
  <c r="W304" i="7"/>
  <c r="W345" i="7"/>
  <c r="W374" i="7"/>
  <c r="W410" i="7"/>
  <c r="W447" i="7"/>
  <c r="W479" i="7"/>
  <c r="W516" i="7"/>
  <c r="W552" i="7"/>
  <c r="W590" i="7"/>
  <c r="W622" i="7"/>
  <c r="W658" i="7"/>
  <c r="W695" i="7"/>
  <c r="W724" i="7"/>
  <c r="W765" i="7"/>
  <c r="W801" i="7"/>
  <c r="W838" i="7"/>
  <c r="W867" i="7"/>
  <c r="W903" i="7"/>
  <c r="W940" i="7"/>
  <c r="W972" i="7"/>
  <c r="W1010" i="7"/>
  <c r="W1036" i="7"/>
  <c r="W1058" i="7"/>
  <c r="W1076" i="7"/>
  <c r="W1097" i="7"/>
  <c r="W1119" i="7"/>
  <c r="W1137" i="7"/>
  <c r="W1159" i="7"/>
  <c r="W1180" i="7"/>
  <c r="W1202" i="7"/>
  <c r="W1220" i="7"/>
  <c r="W1241" i="7"/>
  <c r="W1263" i="7"/>
  <c r="W1280" i="7"/>
  <c r="W1300" i="7"/>
  <c r="W1316" i="7"/>
  <c r="W1335" i="7"/>
  <c r="W1350" i="7"/>
  <c r="W1365" i="7"/>
  <c r="W1382" i="7"/>
  <c r="W1396" i="7"/>
  <c r="W1410" i="7"/>
  <c r="W1424" i="7"/>
  <c r="W1440" i="7"/>
  <c r="W1453" i="7"/>
  <c r="W1466" i="7"/>
  <c r="W1479" i="7"/>
  <c r="W1492" i="7"/>
  <c r="W1505" i="7"/>
  <c r="W1518" i="7"/>
  <c r="W1530" i="7"/>
  <c r="W1542" i="7"/>
  <c r="W1554" i="7"/>
  <c r="W1566" i="7"/>
  <c r="W1578" i="7"/>
  <c r="W1590" i="7"/>
  <c r="W1602" i="7"/>
  <c r="W1614" i="7"/>
  <c r="W1626" i="7"/>
  <c r="W1638" i="7"/>
  <c r="W1650" i="7"/>
  <c r="W1662" i="7"/>
  <c r="W1674" i="7"/>
  <c r="W36" i="7"/>
  <c r="W69" i="7"/>
  <c r="W106" i="7"/>
  <c r="W142" i="7"/>
  <c r="W179" i="7"/>
  <c r="W208" i="7"/>
  <c r="W244" i="7"/>
  <c r="W285" i="7"/>
  <c r="W314" i="7"/>
  <c r="W351" i="7"/>
  <c r="W387" i="7"/>
  <c r="W424" i="7"/>
  <c r="W456" i="7"/>
  <c r="W492" i="7"/>
  <c r="W530" i="7"/>
  <c r="W562" i="7"/>
  <c r="W599" i="7"/>
  <c r="W635" i="7"/>
  <c r="W672" i="7"/>
  <c r="W705" i="7"/>
  <c r="W741" i="7"/>
  <c r="W778" i="7"/>
  <c r="W807" i="7"/>
  <c r="W844" i="7"/>
  <c r="W880" i="7"/>
  <c r="W921" i="7"/>
  <c r="W950" i="7"/>
  <c r="W986" i="7"/>
  <c r="W1023" i="7"/>
  <c r="W1041" i="7"/>
  <c r="W1063" i="7"/>
  <c r="W1084" i="7"/>
  <c r="W1106" i="7"/>
  <c r="W1124" i="7"/>
  <c r="W1145" i="7"/>
  <c r="W1167" i="7"/>
  <c r="W1185" i="7"/>
  <c r="W1207" i="7"/>
  <c r="W1228" i="7"/>
  <c r="W1250" i="7"/>
  <c r="W1268" i="7"/>
  <c r="W1288" i="7"/>
  <c r="W1304" i="7"/>
  <c r="W1324" i="7"/>
  <c r="W1339" i="7"/>
  <c r="W1357" i="7"/>
  <c r="W1372" i="7"/>
  <c r="W1386" i="7"/>
  <c r="W1400" i="7"/>
  <c r="W1416" i="7"/>
  <c r="W1430" i="7"/>
  <c r="W1444" i="7"/>
  <c r="W1457" i="7"/>
  <c r="W1470" i="7"/>
  <c r="W1483" i="7"/>
  <c r="W1496" i="7"/>
  <c r="W1509" i="7"/>
  <c r="W1522" i="7"/>
  <c r="W1534" i="7"/>
  <c r="W1546" i="7"/>
  <c r="W1558" i="7"/>
  <c r="W1570" i="7"/>
  <c r="W1582" i="7"/>
  <c r="W1594" i="7"/>
  <c r="W1606" i="7"/>
  <c r="W1618" i="7"/>
  <c r="W1630" i="7"/>
  <c r="W1642" i="7"/>
  <c r="W1654" i="7"/>
  <c r="W1666" i="7"/>
  <c r="W38" i="7"/>
  <c r="W75" i="7"/>
  <c r="W107" i="7"/>
  <c r="W143" i="7"/>
  <c r="W180" i="7"/>
  <c r="W213" i="7"/>
  <c r="W250" i="7"/>
  <c r="W286" i="7"/>
  <c r="W323" i="7"/>
  <c r="W352" i="7"/>
  <c r="W388" i="7"/>
  <c r="W429" i="7"/>
  <c r="W458" i="7"/>
  <c r="W495" i="7"/>
  <c r="W531" i="7"/>
  <c r="W24" i="7"/>
  <c r="W100" i="7"/>
  <c r="W183" i="7"/>
  <c r="W274" i="7"/>
  <c r="W357" i="7"/>
  <c r="W448" i="7"/>
  <c r="W528" i="7"/>
  <c r="W600" i="7"/>
  <c r="W674" i="7"/>
  <c r="W743" i="7"/>
  <c r="W816" i="7"/>
  <c r="W885" i="7"/>
  <c r="W951" i="7"/>
  <c r="W1024" i="7"/>
  <c r="W1064" i="7"/>
  <c r="W1107" i="7"/>
  <c r="W1147" i="7"/>
  <c r="W1190" i="7"/>
  <c r="W1229" i="7"/>
  <c r="W1269" i="7"/>
  <c r="W1305" i="7"/>
  <c r="W1340" i="7"/>
  <c r="W1373" i="7"/>
  <c r="W1401" i="7"/>
  <c r="W1431" i="7"/>
  <c r="W1458" i="7"/>
  <c r="W1484" i="7"/>
  <c r="W1511" i="7"/>
  <c r="W1535" i="7"/>
  <c r="W1559" i="7"/>
  <c r="W1583" i="7"/>
  <c r="W1607" i="7"/>
  <c r="W1631" i="7"/>
  <c r="W1655" i="7"/>
  <c r="W634" i="7"/>
  <c r="W26" i="7"/>
  <c r="W108" i="7"/>
  <c r="W203" i="7"/>
  <c r="W280" i="7"/>
  <c r="W363" i="7"/>
  <c r="W453" i="7"/>
  <c r="W532" i="7"/>
  <c r="W602" i="7"/>
  <c r="W675" i="7"/>
  <c r="W744" i="7"/>
  <c r="W818" i="7"/>
  <c r="W887" i="7"/>
  <c r="W960" i="7"/>
  <c r="W1025" i="7"/>
  <c r="W1065" i="7"/>
  <c r="W1108" i="7"/>
  <c r="W1148" i="7"/>
  <c r="W1191" i="7"/>
  <c r="W1231" i="7"/>
  <c r="W1274" i="7"/>
  <c r="W1310" i="7"/>
  <c r="W1341" i="7"/>
  <c r="W1374" i="7"/>
  <c r="W1404" i="7"/>
  <c r="W1432" i="7"/>
  <c r="W1459" i="7"/>
  <c r="W1485" i="7"/>
  <c r="W1512" i="7"/>
  <c r="W1536" i="7"/>
  <c r="W1560" i="7"/>
  <c r="W1584" i="7"/>
  <c r="W1608" i="7"/>
  <c r="W1632" i="7"/>
  <c r="W1656" i="7"/>
  <c r="W700" i="7"/>
  <c r="W35" i="7"/>
  <c r="W118" i="7"/>
  <c r="W204" i="7"/>
  <c r="W287" i="7"/>
  <c r="W375" i="7"/>
  <c r="W455" i="7"/>
  <c r="W538" i="7"/>
  <c r="W611" i="7"/>
  <c r="W676" i="7"/>
  <c r="W746" i="7"/>
  <c r="W819" i="7"/>
  <c r="W888" i="7"/>
  <c r="W962" i="7"/>
  <c r="W1027" i="7"/>
  <c r="W1070" i="7"/>
  <c r="W1109" i="7"/>
  <c r="W1149" i="7"/>
  <c r="W1192" i="7"/>
  <c r="W1232" i="7"/>
  <c r="W1275" i="7"/>
  <c r="W1311" i="7"/>
  <c r="W1345" i="7"/>
  <c r="W1375" i="7"/>
  <c r="W1405" i="7"/>
  <c r="W1433" i="7"/>
  <c r="W1460" i="7"/>
  <c r="W1487" i="7"/>
  <c r="W1513" i="7"/>
  <c r="W1537" i="7"/>
  <c r="W1561" i="7"/>
  <c r="W1585" i="7"/>
  <c r="W1609" i="7"/>
  <c r="W1633" i="7"/>
  <c r="W1657" i="7"/>
  <c r="W39" i="7"/>
  <c r="W130" i="7"/>
  <c r="W207" i="7"/>
  <c r="W290" i="7"/>
  <c r="W384" i="7"/>
  <c r="W467" i="7"/>
  <c r="W554" i="7"/>
  <c r="W623" i="7"/>
  <c r="W696" i="7"/>
  <c r="W766" i="7"/>
  <c r="W839" i="7"/>
  <c r="W909" i="7"/>
  <c r="W982" i="7"/>
  <c r="W1037" i="7"/>
  <c r="W1077" i="7"/>
  <c r="W1120" i="7"/>
  <c r="W1160" i="7"/>
  <c r="W1203" i="7"/>
  <c r="W1243" i="7"/>
  <c r="W1281" i="7"/>
  <c r="W1317" i="7"/>
  <c r="W1351" i="7"/>
  <c r="W1383" i="7"/>
  <c r="W1411" i="7"/>
  <c r="W1441" i="7"/>
  <c r="W1467" i="7"/>
  <c r="W1493" i="7"/>
  <c r="W1519" i="7"/>
  <c r="W1543" i="7"/>
  <c r="W1567" i="7"/>
  <c r="W1591" i="7"/>
  <c r="W1615" i="7"/>
  <c r="W1639" i="7"/>
  <c r="W1663" i="7"/>
  <c r="W141" i="7"/>
  <c r="W45" i="7"/>
  <c r="W136" i="7"/>
  <c r="W219" i="7"/>
  <c r="W309" i="7"/>
  <c r="W386" i="7"/>
  <c r="W468" i="7"/>
  <c r="W556" i="7"/>
  <c r="W633" i="7"/>
  <c r="W698" i="7"/>
  <c r="W767" i="7"/>
  <c r="W840" i="7"/>
  <c r="W910" i="7"/>
  <c r="W983" i="7"/>
  <c r="W1039" i="7"/>
  <c r="W1082" i="7"/>
  <c r="W1121" i="7"/>
  <c r="W1161" i="7"/>
  <c r="W1204" i="7"/>
  <c r="W1244" i="7"/>
  <c r="W1286" i="7"/>
  <c r="W1322" i="7"/>
  <c r="W1352" i="7"/>
  <c r="W1384" i="7"/>
  <c r="W1412" i="7"/>
  <c r="W1442" i="7"/>
  <c r="W1468" i="7"/>
  <c r="W1494" i="7"/>
  <c r="W1520" i="7"/>
  <c r="W1544" i="7"/>
  <c r="W1568" i="7"/>
  <c r="W1592" i="7"/>
  <c r="W1616" i="7"/>
  <c r="W1640" i="7"/>
  <c r="W1664" i="7"/>
  <c r="W60" i="7"/>
  <c r="W220" i="7"/>
  <c r="W311" i="7"/>
  <c r="W394" i="7"/>
  <c r="W489" i="7"/>
  <c r="W561" i="7"/>
  <c r="W777" i="7"/>
  <c r="W842" i="7"/>
  <c r="W911" i="7"/>
  <c r="W984" i="7"/>
  <c r="W1040" i="7"/>
  <c r="W1083" i="7"/>
  <c r="W1123" i="7"/>
  <c r="W1166" i="7"/>
  <c r="W1205" i="7"/>
  <c r="W1245" i="7"/>
  <c r="W1287" i="7"/>
  <c r="W1323" i="7"/>
  <c r="W1353" i="7"/>
  <c r="W1385" i="7"/>
  <c r="W1413" i="7"/>
  <c r="W1443" i="7"/>
  <c r="W1469" i="7"/>
  <c r="W1495" i="7"/>
  <c r="W1521" i="7"/>
  <c r="W1545" i="7"/>
  <c r="W1569" i="7"/>
  <c r="W1593" i="7"/>
  <c r="W1617" i="7"/>
  <c r="W1641" i="7"/>
  <c r="W1665" i="7"/>
  <c r="W63" i="7"/>
  <c r="W395" i="7"/>
  <c r="W490" i="7"/>
  <c r="W568" i="7"/>
  <c r="W636" i="7"/>
  <c r="W706" i="7"/>
  <c r="W779" i="7"/>
  <c r="W849" i="7"/>
  <c r="W922" i="7"/>
  <c r="W1046" i="7"/>
  <c r="W1085" i="7"/>
  <c r="W1125" i="7"/>
  <c r="W1168" i="7"/>
  <c r="W1208" i="7"/>
  <c r="W1251" i="7"/>
  <c r="W1289" i="7"/>
  <c r="W1325" i="7"/>
  <c r="W1358" i="7"/>
  <c r="W1387" i="7"/>
  <c r="W1417" i="7"/>
  <c r="W64" i="7"/>
  <c r="W242" i="7"/>
  <c r="W417" i="7"/>
  <c r="W592" i="7"/>
  <c r="W780" i="7"/>
  <c r="W945" i="7"/>
  <c r="W1060" i="7"/>
  <c r="W1169" i="7"/>
  <c r="W1264" i="7"/>
  <c r="W1338" i="7"/>
  <c r="W1419" i="7"/>
  <c r="W1473" i="7"/>
  <c r="W1525" i="7"/>
  <c r="W1573" i="7"/>
  <c r="W1621" i="7"/>
  <c r="W1669" i="7"/>
  <c r="W496" i="7"/>
  <c r="W1100" i="7"/>
  <c r="W1209" i="7"/>
  <c r="W1446" i="7"/>
  <c r="W1596" i="7"/>
  <c r="W501" i="7"/>
  <c r="W518" i="7"/>
  <c r="W1221" i="7"/>
  <c r="W1303" i="7"/>
  <c r="W1454" i="7"/>
  <c r="W1555" i="7"/>
  <c r="W346" i="7"/>
  <c r="W1022" i="7"/>
  <c r="W1131" i="7"/>
  <c r="W1326" i="7"/>
  <c r="W1455" i="7"/>
  <c r="W1556" i="7"/>
  <c r="W347" i="7"/>
  <c r="W879" i="7"/>
  <c r="W1142" i="7"/>
  <c r="W1227" i="7"/>
  <c r="W1398" i="7"/>
  <c r="W1557" i="7"/>
  <c r="W1653" i="7"/>
  <c r="W574" i="7"/>
  <c r="W923" i="7"/>
  <c r="W1143" i="7"/>
  <c r="W1399" i="7"/>
  <c r="W1523" i="7"/>
  <c r="W1667" i="7"/>
  <c r="W412" i="7"/>
  <c r="W1337" i="7"/>
  <c r="W1524" i="7"/>
  <c r="W1668" i="7"/>
  <c r="W76" i="7"/>
  <c r="W243" i="7"/>
  <c r="W418" i="7"/>
  <c r="W597" i="7"/>
  <c r="W783" i="7"/>
  <c r="W946" i="7"/>
  <c r="W1061" i="7"/>
  <c r="W1171" i="7"/>
  <c r="W1265" i="7"/>
  <c r="W1359" i="7"/>
  <c r="W1425" i="7"/>
  <c r="W1480" i="7"/>
  <c r="W1531" i="7"/>
  <c r="W1579" i="7"/>
  <c r="W1627" i="7"/>
  <c r="W662" i="7"/>
  <c r="W1012" i="7"/>
  <c r="W81" i="7"/>
  <c r="W251" i="7"/>
  <c r="W430" i="7"/>
  <c r="W639" i="7"/>
  <c r="W802" i="7"/>
  <c r="W948" i="7"/>
  <c r="W1087" i="7"/>
  <c r="W1181" i="7"/>
  <c r="W1267" i="7"/>
  <c r="W1360" i="7"/>
  <c r="W1428" i="7"/>
  <c r="W1481" i="7"/>
  <c r="W1532" i="7"/>
  <c r="W1580" i="7"/>
  <c r="W1628" i="7"/>
  <c r="W312" i="7"/>
  <c r="W1371" i="7"/>
  <c r="W1548" i="7"/>
  <c r="W147" i="7"/>
  <c r="W856" i="7"/>
  <c r="W1011" i="7"/>
  <c r="W1214" i="7"/>
  <c r="W1388" i="7"/>
  <c r="W1500" i="7"/>
  <c r="W1597" i="7"/>
  <c r="W326" i="7"/>
  <c r="W1130" i="7"/>
  <c r="W1389" i="7"/>
  <c r="W1506" i="7"/>
  <c r="W1603" i="7"/>
  <c r="W1651" i="7"/>
  <c r="W168" i="7"/>
  <c r="W878" i="7"/>
  <c r="W1226" i="7"/>
  <c r="W1397" i="7"/>
  <c r="W1507" i="7"/>
  <c r="W1652" i="7"/>
  <c r="W170" i="7"/>
  <c r="W734" i="7"/>
  <c r="W1047" i="7"/>
  <c r="W1327" i="7"/>
  <c r="W1456" i="7"/>
  <c r="W1605" i="7"/>
  <c r="W348" i="7"/>
  <c r="W735" i="7"/>
  <c r="W1048" i="7"/>
  <c r="W1252" i="7"/>
  <c r="W1471" i="7"/>
  <c r="W1571" i="7"/>
  <c r="W240" i="7"/>
  <c r="W1144" i="7"/>
  <c r="W1472" i="7"/>
  <c r="W1620" i="7"/>
  <c r="W98" i="7"/>
  <c r="W252" i="7"/>
  <c r="W431" i="7"/>
  <c r="W640" i="7"/>
  <c r="W804" i="7"/>
  <c r="W988" i="7"/>
  <c r="W1088" i="7"/>
  <c r="W1183" i="7"/>
  <c r="W1290" i="7"/>
  <c r="W1369" i="7"/>
  <c r="W1429" i="7"/>
  <c r="W1482" i="7"/>
  <c r="W1533" i="7"/>
  <c r="W1581" i="7"/>
  <c r="W1629" i="7"/>
  <c r="W850" i="7"/>
  <c r="W868" i="7"/>
  <c r="W99" i="7"/>
  <c r="W273" i="7"/>
  <c r="W491" i="7"/>
  <c r="W660" i="7"/>
  <c r="W806" i="7"/>
  <c r="W993" i="7"/>
  <c r="W1099" i="7"/>
  <c r="W1184" i="7"/>
  <c r="W1291" i="7"/>
  <c r="W1370" i="7"/>
  <c r="W1445" i="7"/>
  <c r="W1497" i="7"/>
  <c r="W1547" i="7"/>
  <c r="W1595" i="7"/>
  <c r="W1643" i="7"/>
  <c r="W146" i="7"/>
  <c r="W1301" i="7"/>
  <c r="W1499" i="7"/>
  <c r="W1644" i="7"/>
  <c r="W324" i="7"/>
  <c r="W1101" i="7"/>
  <c r="W1302" i="7"/>
  <c r="W1447" i="7"/>
  <c r="W1549" i="7"/>
  <c r="W1645" i="7"/>
  <c r="W167" i="7"/>
  <c r="W519" i="7"/>
  <c r="W1604" i="7"/>
  <c r="W573" i="7"/>
  <c r="W1508" i="7"/>
  <c r="W182" i="7"/>
  <c r="W1336" i="7"/>
  <c r="W1619" i="7"/>
  <c r="W591" i="7"/>
  <c r="W736" i="7"/>
  <c r="W924" i="7"/>
  <c r="W1059" i="7"/>
  <c r="W1253" i="7"/>
  <c r="W1418" i="7"/>
  <c r="W1572" i="7"/>
  <c r="W994" i="7"/>
  <c r="W663" i="7"/>
  <c r="W712" i="7"/>
  <c r="W717" i="7"/>
  <c r="W4" i="7"/>
  <c r="M7" i="1"/>
  <c r="M12" i="1" s="1"/>
  <c r="M11" i="1" l="1"/>
  <c r="N7" i="1"/>
  <c r="N12" i="1" s="1"/>
  <c r="M10" i="1"/>
  <c r="N11" i="1" l="1"/>
  <c r="M27" i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  <c r="E103" i="3"/>
  <c r="K21" i="3"/>
  <c r="U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<sst xmlns="http://schemas.openxmlformats.org/spreadsheetml/2006/main" count="24666" uniqueCount="2491">
  <si>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</si>
  <si>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</si>
  <si>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</si>
  <si>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</si>
  <si>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</si>
  <si>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</si>
  <si>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</si>
  <si>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</si>
  <si>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</si>
  <si>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</si>
  <si>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</si>
  <si>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</si>
  <si>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</si>
  <si>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</si>
  <si>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</si>
  <si>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</si>
  <si>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</si>
  <si>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</si>
  <si>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</si>
  <si>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</si>
  <si>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</si>
  <si>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</si>
  <si>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</si>
  <si>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</si>
  <si>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</si>
  <si>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</si>
  <si>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</si>
  <si>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</si>
  <si>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</si>
  <si>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</si>
  <si>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</si>
  <si>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</si>
  <si>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</si>
  <si>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</si>
  <si>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</si>
  <si>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</si>
  <si>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</si>
  <si>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</si>
  <si>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</si>
  <si>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</si>
  <si>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</si>
  <si>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</si>
  <si>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</si>
  <si>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</si>
  <si>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</si>
  <si>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</si>
  <si>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</si>
  <si>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</si>
  <si>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</si>
  <si>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</si>
  <si>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</si>
  <si>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</si>
  <si>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</si>
  <si>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</si>
  <si>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</si>
  <si>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</si>
  <si>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</si>
  <si>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</si>
  <si>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</si>
  <si>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</si>
  <si>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</si>
  <si>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</si>
  <si>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</si>
  <si>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</si>
  <si>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</si>
  <si>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</si>
  <si>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</si>
  <si>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</si>
  <si>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</si>
  <si>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</si>
  <si>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</si>
  <si>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</si>
  <si>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</si>
  <si>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</si>
  <si>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</si>
  <si>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</si>
  <si>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</si>
  <si>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</si>
  <si>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</si>
  <si>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</si>
  <si>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</si>
  <si>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</si>
  <si>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</si>
  <si>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</si>
  <si>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</si>
  <si>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</si>
  <si>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</si>
  <si>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</si>
  <si>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</si>
  <si>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</si>
  <si>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</si>
  <si>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</si>
  <si>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</si>
  <si>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</si>
  <si>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</si>
  <si>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</si>
  <si>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</si>
  <si>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</si>
  <si>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</si>
  <si>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</si>
  <si>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</si>
  <si>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</si>
  <si>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</si>
  <si>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</si>
  <si>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</si>
  <si>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</si>
  <si>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</si>
  <si>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</si>
  <si>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</si>
  <si>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</si>
  <si>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</si>
  <si>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</si>
  <si>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</si>
  <si>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</si>
  <si>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</si>
  <si>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</si>
  <si>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</si>
  <si>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</si>
  <si>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</si>
  <si>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</si>
  <si>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</si>
  <si>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</si>
  <si>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</si>
  <si>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</si>
  <si>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</si>
  <si>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</si>
  <si>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</si>
  <si>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</si>
  <si>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</si>
  <si>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</si>
  <si>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</si>
  <si>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</si>
  <si>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</si>
  <si>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</si>
  <si>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</si>
  <si>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</si>
  <si>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</si>
  <si>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</si>
  <si>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</si>
  <si>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</si>
  <si>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</si>
  <si>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</si>
  <si>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</si>
  <si>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</si>
  <si>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</si>
  <si>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</si>
  <si>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</si>
  <si>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</si>
  <si>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</si>
  <si>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</si>
  <si>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</si>
  <si>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</si>
  <si>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</si>
  <si>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</si>
  <si>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</si>
  <si>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</si>
  <si>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</si>
  <si>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</si>
  <si>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</si>
  <si>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</si>
  <si>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</si>
  <si>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</si>
  <si>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</si>
  <si>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</si>
  <si>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</si>
  <si>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</si>
  <si>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</si>
  <si>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</si>
  <si>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</si>
  <si>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</si>
  <si>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</si>
  <si>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</si>
  <si>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</si>
  <si>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</si>
  <si>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</si>
  <si>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</si>
  <si>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</si>
  <si>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</si>
  <si>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</si>
  <si>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</si>
  <si>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</si>
  <si>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</si>
  <si>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</si>
  <si>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</si>
  <si>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</si>
  <si>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</si>
  <si>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</si>
  <si>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</si>
  <si>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</si>
  <si>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</si>
  <si>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</si>
  <si>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</si>
  <si>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</si>
  <si>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</si>
  <si>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</si>
  <si>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</si>
  <si>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</si>
  <si>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</si>
  <si>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</si>
  <si>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</si>
  <si>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</si>
  <si>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</si>
  <si>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</si>
  <si>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</si>
  <si>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</si>
  <si>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</si>
  <si>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</si>
  <si>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</si>
  <si>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</si>
  <si>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</si>
  <si>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</si>
  <si>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</si>
  <si>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</si>
  <si>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</si>
  <si>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</si>
  <si>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</si>
  <si>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</si>
  <si>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</si>
  <si>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</si>
  <si>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</si>
  <si>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</si>
  <si>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</si>
  <si>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</si>
  <si>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</si>
  <si>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</si>
  <si>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</si>
  <si>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</si>
  <si>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</si>
  <si>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</si>
  <si>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</si>
  <si>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</si>
  <si>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</si>
  <si>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</si>
  <si>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</si>
  <si>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</si>
  <si>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</si>
  <si>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</si>
  <si>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</si>
  <si>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</si>
  <si>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</si>
  <si>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</si>
  <si>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</si>
  <si>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</si>
  <si>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</si>
  <si>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</si>
  <si>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</si>
  <si>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</si>
  <si>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</si>
  <si>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</si>
  <si>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</si>
  <si>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</si>
  <si>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</si>
  <si>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</si>
  <si>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</si>
  <si>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</si>
  <si>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</si>
  <si>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</si>
  <si>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</si>
  <si>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</si>
  <si>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</si>
  <si>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</si>
  <si>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</si>
  <si>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</si>
  <si>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</si>
  <si>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</si>
  <si>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</si>
  <si>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</si>
  <si>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</si>
  <si>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</si>
  <si>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</si>
  <si>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</si>
  <si>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</si>
  <si>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</si>
  <si>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</si>
  <si>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</si>
  <si>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</si>
  <si>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</si>
  <si>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</si>
  <si>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</si>
  <si>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</si>
  <si>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</si>
  <si>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</si>
  <si>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</si>
  <si>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</si>
  <si>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</si>
  <si>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</si>
  <si>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</si>
  <si>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</si>
  <si>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</si>
  <si>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</si>
  <si>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</si>
  <si>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</si>
  <si>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</si>
  <si>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</si>
  <si>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</si>
  <si>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</si>
  <si>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</si>
  <si>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</si>
  <si>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</si>
  <si>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</si>
  <si>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</si>
  <si>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</si>
  <si>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</si>
  <si>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</si>
  <si>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</si>
  <si>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</si>
  <si>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</si>
  <si>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</si>
  <si>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</si>
  <si>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</si>
  <si>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</si>
  <si>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</si>
  <si>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</si>
  <si>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</si>
  <si>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</si>
  <si>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</si>
  <si>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</si>
  <si>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</si>
  <si>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</si>
  <si>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</si>
  <si>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</si>
  <si>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</si>
  <si>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</si>
  <si>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</si>
  <si>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</si>
  <si>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</si>
  <si>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</si>
  <si>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</si>
  <si>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</si>
  <si>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</si>
  <si>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</si>
  <si>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</si>
  <si>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</si>
  <si>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</si>
  <si>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</si>
  <si>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</si>
  <si>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</si>
  <si>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</si>
  <si>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</si>
  <si>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</si>
  <si>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</si>
  <si>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</si>
  <si>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</si>
  <si>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</si>
  <si>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</si>
  <si>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</si>
  <si>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</si>
  <si>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</si>
  <si>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</si>
  <si>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</si>
  <si>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</si>
  <si>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</si>
  <si>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</si>
  <si>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</si>
  <si>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</si>
  <si>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</si>
  <si>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</si>
  <si>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</si>
  <si>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</si>
  <si>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</si>
  <si>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</si>
  <si>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</si>
  <si>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</si>
  <si>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</si>
  <si>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</si>
  <si>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</si>
  <si>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</si>
  <si>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</si>
  <si>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</si>
  <si>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</si>
  <si>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</si>
  <si>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</si>
  <si>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</si>
  <si>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</si>
  <si>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</si>
  <si>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</si>
  <si>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</si>
  <si>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</si>
  <si>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</si>
  <si>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</si>
  <si>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</si>
  <si>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</si>
  <si>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</si>
  <si>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</si>
  <si>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</si>
  <si>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</si>
  <si>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</si>
  <si>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</si>
  <si>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</si>
  <si>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</si>
  <si>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</si>
  <si>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</si>
  <si>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</si>
  <si>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</si>
  <si>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</si>
  <si>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</si>
  <si>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</si>
  <si>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</si>
  <si>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</si>
  <si>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</si>
  <si>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</si>
  <si>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</si>
  <si>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</si>
  <si>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</si>
  <si>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</si>
  <si>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</si>
  <si>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</si>
  <si>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</si>
  <si>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</si>
  <si>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</si>
  <si>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</si>
  <si>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</si>
  <si>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</si>
  <si>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</si>
  <si>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</si>
  <si>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</si>
  <si>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</si>
  <si>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</si>
  <si>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</si>
  <si>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</si>
  <si>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</si>
  <si>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</si>
  <si>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</si>
  <si>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</si>
  <si>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</si>
  <si>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</si>
  <si>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</si>
  <si>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</si>
  <si>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</si>
  <si>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</si>
  <si>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</si>
  <si>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</si>
  <si>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</si>
  <si>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</si>
  <si>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</si>
  <si>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</si>
  <si>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</si>
  <si>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</si>
  <si>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</si>
  <si>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</si>
  <si>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</si>
  <si>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</si>
  <si>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</si>
  <si>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</si>
  <si>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</si>
  <si>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</si>
  <si>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</si>
  <si>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</si>
  <si>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</si>
  <si>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</si>
  <si>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</si>
  <si>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</si>
  <si>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</si>
  <si>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</si>
  <si>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</si>
  <si>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</si>
  <si>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</si>
  <si>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</si>
  <si>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</si>
  <si>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</si>
  <si>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</si>
  <si>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</si>
  <si>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</si>
  <si>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</si>
  <si>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</si>
  <si>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</si>
  <si>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</si>
  <si>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</si>
  <si>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</si>
  <si>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</si>
  <si>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</si>
  <si>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</si>
  <si>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</si>
  <si>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</si>
  <si>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</si>
  <si>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</si>
  <si>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</si>
  <si>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</si>
  <si>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</si>
  <si>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*MAV140801110</t>
  </si>
  <si>
    <t>*MAV160700961</t>
  </si>
  <si>
    <t>COOPERATIVA DE VIVIENDA CREDITO Y CONSUMO PARA EL DESARROLLO LIMITADA</t>
  </si>
  <si>
    <t>*MAV170701024</t>
  </si>
  <si>
    <t>*MAV240701056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</si>
  <si>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</si>
  <si>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</si>
  <si>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</si>
  <si>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</si>
  <si>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</si>
  <si>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</si>
  <si>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</si>
  <si>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</si>
  <si>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</si>
  <si>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</si>
  <si>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</si>
  <si>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</si>
  <si>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</si>
  <si>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</si>
  <si>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</si>
  <si>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</si>
  <si>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</si>
  <si>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</si>
  <si>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</si>
  <si>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</si>
  <si>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</si>
  <si>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</si>
  <si>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</si>
  <si>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</si>
  <si>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</si>
  <si>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</si>
  <si>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</si>
  <si>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</si>
  <si>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</si>
  <si>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</si>
  <si>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</si>
  <si>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</si>
  <si>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</si>
  <si>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</si>
  <si>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</si>
  <si>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</si>
  <si>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</si>
  <si>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</si>
  <si>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</si>
  <si>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</si>
  <si>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</si>
  <si>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</si>
  <si>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</si>
  <si>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</si>
  <si>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</si>
  <si>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</si>
  <si>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</si>
  <si>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</si>
  <si>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</si>
  <si>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</si>
  <si>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</si>
  <si>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</si>
  <si>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*MAV050801102</t>
  </si>
  <si>
    <t>NEW ARRECIFE S.A.</t>
  </si>
  <si>
    <t>*MAV120801432</t>
  </si>
  <si>
    <t>*MIL200700043</t>
  </si>
  <si>
    <t>*MIL270700024</t>
  </si>
  <si>
    <t>*MIL220700035</t>
  </si>
  <si>
    <t>*MIL220700036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</si>
  <si>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</si>
  <si>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</si>
  <si>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</si>
  <si>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</si>
  <si>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</si>
  <si>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</si>
  <si>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</si>
  <si>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</si>
  <si>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</si>
  <si>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</si>
  <si>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</si>
  <si>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</si>
  <si>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</si>
  <si>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</si>
  <si>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</si>
  <si>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</si>
  <si>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</si>
  <si>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</si>
  <si>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</si>
  <si>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</si>
  <si>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</si>
  <si>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</si>
  <si>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</si>
  <si>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</si>
  <si>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</si>
  <si>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</si>
  <si>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</si>
  <si>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</si>
  <si>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</si>
  <si>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</si>
  <si>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</si>
  <si>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</si>
  <si>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</si>
  <si>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</si>
  <si>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</si>
  <si>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</si>
  <si>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</si>
  <si>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</si>
  <si>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</si>
  <si>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</si>
  <si>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</si>
  <si>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</si>
  <si>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</si>
  <si>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</si>
  <si>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</si>
  <si>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</si>
  <si>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</si>
  <si>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</si>
  <si>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</si>
  <si>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</si>
  <si>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</si>
  <si>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</si>
  <si>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</si>
  <si>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</si>
  <si>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</si>
  <si>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</si>
  <si>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</si>
  <si>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</si>
  <si>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</si>
  <si>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</si>
  <si>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</si>
  <si>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</si>
  <si>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</si>
  <si>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</si>
  <si>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</si>
  <si>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</si>
  <si>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</si>
  <si>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</si>
  <si>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</si>
  <si>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</si>
  <si>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</si>
  <si>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</si>
  <si>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</si>
  <si>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</si>
  <si>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</si>
  <si>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</si>
  <si>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</si>
  <si>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</si>
  <si>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</si>
  <si>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</si>
  <si>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</si>
  <si>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</si>
  <si>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</si>
  <si>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</si>
  <si>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</si>
  <si>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</si>
  <si>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</si>
  <si>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</si>
  <si>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</si>
  <si>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</si>
  <si>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</si>
  <si>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</si>
  <si>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</si>
  <si>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</si>
  <si>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</si>
  <si>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</si>
  <si>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</si>
  <si>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</si>
  <si>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</si>
  <si>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</si>
  <si>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</si>
  <si>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</si>
  <si>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</si>
  <si>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</si>
  <si>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</si>
  <si>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</si>
  <si>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</si>
  <si>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</si>
  <si>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</si>
  <si>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</si>
  <si>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</si>
  <si>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</si>
  <si>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</si>
  <si>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</si>
  <si>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</si>
  <si>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</si>
  <si>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</si>
  <si>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</si>
  <si>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</si>
  <si>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*INP170700067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</si>
  <si>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</si>
  <si>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</si>
  <si>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</si>
  <si>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</si>
  <si>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</si>
  <si>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</si>
  <si>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</si>
  <si>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</si>
  <si>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</si>
  <si>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</si>
  <si>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</si>
  <si>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</si>
  <si>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</si>
  <si>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</si>
  <si>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</si>
  <si>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</si>
  <si>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</si>
  <si>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</si>
  <si>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</si>
  <si>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</si>
  <si>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</si>
  <si>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*MAV170701366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</si>
  <si>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</si>
  <si>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</si>
  <si>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</si>
  <si>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</si>
  <si>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</si>
  <si>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</si>
  <si>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</si>
  <si>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</si>
  <si>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</si>
  <si>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</si>
  <si>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</si>
  <si>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</si>
  <si>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</si>
  <si>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</si>
  <si>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</si>
  <si>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</si>
  <si>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</si>
  <si>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</si>
  <si>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</si>
  <si>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</si>
  <si>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</si>
  <si>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</si>
  <si>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</si>
  <si>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</si>
  <si>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</si>
  <si>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</si>
  <si>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</si>
  <si>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</si>
  <si>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</si>
  <si>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</si>
  <si>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</si>
  <si>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</si>
  <si>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</si>
  <si>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</si>
  <si>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</si>
  <si>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</si>
  <si>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</si>
  <si>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</si>
  <si>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</si>
  <si>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</si>
  <si>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</si>
  <si>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</si>
  <si>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</si>
  <si>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</si>
  <si>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</si>
  <si>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</si>
  <si>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</si>
  <si>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</si>
  <si>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*PRO220700012</t>
  </si>
  <si>
    <t>*PRO290700011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</si>
  <si>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</si>
  <si>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</si>
  <si>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</si>
  <si>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</si>
  <si>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</si>
  <si>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</si>
  <si>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</si>
  <si>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</si>
  <si>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</si>
  <si>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</si>
  <si>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</si>
  <si>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</si>
  <si>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</si>
  <si>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</si>
  <si>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</si>
  <si>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</si>
  <si>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</si>
  <si>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</si>
  <si>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</si>
  <si>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</si>
  <si>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</si>
  <si>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</si>
  <si>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</si>
  <si>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</si>
  <si>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</si>
  <si>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</si>
  <si>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</si>
  <si>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</si>
  <si>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</si>
  <si>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</si>
  <si>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</si>
  <si>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</si>
  <si>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</si>
  <si>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</si>
  <si>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</si>
  <si>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</si>
  <si>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</si>
  <si>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</si>
  <si>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</si>
  <si>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</si>
  <si>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</si>
  <si>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</si>
  <si>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</si>
  <si>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</si>
  <si>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</si>
  <si>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</si>
  <si>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</si>
  <si>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</si>
  <si>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</si>
  <si>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</si>
  <si>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</si>
  <si>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</si>
  <si>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</si>
  <si>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</si>
  <si>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</si>
  <si>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</si>
  <si>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</si>
  <si>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</si>
  <si>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</si>
  <si>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</si>
  <si>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</si>
  <si>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</si>
  <si>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</si>
  <si>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</si>
  <si>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</si>
  <si>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</si>
  <si>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</si>
  <si>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</si>
  <si>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</si>
  <si>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</si>
  <si>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</si>
  <si>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</si>
  <si>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</si>
  <si>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</si>
  <si>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</si>
  <si>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</si>
  <si>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</si>
  <si>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</si>
  <si>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</si>
  <si>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</si>
  <si>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</si>
  <si>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</si>
  <si>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</si>
  <si>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</si>
  <si>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</si>
  <si>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</si>
  <si>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</si>
  <si>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</si>
  <si>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</si>
  <si>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</si>
  <si>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</si>
  <si>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</si>
  <si>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</si>
  <si>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</si>
  <si>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</si>
  <si>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</si>
  <si>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</si>
  <si>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</si>
  <si>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</si>
  <si>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</si>
  <si>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</si>
  <si>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</si>
  <si>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</si>
  <si>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</si>
  <si>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</si>
  <si>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*MIL220700038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</si>
  <si>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</si>
  <si>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</si>
  <si>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</si>
  <si>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</si>
  <si>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</si>
  <si>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</si>
  <si>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</si>
  <si>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</si>
  <si>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</si>
  <si>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</si>
  <si>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</si>
  <si>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</si>
  <si>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</si>
  <si>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</si>
  <si>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</si>
  <si>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</si>
  <si>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</si>
  <si>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</si>
  <si>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</si>
  <si>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</si>
  <si>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</si>
  <si>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</si>
  <si>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</si>
  <si>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</si>
  <si>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</si>
  <si>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</si>
  <si>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</si>
  <si>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</si>
  <si>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</si>
  <si>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</si>
  <si>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</si>
  <si>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</si>
  <si>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</si>
  <si>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</si>
  <si>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</si>
  <si>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</si>
  <si>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</si>
  <si>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</si>
  <si>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</si>
  <si>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</si>
  <si>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</si>
  <si>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</si>
  <si>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</si>
  <si>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</si>
  <si>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</si>
  <si>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</si>
  <si>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</si>
  <si>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</si>
  <si>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</si>
  <si>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</si>
  <si>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</si>
  <si>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</si>
  <si>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</si>
  <si>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</si>
  <si>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</si>
  <si>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</si>
  <si>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</si>
  <si>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</si>
  <si>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</si>
  <si>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*MIL200700046</t>
  </si>
  <si>
    <t>*MIL220700040</t>
  </si>
  <si>
    <t>*MIL240700033</t>
  </si>
  <si>
    <t>*MIL250700034</t>
  </si>
  <si>
    <t>*MIL200700047</t>
  </si>
  <si>
    <t>*MIL270700025</t>
  </si>
  <si>
    <t>*MAV280701203</t>
  </si>
  <si>
    <t>*MAV240701132</t>
  </si>
  <si>
    <t>*MAV290701134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</si>
  <si>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</si>
  <si>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</si>
  <si>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</si>
  <si>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</si>
  <si>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</si>
  <si>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</si>
  <si>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</si>
  <si>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</si>
  <si>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</si>
  <si>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</si>
  <si>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</si>
  <si>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</si>
  <si>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</si>
  <si>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</si>
  <si>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</si>
  <si>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</si>
  <si>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</si>
  <si>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</si>
  <si>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</si>
  <si>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</si>
  <si>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</si>
  <si>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</si>
  <si>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</si>
  <si>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</si>
  <si>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</si>
  <si>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</si>
  <si>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</si>
  <si>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</si>
  <si>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</si>
  <si>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</si>
  <si>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*MIL210700043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</si>
  <si>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</si>
  <si>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</si>
  <si>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</si>
  <si>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</si>
  <si>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</si>
  <si>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</si>
  <si>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</si>
  <si>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*MAV110801282</t>
  </si>
  <si>
    <t>*MAV270800969</t>
  </si>
  <si>
    <t>*MAV200701092</t>
  </si>
  <si>
    <t>G&amp;T LOGISTICA SA</t>
  </si>
  <si>
    <t>*AAR241000023</t>
  </si>
  <si>
    <t>*CUY040800025</t>
  </si>
  <si>
    <t>*CUY100800020</t>
  </si>
  <si>
    <t>*CUY110800024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</si>
  <si>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</si>
  <si>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</si>
  <si>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</si>
  <si>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</si>
  <si>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</si>
  <si>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</si>
  <si>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</si>
  <si>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</si>
  <si>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</si>
  <si>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</si>
  <si>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%INC010800022</t>
  </si>
  <si>
    <t>*MAV100800966</t>
  </si>
  <si>
    <t>*MAV170701431</t>
  </si>
  <si>
    <t>*MAV310801112</t>
  </si>
  <si>
    <t>*MAV310801113</t>
  </si>
  <si>
    <t>CUYO AVAL SGR</t>
  </si>
  <si>
    <t>YAGUA COLI S.A.</t>
  </si>
  <si>
    <t>*MAV170701437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</si>
  <si>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</si>
  <si>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</si>
  <si>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</si>
  <si>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</si>
  <si>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</si>
  <si>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</si>
  <si>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</si>
  <si>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</si>
  <si>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</si>
  <si>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</si>
  <si>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</si>
  <si>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</si>
  <si>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</si>
  <si>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</si>
  <si>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</si>
  <si>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</si>
  <si>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</si>
  <si>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</si>
  <si>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</si>
  <si>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</si>
  <si>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</si>
  <si>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</si>
  <si>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</si>
  <si>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</si>
  <si>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</si>
  <si>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</si>
  <si>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</si>
  <si>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</si>
  <si>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</si>
  <si>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</si>
  <si>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*MAV160701096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</si>
  <si>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</si>
  <si>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</si>
  <si>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</si>
  <si>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</si>
  <si>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</si>
  <si>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</si>
  <si>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</si>
  <si>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*MAV230701030</t>
  </si>
  <si>
    <t>*MAV150801364</t>
  </si>
  <si>
    <t>*BIF220700005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</si>
  <si>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</si>
  <si>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</si>
  <si>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</si>
  <si>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</si>
  <si>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</si>
  <si>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</si>
  <si>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</si>
  <si>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</si>
  <si>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</si>
  <si>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</si>
  <si>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</si>
  <si>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</si>
  <si>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</si>
  <si>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</si>
  <si>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</si>
  <si>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</si>
  <si>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</si>
  <si>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</si>
  <si>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</si>
  <si>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</si>
  <si>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</si>
  <si>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</si>
  <si>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</si>
  <si>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</si>
  <si>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</si>
  <si>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</si>
  <si>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*MAV200701140</t>
  </si>
  <si>
    <t>*MAV170701525</t>
  </si>
  <si>
    <t>*MAV200701147</t>
  </si>
  <si>
    <t>*MAV310701425</t>
  </si>
  <si>
    <t>LAGAVULIN S.A.</t>
  </si>
  <si>
    <t>TECNOGRAFIC</t>
  </si>
  <si>
    <t>REGCEN S.R.L.</t>
  </si>
  <si>
    <t>ANDALUCIA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</si>
  <si>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</si>
  <si>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</si>
  <si>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</si>
  <si>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</si>
  <si>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</si>
  <si>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</si>
  <si>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</si>
  <si>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</si>
  <si>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</si>
  <si>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</si>
  <si>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</si>
  <si>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</si>
  <si>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</si>
  <si>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</si>
  <si>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*MAV210701311</t>
  </si>
  <si>
    <t>*MAV230701047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</si>
  <si>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</si>
  <si>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</si>
  <si>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</si>
  <si>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</si>
  <si>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</si>
  <si>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</si>
  <si>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</si>
  <si>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</si>
  <si>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</si>
  <si>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</si>
  <si>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</si>
  <si>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</si>
  <si>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</si>
  <si>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</si>
  <si>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</si>
  <si>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</si>
  <si>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</si>
  <si>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</si>
  <si>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</si>
  <si>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*MAV170701563</t>
  </si>
  <si>
    <t>*MAV240701233</t>
  </si>
  <si>
    <t>*MAV310701459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</si>
  <si>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</si>
  <si>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</si>
  <si>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</si>
  <si>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</si>
  <si>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</si>
  <si>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</si>
  <si>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</si>
  <si>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</si>
  <si>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</si>
  <si>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</si>
  <si>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</si>
  <si>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</si>
  <si>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</si>
  <si>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*MAV160701168</t>
  </si>
  <si>
    <t>*MAV170701635</t>
  </si>
  <si>
    <t>*MAV200701203</t>
  </si>
  <si>
    <t>*MAV230701065</t>
  </si>
  <si>
    <t>*MAV240701245</t>
  </si>
  <si>
    <t>*MAV120901461</t>
  </si>
  <si>
    <t>*MAV090800990</t>
  </si>
  <si>
    <t>*MAV200801245</t>
  </si>
  <si>
    <t>GIVA LOGISTIC SRL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</si>
  <si>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</si>
  <si>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</si>
  <si>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</si>
  <si>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</si>
  <si>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</si>
  <si>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</si>
  <si>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</si>
  <si>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</si>
  <si>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</si>
  <si>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</si>
  <si>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*MAV210701333</t>
  </si>
  <si>
    <t>*MAV280701292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</si>
  <si>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</si>
  <si>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</si>
  <si>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</si>
  <si>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</si>
  <si>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</si>
  <si>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</si>
  <si>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</si>
  <si>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</si>
  <si>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</si>
  <si>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</si>
  <si>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</si>
  <si>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</si>
  <si>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</si>
  <si>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</si>
  <si>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</si>
  <si>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</si>
  <si>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</si>
  <si>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</si>
  <si>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</si>
  <si>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</si>
  <si>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</si>
  <si>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</si>
  <si>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</si>
  <si>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</si>
  <si>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</si>
  <si>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</si>
  <si>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</si>
  <si>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</si>
  <si>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</si>
  <si>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</si>
  <si>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</si>
  <si>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</si>
  <si>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</si>
  <si>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</si>
  <si>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</si>
  <si>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</si>
  <si>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</si>
  <si>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</si>
  <si>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</si>
  <si>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</si>
  <si>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</si>
  <si>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</si>
  <si>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</si>
  <si>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</si>
  <si>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</si>
  <si>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</si>
  <si>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</si>
  <si>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</si>
  <si>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</si>
  <si>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</si>
  <si>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</si>
  <si>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</si>
  <si>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</si>
  <si>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</si>
  <si>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</si>
  <si>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</si>
  <si>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</si>
  <si>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</si>
  <si>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</si>
  <si>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</si>
  <si>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</si>
  <si>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</si>
  <si>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</si>
  <si>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</si>
  <si>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</si>
  <si>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</si>
  <si>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</si>
  <si>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</si>
  <si>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</si>
  <si>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</si>
  <si>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</si>
  <si>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</si>
  <si>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</si>
  <si>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</si>
  <si>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</si>
  <si>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</si>
  <si>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</si>
  <si>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</si>
  <si>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</si>
  <si>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</si>
  <si>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</si>
  <si>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</si>
  <si>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</si>
  <si>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</si>
  <si>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</si>
  <si>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</si>
  <si>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</si>
  <si>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</si>
  <si>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</si>
  <si>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</si>
  <si>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</si>
  <si>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</si>
  <si>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</si>
  <si>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</si>
  <si>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</si>
  <si>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</si>
  <si>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</si>
  <si>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</si>
  <si>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</si>
  <si>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</si>
  <si>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</si>
  <si>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</si>
  <si>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</si>
  <si>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</si>
  <si>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</si>
  <si>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</si>
  <si>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</si>
  <si>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</si>
  <si>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</si>
  <si>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</si>
  <si>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</si>
  <si>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</si>
  <si>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*MAV160701249</t>
  </si>
  <si>
    <t>*MAV170701734</t>
  </si>
  <si>
    <t>*MAV240701317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</si>
  <si>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</si>
  <si>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</si>
  <si>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</si>
  <si>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</si>
  <si>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</si>
  <si>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</si>
  <si>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</si>
  <si>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</si>
  <si>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*MAV050801250</t>
  </si>
  <si>
    <t>*MAV130801036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</si>
  <si>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</si>
  <si>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</si>
  <si>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</si>
  <si>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</si>
  <si>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</si>
  <si>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</si>
  <si>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</si>
  <si>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*MAV250701413</t>
  </si>
  <si>
    <t>*MAV140900894</t>
  </si>
  <si>
    <t>*MAV150901522</t>
  </si>
  <si>
    <t>*MAV170701735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</si>
  <si>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</si>
  <si>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</si>
  <si>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</si>
  <si>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</si>
  <si>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</si>
  <si>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</si>
  <si>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</si>
  <si>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</si>
  <si>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</si>
  <si>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</si>
  <si>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VEO VISUAL</t>
  </si>
  <si>
    <t>ANDRIMARSIL SRL</t>
  </si>
  <si>
    <t>NUEVAS CARTULINAS SRL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</si>
  <si>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</si>
  <si>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</si>
  <si>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</si>
  <si>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</si>
  <si>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</si>
  <si>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</si>
  <si>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</si>
  <si>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</si>
  <si>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</si>
  <si>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</si>
  <si>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</si>
  <si>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</si>
  <si>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</si>
  <si>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</si>
  <si>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</si>
  <si>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</si>
  <si>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</si>
  <si>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</si>
  <si>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</si>
  <si>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</si>
  <si>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</si>
  <si>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</si>
  <si>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</si>
  <si>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</si>
  <si>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</si>
  <si>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</si>
  <si>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</si>
  <si>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</si>
  <si>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</si>
  <si>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</si>
  <si>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</si>
  <si>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</si>
  <si>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</si>
  <si>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</si>
  <si>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</si>
  <si>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</si>
  <si>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</si>
  <si>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</si>
  <si>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</si>
  <si>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</si>
  <si>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</si>
  <si>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</si>
  <si>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</si>
  <si>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</si>
  <si>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</si>
  <si>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</si>
  <si>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</si>
  <si>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</si>
  <si>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</si>
  <si>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</si>
  <si>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</si>
  <si>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</si>
  <si>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</si>
  <si>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</si>
  <si>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</si>
  <si>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</si>
  <si>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</si>
  <si>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</si>
  <si>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</si>
  <si>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</si>
  <si>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</si>
  <si>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</si>
  <si>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</si>
  <si>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</si>
  <si>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</si>
  <si>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</si>
  <si>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</si>
  <si>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</si>
  <si>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</si>
  <si>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</si>
  <si>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</si>
  <si>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</si>
  <si>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</si>
  <si>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</si>
  <si>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</si>
  <si>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</si>
  <si>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</si>
  <si>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</si>
  <si>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</si>
  <si>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</si>
  <si>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</si>
  <si>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</si>
  <si>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</si>
  <si>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</si>
  <si>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</si>
  <si>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</si>
  <si>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</si>
  <si>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</si>
  <si>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</si>
  <si>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</si>
  <si>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</si>
  <si>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</si>
  <si>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</si>
  <si>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</si>
  <si>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</si>
  <si>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</si>
  <si>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</si>
  <si>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</si>
  <si>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</si>
  <si>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</si>
  <si>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</si>
  <si>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</si>
  <si>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</si>
  <si>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</si>
  <si>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</si>
  <si>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</si>
  <si>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</si>
  <si>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</si>
  <si>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</si>
  <si>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</si>
  <si>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</si>
  <si>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</si>
  <si>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</si>
  <si>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</si>
  <si>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</si>
  <si>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</si>
  <si>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</si>
  <si>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</si>
  <si>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</si>
  <si>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</si>
  <si>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</si>
  <si>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</si>
  <si>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</si>
  <si>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</si>
  <si>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</si>
  <si>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</si>
  <si>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</si>
  <si>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</si>
  <si>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</si>
  <si>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</si>
  <si>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</si>
  <si>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</si>
  <si>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</si>
  <si>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</si>
  <si>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</si>
  <si>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</si>
  <si>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</si>
  <si>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</si>
  <si>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</si>
  <si>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</si>
  <si>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</si>
  <si>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</si>
  <si>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</si>
  <si>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</si>
  <si>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</si>
  <si>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</si>
  <si>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</si>
  <si>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</si>
  <si>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</si>
  <si>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</si>
  <si>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</si>
  <si>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</si>
  <si>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</si>
  <si>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</si>
  <si>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</si>
  <si>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</si>
  <si>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</si>
  <si>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</si>
  <si>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</si>
  <si>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</si>
  <si>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</si>
  <si>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</si>
  <si>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</si>
  <si>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</si>
  <si>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</si>
  <si>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</si>
  <si>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</si>
  <si>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</si>
  <si>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</si>
  <si>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</si>
  <si>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</si>
  <si>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</si>
  <si>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</si>
  <si>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</si>
  <si>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</si>
  <si>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</si>
  <si>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</si>
  <si>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</si>
  <si>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</si>
  <si>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</si>
  <si>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</si>
  <si>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</si>
  <si>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</si>
  <si>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</si>
  <si>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</si>
  <si>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</si>
  <si>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</si>
  <si>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</si>
  <si>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</si>
  <si>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</si>
  <si>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</si>
  <si>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</si>
  <si>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</si>
  <si>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</si>
  <si>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</si>
  <si>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</si>
  <si>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</si>
  <si>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</si>
  <si>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</si>
  <si>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</si>
  <si>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</si>
  <si>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</si>
  <si>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</si>
  <si>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</si>
  <si>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</si>
  <si>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</si>
  <si>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</si>
  <si>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</si>
  <si>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</si>
  <si>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</si>
  <si>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</si>
  <si>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</si>
  <si>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</si>
  <si>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</si>
  <si>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</si>
  <si>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</si>
  <si>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</si>
  <si>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</si>
  <si>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</si>
  <si>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</si>
  <si>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</si>
  <si>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</si>
  <si>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</si>
  <si>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</si>
  <si>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</si>
  <si>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</si>
  <si>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</si>
  <si>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</si>
  <si>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</si>
  <si>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</si>
  <si>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</si>
  <si>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</si>
  <si>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</si>
  <si>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</si>
  <si>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</si>
  <si>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</si>
  <si>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</si>
  <si>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</si>
  <si>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</si>
  <si>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</si>
  <si>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</si>
  <si>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</si>
  <si>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</si>
  <si>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</si>
  <si>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</si>
  <si>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</si>
  <si>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</si>
  <si>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</si>
  <si>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</si>
  <si>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</si>
  <si>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</si>
  <si>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</si>
  <si>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</si>
  <si>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</si>
  <si>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</si>
  <si>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</si>
  <si>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</si>
  <si>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</si>
  <si>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</si>
  <si>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</si>
  <si>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</si>
  <si>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</si>
  <si>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</si>
  <si>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</si>
  <si>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</si>
  <si>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</si>
  <si>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</si>
  <si>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</si>
  <si>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</si>
  <si>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</si>
  <si>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</si>
  <si>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</si>
  <si>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</si>
  <si>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</si>
  <si>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</si>
  <si>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</si>
  <si>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</si>
  <si>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</si>
  <si>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</si>
  <si>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</si>
  <si>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</si>
  <si>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</si>
  <si>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</si>
  <si>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</si>
  <si>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</si>
  <si>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GASTRONOMIA EN MOVIMIENTO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</si>
  <si>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</si>
  <si>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</si>
  <si>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</si>
  <si>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</si>
  <si>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</si>
  <si>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</si>
  <si>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</si>
  <si>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</si>
  <si>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</si>
  <si>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</si>
  <si>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</si>
  <si>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</si>
  <si>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</si>
  <si>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</si>
  <si>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</si>
  <si>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</si>
  <si>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</si>
  <si>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</si>
  <si>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</si>
  <si>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</si>
  <si>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</si>
  <si>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</si>
  <si>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</si>
  <si>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</si>
  <si>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</si>
  <si>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</si>
  <si>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</si>
  <si>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</si>
  <si>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</si>
  <si>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</si>
  <si>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</si>
  <si>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</si>
  <si>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</si>
  <si>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</si>
  <si>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</si>
  <si>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</si>
  <si>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</si>
  <si>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</si>
  <si>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</si>
  <si>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</si>
  <si>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</si>
  <si>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</si>
  <si>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</si>
  <si>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</si>
  <si>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</si>
  <si>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</si>
  <si>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</si>
  <si>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</si>
  <si>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</si>
  <si>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</si>
  <si>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</si>
  <si>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</si>
  <si>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</si>
  <si>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</si>
  <si>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</si>
  <si>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</si>
  <si>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</si>
  <si>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</si>
  <si>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</si>
  <si>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</si>
  <si>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</si>
  <si>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</si>
  <si>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</si>
  <si>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</si>
  <si>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</si>
  <si>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</si>
  <si>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</si>
  <si>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</si>
  <si>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</si>
  <si>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</si>
  <si>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</si>
  <si>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</si>
  <si>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</si>
  <si>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</si>
  <si>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</si>
  <si>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</si>
  <si>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</si>
  <si>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</si>
  <si>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</si>
  <si>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</si>
  <si>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</si>
  <si>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</si>
  <si>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</si>
  <si>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</si>
  <si>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</si>
  <si>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</si>
  <si>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</si>
  <si>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</si>
  <si>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</si>
  <si>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</si>
  <si>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</si>
  <si>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</si>
  <si>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</si>
  <si>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</si>
  <si>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</si>
  <si>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</si>
  <si>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</si>
  <si>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</si>
  <si>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</si>
  <si>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</si>
  <si>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</si>
  <si>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</si>
  <si>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</si>
  <si>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</si>
  <si>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*MAV180701405</t>
  </si>
  <si>
    <t>#UMV010960024</t>
  </si>
  <si>
    <t>*MAV210701515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</si>
  <si>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</si>
  <si>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</si>
  <si>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</si>
  <si>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</si>
  <si>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</si>
  <si>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</si>
  <si>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</si>
  <si>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</si>
  <si>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</si>
  <si>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</si>
  <si>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</si>
  <si>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</si>
  <si>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</si>
  <si>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</si>
  <si>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</si>
  <si>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</si>
  <si>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</si>
  <si>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</si>
  <si>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</si>
  <si>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</si>
  <si>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</si>
  <si>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</si>
  <si>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</si>
  <si>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</si>
  <si>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</si>
  <si>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</si>
  <si>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</si>
  <si>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</si>
  <si>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</si>
  <si>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</si>
  <si>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</si>
  <si>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</si>
  <si>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</si>
  <si>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</si>
  <si>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</si>
  <si>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</si>
  <si>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</si>
  <si>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</si>
  <si>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</si>
  <si>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</si>
  <si>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</si>
  <si>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</si>
  <si>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</si>
  <si>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</si>
  <si>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</si>
  <si>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</si>
  <si>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</si>
  <si>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</si>
  <si>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</si>
  <si>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</si>
  <si>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</si>
  <si>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</si>
  <si>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</si>
  <si>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</si>
  <si>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</si>
  <si>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</si>
  <si>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</si>
  <si>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</si>
  <si>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</si>
  <si>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</si>
  <si>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</si>
  <si>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</si>
  <si>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</si>
  <si>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</si>
  <si>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</si>
  <si>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</si>
  <si>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</si>
  <si>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</si>
  <si>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</si>
  <si>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</si>
  <si>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</si>
  <si>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</si>
  <si>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</si>
  <si>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</si>
  <si>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</si>
  <si>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</si>
  <si>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</si>
  <si>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</si>
  <si>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</si>
  <si>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</si>
  <si>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</si>
  <si>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</si>
  <si>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</si>
  <si>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</si>
  <si>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</si>
  <si>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</si>
  <si>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</si>
  <si>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</si>
  <si>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</si>
  <si>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</si>
  <si>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</si>
  <si>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</si>
  <si>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</si>
  <si>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</si>
  <si>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</si>
  <si>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</si>
  <si>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</si>
  <si>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</si>
  <si>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</si>
  <si>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</si>
  <si>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</si>
  <si>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</si>
  <si>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</si>
  <si>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</si>
  <si>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</si>
  <si>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</si>
  <si>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</si>
  <si>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</si>
  <si>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</si>
  <si>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</si>
  <si>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</si>
  <si>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</si>
  <si>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</si>
  <si>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</si>
  <si>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</si>
  <si>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</si>
  <si>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</si>
  <si>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</si>
  <si>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</si>
  <si>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</si>
  <si>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</si>
  <si>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</si>
  <si>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</si>
  <si>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</si>
  <si>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</si>
  <si>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</si>
  <si>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</si>
  <si>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</si>
  <si>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</si>
  <si>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</si>
  <si>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</si>
  <si>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</si>
  <si>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</si>
  <si>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</si>
  <si>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</si>
  <si>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</si>
  <si>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</si>
  <si>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</si>
  <si>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</si>
  <si>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</si>
  <si>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</si>
  <si>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</si>
  <si>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</si>
  <si>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</si>
  <si>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</si>
  <si>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</si>
  <si>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</si>
  <si>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</si>
  <si>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</si>
  <si>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</si>
  <si>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</si>
  <si>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</si>
  <si>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</si>
  <si>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</si>
  <si>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</si>
  <si>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</si>
  <si>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</si>
  <si>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</si>
  <si>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</si>
  <si>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</si>
  <si>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</si>
  <si>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</si>
  <si>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</si>
  <si>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</si>
  <si>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*MAV210701647</t>
  </si>
  <si>
    <t>*MAV040801418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</si>
  <si>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</si>
  <si>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</si>
  <si>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</si>
  <si>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</si>
  <si>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</si>
  <si>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</si>
  <si>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</si>
  <si>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</si>
  <si>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</si>
  <si>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</si>
  <si>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</si>
  <si>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</si>
  <si>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</si>
  <si>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</si>
  <si>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</si>
  <si>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</si>
  <si>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</si>
  <si>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</si>
  <si>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</si>
  <si>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</si>
  <si>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</si>
  <si>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</si>
  <si>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</si>
  <si>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</si>
  <si>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</si>
  <si>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</si>
  <si>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</si>
  <si>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</si>
  <si>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</si>
  <si>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</si>
  <si>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</si>
  <si>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</si>
  <si>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</si>
  <si>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</si>
  <si>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</si>
  <si>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</si>
  <si>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</si>
  <si>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</si>
  <si>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</si>
  <si>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</si>
  <si>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</si>
  <si>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</si>
  <si>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</si>
  <si>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</si>
  <si>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</si>
  <si>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</si>
  <si>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</si>
  <si>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</si>
  <si>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</si>
  <si>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</si>
  <si>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</si>
  <si>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</si>
  <si>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</si>
  <si>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</si>
  <si>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</si>
  <si>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</si>
  <si>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</si>
  <si>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</si>
  <si>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</si>
  <si>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</si>
  <si>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</si>
  <si>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</si>
  <si>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</si>
  <si>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</si>
  <si>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</si>
  <si>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</si>
  <si>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</si>
  <si>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</si>
  <si>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</si>
  <si>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</si>
  <si>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</si>
  <si>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</si>
  <si>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</si>
  <si>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</si>
  <si>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</si>
  <si>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</si>
  <si>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</si>
  <si>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</si>
  <si>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</si>
  <si>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</si>
  <si>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</si>
  <si>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</si>
  <si>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</si>
  <si>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</si>
  <si>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</si>
  <si>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</si>
  <si>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</si>
  <si>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</si>
  <si>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</si>
  <si>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</si>
  <si>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</si>
  <si>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</si>
  <si>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</si>
  <si>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</si>
  <si>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</si>
  <si>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</si>
  <si>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*POT160700110</t>
  </si>
  <si>
    <t>*POT180700106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</si>
  <si>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</si>
  <si>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</si>
  <si>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</si>
  <si>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</si>
  <si>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</si>
  <si>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</si>
  <si>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</si>
  <si>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</si>
  <si>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</si>
  <si>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</si>
  <si>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</si>
  <si>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</si>
  <si>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</si>
  <si>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</si>
  <si>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</si>
  <si>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</si>
  <si>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</si>
  <si>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</si>
  <si>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</si>
  <si>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</si>
  <si>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</si>
  <si>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</si>
  <si>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</si>
  <si>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</si>
  <si>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</si>
  <si>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</si>
  <si>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</si>
  <si>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</si>
  <si>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</si>
  <si>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</si>
  <si>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</si>
  <si>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</si>
  <si>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</si>
  <si>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</si>
  <si>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</si>
  <si>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</si>
  <si>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</si>
  <si>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</si>
  <si>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</si>
  <si>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</si>
  <si>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</si>
  <si>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</si>
  <si>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</si>
  <si>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</si>
  <si>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</si>
  <si>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</si>
  <si>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</si>
  <si>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</si>
  <si>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</si>
  <si>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</si>
  <si>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</si>
  <si>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</si>
  <si>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</si>
  <si>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</si>
  <si>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</si>
  <si>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</si>
  <si>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</si>
  <si>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</si>
  <si>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</si>
  <si>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</si>
  <si>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</si>
  <si>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</si>
  <si>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</si>
  <si>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</si>
  <si>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</si>
  <si>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</si>
  <si>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</si>
  <si>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</si>
  <si>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</si>
  <si>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</si>
  <si>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</si>
  <si>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</si>
  <si>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</si>
  <si>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</si>
  <si>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</si>
  <si>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</si>
  <si>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</si>
  <si>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</si>
  <si>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</si>
  <si>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</si>
  <si>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</si>
  <si>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</si>
  <si>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</si>
  <si>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</si>
  <si>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</si>
  <si>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</si>
  <si>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</si>
  <si>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</si>
  <si>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</si>
  <si>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</si>
  <si>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</si>
  <si>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</si>
  <si>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</si>
  <si>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</si>
  <si>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</si>
  <si>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</si>
  <si>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</si>
  <si>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</si>
  <si>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</si>
  <si>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</si>
  <si>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</si>
  <si>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</si>
  <si>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</si>
  <si>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</si>
  <si>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</si>
  <si>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</si>
  <si>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</si>
  <si>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</si>
  <si>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</si>
  <si>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</si>
  <si>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%CP1190700001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</si>
  <si>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</si>
  <si>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</si>
  <si>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</si>
  <si>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</si>
  <si>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</si>
  <si>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</si>
  <si>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</si>
  <si>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</si>
  <si>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</si>
  <si>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</si>
  <si>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</si>
  <si>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</si>
  <si>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</si>
  <si>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</si>
  <si>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*MAV160701547</t>
  </si>
  <si>
    <t>*MAV160701548</t>
  </si>
  <si>
    <t>*MAV160701549</t>
  </si>
  <si>
    <t>*MAV160701550</t>
  </si>
  <si>
    <t>*PRO291000024</t>
  </si>
  <si>
    <t>FILOSHEN SA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</si>
  <si>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</si>
  <si>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</si>
  <si>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</si>
  <si>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</si>
  <si>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</si>
  <si>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</si>
  <si>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</si>
  <si>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</si>
  <si>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</si>
  <si>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</si>
  <si>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</si>
  <si>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</si>
  <si>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</si>
  <si>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</si>
  <si>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</si>
  <si>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</si>
  <si>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</si>
  <si>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</si>
  <si>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</si>
  <si>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</si>
  <si>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</si>
  <si>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</si>
  <si>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</si>
  <si>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</si>
  <si>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</si>
  <si>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</si>
  <si>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</si>
  <si>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</si>
  <si>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</si>
  <si>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</si>
  <si>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</si>
  <si>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</si>
  <si>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</si>
  <si>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</si>
  <si>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</si>
  <si>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</si>
  <si>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</si>
  <si>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</si>
  <si>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</si>
  <si>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</si>
  <si>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</si>
  <si>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</si>
  <si>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</si>
  <si>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</si>
  <si>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</si>
  <si>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</si>
  <si>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</si>
  <si>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</si>
  <si>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</si>
  <si>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</si>
  <si>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</si>
  <si>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</si>
  <si>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</si>
  <si>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</si>
  <si>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</si>
  <si>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</si>
  <si>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</si>
  <si>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</si>
  <si>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</si>
  <si>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</si>
  <si>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</si>
  <si>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</si>
  <si>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</si>
  <si>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</si>
  <si>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</si>
  <si>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</si>
  <si>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</si>
  <si>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</si>
  <si>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</si>
  <si>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</si>
  <si>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</si>
  <si>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</si>
  <si>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</si>
  <si>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</si>
  <si>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</si>
  <si>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</si>
  <si>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</si>
  <si>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</si>
  <si>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</si>
  <si>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</si>
  <si>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</si>
  <si>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</si>
  <si>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</si>
  <si>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</si>
  <si>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</si>
  <si>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</si>
  <si>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</si>
  <si>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</si>
  <si>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</si>
  <si>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</si>
  <si>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</si>
  <si>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</si>
  <si>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</si>
  <si>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</si>
  <si>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</si>
  <si>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</si>
  <si>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</si>
  <si>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</si>
  <si>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</si>
  <si>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</si>
  <si>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</si>
  <si>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</si>
  <si>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</si>
  <si>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</si>
  <si>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</si>
  <si>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</si>
  <si>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</si>
  <si>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</si>
  <si>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</si>
  <si>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</si>
  <si>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</si>
  <si>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</si>
  <si>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</si>
  <si>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</si>
  <si>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</si>
  <si>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</si>
  <si>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</si>
  <si>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</si>
  <si>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</si>
  <si>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</si>
  <si>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</si>
  <si>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</si>
  <si>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</si>
  <si>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</si>
  <si>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</si>
  <si>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</si>
  <si>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</si>
  <si>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</si>
  <si>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</si>
  <si>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</si>
  <si>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</si>
  <si>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</si>
  <si>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</si>
  <si>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</si>
  <si>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</si>
  <si>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</si>
  <si>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</si>
  <si>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</si>
  <si>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</si>
  <si>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</si>
  <si>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</si>
  <si>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</si>
  <si>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</si>
  <si>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</si>
  <si>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</si>
  <si>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</si>
  <si>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</si>
  <si>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</si>
  <si>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</si>
  <si>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</si>
  <si>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</si>
  <si>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</si>
  <si>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</si>
  <si>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</si>
  <si>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</si>
  <si>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</si>
  <si>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</si>
  <si>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</si>
  <si>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</si>
  <si>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</si>
  <si>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</si>
  <si>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</si>
  <si>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</si>
  <si>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</si>
  <si>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</si>
  <si>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</si>
  <si>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</si>
  <si>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</si>
  <si>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</si>
  <si>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</si>
  <si>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</si>
  <si>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</si>
  <si>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</si>
  <si>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</si>
  <si>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%CP1260700001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</si>
  <si>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</si>
  <si>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</si>
  <si>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</si>
  <si>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</si>
  <si>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</si>
  <si>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</si>
  <si>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</si>
  <si>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</si>
  <si>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</si>
  <si>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</si>
  <si>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</si>
  <si>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</si>
  <si>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</si>
  <si>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</si>
  <si>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</si>
  <si>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</si>
  <si>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</si>
  <si>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</si>
  <si>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</si>
  <si>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</si>
  <si>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</si>
  <si>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</si>
  <si>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</si>
  <si>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</si>
  <si>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</si>
  <si>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</si>
  <si>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</si>
  <si>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</si>
  <si>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</si>
  <si>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</si>
  <si>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</si>
  <si>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</si>
  <si>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</si>
  <si>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</si>
  <si>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</si>
  <si>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</si>
  <si>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</si>
  <si>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</si>
  <si>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</si>
  <si>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</si>
  <si>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</si>
  <si>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</si>
  <si>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*MAV260701248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</si>
  <si>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</si>
  <si>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</si>
  <si>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</si>
  <si>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</si>
  <si>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</si>
  <si>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</si>
  <si>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</si>
  <si>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</si>
  <si>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</si>
  <si>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</si>
  <si>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</si>
  <si>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</si>
  <si>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</si>
  <si>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</si>
  <si>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</si>
  <si>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</si>
  <si>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</si>
  <si>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</si>
  <si>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</si>
  <si>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</si>
  <si>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</si>
  <si>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</si>
  <si>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</si>
  <si>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</si>
  <si>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</si>
  <si>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</si>
  <si>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</si>
  <si>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</si>
  <si>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</si>
  <si>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</si>
  <si>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</si>
  <si>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</si>
  <si>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</si>
  <si>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</si>
  <si>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</si>
  <si>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</si>
  <si>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</si>
  <si>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</si>
  <si>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</si>
  <si>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</si>
  <si>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</si>
  <si>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</si>
  <si>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</si>
  <si>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</si>
  <si>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</si>
  <si>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</si>
  <si>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</si>
  <si>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</si>
  <si>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</si>
  <si>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</si>
  <si>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</si>
  <si>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</si>
  <si>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</si>
  <si>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</si>
  <si>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</si>
  <si>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</si>
  <si>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</si>
  <si>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</si>
  <si>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</si>
  <si>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</si>
  <si>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</si>
  <si>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</si>
  <si>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</si>
  <si>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</si>
  <si>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</si>
  <si>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</si>
  <si>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</si>
  <si>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</si>
  <si>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</si>
  <si>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</si>
  <si>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</si>
  <si>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</si>
  <si>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</si>
  <si>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</si>
  <si>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</si>
  <si>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</si>
  <si>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</si>
  <si>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</si>
  <si>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%TCP230700001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</si>
  <si>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</si>
  <si>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</si>
  <si>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</si>
  <si>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</si>
  <si>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</si>
  <si>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</si>
  <si>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</si>
  <si>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</si>
  <si>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</si>
  <si>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</si>
  <si>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</si>
  <si>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</si>
  <si>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</si>
  <si>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</si>
  <si>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</si>
  <si>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</si>
  <si>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</si>
  <si>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</si>
  <si>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</si>
  <si>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</si>
  <si>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</si>
  <si>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</si>
  <si>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</si>
  <si>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</si>
  <si>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</si>
  <si>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</si>
  <si>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</si>
  <si>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</si>
  <si>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</si>
  <si>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</si>
  <si>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</si>
  <si>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</si>
  <si>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</si>
  <si>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</si>
  <si>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</si>
  <si>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</si>
  <si>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</si>
  <si>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</si>
  <si>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</si>
  <si>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</si>
  <si>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</si>
  <si>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</si>
  <si>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</si>
  <si>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</si>
  <si>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</si>
  <si>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</si>
  <si>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%INC270700061</t>
  </si>
  <si>
    <t>%INC270700062</t>
  </si>
  <si>
    <t>%INC300700026</t>
  </si>
  <si>
    <t>%INC200900023</t>
  </si>
  <si>
    <t>%YFP050800100</t>
  </si>
  <si>
    <t>%INC150800022</t>
  </si>
  <si>
    <t>#MAV180860088</t>
  </si>
  <si>
    <t>TECPETROL S A</t>
  </si>
  <si>
    <t>EMPRESA DIST SUR S.A. EDESUR S.A.</t>
  </si>
  <si>
    <t>YPF SOCIEDAD ANONIMA</t>
  </si>
  <si>
    <t>DIA ARGENTINA S.A</t>
  </si>
  <si>
    <t>21/7/2026</t>
  </si>
  <si>
    <t xml:space="preserve">                                                                                                                Informe de Gestión al 20/7/2026</t>
  </si>
  <si>
    <t>RESCATES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</si>
  <si>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</si>
  <si>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</si>
  <si>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</si>
  <si>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</si>
  <si>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</si>
  <si>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</si>
  <si>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</si>
  <si>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</si>
  <si>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</si>
  <si>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</si>
  <si>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</si>
  <si>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</si>
  <si>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</si>
  <si>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</si>
  <si>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</si>
  <si>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</si>
  <si>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</si>
  <si>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</si>
  <si>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</si>
  <si>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</si>
  <si>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</si>
  <si>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</si>
  <si>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</si>
  <si>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</si>
  <si>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</si>
  <si>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</si>
  <si>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</si>
  <si>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</si>
  <si>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</si>
  <si>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</si>
  <si>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</si>
  <si>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</si>
  <si>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</si>
  <si>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</si>
  <si>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</si>
  <si>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</si>
  <si>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</si>
  <si>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</si>
  <si>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</si>
  <si>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</si>
  <si>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</si>
  <si>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</si>
  <si>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</si>
  <si>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</si>
  <si>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</si>
  <si>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</si>
  <si>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</si>
  <si>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</si>
  <si>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</si>
  <si>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</si>
  <si>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</si>
  <si>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</si>
  <si>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</si>
  <si>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</si>
  <si>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</si>
  <si>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</si>
  <si>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</si>
  <si>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</si>
  <si>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</si>
  <si>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</si>
  <si>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</si>
  <si>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</si>
  <si>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</si>
  <si>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</si>
  <si>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</si>
  <si>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</si>
  <si>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</si>
  <si>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</si>
  <si>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</si>
  <si>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</si>
  <si>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</si>
  <si>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 xml:space="preserve">La Duration del Fondo es de 14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</si>
  <si>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</si>
  <si>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1480,1749803655 $</t>
  </si>
  <si>
    <t>TAO SOLUCIONES</t>
  </si>
  <si>
    <t>FINES SOCIEDAD DE RESPONSABILIDAD LIMITADA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</si>
  <si>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10:43:01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</si>
</sst>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3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  <xf numFmtId="185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24.444623148149" createdVersion="8" refreshedVersion="8" recordCount="1673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81">
        <s v="INTEGRA PYMES SGR"/>
        <s v="Movil SGR"/>
        <s v="VEO VISUAL"/>
        <s v="BLACKFOX SRL"/>
        <s v="COLLEVECCHIO HNOS SA"/>
        <s v="POTENCIAR SGR"/>
        <s v="ACINDAR PYMES SGR"/>
        <s v="ESPECIALIDADES AGROPECUARIAS S.A."/>
        <s v="COOPERATIVA DE VIVIENDA CREDITO Y CONSUMO PARA EL DESARROLLO LIMITADA"/>
        <s v="PLANTIUM S.A."/>
        <s v="EL FIERRO SRL"/>
        <s v="DRACONIS S.A."/>
        <s v="BUROMAHTIK SA"/>
        <s v="Neuquén Pymes S.G.R. "/>
        <s v="GLYCINMAX SRL"/>
        <s v="FILOSHEN SA"/>
        <s v="AVAL AR SGR"/>
        <s v="PAY PER TIC SA"/>
        <s v="GRAFICOS SRL SRL"/>
        <s v="BROADBANDTECH SA"/>
        <s v="TEXTUM SA"/>
        <s v="VINOX SRL"/>
        <s v="AMERICA PAMPA AGROINDUSTRIAL S.A."/>
        <s v="ANDALUCIA SRL"/>
        <s v="SERVICIOS DE PRODUCCIONES ARTISTICAS SRL"/>
        <s v="REMOLQUES OMBU S.A"/>
        <s v="AKIAN GRAFICA EDITORA SOCIEDAD ANONIMA"/>
        <s v="PETROLEOS SUDAMERICANOS SA"/>
        <s v="INTANSIA S.R.L"/>
        <s v="NVX SAS"/>
        <s v="C P S COMUNICACIONES S.A.U."/>
        <s v="INDUSTRIAS J A M SOCIEDAD ANONIMA INDUSTRIAL Y COMERCIAL"/>
        <s v="MADETEC SA"/>
        <s v="LITORAL CLEAN SRL"/>
        <s v="LA PAMPAGONIA SRL"/>
        <s v="LIBRERIA DEL SUR SH"/>
        <s v="INDUSTRIA GRAFICA MARTIN SA"/>
        <s v="LAS 6 EMES SAS"/>
        <s v="NEW ARRECIFE S.A."/>
        <s v="KEY TECHNOLOGY SRL"/>
        <s v="CUYO AVAL SGR"/>
        <s v="GRAFICA EMEDE SRL"/>
        <s v="DHN DESARROLLADORA SRL"/>
        <s v="MILLS S.G.R."/>
        <s v="S A BUCCOLINI C I F I A"/>
        <s v="SERVIPLAST S A"/>
        <s v="LAGAVULIN S.A."/>
        <s v="VIVIENDAS DON PALACIOS SRL"/>
        <s v="VITALCAN S.A."/>
        <s v="Fidus S.G.R."/>
        <s v="DE LAS MISIONES S.A."/>
        <s v="NORTEALIM"/>
        <s v="S.N.M.Y. S.A.S."/>
        <s v="COARD S A"/>
        <s v="EDUCACION POPULAR ASOCIACION CIVIL"/>
        <s v="LITTLE BLUE SRL"/>
        <s v="PAMPA VIDA S.R.L."/>
        <s v="BiBank S.A."/>
        <s v="CEIBO CREDITOS S.A."/>
        <s v="TREND SGR"/>
        <s v="CAPDEVILA MADERAS SRL"/>
        <s v="ABANS PROCESOS SRL"/>
        <s v="G&amp;T LOGISTICA SA"/>
        <s v="LOS GROBO SGR"/>
        <s v="TALLERES METALURGICOS CRUCIANELLI SA"/>
        <s v="TECPETROL S A"/>
        <s v="Vinculos S.G.R."/>
        <s v="LSG ARGENTINA SRL"/>
        <s v="SIGMA AGRO S.A."/>
        <s v="TARJETA NARANJA SA"/>
        <s v="LA GRAFICA SRL"/>
        <s v="SOMOS INTEGRA SRL"/>
        <s v="NUEVAS CARTULINAS SRL"/>
        <s v="BODEGAS Y VIÑEDOS SANTA ELENA SRL"/>
        <s v="INC SOCIEDAD ANONIMA"/>
        <s v="DEMAGRO SRL"/>
        <s v="SES SA"/>
        <s v="AVICOLA LUJAN DE CUYO SA"/>
        <s v="OJEDA ARIEL RUBEN"/>
        <s v="VIA PRINT SRL"/>
        <s v="ANDRIMARSIL SRL"/>
        <s v="CASA BODE SRL"/>
        <s v="SALLEO SRL"/>
        <s v="PROYECCION GRAFICA SRL"/>
        <s v="LINEA PUNTO CERO SRL"/>
        <s v="LOGICA CONSULTING GROUP SAU"/>
        <s v="BILOMAT"/>
        <s v="GASTRONOMIA EN MOVIMIENTO SRL"/>
        <s v="MADERAS 25 DE MAYO S.A.S"/>
        <s v="TRIVENTO BODEGAS Y VI EDOS S.A."/>
        <s v="385 COMERCIAL SA"/>
        <s v="LIBRERIA HELIOS SRL"/>
        <s v="AVAL FEDERAL S.G.R."/>
        <s v="FORESTAL ELDORADO SRL"/>
        <s v="UNCIPRES IMPORTACIONES SA"/>
        <s v="GRUPO AVINEA S.A."/>
        <s v="I-LED ARGENTINA S.A."/>
        <s v="AGROTRANSPORTE ALDAO S.A."/>
        <s v="INDUSTRIAS ERCA S A"/>
        <s v="DOMAINE BOUSQUET S.A."/>
        <s v="INTERTEXTIL SRL"/>
        <s v="AGROREDES SRL"/>
        <s v="TU HOGAR PATAGONIA SRL"/>
        <s v="TAO SOLUCIONES"/>
        <s v="TECNO AGRIC RIO CUARTO SAS"/>
        <s v="RIVAS LUIS HECTOR Y RIVAS FABIAN HECTOR SH"/>
        <s v="CATALEIA SA"/>
        <s v="FORESTADORA TAPEBICUA"/>
        <s v="GRAFICA IGMA S.R.L"/>
        <s v="DISTRIBUIDORA LEO SRL"/>
        <s v="LA MANTOVANA DE SERVICIOS GENERALES SA"/>
        <s v="LIPSA SRL"/>
        <s v="PREAR PRETENSADOS ARGENTINOS S A"/>
        <s v="EMEPA S A"/>
        <s v="BSP LARTI SA"/>
        <s v="COOPERATIVA DE TABACALEROS DE JUJUY LTDA"/>
        <s v="GRUB SA"/>
        <s v="SANDYPACK SRL"/>
        <s v="IGAR SRL"/>
        <s v="QUILMES"/>
        <s v="GEOPOLIS SA"/>
        <s v="INKPAPER SA"/>
        <s v="FORMATO GRAFICO S R L"/>
        <s v="METALFOR SA"/>
        <s v="VELVET COMFORT &amp; DESIGN S.R.L."/>
        <s v="YPF SOCIEDAD ANONIMA"/>
        <s v="Union S.G.R."/>
        <s v="A M F A Y S ASOCIACION MUTUAL"/>
        <s v="CASANO GRAFICA SA"/>
        <s v="GRUPO PLEYART SA"/>
        <s v="S.E.S. S.A. - CONSTRUERE INGENIERIA S.A."/>
        <s v="SION S A"/>
        <s v="VIACART SA"/>
        <s v="SODA MONICA SRL"/>
        <s v="PUNTO PACK SRL"/>
        <s v="LAROCCA NEUMATICOS S A"/>
        <s v="LE SYVAN S R L"/>
        <s v="GIVA LOGISTIC SRL"/>
        <s v="BILOROOM"/>
        <s v="C Y V EMBALAJES Y SERVICIOS SA"/>
        <s v="CENTRO ESTANT S.A."/>
        <s v="PROLIB SAS"/>
        <s v="LW GROUP SRL"/>
        <s v="GABRIEL E KELLY Y COMPANIA S.A."/>
        <s v="MOBEL SOCIEDAD ANONIMA"/>
        <s v="SKAARUP MATIAS NICOLAS"/>
        <s v="TEVECOA SRL"/>
        <s v="2 VASCOS SRL"/>
        <s v="LOS INCAS DESARROLLOS"/>
        <s v="FGF TRAPANI"/>
        <s v="SALVADOR MARINARO E HIJO S R L"/>
        <s v="EL AUDITOR SA"/>
        <s v="VERTICE URBANO SA"/>
        <s v="FINES SOCIEDAD DE RESPONSABILIDAD LIMITADA"/>
        <s v="VM METALURGICA SRL"/>
        <s v="EMOVA MOVILIDAD S.A."/>
        <s v="IRIBERRI Y MOLINERO S A C I"/>
        <s v="LIBRERIAS IMPULSO SAS"/>
        <s v="JOSE MORETTA S.A."/>
        <s v="FIDEICOMISO TERRAL AL MAR"/>
        <s v="BAYIT EMPRESA CONSTRUCTORA SRL"/>
        <s v="CIMBRA SAS"/>
        <s v="DOSAM SOCIEDAD DE RESPONSABILIDAD LIMITADA"/>
        <s v="CHATEAU DEL PORTAL SA"/>
        <s v="MAFER DISTRIBUIDORA SA"/>
        <s v="INGENIERIA MULTIPIPING SAS"/>
        <s v="MA CONSTRUCTORA"/>
        <s v="RAICES BA"/>
        <s v="KRALICEK OBRAS CIVILES S.A."/>
        <s v="NEWPANEL SA"/>
        <s v="CONAVAL SGR"/>
        <s v="ACERIAS 4 C SA"/>
        <s v="LORENZO ANNECCHINI S A"/>
        <s v="INAP S R L"/>
        <s v="VITIVINICOLA ROCAL SRL"/>
        <s v="YAGUA COLI S.A."/>
        <s v="V Y V ALIMENTOS S.A."/>
        <s v="HARJUICE SRL"/>
        <s v="CELULOSA CAMPANA SA"/>
        <s v="CASSAB HNOS S.R.L."/>
        <s v="LINAL SA"/>
        <s v="IMPRENTA SANTA ROSA S R L"/>
        <s v="CONSTRUCCIONES S&amp;C SAS"/>
        <s v="DIA ARGENTINA S.A"/>
        <s v="E VIDAURRETA SAIC"/>
        <s v="LAMA GRAFICA SA"/>
        <s v="COM &amp; LOG SA"/>
        <s v="NESTOR TRIVISONNO SRL"/>
        <s v="MA SEOANE RIERA SRL"/>
        <s v="VICTORIO PODESTA Y CIA S.A."/>
        <s v="EMPRESA DIST SUR S.A. EDESUR S.A."/>
        <s v="MINIGRAF SRL"/>
        <s v="ALLIANCE ONE TOBACCO ARGENTINA"/>
        <s v="TORO DIGITAL SA"/>
        <s v="Casa Hutton SA"/>
        <s v="POLIMEROS EXPRESS SA"/>
        <s v="GRUPO REPUNTE GRAFICA SA"/>
        <s v="RECIWORLD SRL"/>
        <s v="TRANSPORTE ZAVIOLA"/>
        <s v="COAMA SUD AMERICA SA"/>
        <s v="GABRIELLI CARLOS MATIAS"/>
        <s v="TECNOGRAFIC"/>
        <s v="GRUPO PETBA SA."/>
        <s v="WORK PROJECT GROUP SA"/>
        <s v="APEXAR TECHNOLOGIES SA"/>
        <s v="FIDEICOMISO IMPRESORES"/>
        <s v="SERVILLETAS PALLMAR S.R.L."/>
        <s v="REGCEN S.R.L."/>
        <s v="ESPERT SA"/>
        <s v="Grupo Grafico del Norte SA"/>
        <s v="TRANS BOX SRL"/>
        <s v="PVP INTEGRAL S. R. L."/>
        <s v="CEMEYKA SRL"/>
        <s v="ENTRENUTS SRL"/>
        <s v="MANGIATERRA JUANA MARIA"/>
        <s v="AMOROSO COPELLO MARCOS"/>
        <s v="NAKU CONSTRUCCIONES SRL ALTOTE RODNEY SAUT"/>
        <s v="METALURGICA DEL CENTRO SRL"/>
        <s v="DANBURY S. A"/>
        <s v="THE CRAZY COW S.R.L."/>
        <m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ASOCIACION DEL FUTBOL ARGENTINO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2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181590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12.6" maxValue="1065362897.39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784.679999999993" maxValue="1065362897.39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6071125879340667E-6" maxValue="2.043521707206351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3">
  <r>
    <x v="0"/>
    <s v="Pesos"/>
    <d v="2026-07-20T00:00:00"/>
    <s v="20/07/2026"/>
    <n v="1"/>
    <m/>
    <n v="20000000"/>
    <n v="20000000"/>
    <n v="20000000"/>
    <n v="20000000"/>
    <n v="30169"/>
    <s v="AMOMPY"/>
    <s v="Momentum Capital Investment S.A."/>
    <s v="22/04/2026"/>
    <s v="22/04/2026"/>
    <n v="27"/>
    <s v="No"/>
    <s v=""/>
    <m/>
    <m/>
    <s v="*INP160700041"/>
    <s v="*INP160700041"/>
    <n v="3.8362922384714408E-4"/>
  </r>
  <r>
    <x v="1"/>
    <s v="Pesos"/>
    <d v="2026-07-20T00:00:00"/>
    <s v="20/07/2026"/>
    <n v="1"/>
    <m/>
    <n v="1500000"/>
    <n v="1500000"/>
    <n v="1500000"/>
    <n v="1500000"/>
    <n v="821"/>
    <s v="AMOMPY"/>
    <s v="Momentum Capital Investment S.A."/>
    <s v="30/06/2026"/>
    <s v="30/06/2026"/>
    <n v="25"/>
    <s v="No"/>
    <s v=""/>
    <m/>
    <m/>
    <s v="*MOV160700053"/>
    <s v="*MOV160700053"/>
    <n v="2.8772191788535806E-5"/>
  </r>
  <r>
    <x v="1"/>
    <s v="Pesos"/>
    <d v="2026-07-20T00:00:00"/>
    <s v="20/07/2026"/>
    <n v="1"/>
    <m/>
    <n v="2360000"/>
    <n v="2360000"/>
    <n v="2360000"/>
    <n v="2360000"/>
    <n v="450"/>
    <s v="AMOMPY"/>
    <s v="Momentum Capital Investment S.A."/>
    <s v="30/06/2026"/>
    <s v="30/06/2026"/>
    <n v="25"/>
    <s v="No"/>
    <s v=""/>
    <m/>
    <m/>
    <s v="*MOV160700052"/>
    <s v="*MOV160700052"/>
    <n v="4.5268248413962998E-5"/>
  </r>
  <r>
    <x v="2"/>
    <s v="Pesos"/>
    <d v="2026-07-20T00:00:00"/>
    <s v="20/07/2026"/>
    <n v="1"/>
    <m/>
    <n v="2890000"/>
    <n v="2890000"/>
    <n v="2890000"/>
    <n v="2890000"/>
    <n v="1236"/>
    <s v="AMOMPY"/>
    <s v="Momentum Capital Investment S.A."/>
    <s v="29/05/2026"/>
    <s v="29/05/2026"/>
    <n v="33"/>
    <s v="No"/>
    <s v=""/>
    <m/>
    <m/>
    <s v="*MAV160701249"/>
    <s v="*MAV160701249"/>
    <n v="5.5434422845912322E-5"/>
  </r>
  <r>
    <x v="3"/>
    <s v="Pesos"/>
    <d v="2026-07-20T00:00:00"/>
    <s v="20/07/2026"/>
    <n v="1"/>
    <m/>
    <n v="1000000"/>
    <n v="1000000"/>
    <n v="1000000"/>
    <n v="1000000"/>
    <n v="677"/>
    <s v="AMOMPY"/>
    <s v="Momentum Capital Investment S.A."/>
    <s v="29/05/2026"/>
    <s v="29/05/2026"/>
    <n v="33"/>
    <s v="No"/>
    <s v=""/>
    <m/>
    <m/>
    <s v="*MAV160701248"/>
    <s v="*MAV160701248"/>
    <n v="1.9181461192357204E-5"/>
  </r>
  <r>
    <x v="4"/>
    <s v="Pesos"/>
    <d v="2026-07-20T00:00:00"/>
    <s v="20/07/2026"/>
    <n v="1"/>
    <m/>
    <n v="1039967.56"/>
    <n v="1039967.56"/>
    <n v="1039967.56"/>
    <n v="1039967.56"/>
    <n v="1117"/>
    <s v="AMOMPY"/>
    <s v="Momentum Capital Investment S.A."/>
    <s v="29/05/2026"/>
    <s v="29/05/2026"/>
    <n v="33"/>
    <s v="No"/>
    <s v=""/>
    <m/>
    <m/>
    <s v="*MAV160701247"/>
    <s v="*MAV160701247"/>
    <n v="1.9948097393450414E-5"/>
  </r>
  <r>
    <x v="5"/>
    <s v="Pesos"/>
    <d v="2026-07-20T00:00:00"/>
    <s v="20/07/2026"/>
    <n v="1"/>
    <m/>
    <n v="39141775.439999998"/>
    <n v="39141775.439999998"/>
    <n v="39141775.439999998"/>
    <n v="39141775.439999998"/>
    <n v="68114484"/>
    <s v="AMOMPY"/>
    <s v="Momentum Capital Investment S.A."/>
    <s v="03/07/2026"/>
    <s v="03/07/2026"/>
    <n v="22"/>
    <s v="No"/>
    <s v=""/>
    <m/>
    <m/>
    <s v="*POT160700110"/>
    <s v="*POT160700110"/>
    <n v="7.5079644660232031E-4"/>
  </r>
  <r>
    <x v="0"/>
    <s v="Pesos"/>
    <d v="2026-07-20T00:00:00"/>
    <s v="20/07/2026"/>
    <n v="1"/>
    <m/>
    <n v="5000000"/>
    <n v="5000000"/>
    <n v="5000000"/>
    <n v="5000000"/>
    <n v="16779601"/>
    <s v="AMOMPY"/>
    <s v="Momentum Capital Investment S.A."/>
    <s v="30/04/2026"/>
    <s v="30/04/2026"/>
    <n v="29"/>
    <s v="No"/>
    <s v=""/>
    <m/>
    <m/>
    <s v="*INP160700044"/>
    <s v="*INP160700044"/>
    <n v="9.5907305961786019E-5"/>
  </r>
  <r>
    <x v="6"/>
    <s v="Pesos"/>
    <d v="2026-07-20T00:00:00"/>
    <s v="20/07/2026"/>
    <n v="1"/>
    <m/>
    <n v="2500000"/>
    <n v="2500000"/>
    <n v="2500000"/>
    <n v="2500000"/>
    <n v="6124"/>
    <s v="AMOMPY"/>
    <s v="Momentum Capital Investment S.A."/>
    <s v="29/05/2026"/>
    <s v="29/05/2026"/>
    <n v="20"/>
    <s v="No"/>
    <s v=""/>
    <m/>
    <m/>
    <s v="*ACI160700208"/>
    <s v="*ACI160700208"/>
    <n v="4.795365298089301E-5"/>
  </r>
  <r>
    <x v="7"/>
    <s v="Pesos"/>
    <d v="2026-07-20T00:00:00"/>
    <s v="20/07/2026"/>
    <n v="1"/>
    <m/>
    <n v="10000000"/>
    <n v="10000000"/>
    <n v="10000000"/>
    <n v="10000000"/>
    <n v="522"/>
    <s v="AMOMPY"/>
    <s v="Momentum Capital Investment S.A."/>
    <s v="20/05/2026"/>
    <s v="20/05/2026"/>
    <n v="30"/>
    <s v="No"/>
    <s v=""/>
    <m/>
    <m/>
    <s v="*MAV160701166"/>
    <s v="*MAV160701166"/>
    <n v="1.9181461192357204E-4"/>
  </r>
  <r>
    <x v="8"/>
    <s v="Pesos"/>
    <d v="2026-07-20T00:00:00"/>
    <s v="20/07/2026"/>
    <n v="1"/>
    <m/>
    <n v="15000000"/>
    <n v="15000000"/>
    <n v="15000000"/>
    <n v="15000000"/>
    <n v="70219528"/>
    <s v="AMOMPY"/>
    <s v="Momentum Capital Investment S.A."/>
    <s v="11/05/2026"/>
    <s v="11/05/2026"/>
    <n v="31"/>
    <s v="No"/>
    <s v=""/>
    <m/>
    <m/>
    <s v="*MAV160701096"/>
    <s v="*MAV160701096"/>
    <n v="2.8772191788535806E-4"/>
  </r>
  <r>
    <x v="9"/>
    <s v="Pesos"/>
    <d v="2026-07-20T00:00:00"/>
    <s v="20/07/2026"/>
    <n v="1"/>
    <m/>
    <n v="8000000"/>
    <n v="8000000"/>
    <n v="8000000"/>
    <n v="8000000"/>
    <n v="60524090"/>
    <s v="AMOMPY"/>
    <s v="Momentum Capital Investment S.A."/>
    <s v="19/03/2026"/>
    <s v="19/03/2026"/>
    <n v="38"/>
    <s v="No"/>
    <s v=""/>
    <m/>
    <m/>
    <s v="*MAV160700961"/>
    <s v="*MAV160700961"/>
    <n v="1.5345168953885763E-4"/>
  </r>
  <r>
    <x v="9"/>
    <s v="Pesos"/>
    <d v="2026-07-20T00:00:00"/>
    <s v="20/07/2026"/>
    <n v="1"/>
    <m/>
    <n v="3500000"/>
    <n v="3500000"/>
    <n v="3500000"/>
    <n v="3500000"/>
    <n v="60524036"/>
    <s v="AMOMPY"/>
    <s v="Momentum Capital Investment S.A."/>
    <s v="06/03/2026"/>
    <s v="06/03/2026"/>
    <n v="40"/>
    <s v="No"/>
    <s v=""/>
    <m/>
    <m/>
    <s v="*MAV160700952"/>
    <s v="*MAV160700952"/>
    <n v="6.7135114173250214E-5"/>
  </r>
  <r>
    <x v="10"/>
    <s v="Pesos"/>
    <d v="2026-07-20T00:00:00"/>
    <s v="20/07/2026"/>
    <n v="1"/>
    <m/>
    <n v="4100000"/>
    <n v="4100000"/>
    <n v="4100000"/>
    <n v="4100000"/>
    <n v="1021"/>
    <s v="AMOMPY"/>
    <s v="Momentum Capital Investment S.A."/>
    <s v="09/03/2026"/>
    <s v="09/03/2026"/>
    <n v="40"/>
    <s v="No"/>
    <s v=""/>
    <m/>
    <m/>
    <s v="*MAV160700955"/>
    <s v="*MAV160700955"/>
    <n v="7.8643990888664536E-5"/>
  </r>
  <r>
    <x v="11"/>
    <s v="Pesos"/>
    <d v="2026-07-20T00:00:00"/>
    <s v="20/07/2026"/>
    <n v="1"/>
    <m/>
    <n v="100000000"/>
    <n v="100000000"/>
    <n v="100000000"/>
    <n v="100000000"/>
    <n v="693"/>
    <s v="AMOMPY"/>
    <s v="Momentum Capital Investment S.A."/>
    <s v="01/06/2026"/>
    <s v="01/06/2026"/>
    <n v="35"/>
    <s v="No"/>
    <s v=""/>
    <m/>
    <m/>
    <s v="*MAV160701255"/>
    <s v="*MAV160701255"/>
    <n v="1.9181461192357204E-3"/>
  </r>
  <r>
    <x v="12"/>
    <s v="Pesos"/>
    <d v="2026-07-20T00:00:00"/>
    <s v="20/07/2026"/>
    <n v="1"/>
    <m/>
    <n v="3000000"/>
    <n v="3000000"/>
    <n v="3000000"/>
    <n v="3000000"/>
    <n v="40743001"/>
    <s v="AMOMPY"/>
    <s v="Momentum Capital Investment S.A."/>
    <s v="20/05/2026"/>
    <s v="20/05/2026"/>
    <n v="36"/>
    <s v="No"/>
    <s v=""/>
    <m/>
    <m/>
    <s v="*MAV160701168"/>
    <s v="*MAV160701168"/>
    <n v="5.7544383577071612E-5"/>
  </r>
  <r>
    <x v="13"/>
    <s v="Pesos"/>
    <d v="2026-07-20T00:00:00"/>
    <s v="20/07/2026"/>
    <n v="1"/>
    <m/>
    <n v="15000000"/>
    <n v="15000000"/>
    <n v="15000000"/>
    <n v="15000000"/>
    <n v="172"/>
    <s v="AMOMPY"/>
    <s v="Momentum Capital Investment S.A."/>
    <s v="17/04/2026"/>
    <s v="17/04/2026"/>
    <n v="32"/>
    <s v="No"/>
    <s v=""/>
    <m/>
    <m/>
    <s v="*NEU160700021"/>
    <s v="*NEU160700021"/>
    <n v="2.8772191788535806E-4"/>
  </r>
  <r>
    <x v="14"/>
    <s v="Pesos"/>
    <d v="2026-07-20T00:00:00"/>
    <s v="20/07/2026"/>
    <n v="1"/>
    <m/>
    <n v="10000000"/>
    <n v="10000000"/>
    <n v="10000000"/>
    <n v="10000000"/>
    <n v="215"/>
    <s v="AMOMPY"/>
    <s v="Momentum Capital Investment S.A."/>
    <s v="12/06/2026"/>
    <s v="12/06/2026"/>
    <n v="34"/>
    <s v="No"/>
    <s v=""/>
    <m/>
    <m/>
    <s v="*MAV160701326"/>
    <s v="*MAV160701326"/>
    <n v="1.9181461192357204E-4"/>
  </r>
  <r>
    <x v="15"/>
    <s v="Pesos"/>
    <d v="2026-07-20T00:00:00"/>
    <s v="20/07/2026"/>
    <n v="1"/>
    <m/>
    <n v="11806811.59"/>
    <n v="11806811.59"/>
    <n v="11806811.59"/>
    <n v="11806811.59"/>
    <n v="205"/>
    <s v="AMOMPY"/>
    <s v="Momentum Capital Investment S.A."/>
    <s v="08/07/2026"/>
    <s v="08/07/2026"/>
    <n v="30"/>
    <s v="No"/>
    <s v=""/>
    <m/>
    <m/>
    <s v="*MAV160701547"/>
    <s v="*MAV160701547"/>
    <n v="2.2647189831905825E-4"/>
  </r>
  <r>
    <x v="15"/>
    <s v="Pesos"/>
    <d v="2026-07-20T00:00:00"/>
    <s v="20/07/2026"/>
    <n v="1"/>
    <m/>
    <n v="15549511.49"/>
    <n v="15549511.49"/>
    <n v="15549511.49"/>
    <n v="15549511.49"/>
    <n v="207"/>
    <s v="AMOMPY"/>
    <s v="Momentum Capital Investment S.A."/>
    <s v="08/07/2026"/>
    <s v="08/07/2026"/>
    <n v="30"/>
    <s v="No"/>
    <s v=""/>
    <m/>
    <m/>
    <s v="*MAV160701548"/>
    <s v="*MAV160701548"/>
    <n v="2.9826235120554743E-4"/>
  </r>
  <r>
    <x v="15"/>
    <s v="Pesos"/>
    <d v="2026-07-20T00:00:00"/>
    <s v="20/07/2026"/>
    <n v="1"/>
    <m/>
    <n v="15549511.49"/>
    <n v="15549511.49"/>
    <n v="15549511.49"/>
    <n v="15549511.49"/>
    <n v="206"/>
    <s v="AMOMPY"/>
    <s v="Momentum Capital Investment S.A."/>
    <s v="08/07/2026"/>
    <s v="08/07/2026"/>
    <n v="30"/>
    <s v="No"/>
    <s v=""/>
    <m/>
    <m/>
    <s v="*MAV160701549"/>
    <s v="*MAV160701549"/>
    <n v="2.9826235120554743E-4"/>
  </r>
  <r>
    <x v="15"/>
    <s v="Pesos"/>
    <d v="2026-07-20T00:00:00"/>
    <s v="20/07/2026"/>
    <n v="1"/>
    <m/>
    <n v="12771422.16"/>
    <n v="12771422.16"/>
    <n v="12771422.16"/>
    <n v="12771422.16"/>
    <n v="209"/>
    <s v="AMOMPY"/>
    <s v="Momentum Capital Investment S.A."/>
    <s v="08/07/2026"/>
    <s v="08/07/2026"/>
    <n v="30"/>
    <s v="No"/>
    <s v=""/>
    <m/>
    <m/>
    <s v="*MAV160701550"/>
    <s v="*MAV160701550"/>
    <n v="2.4497453853325083E-4"/>
  </r>
  <r>
    <x v="0"/>
    <s v="Pesos"/>
    <d v="2026-07-21T00:00:00"/>
    <s v="20/07/2026"/>
    <n v="0.99920611000000004"/>
    <m/>
    <n v="5000000"/>
    <n v="4996030.5599999996"/>
    <n v="5000000"/>
    <n v="4996030.5599999996"/>
    <n v="16771074"/>
    <s v="AMOMPY"/>
    <s v="Momentum Capital Investment S.A."/>
    <s v="20/04/2026"/>
    <s v="20/04/2026"/>
    <n v="29"/>
    <s v="No"/>
    <s v=""/>
    <m/>
    <m/>
    <s v="*INP170700067"/>
    <s v="*INP170700067"/>
    <n v="9.5831166302470626E-5"/>
  </r>
  <r>
    <x v="16"/>
    <s v="Pesos"/>
    <d v="2026-07-21T00:00:00"/>
    <s v="20/07/2026"/>
    <n v="0.99920611000000004"/>
    <m/>
    <n v="12500000"/>
    <n v="12490076.390000001"/>
    <n v="12500000"/>
    <n v="12490076.390000001"/>
    <n v="28996504"/>
    <s v="AMOMPY"/>
    <s v="Momentum Capital Investment S.A."/>
    <s v="31/03/2026"/>
    <s v="31/03/2026"/>
    <n v="29"/>
    <s v="No"/>
    <s v=""/>
    <m/>
    <m/>
    <s v="*AAR170700014"/>
    <s v="*AAR170700014"/>
    <n v="2.3957791556436197E-4"/>
  </r>
  <r>
    <x v="1"/>
    <s v="Pesos"/>
    <d v="2026-07-21T00:00:00"/>
    <s v="20/07/2026"/>
    <n v="0.99931555000000005"/>
    <m/>
    <n v="464617.82"/>
    <n v="464299.81"/>
    <n v="464617.82"/>
    <n v="464299.81"/>
    <n v="359"/>
    <s v="AMOMPY"/>
    <s v="Momentum Capital Investment S.A."/>
    <s v="30/06/2026"/>
    <s v="30/06/2026"/>
    <n v="25"/>
    <s v="No"/>
    <s v=""/>
    <m/>
    <m/>
    <s v="*MOV170700082"/>
    <s v="*MOV170700082"/>
    <n v="8.9059487871338234E-6"/>
  </r>
  <r>
    <x v="1"/>
    <s v="Pesos"/>
    <d v="2026-07-21T00:00:00"/>
    <s v="20/07/2026"/>
    <n v="0.99931554"/>
    <m/>
    <n v="2931229.1"/>
    <n v="2929222.79"/>
    <n v="2931229.1"/>
    <n v="2929222.79"/>
    <n v="90031830"/>
    <s v="AMOMPY"/>
    <s v="Momentum Capital Investment S.A."/>
    <s v="30/06/2026"/>
    <s v="30/06/2026"/>
    <n v="25"/>
    <s v="No"/>
    <s v=""/>
    <m/>
    <m/>
    <s v="*MOV170700081"/>
    <s v="*MOV170700081"/>
    <n v="5.61867732701533E-5"/>
  </r>
  <r>
    <x v="1"/>
    <s v="Pesos"/>
    <d v="2026-07-21T00:00:00"/>
    <s v="20/07/2026"/>
    <n v="0.99931554"/>
    <m/>
    <n v="16389480.369999999"/>
    <n v="16378262.43"/>
    <n v="16389480.369999999"/>
    <n v="16378262.43"/>
    <n v="29496673"/>
    <s v="AMOMPY"/>
    <s v="Momentum Capital Investment S.A."/>
    <s v="30/06/2026"/>
    <s v="30/06/2026"/>
    <n v="25"/>
    <s v="No"/>
    <s v=""/>
    <m/>
    <m/>
    <s v="*MOV170700080"/>
    <s v="*MOV170700080"/>
    <n v="3.1415900519928702E-4"/>
  </r>
  <r>
    <x v="1"/>
    <s v="Pesos"/>
    <d v="2026-07-21T00:00:00"/>
    <s v="20/07/2026"/>
    <n v="0.99931554"/>
    <m/>
    <n v="16877622.050000001"/>
    <n v="16866069.989999998"/>
    <n v="16877622.050000001"/>
    <n v="16866069.989999998"/>
    <n v="50448693"/>
    <s v="AMOMPY"/>
    <s v="Momentum Capital Investment S.A."/>
    <s v="30/06/2026"/>
    <s v="30/06/2026"/>
    <n v="25"/>
    <s v="No"/>
    <s v=""/>
    <m/>
    <m/>
    <s v="*MOV170700079"/>
    <s v="*MOV170700079"/>
    <n v="3.2351586698076541E-4"/>
  </r>
  <r>
    <x v="1"/>
    <s v="Pesos"/>
    <d v="2026-07-21T00:00:00"/>
    <s v="20/07/2026"/>
    <n v="0.99931554"/>
    <m/>
    <n v="600000"/>
    <n v="599589.32999999996"/>
    <n v="600000"/>
    <n v="599589.32999999996"/>
    <n v="839"/>
    <s v="AMOMPY"/>
    <s v="Momentum Capital Investment S.A."/>
    <s v="30/06/2026"/>
    <s v="30/06/2026"/>
    <n v="25"/>
    <s v="No"/>
    <s v=""/>
    <m/>
    <m/>
    <s v="*MOV170700078"/>
    <s v="*MOV170700078"/>
    <n v="1.1500999464746456E-5"/>
  </r>
  <r>
    <x v="1"/>
    <s v="Pesos"/>
    <d v="2026-07-21T00:00:00"/>
    <s v="20/07/2026"/>
    <n v="0.99931554"/>
    <m/>
    <n v="121501.73"/>
    <n v="121418.57"/>
    <n v="121501.73"/>
    <n v="121418.57"/>
    <n v="159"/>
    <s v="AMOMPY"/>
    <s v="Momentum Capital Investment S.A."/>
    <s v="30/06/2026"/>
    <s v="30/06/2026"/>
    <n v="25"/>
    <s v="No"/>
    <s v=""/>
    <m/>
    <m/>
    <s v="*MOV170700077"/>
    <s v="*MOV170700077"/>
    <n v="2.3289855884865068E-6"/>
  </r>
  <r>
    <x v="1"/>
    <s v="Pesos"/>
    <d v="2026-07-21T00:00:00"/>
    <s v="20/07/2026"/>
    <n v="0.99931554"/>
    <m/>
    <n v="1500000"/>
    <n v="1498973.31"/>
    <n v="1500000"/>
    <n v="1498973.31"/>
    <n v="809"/>
    <s v="AMOMPY"/>
    <s v="Momentum Capital Investment S.A."/>
    <s v="30/06/2026"/>
    <s v="30/06/2026"/>
    <n v="25"/>
    <s v="No"/>
    <s v=""/>
    <m/>
    <m/>
    <s v="*MOV170700076"/>
    <s v="*MOV170700076"/>
    <n v="2.8752498374144225E-5"/>
  </r>
  <r>
    <x v="17"/>
    <s v="Pesos"/>
    <d v="2026-07-21T00:00:00"/>
    <s v="20/07/2026"/>
    <n v="0.99904201999999998"/>
    <m/>
    <n v="1000000000"/>
    <n v="999042016.10000002"/>
    <n v="1000000000"/>
    <n v="999042016.10000002"/>
    <n v="150840"/>
    <s v="AMOMPY"/>
    <s v="Momentum Capital Investment S.A."/>
    <s v="21/05/2026"/>
    <s v="21/05/2026"/>
    <n v="35"/>
    <s v="No"/>
    <s v=""/>
    <m/>
    <m/>
    <s v="#MAV200760063"/>
    <s v="#MAV200760063"/>
    <n v="1.9163085661356452E-2"/>
  </r>
  <r>
    <x v="18"/>
    <s v="Pesos"/>
    <d v="2026-07-21T00:00:00"/>
    <s v="20/07/2026"/>
    <n v="0.99909671"/>
    <m/>
    <n v="1100000"/>
    <n v="1099006.3799999999"/>
    <n v="1100000"/>
    <n v="1099006.3799999999"/>
    <n v="2229"/>
    <s v="AMOMPY"/>
    <s v="Momentum Capital Investment S.A."/>
    <s v="29/05/2026"/>
    <s v="29/05/2026"/>
    <n v="33"/>
    <s v="No"/>
    <s v=""/>
    <m/>
    <m/>
    <s v="*MAV170701736"/>
    <s v="*MAV170701736"/>
    <n v="2.1080548228122971E-5"/>
  </r>
  <r>
    <x v="19"/>
    <s v="Pesos"/>
    <d v="2026-07-21T00:00:00"/>
    <s v="20/07/2026"/>
    <n v="0.99901466999999999"/>
    <m/>
    <n v="20000000"/>
    <n v="19980293.489999998"/>
    <n v="20000000"/>
    <n v="19980293.489999998"/>
    <n v="436"/>
    <s v="AMOMPY"/>
    <s v="Momentum Capital Investment S.A."/>
    <s v="26/05/2026"/>
    <s v="26/05/2026"/>
    <n v="36"/>
    <s v="No"/>
    <s v=""/>
    <m/>
    <m/>
    <s v="*MAV170701671"/>
    <s v="*MAV170701671"/>
    <n v="3.8325122419034227E-4"/>
  </r>
  <r>
    <x v="20"/>
    <s v="Pesos"/>
    <d v="2026-07-21T00:00:00"/>
    <s v="20/07/2026"/>
    <n v="0.99909671"/>
    <m/>
    <n v="10000000"/>
    <n v="9990967.1099999994"/>
    <n v="10000000"/>
    <n v="9990967.1099999994"/>
    <n v="13633526"/>
    <s v="AMOMPY"/>
    <s v="Momentum Capital Investment S.A."/>
    <s v="19/05/2026"/>
    <s v="19/05/2026"/>
    <n v="33"/>
    <s v="No"/>
    <s v=""/>
    <m/>
    <m/>
    <s v="*MAV170701563"/>
    <s v="*MAV170701563"/>
    <n v="1.9164134789458219E-4"/>
  </r>
  <r>
    <x v="21"/>
    <s v="Pesos"/>
    <d v="2026-07-21T00:00:00"/>
    <s v="20/07/2026"/>
    <n v="0.99904201999999998"/>
    <m/>
    <n v="10000000"/>
    <n v="9990420.1799999997"/>
    <n v="10000000"/>
    <n v="9990420.1799999997"/>
    <n v="40624310"/>
    <s v="AMOMPY"/>
    <s v="Momentum Capital Investment S.A."/>
    <s v="20/04/2026"/>
    <s v="20/04/2026"/>
    <n v="35"/>
    <s v="No"/>
    <s v=""/>
    <m/>
    <m/>
    <s v="*MAV170701366"/>
    <s v="*MAV170701366"/>
    <n v="1.9163085697801227E-4"/>
  </r>
  <r>
    <x v="22"/>
    <s v="Pesos"/>
    <d v="2026-07-21T00:00:00"/>
    <s v="20/07/2026"/>
    <n v="0.99909671"/>
    <m/>
    <n v="4190169.08"/>
    <n v="4186384.14"/>
    <n v="4190169.08"/>
    <n v="4186384.14"/>
    <n v="13668587"/>
    <s v="AMOMPY"/>
    <s v="Momentum Capital Investment S.A."/>
    <s v="12/06/2026"/>
    <s v="12/06/2026"/>
    <n v="33"/>
    <s v="No"/>
    <s v=""/>
    <m/>
    <m/>
    <s v="*MAV170701858"/>
    <s v="*MAV170701858"/>
    <n v="8.0300964917709685E-5"/>
  </r>
  <r>
    <x v="23"/>
    <s v="Pesos"/>
    <d v="2026-07-21T00:00:00"/>
    <s v="20/07/2026"/>
    <n v="0.99898732999999995"/>
    <m/>
    <n v="5000000"/>
    <n v="4994936.6399999997"/>
    <n v="5000000"/>
    <n v="4994936.6399999997"/>
    <n v="66786647"/>
    <s v="AMOMPY"/>
    <s v="Momentum Capital Investment S.A."/>
    <s v="13/05/2026"/>
    <s v="13/05/2026"/>
    <n v="37"/>
    <s v="No"/>
    <s v=""/>
    <m/>
    <m/>
    <s v="*MAV170701525"/>
    <s v="*MAV170701525"/>
    <n v="9.5810183318443087E-5"/>
  </r>
  <r>
    <x v="7"/>
    <s v="Pesos"/>
    <d v="2026-07-21T00:00:00"/>
    <s v="20/07/2026"/>
    <n v="0.99917876000000005"/>
    <m/>
    <n v="10250000"/>
    <n v="10241582.279999999"/>
    <n v="10250000"/>
    <n v="10241582.279999999"/>
    <n v="454"/>
    <s v="AMOMPY"/>
    <s v="Momentum Capital Investment S.A."/>
    <s v="04/05/2026"/>
    <s v="04/05/2026"/>
    <n v="30"/>
    <s v="No"/>
    <s v=""/>
    <m/>
    <m/>
    <s v="*MAV170701431"/>
    <s v="*MAV170701431"/>
    <n v="1.964485130521532E-4"/>
  </r>
  <r>
    <x v="24"/>
    <s v="Pesos"/>
    <d v="2026-07-21T00:00:00"/>
    <s v="20/07/2026"/>
    <n v="0.99890531000000005"/>
    <m/>
    <n v="100000000"/>
    <n v="99890531.170000002"/>
    <n v="100000000"/>
    <n v="99890531.170000002"/>
    <n v="305"/>
    <s v="AMOMPY"/>
    <s v="Momentum Capital Investment S.A."/>
    <s v="18/03/2026"/>
    <s v="18/03/2026"/>
    <n v="40"/>
    <s v="No"/>
    <s v=""/>
    <m/>
    <m/>
    <s v="*MAV170701013"/>
    <s v="*MAV170701013"/>
    <n v="1.9160463471213026E-3"/>
  </r>
  <r>
    <x v="25"/>
    <s v="Pesos"/>
    <d v="2026-07-21T00:00:00"/>
    <s v="20/07/2026"/>
    <n v="0.99909671"/>
    <m/>
    <n v="50000000"/>
    <n v="49954835.399999999"/>
    <n v="50000000"/>
    <n v="49954835.399999999"/>
    <n v="29007572"/>
    <s v="AMOMPY"/>
    <s v="Momentum Capital Investment S.A."/>
    <s v="31/03/2026"/>
    <s v="31/03/2026"/>
    <n v="33"/>
    <s v="No"/>
    <s v=""/>
    <m/>
    <m/>
    <s v="*MAV170701219"/>
    <s v="*MAV170701219"/>
    <n v="9.5820673659569185E-4"/>
  </r>
  <r>
    <x v="26"/>
    <s v="Pesos"/>
    <d v="2026-07-21T00:00:00"/>
    <s v="20/07/2026"/>
    <n v="0.99909671"/>
    <m/>
    <n v="1000000"/>
    <n v="999096.71"/>
    <n v="1000000"/>
    <n v="999096.71"/>
    <n v="2417"/>
    <s v="AMOMPY"/>
    <s v="Momentum Capital Investment S.A."/>
    <s v="29/05/2026"/>
    <s v="29/05/2026"/>
    <n v="33"/>
    <s v="No"/>
    <s v=""/>
    <m/>
    <m/>
    <s v="*MAV170701734"/>
    <s v="*MAV170701734"/>
    <n v="1.9164134770276758E-5"/>
  </r>
  <r>
    <x v="27"/>
    <s v="Pesos"/>
    <d v="2026-07-21T00:00:00"/>
    <s v="20/07/2026"/>
    <n v="0.99912407000000003"/>
    <m/>
    <n v="15219785.369999999"/>
    <n v="15206453.85"/>
    <n v="15219785.369999999"/>
    <n v="15206453.85"/>
    <n v="84234464"/>
    <s v="AMOMPY"/>
    <s v="Momentum Capital Investment S.A."/>
    <s v="25/06/2026"/>
    <s v="25/06/2026"/>
    <n v="32"/>
    <s v="No"/>
    <s v=""/>
    <m/>
    <m/>
    <s v="*MAV170702050"/>
    <s v="*MAV170702050"/>
    <n v="2.9168200439714576E-4"/>
  </r>
  <r>
    <x v="28"/>
    <s v="Pesos"/>
    <d v="2026-07-21T00:00:00"/>
    <s v="20/07/2026"/>
    <n v="0.99874130999999999"/>
    <m/>
    <n v="10000000"/>
    <n v="9987413.1400000006"/>
    <n v="10000000"/>
    <n v="9987413.1400000006"/>
    <n v="3925"/>
    <s v="AMOMPY"/>
    <s v="Momentum Capital Investment S.A."/>
    <s v="11/08/2025"/>
    <s v="11/08/2025"/>
    <n v="46"/>
    <s v="No"/>
    <s v=""/>
    <m/>
    <m/>
    <s v="*MAV170700987"/>
    <s v="*MAV170700987"/>
    <n v="1.9157317755694842E-4"/>
  </r>
  <r>
    <x v="10"/>
    <s v="Pesos"/>
    <d v="2026-07-21T00:00:00"/>
    <s v="20/07/2026"/>
    <n v="0.99890531000000005"/>
    <m/>
    <n v="4100000"/>
    <n v="4095511.77"/>
    <n v="4100000"/>
    <n v="4095511.77"/>
    <n v="1022"/>
    <s v="AMOMPY"/>
    <s v="Momentum Capital Investment S.A."/>
    <s v="09/03/2026"/>
    <s v="09/03/2026"/>
    <n v="40"/>
    <s v="No"/>
    <s v=""/>
    <m/>
    <m/>
    <s v="*MAV170701009"/>
    <s v="*MAV170701009"/>
    <n v="7.8557900079097165E-5"/>
  </r>
  <r>
    <x v="29"/>
    <s v="Pesos"/>
    <d v="2026-07-21T00:00:00"/>
    <s v="20/07/2026"/>
    <n v="0.99885064000000001"/>
    <m/>
    <n v="20000000"/>
    <n v="19977012.82"/>
    <n v="20000000"/>
    <n v="19977012.82"/>
    <n v="4022"/>
    <s v="AMOMPY"/>
    <s v="Momentum Capital Investment S.A."/>
    <s v="26/03/2026"/>
    <s v="26/03/2026"/>
    <n v="42"/>
    <s v="No"/>
    <s v=""/>
    <m/>
    <m/>
    <s v="*MAV170701024"/>
    <s v="*MAV170701024"/>
    <n v="3.8318829614605236E-4"/>
  </r>
  <r>
    <x v="30"/>
    <s v="Pesos"/>
    <d v="2026-07-21T00:00:00"/>
    <s v="20/07/2026"/>
    <n v="0.99917876999999999"/>
    <m/>
    <n v="5766326.21"/>
    <n v="5761590.71"/>
    <n v="5766326.21"/>
    <n v="5761590.71"/>
    <n v="59"/>
    <s v="AMOMPY"/>
    <s v="Momentum Capital Investment S.A."/>
    <s v="08/07/2026"/>
    <s v="08/07/2026"/>
    <n v="30"/>
    <s v="No"/>
    <s v=""/>
    <m/>
    <m/>
    <s v="%CP1190700001"/>
    <s v="%CP1190700001"/>
    <n v="1.1051572861011078E-4"/>
  </r>
  <r>
    <x v="12"/>
    <s v="Pesos"/>
    <d v="2026-07-21T00:00:00"/>
    <s v="20/07/2026"/>
    <n v="0.99898732999999995"/>
    <m/>
    <n v="5000000"/>
    <n v="4994936.66"/>
    <n v="5000000"/>
    <n v="4994936.66"/>
    <n v="40734601"/>
    <s v="AMOMPY"/>
    <s v="Momentum Capital Investment S.A."/>
    <s v="05/05/2026"/>
    <s v="05/05/2026"/>
    <n v="37"/>
    <s v="No"/>
    <s v=""/>
    <m/>
    <m/>
    <s v="*MAV170701437"/>
    <s v="*MAV170701437"/>
    <n v="9.5810183702072318E-5"/>
  </r>
  <r>
    <x v="12"/>
    <s v="Pesos"/>
    <d v="2026-07-21T00:00:00"/>
    <s v="20/07/2026"/>
    <n v="0.99901466999999999"/>
    <m/>
    <n v="3750000"/>
    <n v="3746305.01"/>
    <n v="3750000"/>
    <n v="3746305.01"/>
    <n v="40742998"/>
    <s v="AMOMPY"/>
    <s v="Momentum Capital Investment S.A."/>
    <s v="20/05/2026"/>
    <s v="20/05/2026"/>
    <n v="36"/>
    <s v="No"/>
    <s v=""/>
    <m/>
    <m/>
    <s v="*MAV170701635"/>
    <s v="*MAV170701635"/>
    <n v="7.1859604164048357E-5"/>
  </r>
  <r>
    <x v="31"/>
    <s v="Pesos"/>
    <d v="2026-07-21T00:00:00"/>
    <s v="20/07/2026"/>
    <n v="0.99909671"/>
    <m/>
    <n v="1583767.68"/>
    <n v="1582337.08"/>
    <n v="1583767.68"/>
    <n v="1582337.08"/>
    <n v="90015591"/>
    <s v="AMOMPY"/>
    <s v="Momentum Capital Investment S.A."/>
    <s v="29/05/2026"/>
    <s v="29/05/2026"/>
    <n v="33"/>
    <s v="No"/>
    <s v=""/>
    <m/>
    <m/>
    <s v="*MAV170701735"/>
    <s v="*MAV170701735"/>
    <n v="3.0351537293247818E-5"/>
  </r>
  <r>
    <x v="0"/>
    <s v="Pesos"/>
    <d v="2026-07-22T00:00:00"/>
    <s v="20/07/2026"/>
    <n v="0.99841347999999996"/>
    <m/>
    <n v="5000000"/>
    <n v="4992067.42"/>
    <n v="5000000"/>
    <n v="4992067.42"/>
    <n v="16771075"/>
    <s v="AMOMPY"/>
    <s v="Momentum Capital Investment S.A."/>
    <s v="20/04/2026"/>
    <s v="20/04/2026"/>
    <n v="29"/>
    <s v="No"/>
    <s v=""/>
    <m/>
    <m/>
    <s v="*INP200700070"/>
    <s v="*INP200700070"/>
    <n v="9.5755147486360751E-5"/>
  </r>
  <r>
    <x v="1"/>
    <s v="Pesos"/>
    <d v="2026-07-22T00:00:00"/>
    <s v="20/07/2026"/>
    <n v="0.99863203"/>
    <m/>
    <n v="42634813.590000004"/>
    <n v="42576490.57"/>
    <n v="42634813.590000004"/>
    <n v="42576490.57"/>
    <n v="588"/>
    <s v="AMOMPY"/>
    <s v="Momentum Capital Investment S.A."/>
    <s v="30/06/2026"/>
    <s v="30/06/2026"/>
    <n v="25"/>
    <s v="No"/>
    <s v=""/>
    <m/>
    <m/>
    <s v="*MOV190700063"/>
    <s v="*MOV190700063"/>
    <n v="8.1667930157521744E-4"/>
  </r>
  <r>
    <x v="1"/>
    <s v="Pesos"/>
    <d v="2026-07-22T00:00:00"/>
    <s v="20/07/2026"/>
    <n v="0.99863203"/>
    <m/>
    <n v="9902875.5"/>
    <n v="9889328.6899999995"/>
    <n v="9902875.5"/>
    <n v="9889328.6899999995"/>
    <n v="29577227"/>
    <s v="AMOMPY"/>
    <s v="Momentum Capital Investment S.A."/>
    <s v="30/06/2026"/>
    <s v="30/06/2026"/>
    <n v="25"/>
    <s v="No"/>
    <s v=""/>
    <m/>
    <m/>
    <s v="*MOV180700067"/>
    <s v="*MOV180700067"/>
    <n v="1.8969177448569969E-4"/>
  </r>
  <r>
    <x v="1"/>
    <s v="Pesos"/>
    <d v="2026-07-22T00:00:00"/>
    <s v="20/07/2026"/>
    <n v="0.99863203"/>
    <m/>
    <n v="1000000"/>
    <n v="998632.03"/>
    <n v="1000000"/>
    <n v="998632.03"/>
    <n v="10174481"/>
    <s v="AMOMPY"/>
    <s v="Momentum Capital Investment S.A."/>
    <s v="30/06/2026"/>
    <s v="30/06/2026"/>
    <n v="25"/>
    <s v="No"/>
    <s v=""/>
    <m/>
    <m/>
    <s v="*MOV180700063"/>
    <s v="*MOV180700063"/>
    <n v="1.9155221528889896E-5"/>
  </r>
  <r>
    <x v="1"/>
    <s v="Pesos"/>
    <d v="2026-07-22T00:00:00"/>
    <s v="20/07/2026"/>
    <n v="0.99863203"/>
    <m/>
    <n v="2008734.21"/>
    <n v="2005986.33"/>
    <n v="2008734.21"/>
    <n v="2005986.33"/>
    <n v="842389"/>
    <s v="AMOMPY"/>
    <s v="Momentum Capital Investment S.A."/>
    <s v="30/06/2026"/>
    <s v="30/06/2026"/>
    <n v="25"/>
    <s v="No"/>
    <s v=""/>
    <m/>
    <m/>
    <s v="*MOV180700064"/>
    <s v="*MOV180700064"/>
    <n v="3.8477748941294051E-5"/>
  </r>
  <r>
    <x v="1"/>
    <s v="Pesos"/>
    <d v="2026-07-22T00:00:00"/>
    <s v="20/07/2026"/>
    <n v="0.99863203"/>
    <m/>
    <n v="1000000"/>
    <n v="998632.03"/>
    <n v="1000000"/>
    <n v="998632.03"/>
    <n v="850"/>
    <s v="AMOMPY"/>
    <s v="Momentum Capital Investment S.A."/>
    <s v="30/06/2026"/>
    <s v="30/06/2026"/>
    <n v="25"/>
    <s v="No"/>
    <s v=""/>
    <m/>
    <m/>
    <s v="*MOV180700065"/>
    <s v="*MOV180700065"/>
    <n v="1.9155221528889896E-5"/>
  </r>
  <r>
    <x v="1"/>
    <s v="Pesos"/>
    <d v="2026-07-22T00:00:00"/>
    <s v="20/07/2026"/>
    <n v="0.99863203"/>
    <m/>
    <n v="1948054"/>
    <n v="1945389.13"/>
    <n v="1948054"/>
    <n v="1945389.13"/>
    <n v="10035319"/>
    <s v="AMOMPY"/>
    <s v="Momentum Capital Investment S.A."/>
    <s v="30/06/2026"/>
    <s v="30/06/2026"/>
    <n v="25"/>
    <s v="No"/>
    <s v=""/>
    <m/>
    <m/>
    <s v="*MOV180700066"/>
    <s v="*MOV180700066"/>
    <n v="3.7315406101128539E-5"/>
  </r>
  <r>
    <x v="1"/>
    <s v="Pesos"/>
    <d v="2026-07-22T00:00:00"/>
    <s v="20/07/2026"/>
    <n v="0.99863203"/>
    <m/>
    <n v="500000"/>
    <n v="499316.02"/>
    <n v="500000"/>
    <n v="499316.02"/>
    <n v="851"/>
    <s v="AMOMPY"/>
    <s v="Momentum Capital Investment S.A."/>
    <s v="30/06/2026"/>
    <s v="30/06/2026"/>
    <n v="25"/>
    <s v="No"/>
    <s v=""/>
    <m/>
    <m/>
    <s v="*MOV200700092"/>
    <s v="*MOV200700092"/>
    <n v="9.5776108603522543E-6"/>
  </r>
  <r>
    <x v="1"/>
    <s v="Pesos"/>
    <d v="2026-07-22T00:00:00"/>
    <s v="20/07/2026"/>
    <n v="0.99863203"/>
    <m/>
    <n v="5000000"/>
    <n v="4993160.17"/>
    <n v="5000000"/>
    <n v="4993160.17"/>
    <n v="44500100"/>
    <s v="AMOMPY"/>
    <s v="Momentum Capital Investment S.A."/>
    <s v="30/06/2026"/>
    <s v="30/06/2026"/>
    <n v="25"/>
    <s v="No"/>
    <s v=""/>
    <m/>
    <m/>
    <s v="*MOV200700093"/>
    <s v="*MOV200700093"/>
    <n v="9.5776108028078696E-5"/>
  </r>
  <r>
    <x v="32"/>
    <s v="Pesos"/>
    <d v="2026-07-22T00:00:00"/>
    <s v="20/07/2026"/>
    <n v="0.99819504999999997"/>
    <m/>
    <n v="1701000"/>
    <n v="1697929.78"/>
    <n v="1701000"/>
    <n v="1697929.78"/>
    <n v="67242828"/>
    <s v="AMOMPY"/>
    <s v="Momentum Capital Investment S.A."/>
    <s v="29/05/2026"/>
    <s v="29/05/2026"/>
    <n v="33"/>
    <s v="No"/>
    <s v=""/>
    <m/>
    <m/>
    <s v="*MAV200701283"/>
    <s v="*MAV200701283"/>
    <n v="3.2568774182417606E-5"/>
  </r>
  <r>
    <x v="33"/>
    <s v="Pesos"/>
    <d v="2026-07-22T00:00:00"/>
    <s v="20/07/2026"/>
    <n v="0.99819504000000003"/>
    <m/>
    <n v="2300000"/>
    <n v="2295848.6"/>
    <n v="2300000"/>
    <n v="2295848.6"/>
    <n v="1395"/>
    <s v="AMOMPY"/>
    <s v="Momentum Capital Investment S.A."/>
    <s v="29/05/2026"/>
    <s v="29/05/2026"/>
    <n v="33"/>
    <s v="No"/>
    <s v=""/>
    <m/>
    <m/>
    <s v="*MAV180701314"/>
    <s v="*MAV180701314"/>
    <n v="4.4037730824427619E-5"/>
  </r>
  <r>
    <x v="34"/>
    <s v="Pesos"/>
    <d v="2026-07-22T00:00:00"/>
    <s v="20/07/2026"/>
    <n v="0.99819504999999997"/>
    <m/>
    <n v="1211666.8"/>
    <n v="1209479.8"/>
    <n v="1211666.8"/>
    <n v="1209479.8"/>
    <n v="1798382"/>
    <s v="AMOMPY"/>
    <s v="Momentum Capital Investment S.A."/>
    <s v="29/05/2026"/>
    <s v="29/05/2026"/>
    <n v="33"/>
    <s v="No"/>
    <s v=""/>
    <m/>
    <m/>
    <s v="*MAV200701281"/>
    <s v="*MAV200701281"/>
    <n v="2.3199589846639955E-5"/>
  </r>
  <r>
    <x v="35"/>
    <s v="Pesos"/>
    <d v="2026-07-22T00:00:00"/>
    <s v="20/07/2026"/>
    <n v="0.99824966000000004"/>
    <m/>
    <n v="5188161.21"/>
    <n v="5179080.1500000004"/>
    <n v="5188161.21"/>
    <n v="5179080.1500000004"/>
    <n v="6570"/>
    <s v="AMOMPY"/>
    <s v="Momentum Capital Investment S.A."/>
    <s v="04/06/2026"/>
    <s v="04/06/2026"/>
    <n v="32"/>
    <s v="No"/>
    <s v=""/>
    <m/>
    <m/>
    <s v="*MAV200701329"/>
    <s v="*MAV200701329"/>
    <n v="9.9342324909332537E-5"/>
  </r>
  <r>
    <x v="36"/>
    <s v="Pesos"/>
    <d v="2026-07-22T00:00:00"/>
    <s v="20/07/2026"/>
    <n v="0.99824966000000004"/>
    <m/>
    <n v="1050000"/>
    <n v="1048162.14"/>
    <n v="1050000"/>
    <n v="1048162.14"/>
    <n v="3467332"/>
    <s v="AMOMPY"/>
    <s v="Momentum Capital Investment S.A."/>
    <s v="04/06/2026"/>
    <s v="04/06/2026"/>
    <n v="32"/>
    <s v="No"/>
    <s v=""/>
    <m/>
    <m/>
    <s v="*MAV200701327"/>
    <s v="*MAV200701327"/>
    <n v="2.0105281411708079E-5"/>
  </r>
  <r>
    <x v="37"/>
    <s v="Pesos"/>
    <d v="2026-07-22T00:00:00"/>
    <s v="20/07/2026"/>
    <n v="0.99824966000000004"/>
    <m/>
    <n v="1982063.64"/>
    <n v="1978594.35"/>
    <n v="1982063.64"/>
    <n v="1978594.35"/>
    <n v="11265545"/>
    <s v="AMOMPY"/>
    <s v="Momentum Capital Investment S.A."/>
    <s v="04/06/2026"/>
    <s v="04/06/2026"/>
    <n v="32"/>
    <s v="No"/>
    <s v=""/>
    <m/>
    <m/>
    <s v="*MAV200701328"/>
    <s v="*MAV200701328"/>
    <n v="3.7952330739942227E-5"/>
  </r>
  <r>
    <x v="5"/>
    <s v="Pesos"/>
    <d v="2026-07-22T00:00:00"/>
    <s v="20/07/2026"/>
    <n v="0.99879598999999997"/>
    <m/>
    <n v="39141775.439999998"/>
    <n v="39094648.359999999"/>
    <n v="39141775.439999998"/>
    <n v="39094648.359999999"/>
    <n v="68114485"/>
    <s v="AMOMPY"/>
    <s v="Momentum Capital Investment S.A."/>
    <s v="03/07/2026"/>
    <s v="03/07/2026"/>
    <n v="22"/>
    <s v="No"/>
    <s v=""/>
    <m/>
    <m/>
    <s v="*POT180700106"/>
    <s v="*POT180700106"/>
    <n v="7.4989248034619115E-4"/>
  </r>
  <r>
    <x v="19"/>
    <s v="Pesos"/>
    <d v="2026-07-22T00:00:00"/>
    <s v="20/07/2026"/>
    <n v="0.99803127999999997"/>
    <m/>
    <n v="20000000"/>
    <n v="19960625.620000001"/>
    <n v="20000000"/>
    <n v="19960625.620000001"/>
    <n v="422"/>
    <s v="AMOMPY"/>
    <s v="Momentum Capital Investment S.A."/>
    <s v="21/05/2026"/>
    <s v="21/05/2026"/>
    <n v="36"/>
    <s v="No"/>
    <s v=""/>
    <m/>
    <m/>
    <s v="*MAV190701002"/>
    <s v="*MAV190701002"/>
    <n v="3.8287396570520096E-4"/>
  </r>
  <r>
    <x v="38"/>
    <s v="Pesos"/>
    <d v="2026-07-22T00:00:00"/>
    <s v="20/07/2026"/>
    <n v="0.99824964000000005"/>
    <m/>
    <n v="1809446"/>
    <n v="1806278.83"/>
    <n v="1809446"/>
    <n v="1806278.83"/>
    <n v="9947"/>
    <s v="AMOMPY"/>
    <s v="Momentum Capital Investment S.A."/>
    <s v="30/04/2026"/>
    <s v="30/04/2026"/>
    <n v="32"/>
    <s v="No"/>
    <s v=""/>
    <m/>
    <m/>
    <s v="*MAV200701092"/>
    <s v="*MAV200701092"/>
    <n v="3.4647067280221374E-5"/>
  </r>
  <r>
    <x v="39"/>
    <s v="Pesos"/>
    <d v="2026-07-22T00:00:00"/>
    <s v="20/07/2026"/>
    <n v="0.99792214000000001"/>
    <m/>
    <n v="3116595.02"/>
    <n v="3110119.17"/>
    <n v="3116595.02"/>
    <n v="3110119.17"/>
    <n v="103"/>
    <s v="AMOMPY"/>
    <s v="Momentum Capital Investment S.A."/>
    <s v="17/04/2026"/>
    <s v="17/04/2026"/>
    <n v="38"/>
    <s v="No"/>
    <s v=""/>
    <m/>
    <m/>
    <s v="*MAV200701011"/>
    <s v="*MAV200701011"/>
    <n v="5.9656630162961193E-5"/>
  </r>
  <r>
    <x v="23"/>
    <s v="Pesos"/>
    <d v="2026-07-22T00:00:00"/>
    <s v="20/07/2026"/>
    <n v="0.99797670999999999"/>
    <m/>
    <n v="5454223.6600000001"/>
    <n v="5443188.21"/>
    <n v="5454223.6600000001"/>
    <n v="5443188.21"/>
    <n v="66786698"/>
    <s v="AMOMPY"/>
    <s v="Momentum Capital Investment S.A."/>
    <s v="13/05/2026"/>
    <s v="13/05/2026"/>
    <n v="37"/>
    <s v="No"/>
    <s v=""/>
    <m/>
    <m/>
    <s v="*MAV200701147"/>
    <s v="*MAV200701147"/>
    <n v="1.0440830341281128E-4"/>
  </r>
  <r>
    <x v="6"/>
    <s v="Pesos"/>
    <d v="2026-07-22T00:00:00"/>
    <s v="20/07/2026"/>
    <n v="0.99890531000000005"/>
    <m/>
    <n v="2500000"/>
    <n v="2497263.2799999998"/>
    <n v="2500000"/>
    <n v="2497263.2799999998"/>
    <n v="6125"/>
    <s v="AMOMPY"/>
    <s v="Momentum Capital Investment S.A."/>
    <s v="29/05/2026"/>
    <s v="29/05/2026"/>
    <n v="20"/>
    <s v="No"/>
    <s v=""/>
    <m/>
    <m/>
    <s v="*ACI190700175"/>
    <s v="*ACI190700175"/>
    <n v="4.7901158692418656E-5"/>
  </r>
  <r>
    <x v="40"/>
    <s v="Pesos"/>
    <d v="2026-07-22T00:00:00"/>
    <s v="20/07/2026"/>
    <n v="0.99846811000000002"/>
    <m/>
    <n v="6500000"/>
    <n v="6490042.7000000002"/>
    <n v="6500000"/>
    <n v="6490042.7000000002"/>
    <n v="29175495"/>
    <s v="AMOMPY"/>
    <s v="Momentum Capital Investment S.A."/>
    <s v="04/05/2026"/>
    <s v="04/05/2026"/>
    <n v="28"/>
    <s v="No"/>
    <s v=""/>
    <m/>
    <m/>
    <s v="*CUY200700030"/>
    <s v="*CUY200700030"/>
    <n v="1.2448850218679117E-4"/>
  </r>
  <r>
    <x v="7"/>
    <s v="Pesos"/>
    <d v="2026-07-22T00:00:00"/>
    <s v="20/07/2026"/>
    <n v="0.99835885999999996"/>
    <m/>
    <n v="8750000"/>
    <n v="8735640.0500000007"/>
    <n v="8750000"/>
    <n v="8735640.0500000007"/>
    <n v="631"/>
    <s v="AMOMPY"/>
    <s v="Momentum Capital Investment S.A."/>
    <s v="12/06/2026"/>
    <s v="12/06/2026"/>
    <n v="30"/>
    <s v="No"/>
    <s v=""/>
    <m/>
    <m/>
    <s v="*MAV190701042"/>
    <s v="*MAV190701042"/>
    <n v="1.6756234060947637E-4"/>
  </r>
  <r>
    <x v="7"/>
    <s v="Pesos"/>
    <d v="2026-07-22T00:00:00"/>
    <s v="20/07/2026"/>
    <n v="0.99835887000000001"/>
    <m/>
    <n v="10000000"/>
    <n v="9983588.6600000001"/>
    <n v="10000000"/>
    <n v="9983588.6600000001"/>
    <n v="519"/>
    <s v="AMOMPY"/>
    <s v="Momentum Capital Investment S.A."/>
    <s v="19/05/2026"/>
    <s v="19/05/2026"/>
    <n v="30"/>
    <s v="No"/>
    <s v=""/>
    <m/>
    <m/>
    <s v="*MAV200701183"/>
    <s v="*MAV200701183"/>
    <n v="1.9149981844224746E-4"/>
  </r>
  <r>
    <x v="24"/>
    <s v="Pesos"/>
    <d v="2026-07-22T00:00:00"/>
    <s v="20/07/2026"/>
    <n v="0.99803129000000002"/>
    <m/>
    <n v="65000000"/>
    <n v="64872033.600000001"/>
    <n v="65000000"/>
    <n v="64872033.600000001"/>
    <n v="311"/>
    <s v="AMOMPY"/>
    <s v="Momentum Capital Investment S.A."/>
    <s v="10/04/2026"/>
    <s v="10/04/2026"/>
    <n v="36"/>
    <s v="No"/>
    <s v=""/>
    <m/>
    <m/>
    <s v="*MAV200700987"/>
    <s v="*MAV200700987"/>
    <n v="1.2443403949676927E-3"/>
  </r>
  <r>
    <x v="41"/>
    <s v="Pesos"/>
    <d v="2026-07-22T00:00:00"/>
    <s v="20/07/2026"/>
    <n v="0.99819504999999997"/>
    <m/>
    <n v="2368425.38"/>
    <n v="2364150.4900000002"/>
    <n v="2368425.38"/>
    <n v="2364150.4900000002"/>
    <n v="9870354"/>
    <s v="AMOMPY"/>
    <s v="Momentum Capital Investment S.A."/>
    <s v="29/05/2026"/>
    <s v="29/05/2026"/>
    <n v="33"/>
    <s v="No"/>
    <s v=""/>
    <m/>
    <m/>
    <s v="*MAV200701282"/>
    <s v="*MAV200701282"/>
    <n v="4.5347860876827274E-5"/>
  </r>
  <r>
    <x v="7"/>
    <s v="Pesos"/>
    <d v="2026-07-22T00:00:00"/>
    <s v="20/07/2026"/>
    <n v="0.99835885999999996"/>
    <m/>
    <n v="10000000"/>
    <n v="9983588.6400000006"/>
    <n v="10000000"/>
    <n v="9983588.6400000006"/>
    <n v="606"/>
    <s v="AMOMPY"/>
    <s v="Momentum Capital Investment S.A."/>
    <s v="05/06/2026"/>
    <s v="05/06/2026"/>
    <n v="30"/>
    <s v="No"/>
    <s v=""/>
    <m/>
    <m/>
    <s v="*MAV180701336"/>
    <s v="*MAV180701336"/>
    <n v="1.9149981805861825E-4"/>
  </r>
  <r>
    <x v="42"/>
    <s v="Pesos"/>
    <d v="2026-07-22T00:00:00"/>
    <s v="20/07/2026"/>
    <n v="0.99792214000000001"/>
    <m/>
    <n v="50000000"/>
    <n v="49896107"/>
    <n v="50000000"/>
    <n v="49896107"/>
    <n v="67105505"/>
    <s v="AMOMPY"/>
    <s v="Momentum Capital Investment S.A."/>
    <s v="26/05/2026"/>
    <s v="26/05/2026"/>
    <n v="38"/>
    <s v="No"/>
    <s v=""/>
    <m/>
    <m/>
    <s v="*MAV200701243"/>
    <s v="*MAV200701243"/>
    <n v="9.5708024007020267E-4"/>
  </r>
  <r>
    <x v="10"/>
    <s v="Pesos"/>
    <d v="2026-07-22T00:00:00"/>
    <s v="20/07/2026"/>
    <n v="0.99781301"/>
    <m/>
    <n v="4100000"/>
    <n v="4091033.35"/>
    <n v="4100000"/>
    <n v="4091033.35"/>
    <n v="1023"/>
    <s v="AMOMPY"/>
    <s v="Momentum Capital Investment S.A."/>
    <s v="09/03/2026"/>
    <s v="09/03/2026"/>
    <n v="40"/>
    <s v="No"/>
    <s v=""/>
    <m/>
    <m/>
    <s v="*MAV200700914"/>
    <s v="*MAV200700914"/>
    <n v="7.8471997439664095E-5"/>
  </r>
  <r>
    <x v="43"/>
    <s v="Pesos"/>
    <d v="2026-07-22T00:00:00"/>
    <s v="20/07/2026"/>
    <n v="0.99841347999999996"/>
    <m/>
    <n v="40000000"/>
    <n v="39936539.390000001"/>
    <n v="40000000"/>
    <n v="39936539.390000001"/>
    <n v="54026408"/>
    <s v="AMOMPY"/>
    <s v="Momentum Capital Investment S.A."/>
    <s v="28/04/2026"/>
    <s v="28/04/2026"/>
    <n v="29"/>
    <s v="No"/>
    <s v=""/>
    <m/>
    <m/>
    <s v="*MIL200700046"/>
    <s v="*MIL200700046"/>
    <n v="7.6604118046632989E-4"/>
  </r>
  <r>
    <x v="43"/>
    <s v="Pesos"/>
    <d v="2026-07-22T00:00:00"/>
    <s v="20/07/2026"/>
    <n v="0.99841347999999996"/>
    <m/>
    <n v="12500000"/>
    <n v="12480168.560000001"/>
    <n v="12500000"/>
    <n v="12480168.560000001"/>
    <n v="9798603"/>
    <s v="AMOMPY"/>
    <s v="Momentum Capital Investment S.A."/>
    <s v="28/04/2026"/>
    <s v="28/04/2026"/>
    <n v="29"/>
    <s v="No"/>
    <s v=""/>
    <m/>
    <m/>
    <s v="*MIL200700047"/>
    <s v="*MIL200700047"/>
    <n v="2.3938786890771651E-4"/>
  </r>
  <r>
    <x v="43"/>
    <s v="Pesos"/>
    <d v="2026-07-22T00:00:00"/>
    <s v="20/07/2026"/>
    <n v="0.99841347999999996"/>
    <m/>
    <n v="4166666.7"/>
    <n v="4160056.21"/>
    <n v="4166666.7"/>
    <n v="4160056.21"/>
    <n v="13567715"/>
    <s v="AMOMPY"/>
    <s v="Momentum Capital Investment S.A."/>
    <s v="30/04/2026"/>
    <s v="30/04/2026"/>
    <n v="29"/>
    <s v="No"/>
    <s v=""/>
    <m/>
    <m/>
    <s v="*MIL200700049"/>
    <s v="*MIL200700049"/>
    <n v="7.9795956750139594E-5"/>
  </r>
  <r>
    <x v="43"/>
    <s v="Pesos"/>
    <d v="2026-07-22T00:00:00"/>
    <s v="20/07/2026"/>
    <n v="0.99841347999999996"/>
    <m/>
    <n v="10000000"/>
    <n v="9984134.8200000003"/>
    <n v="10000000"/>
    <n v="9984134.8200000003"/>
    <n v="66581708"/>
    <s v="AMOMPY"/>
    <s v="Momentum Capital Investment S.A."/>
    <s v="30/04/2026"/>
    <s v="30/04/2026"/>
    <n v="29"/>
    <s v="No"/>
    <s v=""/>
    <m/>
    <m/>
    <s v="*MIL200700050"/>
    <s v="*MIL200700050"/>
    <n v="1.9151029458909228E-4"/>
  </r>
  <r>
    <x v="43"/>
    <s v="Pesos"/>
    <d v="2026-07-22T00:00:00"/>
    <s v="20/07/2026"/>
    <n v="0.99841347999999996"/>
    <m/>
    <n v="3500000"/>
    <n v="3494447.18"/>
    <n v="3500000"/>
    <n v="3494447.18"/>
    <n v="405"/>
    <s v="AMOMPY"/>
    <s v="Momentum Capital Investment S.A."/>
    <s v="22/04/2026"/>
    <s v="22/04/2026"/>
    <n v="29"/>
    <s v="No"/>
    <s v=""/>
    <m/>
    <m/>
    <s v="*MIL200700045"/>
    <s v="*MIL200700045"/>
    <n v="6.7028602971912075E-5"/>
  </r>
  <r>
    <x v="43"/>
    <s v="Pesos"/>
    <d v="2026-07-22T00:00:00"/>
    <s v="20/07/2026"/>
    <n v="0.99841349000000001"/>
    <m/>
    <n v="11000000"/>
    <n v="10982548.34"/>
    <n v="11000000"/>
    <n v="10982548.34"/>
    <n v="269"/>
    <s v="AMOMPY"/>
    <s v="Momentum Capital Investment S.A."/>
    <s v="14/04/2026"/>
    <s v="14/04/2026"/>
    <n v="29"/>
    <s v="No"/>
    <s v=""/>
    <m/>
    <m/>
    <s v="*MIL200700043"/>
    <s v="*MIL200700043"/>
    <n v="2.1066132477689703E-4"/>
  </r>
  <r>
    <x v="44"/>
    <s v="Pesos"/>
    <d v="2026-07-22T00:00:00"/>
    <s v="20/07/2026"/>
    <n v="0.99824966000000004"/>
    <m/>
    <n v="70000000"/>
    <n v="69877476.010000005"/>
    <n v="70000000"/>
    <n v="69877476.010000005"/>
    <n v="9756466"/>
    <s v="AMOMPY"/>
    <s v="Momentum Capital Investment S.A."/>
    <s v="18/06/2026"/>
    <s v="18/06/2026"/>
    <n v="32"/>
    <s v="No"/>
    <s v=""/>
    <m/>
    <m/>
    <s v="*MAV180701405"/>
    <s v="*MAV180701405"/>
    <n v="1.3403520943056867E-3"/>
  </r>
  <r>
    <x v="45"/>
    <s v="Pesos"/>
    <d v="2026-07-22T00:00:00"/>
    <s v="20/07/2026"/>
    <n v="0.99819504999999997"/>
    <m/>
    <n v="1666000"/>
    <n v="1662992.95"/>
    <n v="1666000"/>
    <n v="1662992.95"/>
    <n v="2845"/>
    <s v="AMOMPY"/>
    <s v="Momentum Capital Investment S.A."/>
    <s v="29/05/2026"/>
    <s v="29/05/2026"/>
    <n v="33"/>
    <s v="No"/>
    <s v=""/>
    <m/>
    <m/>
    <s v="*MAV200701280"/>
    <s v="*MAV200701280"/>
    <n v="3.1898634733588625E-5"/>
  </r>
  <r>
    <x v="46"/>
    <s v="Pesos"/>
    <d v="2026-07-22T00:00:00"/>
    <s v="20/07/2026"/>
    <n v="0.99819504999999997"/>
    <m/>
    <n v="50000000"/>
    <n v="49909752.619999997"/>
    <n v="50000000"/>
    <n v="49909752.619999997"/>
    <n v="134"/>
    <s v="AMOMPY"/>
    <s v="Momentum Capital Investment S.A."/>
    <s v="13/05/2026"/>
    <s v="13/05/2026"/>
    <n v="33"/>
    <s v="No"/>
    <s v=""/>
    <m/>
    <m/>
    <s v="*MAV200701140"/>
    <s v="*MAV200701140"/>
    <n v="9.5734198300067826E-4"/>
  </r>
  <r>
    <x v="47"/>
    <s v="Pesos"/>
    <d v="2026-07-22T00:00:00"/>
    <s v="20/07/2026"/>
    <n v="0.99835885999999996"/>
    <m/>
    <n v="1606134"/>
    <n v="1603498.12"/>
    <n v="1606134"/>
    <n v="1603498.12"/>
    <n v="67236921"/>
    <s v="AMOMPY"/>
    <s v="Momentum Capital Investment S.A."/>
    <s v="16/06/2026"/>
    <s v="16/06/2026"/>
    <n v="30"/>
    <s v="No"/>
    <s v=""/>
    <m/>
    <m/>
    <s v="*MAV180701374"/>
    <s v="*MAV180701374"/>
    <n v="3.0757436960797736E-5"/>
  </r>
  <r>
    <x v="48"/>
    <s v="Pesos"/>
    <d v="2026-07-22T00:00:00"/>
    <s v="20/07/2026"/>
    <n v="0.99797670999999999"/>
    <m/>
    <n v="100000000"/>
    <n v="99797670.75"/>
    <n v="100000000"/>
    <n v="99797670.75"/>
    <n v="7376"/>
    <s v="AMOMPY"/>
    <s v="Momentum Capital Investment S.A."/>
    <s v="23/04/2026"/>
    <s v="23/04/2026"/>
    <n v="37"/>
    <s v="No"/>
    <s v=""/>
    <m/>
    <m/>
    <s v="*MAV200701047"/>
    <s v="*MAV200701047"/>
    <n v="1.9142651485787668E-3"/>
  </r>
  <r>
    <x v="49"/>
    <s v="Pesos"/>
    <d v="2026-07-22T00:00:00"/>
    <s v="20/07/2026"/>
    <n v="0.99835887000000001"/>
    <m/>
    <n v="15000000"/>
    <n v="14975383.01"/>
    <n v="15000000"/>
    <n v="14975383.01"/>
    <n v="2833124"/>
    <s v="AMOMPY"/>
    <s v="Momentum Capital Investment S.A."/>
    <s v="21/04/2026"/>
    <s v="21/04/2026"/>
    <n v="30"/>
    <s v="No"/>
    <s v=""/>
    <m/>
    <m/>
    <s v="*FID200700022"/>
    <s v="*FID200700022"/>
    <n v="2.872497280470004E-4"/>
  </r>
  <r>
    <x v="50"/>
    <s v="Pesos"/>
    <d v="2026-07-22T00:00:00"/>
    <s v="20/07/2026"/>
    <n v="0.99835887000000001"/>
    <m/>
    <n v="2700000"/>
    <n v="2695568.95"/>
    <n v="2700000"/>
    <n v="2695568.95"/>
    <n v="6266"/>
    <s v="AMOMPY"/>
    <s v="Momentum Capital Investment S.A."/>
    <s v="17/06/2026"/>
    <s v="17/06/2026"/>
    <n v="30"/>
    <s v="No"/>
    <s v=""/>
    <m/>
    <m/>
    <s v="*MAV180701390"/>
    <s v="*MAV180701390"/>
    <n v="5.1704951205748057E-5"/>
  </r>
  <r>
    <x v="12"/>
    <s v="Pesos"/>
    <d v="2026-07-22T00:00:00"/>
    <s v="20/07/2026"/>
    <n v="0.99803129000000002"/>
    <m/>
    <n v="5000000"/>
    <n v="4990156.45"/>
    <n v="5000000"/>
    <n v="4990156.45"/>
    <n v="40742990"/>
    <s v="AMOMPY"/>
    <s v="Momentum Capital Investment S.A."/>
    <s v="20/05/2026"/>
    <s v="20/05/2026"/>
    <n v="36"/>
    <s v="No"/>
    <s v=""/>
    <m/>
    <m/>
    <s v="*MAV200701203"/>
    <s v="*MAV200701203"/>
    <n v="9.5718492289465995E-5"/>
  </r>
  <r>
    <x v="51"/>
    <s v="Pesos"/>
    <d v="2026-07-22T00:00:00"/>
    <s v="20/07/2026"/>
    <n v="0.99808587000000004"/>
    <m/>
    <n v="2501996.42"/>
    <n v="2497207.2799999998"/>
    <n v="2501996.42"/>
    <n v="2497207.2799999998"/>
    <n v="8222"/>
    <s v="AMOMPY"/>
    <s v="Momentum Capital Investment S.A."/>
    <s v="11/06/2026"/>
    <s v="11/06/2026"/>
    <n v="35"/>
    <s v="No"/>
    <s v=""/>
    <m/>
    <m/>
    <s v="*MAV200701383"/>
    <s v="*MAV200701383"/>
    <n v="4.7900084530591889E-5"/>
  </r>
  <r>
    <x v="52"/>
    <s v="Pesos"/>
    <d v="2026-07-22T00:00:00"/>
    <s v="20/07/2026"/>
    <n v="0.99835885999999996"/>
    <m/>
    <n v="3533450.77"/>
    <n v="3527651.9"/>
    <n v="3533450.77"/>
    <n v="3527651.9"/>
    <n v="9755699"/>
    <s v="AMOMPY"/>
    <s v="Momentum Capital Investment S.A."/>
    <s v="16/06/2026"/>
    <s v="16/06/2026"/>
    <n v="30"/>
    <s v="No"/>
    <s v=""/>
    <m/>
    <m/>
    <s v="*MAV180701375"/>
    <s v="*MAV180701375"/>
    <n v="6.7665518019995155E-5"/>
  </r>
  <r>
    <x v="1"/>
    <s v="Pesos"/>
    <d v="2026-07-23T00:00:00"/>
    <s v="20/07/2026"/>
    <n v="0.99794943999999997"/>
    <m/>
    <n v="500000"/>
    <n v="498974.71999999997"/>
    <n v="500000"/>
    <n v="498974.71999999997"/>
    <n v="67962937"/>
    <s v="AMOMPY"/>
    <s v="Momentum Capital Investment S.A."/>
    <s v="30/06/2026"/>
    <s v="30/06/2026"/>
    <n v="25"/>
    <s v="No"/>
    <s v=""/>
    <m/>
    <m/>
    <s v="*MOV210700085"/>
    <s v="*MOV210700085"/>
    <n v="9.5710642276473014E-6"/>
  </r>
  <r>
    <x v="53"/>
    <s v="Pesos"/>
    <d v="2026-07-23T00:00:00"/>
    <s v="20/07/2026"/>
    <n v="0.99688646999999997"/>
    <m/>
    <n v="750000000"/>
    <n v="747664849.79999995"/>
    <n v="750000000"/>
    <n v="747664849.79999995"/>
    <n v="155861"/>
    <s v="AMOMPY"/>
    <s v="Momentum Capital Investment S.A."/>
    <s v="03/07/2026"/>
    <s v="03/07/2026"/>
    <n v="38"/>
    <s v="No"/>
    <s v=""/>
    <m/>
    <m/>
    <s v="#MAV220760062"/>
    <s v="#MAV220760062"/>
    <n v="1.4341304301328277E-2"/>
  </r>
  <r>
    <x v="54"/>
    <s v="Pesos"/>
    <d v="2026-07-23T00:00:00"/>
    <s v="20/07/2026"/>
    <n v="0.99729502000000003"/>
    <m/>
    <n v="2387682"/>
    <n v="2381223.37"/>
    <n v="2387682"/>
    <n v="2381223.37"/>
    <n v="84084371"/>
    <s v="AMOMPY"/>
    <s v="Momentum Capital Investment S.A."/>
    <s v="29/05/2026"/>
    <s v="29/05/2026"/>
    <n v="33"/>
    <s v="No"/>
    <s v=""/>
    <m/>
    <m/>
    <s v="*MAV210701389"/>
    <s v="*MAV210701389"/>
    <n v="4.5675343661989043E-5"/>
  </r>
  <r>
    <x v="55"/>
    <s v="Pesos"/>
    <d v="2026-07-23T00:00:00"/>
    <s v="20/07/2026"/>
    <n v="0.99713154000000004"/>
    <m/>
    <n v="5450000"/>
    <n v="5434366.9000000004"/>
    <n v="5450000"/>
    <n v="5434366.9000000004"/>
    <n v="6898"/>
    <s v="AMOMPY"/>
    <s v="Momentum Capital Investment S.A."/>
    <s v="20/04/2026"/>
    <s v="20/04/2026"/>
    <n v="35"/>
    <s v="No"/>
    <s v=""/>
    <m/>
    <m/>
    <s v="*MAV210701206"/>
    <s v="*MAV210701206"/>
    <n v="1.0423909779738053E-4"/>
  </r>
  <r>
    <x v="0"/>
    <s v="Pesos"/>
    <d v="2026-07-23T00:00:00"/>
    <s v="20/07/2026"/>
    <n v="0.99762211999999995"/>
    <m/>
    <n v="5000000"/>
    <n v="4988110.58"/>
    <n v="5000000"/>
    <n v="4988110.58"/>
    <n v="16779602"/>
    <s v="AMOMPY"/>
    <s v="Momentum Capital Investment S.A."/>
    <s v="30/04/2026"/>
    <s v="30/04/2026"/>
    <n v="29"/>
    <s v="No"/>
    <s v=""/>
    <m/>
    <m/>
    <s v="*INP210700080"/>
    <s v="*INP210700080"/>
    <n v="9.5679249513456381E-5"/>
  </r>
  <r>
    <x v="40"/>
    <s v="Pesos"/>
    <d v="2026-07-23T00:00:00"/>
    <s v="20/07/2026"/>
    <n v="0.99770391000000003"/>
    <m/>
    <n v="6500000"/>
    <n v="6485075.4500000002"/>
    <n v="6500000"/>
    <n v="6485075.4500000002"/>
    <n v="29175489"/>
    <s v="AMOMPY"/>
    <s v="Momentum Capital Investment S.A."/>
    <s v="04/05/2026"/>
    <s v="04/05/2026"/>
    <n v="28"/>
    <s v="No"/>
    <s v=""/>
    <m/>
    <m/>
    <s v="*CUY210700026"/>
    <s v="*CUY210700026"/>
    <n v="1.2439322307368343E-4"/>
  </r>
  <r>
    <x v="7"/>
    <s v="Pesos"/>
    <d v="2026-07-23T00:00:00"/>
    <s v="20/07/2026"/>
    <n v="0.99754032000000004"/>
    <m/>
    <n v="10000000"/>
    <n v="9975403.2200000007"/>
    <n v="10000000"/>
    <n v="9975403.2200000007"/>
    <n v="547"/>
    <s v="AMOMPY"/>
    <s v="Momentum Capital Investment S.A."/>
    <s v="21/05/2026"/>
    <s v="21/05/2026"/>
    <n v="30"/>
    <s v="No"/>
    <s v=""/>
    <m/>
    <m/>
    <s v="*MAV210701333"/>
    <s v="*MAV210701333"/>
    <n v="1.913428097425451E-4"/>
  </r>
  <r>
    <x v="56"/>
    <s v="Pesos"/>
    <d v="2026-07-23T00:00:00"/>
    <s v="20/07/2026"/>
    <n v="0.99704981999999998"/>
    <m/>
    <n v="1250000"/>
    <n v="1246312.28"/>
    <n v="1250000"/>
    <n v="1246312.28"/>
    <n v="2503"/>
    <s v="AMOMPY"/>
    <s v="Momentum Capital Investment S.A."/>
    <s v="15/05/2026"/>
    <s v="15/05/2026"/>
    <n v="36"/>
    <s v="No"/>
    <s v=""/>
    <m/>
    <m/>
    <s v="*MAV210701311"/>
    <s v="*MAV210701311"/>
    <n v="2.3906090632378224E-5"/>
  </r>
  <r>
    <x v="29"/>
    <s v="Pesos"/>
    <d v="2026-07-23T00:00:00"/>
    <s v="20/07/2026"/>
    <n v="0.99672311000000002"/>
    <m/>
    <n v="10000000"/>
    <n v="9967231.0700000003"/>
    <n v="10000000"/>
    <n v="9967231.0700000003"/>
    <n v="4093"/>
    <s v="AMOMPY"/>
    <s v="Momentum Capital Investment S.A."/>
    <s v="17/04/2026"/>
    <s v="17/04/2026"/>
    <n v="40"/>
    <s v="No"/>
    <s v=""/>
    <m/>
    <m/>
    <s v="*MAV210701197"/>
    <s v="*MAV210701197"/>
    <n v="1.9118605596446197E-4"/>
  </r>
  <r>
    <x v="57"/>
    <s v="Pesos"/>
    <d v="2026-07-23T00:00:00"/>
    <s v="20/07/2026"/>
    <n v="0.99770391999999997"/>
    <m/>
    <n v="50000000"/>
    <n v="49885195.909999996"/>
    <n v="50000000"/>
    <n v="49885195.909999996"/>
    <n v="4576"/>
    <s v="AMOMPY"/>
    <s v="Momentum Capital Investment S.A."/>
    <s v="05/05/2026"/>
    <s v="05/05/2026"/>
    <n v="28"/>
    <s v="No"/>
    <s v=""/>
    <m/>
    <m/>
    <s v="*BIF210700008"/>
    <s v="*BIF210700008"/>
    <n v="9.5687094942080127E-4"/>
  </r>
  <r>
    <x v="43"/>
    <s v="Pesos"/>
    <d v="2026-07-23T00:00:00"/>
    <s v="20/07/2026"/>
    <n v="0.99762211999999995"/>
    <m/>
    <n v="25000000"/>
    <n v="24940552.91"/>
    <n v="25000000"/>
    <n v="24940552.91"/>
    <n v="3419"/>
    <s v="AMOMPY"/>
    <s v="Momentum Capital Investment S.A."/>
    <s v="30/04/2026"/>
    <s v="30/04/2026"/>
    <n v="29"/>
    <s v="No"/>
    <s v=""/>
    <m/>
    <m/>
    <s v="*MIL210700043"/>
    <s v="*MIL210700043"/>
    <n v="4.7839624775909651E-4"/>
  </r>
  <r>
    <x v="43"/>
    <s v="Pesos"/>
    <d v="2026-07-23T00:00:00"/>
    <s v="20/07/2026"/>
    <n v="0.99762211999999995"/>
    <m/>
    <n v="10000000"/>
    <n v="9976221.1600000001"/>
    <n v="10000000"/>
    <n v="9976221.1600000001"/>
    <n v="66581742"/>
    <s v="AMOMPY"/>
    <s v="Momentum Capital Investment S.A."/>
    <s v="30/04/2026"/>
    <s v="30/04/2026"/>
    <n v="29"/>
    <s v="No"/>
    <s v=""/>
    <m/>
    <m/>
    <s v="*MIL210700044"/>
    <s v="*MIL210700044"/>
    <n v="1.9135849902691276E-4"/>
  </r>
  <r>
    <x v="58"/>
    <s v="Pesos"/>
    <d v="2026-07-23T00:00:00"/>
    <s v="20/07/2026"/>
    <n v="0.99754032000000004"/>
    <m/>
    <n v="100000000"/>
    <n v="99754032.200000003"/>
    <n v="100000000"/>
    <n v="99754032.200000003"/>
    <n v="16751418"/>
    <s v="AMOMPY"/>
    <s v="Momentum Capital Investment S.A."/>
    <s v="18/06/2026"/>
    <s v="18/06/2026"/>
    <n v="30"/>
    <s v="No"/>
    <s v=""/>
    <m/>
    <m/>
    <s v="*MAV210701515"/>
    <s v="*MAV210701515"/>
    <n v="1.913428097425451E-3"/>
  </r>
  <r>
    <x v="59"/>
    <s v="Pesos"/>
    <d v="2026-07-23T00:00:00"/>
    <s v="20/07/2026"/>
    <n v="0.99770391999999997"/>
    <m/>
    <n v="25000000"/>
    <n v="24942598.050000001"/>
    <n v="25000000"/>
    <n v="24942598.050000001"/>
    <n v="895"/>
    <s v="AMOMPY"/>
    <s v="Momentum Capital Investment S.A."/>
    <s v="22/04/2026"/>
    <s v="22/04/2026"/>
    <n v="28"/>
    <s v="No"/>
    <s v=""/>
    <m/>
    <m/>
    <s v="*TRD210700023"/>
    <s v="*TRD210700023"/>
    <n v="4.784354765326395E-4"/>
  </r>
  <r>
    <x v="60"/>
    <s v="Pesos"/>
    <d v="2026-07-23T00:00:00"/>
    <s v="20/07/2026"/>
    <n v="0.99754034000000003"/>
    <m/>
    <n v="330000"/>
    <n v="329188.31"/>
    <n v="330000"/>
    <n v="329188.31"/>
    <n v="9918440"/>
    <s v="AMOMPY"/>
    <s v="Momentum Capital Investment S.A."/>
    <s v="30/06/2026"/>
    <s v="30/06/2026"/>
    <n v="30"/>
    <s v="No"/>
    <s v=""/>
    <m/>
    <m/>
    <s v="*MAV210701647"/>
    <s v="*MAV210701647"/>
    <n v="6.3143127932426529E-6"/>
  </r>
  <r>
    <x v="60"/>
    <s v="Pesos"/>
    <d v="2026-07-23T00:00:00"/>
    <s v="20/07/2026"/>
    <n v="0.99754034999999996"/>
    <m/>
    <n v="415000"/>
    <n v="413979.25"/>
    <n v="415000"/>
    <n v="413979.25"/>
    <n v="9918434"/>
    <s v="AMOMPY"/>
    <s v="Momentum Capital Investment S.A."/>
    <s v="30/06/2026"/>
    <s v="30/06/2026"/>
    <n v="30"/>
    <s v="No"/>
    <s v=""/>
    <m/>
    <m/>
    <s v="*MAV210701646"/>
    <s v="*MAV210701646"/>
    <n v="7.9407269183161411E-6"/>
  </r>
  <r>
    <x v="16"/>
    <s v="Pesos"/>
    <d v="2026-07-24T00:00:00"/>
    <s v="20/07/2026"/>
    <n v="0.99683199"/>
    <m/>
    <n v="12500000"/>
    <n v="12460399.890000001"/>
    <n v="12500000"/>
    <n v="12460399.890000001"/>
    <n v="28996510"/>
    <s v="AMOMPY"/>
    <s v="Momentum Capital Investment S.A."/>
    <s v="31/03/2026"/>
    <s v="31/03/2026"/>
    <n v="29"/>
    <s v="No"/>
    <s v=""/>
    <m/>
    <m/>
    <s v="*AAR220700016"/>
    <s v="*AAR220700016"/>
    <n v="2.3900867693128698E-4"/>
  </r>
  <r>
    <x v="1"/>
    <s v="Pesos"/>
    <d v="2026-07-24T00:00:00"/>
    <s v="20/07/2026"/>
    <n v="0.99726778000000005"/>
    <m/>
    <n v="1754500"/>
    <n v="1749706.31"/>
    <n v="1754500"/>
    <n v="1749706.31"/>
    <n v="1420"/>
    <s v="AMOMPY"/>
    <s v="Momentum Capital Investment S.A."/>
    <s v="30/06/2026"/>
    <s v="30/06/2026"/>
    <n v="25"/>
    <s v="No"/>
    <s v=""/>
    <m/>
    <m/>
    <s v="*MOV220700094"/>
    <s v="*MOV220700094"/>
    <n v="3.3561923683287524E-5"/>
  </r>
  <r>
    <x v="1"/>
    <s v="Pesos"/>
    <d v="2026-07-24T00:00:00"/>
    <s v="20/07/2026"/>
    <n v="0.99726777"/>
    <m/>
    <n v="1000000"/>
    <n v="997267.77"/>
    <n v="1000000"/>
    <n v="997267.77"/>
    <n v="852"/>
    <s v="AMOMPY"/>
    <s v="Momentum Capital Investment S.A."/>
    <s v="30/06/2026"/>
    <s v="30/06/2026"/>
    <n v="25"/>
    <s v="No"/>
    <s v=""/>
    <m/>
    <m/>
    <s v="*MOV220700093"/>
    <s v="*MOV220700093"/>
    <n v="1.9129053028643609E-5"/>
  </r>
  <r>
    <x v="1"/>
    <s v="Pesos"/>
    <d v="2026-07-24T00:00:00"/>
    <s v="20/07/2026"/>
    <n v="0.99726778000000005"/>
    <m/>
    <n v="755183.27"/>
    <n v="753119.94"/>
    <n v="755183.27"/>
    <n v="753119.94"/>
    <n v="1857772"/>
    <s v="AMOMPY"/>
    <s v="Momentum Capital Investment S.A."/>
    <s v="30/06/2026"/>
    <s v="30/06/2026"/>
    <n v="25"/>
    <s v="No"/>
    <s v=""/>
    <m/>
    <m/>
    <s v="*MOV220700091"/>
    <s v="*MOV220700091"/>
    <n v="1.4445940902300385E-5"/>
  </r>
  <r>
    <x v="1"/>
    <s v="Pesos"/>
    <d v="2026-07-24T00:00:00"/>
    <s v="20/07/2026"/>
    <n v="0.99726778000000005"/>
    <m/>
    <n v="700000"/>
    <n v="698087.44"/>
    <n v="700000"/>
    <n v="698087.44"/>
    <n v="816"/>
    <s v="AMOMPY"/>
    <s v="Momentum Capital Investment S.A."/>
    <s v="30/06/2026"/>
    <s v="30/06/2026"/>
    <n v="25"/>
    <s v="No"/>
    <s v=""/>
    <m/>
    <m/>
    <s v="*MOV220700092"/>
    <s v="*MOV220700092"/>
    <n v="1.3390337139231987E-5"/>
  </r>
  <r>
    <x v="61"/>
    <s v="Pesos"/>
    <d v="2026-07-24T00:00:00"/>
    <s v="20/07/2026"/>
    <n v="0.99639661000000002"/>
    <m/>
    <n v="2429673.98"/>
    <n v="2420918.91"/>
    <n v="2429673.98"/>
    <n v="2420918.91"/>
    <n v="26"/>
    <s v="AMOMPY"/>
    <s v="Momentum Capital Investment S.A."/>
    <s v="29/05/2026"/>
    <s v="29/05/2026"/>
    <n v="33"/>
    <s v="No"/>
    <s v=""/>
    <m/>
    <m/>
    <s v="*MAV220701449"/>
    <s v="*MAV220701449"/>
    <n v="4.6436762122008704E-5"/>
  </r>
  <r>
    <x v="18"/>
    <s v="Pesos"/>
    <d v="2026-07-24T00:00:00"/>
    <s v="20/07/2026"/>
    <n v="0.99639661000000002"/>
    <m/>
    <n v="1134249.7"/>
    <n v="1130162.55"/>
    <n v="1134249.7"/>
    <n v="1130162.55"/>
    <n v="2230"/>
    <s v="AMOMPY"/>
    <s v="Momentum Capital Investment S.A."/>
    <s v="29/05/2026"/>
    <s v="29/05/2026"/>
    <n v="33"/>
    <s v="No"/>
    <s v=""/>
    <m/>
    <m/>
    <s v="*MAV220701450"/>
    <s v="*MAV220701450"/>
    <n v="2.167816909388046E-5"/>
  </r>
  <r>
    <x v="0"/>
    <s v="Pesos"/>
    <d v="2026-07-24T00:00:00"/>
    <s v="20/07/2026"/>
    <n v="0.99672311000000002"/>
    <m/>
    <n v="1040000"/>
    <n v="1036592.03"/>
    <n v="1040000"/>
    <n v="1036592.03"/>
    <n v="12201550"/>
    <s v="AMOMPY"/>
    <s v="Momentum Capital Investment S.A."/>
    <s v="30/04/2026"/>
    <s v="30/04/2026"/>
    <n v="30"/>
    <s v="No"/>
    <s v=""/>
    <m/>
    <m/>
    <s v="*INP220700080"/>
    <s v="*INP220700080"/>
    <n v="1.9883349795751774E-5"/>
  </r>
  <r>
    <x v="0"/>
    <s v="Pesos"/>
    <d v="2026-07-24T00:00:00"/>
    <s v="20/07/2026"/>
    <n v="0.99683200000000005"/>
    <m/>
    <n v="5000000"/>
    <n v="4984159.9800000004"/>
    <n v="5000000"/>
    <n v="4984159.9800000004"/>
    <n v="16779603"/>
    <s v="AMOMPY"/>
    <s v="Momentum Capital Investment S.A."/>
    <s v="30/04/2026"/>
    <s v="30/04/2026"/>
    <n v="29"/>
    <s v="No"/>
    <s v=""/>
    <m/>
    <m/>
    <s v="*INP220700079"/>
    <s v="*INP220700079"/>
    <n v="9.5603471232869863E-5"/>
  </r>
  <r>
    <x v="62"/>
    <s v="Pesos"/>
    <d v="2026-07-24T00:00:00"/>
    <s v="20/07/2026"/>
    <n v="0.99672311000000002"/>
    <m/>
    <n v="6013017.5"/>
    <n v="5993313.5099999998"/>
    <n v="6013017.5"/>
    <n v="5993313.5099999998"/>
    <n v="66632353"/>
    <s v="AMOMPY"/>
    <s v="Momentum Capital Investment S.A."/>
    <s v="30/04/2026"/>
    <s v="30/04/2026"/>
    <n v="30"/>
    <s v="No"/>
    <s v=""/>
    <m/>
    <m/>
    <s v="*MAV220701306"/>
    <s v="*MAV220701306"/>
    <n v="1.1496051050569514E-4"/>
  </r>
  <r>
    <x v="62"/>
    <s v="Pesos"/>
    <d v="2026-07-24T00:00:00"/>
    <s v="20/07/2026"/>
    <n v="0.99672311000000002"/>
    <m/>
    <n v="6013017.5"/>
    <n v="5993313.5099999998"/>
    <n v="6013017.5"/>
    <n v="5993313.5099999998"/>
    <n v="66632320"/>
    <s v="AMOMPY"/>
    <s v="Momentum Capital Investment S.A."/>
    <s v="30/04/2026"/>
    <s v="30/04/2026"/>
    <n v="30"/>
    <s v="No"/>
    <s v=""/>
    <m/>
    <m/>
    <s v="*MAV220701307"/>
    <s v="*MAV220701307"/>
    <n v="1.1496051050569514E-4"/>
  </r>
  <r>
    <x v="62"/>
    <s v="Pesos"/>
    <d v="2026-07-24T00:00:00"/>
    <s v="20/07/2026"/>
    <n v="0.99672311000000002"/>
    <m/>
    <n v="6013017.5"/>
    <n v="5993313.5099999998"/>
    <n v="6013017.5"/>
    <n v="5993313.5099999998"/>
    <n v="66632294"/>
    <s v="AMOMPY"/>
    <s v="Momentum Capital Investment S.A."/>
    <s v="30/04/2026"/>
    <s v="30/04/2026"/>
    <n v="30"/>
    <s v="No"/>
    <s v=""/>
    <m/>
    <m/>
    <s v="*MAV220701308"/>
    <s v="*MAV220701308"/>
    <n v="1.1496051050569514E-4"/>
  </r>
  <r>
    <x v="6"/>
    <s v="Pesos"/>
    <d v="2026-07-24T00:00:00"/>
    <s v="20/07/2026"/>
    <n v="0.99781302000000005"/>
    <m/>
    <n v="2500000"/>
    <n v="2494532.56"/>
    <n v="2500000"/>
    <n v="2494532.56"/>
    <n v="6126"/>
    <s v="AMOMPY"/>
    <s v="Momentum Capital Investment S.A."/>
    <s v="29/05/2026"/>
    <s v="29/05/2026"/>
    <n v="20"/>
    <s v="No"/>
    <s v=""/>
    <m/>
    <m/>
    <s v="*ACI220700283"/>
    <s v="*ACI220700283"/>
    <n v="4.7848779492711467E-5"/>
  </r>
  <r>
    <x v="63"/>
    <s v="Pesos"/>
    <d v="2026-07-24T00:00:00"/>
    <s v="20/07/2026"/>
    <n v="0.99694090000000002"/>
    <m/>
    <n v="15000000"/>
    <n v="14954113.449999999"/>
    <n v="15000000"/>
    <n v="14954113.449999999"/>
    <n v="29131906"/>
    <s v="AMOMPY"/>
    <s v="Momentum Capital Investment S.A."/>
    <s v="21/04/2026"/>
    <s v="21/04/2026"/>
    <n v="28"/>
    <s v="No"/>
    <s v=""/>
    <m/>
    <m/>
    <s v="*PRO220700012"/>
    <s v="*PRO220700012"/>
    <n v="2.868417468072819E-4"/>
  </r>
  <r>
    <x v="7"/>
    <s v="Pesos"/>
    <d v="2026-07-24T00:00:00"/>
    <s v="20/07/2026"/>
    <n v="0.99672311000000002"/>
    <m/>
    <n v="10000000"/>
    <n v="9967231.0600000005"/>
    <n v="10000000"/>
    <n v="9967231.0600000005"/>
    <n v="523"/>
    <s v="AMOMPY"/>
    <s v="Momentum Capital Investment S.A."/>
    <s v="20/05/2026"/>
    <s v="20/05/2026"/>
    <n v="30"/>
    <s v="No"/>
    <s v=""/>
    <m/>
    <m/>
    <s v="*MAV220701394"/>
    <s v="*MAV220701394"/>
    <n v="1.9118605577264736E-4"/>
  </r>
  <r>
    <x v="9"/>
    <s v="Pesos"/>
    <d v="2026-07-24T00:00:00"/>
    <s v="20/07/2026"/>
    <n v="0.99563557999999996"/>
    <m/>
    <n v="3500000"/>
    <n v="3484724.52"/>
    <n v="3500000"/>
    <n v="3484724.52"/>
    <n v="60524037"/>
    <s v="AMOMPY"/>
    <s v="Momentum Capital Investment S.A."/>
    <s v="06/03/2026"/>
    <s v="06/03/2026"/>
    <n v="40"/>
    <s v="No"/>
    <s v=""/>
    <m/>
    <m/>
    <s v="*MAV220701194"/>
    <s v="*MAV220701194"/>
    <n v="6.6842108146435581E-5"/>
  </r>
  <r>
    <x v="57"/>
    <s v="Pesos"/>
    <d v="2026-07-24T00:00:00"/>
    <s v="20/07/2026"/>
    <n v="0.99694088999999997"/>
    <m/>
    <n v="50000000"/>
    <n v="49847044.689999998"/>
    <n v="50000000"/>
    <n v="49847044.689999998"/>
    <n v="4635"/>
    <s v="AMOMPY"/>
    <s v="Momentum Capital Investment S.A."/>
    <s v="12/05/2026"/>
    <s v="12/05/2026"/>
    <n v="28"/>
    <s v="No"/>
    <s v=""/>
    <m/>
    <m/>
    <s v="*BIF220700005"/>
    <s v="*BIF220700005"/>
    <n v="9.5613915327493024E-4"/>
  </r>
  <r>
    <x v="43"/>
    <s v="Pesos"/>
    <d v="2026-07-24T00:00:00"/>
    <s v="20/07/2026"/>
    <n v="0.99683199"/>
    <m/>
    <n v="40000000"/>
    <n v="39873279.530000001"/>
    <n v="40000000"/>
    <n v="39873279.530000001"/>
    <n v="54026409"/>
    <s v="AMOMPY"/>
    <s v="Momentum Capital Investment S.A."/>
    <s v="28/04/2026"/>
    <s v="28/04/2026"/>
    <n v="29"/>
    <s v="No"/>
    <s v=""/>
    <m/>
    <m/>
    <s v="*MIL220700040"/>
    <s v="*MIL220700040"/>
    <n v="7.6482776391670587E-4"/>
  </r>
  <r>
    <x v="43"/>
    <s v="Pesos"/>
    <d v="2026-07-24T00:00:00"/>
    <s v="20/07/2026"/>
    <n v="0.99683199"/>
    <m/>
    <n v="12500000"/>
    <n v="12460399.84"/>
    <n v="12500000"/>
    <n v="12460399.84"/>
    <n v="4954"/>
    <s v="AMOMPY"/>
    <s v="Momentum Capital Investment S.A."/>
    <s v="24/04/2026"/>
    <s v="24/04/2026"/>
    <n v="29"/>
    <s v="No"/>
    <s v=""/>
    <m/>
    <m/>
    <s v="*MIL220700038"/>
    <s v="*MIL220700038"/>
    <n v="2.3900867597221391E-4"/>
  </r>
  <r>
    <x v="43"/>
    <s v="Pesos"/>
    <d v="2026-07-24T00:00:00"/>
    <s v="20/07/2026"/>
    <n v="0.99672311000000002"/>
    <m/>
    <n v="10000000"/>
    <n v="9967231.0999999996"/>
    <n v="10000000"/>
    <n v="9967231.0999999996"/>
    <n v="1372330"/>
    <s v="AMOMPY"/>
    <s v="Momentum Capital Investment S.A."/>
    <s v="01/04/2026"/>
    <s v="01/04/2026"/>
    <n v="30"/>
    <s v="No"/>
    <s v=""/>
    <m/>
    <m/>
    <s v="*MIL220700034"/>
    <s v="*MIL220700034"/>
    <n v="1.911860565399058E-4"/>
  </r>
  <r>
    <x v="43"/>
    <s v="Pesos"/>
    <d v="2026-07-24T00:00:00"/>
    <s v="20/07/2026"/>
    <n v="0.99683199"/>
    <m/>
    <n v="20000000"/>
    <n v="19936639.789999999"/>
    <n v="20000000"/>
    <n v="19936639.789999999"/>
    <n v="66179083"/>
    <s v="AMOMPY"/>
    <s v="Momentum Capital Investment S.A."/>
    <s v="14/04/2026"/>
    <s v="14/04/2026"/>
    <n v="29"/>
    <s v="No"/>
    <s v=""/>
    <m/>
    <m/>
    <s v="*MIL220700035"/>
    <s v="*MIL220700035"/>
    <n v="3.8241388243788948E-4"/>
  </r>
  <r>
    <x v="43"/>
    <s v="Pesos"/>
    <d v="2026-07-24T00:00:00"/>
    <s v="20/07/2026"/>
    <n v="0.99683199"/>
    <m/>
    <n v="10000000"/>
    <n v="9968319.9000000004"/>
    <n v="10000000"/>
    <n v="9968319.9000000004"/>
    <n v="491333"/>
    <s v="AMOMPY"/>
    <s v="Momentum Capital Investment S.A."/>
    <s v="14/04/2026"/>
    <s v="14/04/2026"/>
    <n v="29"/>
    <s v="No"/>
    <s v=""/>
    <m/>
    <m/>
    <s v="*MIL220700036"/>
    <s v="*MIL220700036"/>
    <n v="1.9120694131485205E-4"/>
  </r>
  <r>
    <x v="64"/>
    <s v="Pesos"/>
    <d v="2026-07-24T00:00:00"/>
    <s v="20/07/2026"/>
    <n v="0.99617904000000002"/>
    <m/>
    <n v="16600000"/>
    <n v="16536572.130000001"/>
    <n v="16600000"/>
    <n v="16536572.130000001"/>
    <n v="290"/>
    <s v="AMOMPY"/>
    <s v="Momentum Capital Investment S.A."/>
    <s v="14/04/2026"/>
    <s v="14/04/2026"/>
    <n v="35"/>
    <s v="No"/>
    <s v=""/>
    <m/>
    <m/>
    <s v="*MAV220701228"/>
    <s v="*MAV220701228"/>
    <n v="3.1719561656621073E-4"/>
  </r>
  <r>
    <x v="65"/>
    <s v="Pesos"/>
    <d v="2026-07-24T00:00:00"/>
    <s v="20/07/2026"/>
    <n v="0.99737677000000002"/>
    <m/>
    <n v="102070231.67"/>
    <n v="101802478.34999999"/>
    <n v="102070231.67"/>
    <n v="101802478.34999999"/>
    <n v="85"/>
    <s v="AMOMPY"/>
    <s v="Momentum Capital Investment S.A."/>
    <s v="17/07/2026"/>
    <s v="17/07/2026"/>
    <n v="24"/>
    <s v="No"/>
    <s v=""/>
    <m/>
    <m/>
    <s v="%TCP230700001"/>
    <s v="%TCP230700001"/>
    <n v="1.9527202877563093E-3"/>
  </r>
  <r>
    <x v="66"/>
    <s v="Pesos"/>
    <d v="2026-07-24T00:00:00"/>
    <s v="20/07/2026"/>
    <n v="0.99726777"/>
    <m/>
    <n v="100000000"/>
    <n v="99726777.120000005"/>
    <n v="100000000"/>
    <n v="99726777.120000005"/>
    <n v="11967244"/>
    <s v="AMOMPY"/>
    <s v="Momentum Capital Investment S.A."/>
    <s v="03/07/2026"/>
    <s v="03/07/2026"/>
    <n v="25"/>
    <s v="No"/>
    <s v=""/>
    <m/>
    <m/>
    <s v="*AFB220700009"/>
    <s v="*AFB220700009"/>
    <n v="1.9129053051661364E-3"/>
  </r>
  <r>
    <x v="58"/>
    <s v="Pesos"/>
    <d v="2026-07-24T00:00:00"/>
    <s v="20/07/2026"/>
    <n v="0.99672311999999996"/>
    <m/>
    <n v="100000000"/>
    <n v="99672311.599999994"/>
    <n v="100000000"/>
    <n v="99672311.599999994"/>
    <n v="16751419"/>
    <s v="AMOMPY"/>
    <s v="Momentum Capital Investment S.A."/>
    <s v="19/06/2026"/>
    <s v="19/06/2026"/>
    <n v="30"/>
    <s v="No"/>
    <s v=""/>
    <m/>
    <m/>
    <s v="*MAV220701632"/>
    <s v="*MAV220701632"/>
    <n v="1.9118605769079347E-3"/>
  </r>
  <r>
    <x v="67"/>
    <s v="Pesos"/>
    <d v="2026-07-24T00:00:00"/>
    <s v="20/07/2026"/>
    <n v="0.99672311999999996"/>
    <m/>
    <n v="2734537"/>
    <n v="2725576.25"/>
    <n v="2734537"/>
    <n v="2725576.25"/>
    <n v="890"/>
    <s v="AMOMPY"/>
    <s v="Momentum Capital Investment S.A."/>
    <s v="30/06/2026"/>
    <s v="30/06/2026"/>
    <n v="30"/>
    <s v="No"/>
    <s v=""/>
    <m/>
    <m/>
    <s v="*MAV220701753"/>
    <s v="*MAV220701753"/>
    <n v="5.2280535066185478E-5"/>
  </r>
  <r>
    <x v="0"/>
    <s v="Pesos"/>
    <d v="2026-07-27T00:00:00"/>
    <s v="20/07/2026"/>
    <n v="0.99446911999999998"/>
    <m/>
    <n v="5000000"/>
    <n v="4972345.6100000003"/>
    <n v="5000000"/>
    <n v="4972345.6100000003"/>
    <n v="16779576"/>
    <s v="AMOMPY"/>
    <s v="Momentum Capital Investment S.A."/>
    <s v="20/04/2026"/>
    <s v="20/04/2026"/>
    <n v="29"/>
    <s v="No"/>
    <s v=""/>
    <m/>
    <m/>
    <s v="*INP230700044"/>
    <s v="*INP230700044"/>
    <n v="9.5376854353202716E-5"/>
  </r>
  <r>
    <x v="68"/>
    <s v="Pesos"/>
    <d v="2026-07-27T00:00:00"/>
    <s v="20/07/2026"/>
    <n v="0.99446911999999998"/>
    <m/>
    <n v="100000000"/>
    <n v="99446912.459999993"/>
    <n v="100000000"/>
    <n v="99446912.459999993"/>
    <n v="90003809"/>
    <s v="AMOMPY"/>
    <s v="Momentum Capital Investment S.A."/>
    <s v="03/06/2026"/>
    <s v="03/06/2026"/>
    <n v="29"/>
    <s v="No"/>
    <s v=""/>
    <m/>
    <m/>
    <s v="*MAV230701137"/>
    <s v="*MAV230701137"/>
    <n v="1.907537092051234E-3"/>
  </r>
  <r>
    <x v="1"/>
    <s v="Pesos"/>
    <d v="2026-07-27T00:00:00"/>
    <s v="20/07/2026"/>
    <n v="0.99522838999999996"/>
    <m/>
    <n v="250000"/>
    <n v="248807.1"/>
    <n v="250000"/>
    <n v="248807.1"/>
    <n v="846"/>
    <s v="AMOMPY"/>
    <s v="Momentum Capital Investment S.A."/>
    <s v="30/06/2026"/>
    <s v="30/06/2026"/>
    <n v="25"/>
    <s v="No"/>
    <s v=""/>
    <m/>
    <m/>
    <s v="*MOV230700077"/>
    <s v="*MOV230700077"/>
    <n v="4.7724837330329384E-6"/>
  </r>
  <r>
    <x v="1"/>
    <s v="Pesos"/>
    <d v="2026-07-27T00:00:00"/>
    <s v="20/07/2026"/>
    <n v="0.99522840000000001"/>
    <m/>
    <n v="2874076.13"/>
    <n v="2860362.18"/>
    <n v="2874076.13"/>
    <n v="2860362.18"/>
    <n v="186"/>
    <s v="AMOMPY"/>
    <s v="Momentum Capital Investment S.A."/>
    <s v="30/06/2026"/>
    <s v="30/06/2026"/>
    <n v="25"/>
    <s v="No"/>
    <s v=""/>
    <m/>
    <m/>
    <s v="*MOV230700079"/>
    <s v="*MOV230700079"/>
    <n v="5.4865926151756256E-5"/>
  </r>
  <r>
    <x v="1"/>
    <s v="Pesos"/>
    <d v="2026-07-27T00:00:00"/>
    <s v="20/07/2026"/>
    <n v="0.99522838000000002"/>
    <m/>
    <n v="323998.15999999997"/>
    <n v="322452.15999999997"/>
    <n v="323998.15999999997"/>
    <n v="322452.15999999997"/>
    <n v="9929"/>
    <s v="AMOMPY"/>
    <s v="Momentum Capital Investment S.A."/>
    <s v="30/06/2026"/>
    <s v="30/06/2026"/>
    <n v="25"/>
    <s v="No"/>
    <s v=""/>
    <m/>
    <m/>
    <s v="*MOV230700078"/>
    <s v="*MOV230700078"/>
    <n v="6.1851035934317557E-6"/>
  </r>
  <r>
    <x v="69"/>
    <s v="Pesos"/>
    <d v="2026-07-27T00:00:00"/>
    <s v="20/07/2026"/>
    <n v="0.99541838000000005"/>
    <m/>
    <n v="1068909.47"/>
    <n v="1064012.1299999999"/>
    <n v="1068909.47"/>
    <n v="1064012.1299999999"/>
    <n v="612119"/>
    <s v="AMOMPY"/>
    <s v="Momentum Capital Investment S.A."/>
    <s v="29/05/2026"/>
    <s v="29/05/2026"/>
    <n v="24"/>
    <s v="No"/>
    <s v=""/>
    <m/>
    <m/>
    <s v="*MAV230701095"/>
    <s v="*MAV230701095"/>
    <n v="2.0409307379792325E-5"/>
  </r>
  <r>
    <x v="69"/>
    <s v="Pesos"/>
    <d v="2026-07-27T00:00:00"/>
    <s v="20/07/2026"/>
    <n v="0.99541838999999999"/>
    <m/>
    <n v="505653.95"/>
    <n v="503337.24"/>
    <n v="505653.95"/>
    <n v="503337.24"/>
    <n v="612156"/>
    <s v="AMOMPY"/>
    <s v="Momentum Capital Investment S.A."/>
    <s v="29/05/2026"/>
    <s v="29/05/2026"/>
    <n v="24"/>
    <s v="No"/>
    <s v=""/>
    <m/>
    <m/>
    <s v="*MAV230701094"/>
    <s v="*MAV230701094"/>
    <n v="9.6547437357281832E-6"/>
  </r>
  <r>
    <x v="69"/>
    <s v="Pesos"/>
    <d v="2026-07-27T00:00:00"/>
    <s v="20/07/2026"/>
    <n v="0.99541837"/>
    <m/>
    <n v="8802443.9000000004"/>
    <n v="8762114.3800000008"/>
    <n v="8802443.9000000004"/>
    <n v="8762114.3800000008"/>
    <n v="612236"/>
    <s v="AMOMPY"/>
    <s v="Momentum Capital Investment S.A."/>
    <s v="29/05/2026"/>
    <s v="29/05/2026"/>
    <n v="24"/>
    <s v="No"/>
    <s v=""/>
    <m/>
    <m/>
    <s v="*MAV230701096"/>
    <s v="*MAV230701096"/>
    <n v="1.6807015694296501E-4"/>
  </r>
  <r>
    <x v="69"/>
    <s v="Pesos"/>
    <d v="2026-07-27T00:00:00"/>
    <s v="20/07/2026"/>
    <n v="0.99541837"/>
    <m/>
    <n v="970094.59"/>
    <n v="965649.97"/>
    <n v="970094.59"/>
    <n v="965649.97"/>
    <n v="612136"/>
    <s v="AMOMPY"/>
    <s v="Momentum Capital Investment S.A."/>
    <s v="29/05/2026"/>
    <s v="29/05/2026"/>
    <n v="24"/>
    <s v="No"/>
    <s v=""/>
    <m/>
    <m/>
    <s v="*MAV230701097"/>
    <s v="*MAV230701097"/>
    <n v="1.8522577424955899E-5"/>
  </r>
  <r>
    <x v="69"/>
    <s v="Pesos"/>
    <d v="2026-07-27T00:00:00"/>
    <s v="20/07/2026"/>
    <n v="0.99541838000000005"/>
    <m/>
    <n v="1044096.2"/>
    <n v="1039312.55"/>
    <n v="1044096.2"/>
    <n v="1039312.55"/>
    <n v="612237"/>
    <s v="AMOMPY"/>
    <s v="Momentum Capital Investment S.A."/>
    <s v="29/05/2026"/>
    <s v="29/05/2026"/>
    <n v="24"/>
    <s v="No"/>
    <s v=""/>
    <m/>
    <m/>
    <s v="*MAV230701098"/>
    <s v="*MAV230701098"/>
    <n v="1.9935533344554808E-5"/>
  </r>
  <r>
    <x v="69"/>
    <s v="Pesos"/>
    <d v="2026-07-27T00:00:00"/>
    <s v="20/07/2026"/>
    <n v="0.99541837"/>
    <m/>
    <n v="3745855.84"/>
    <n v="3728693.73"/>
    <n v="3745855.84"/>
    <n v="3728693.73"/>
    <n v="612155"/>
    <s v="AMOMPY"/>
    <s v="Momentum Capital Investment S.A."/>
    <s v="29/05/2026"/>
    <s v="29/05/2026"/>
    <n v="24"/>
    <s v="No"/>
    <s v=""/>
    <m/>
    <m/>
    <s v="*MAV230701099"/>
    <s v="*MAV230701099"/>
    <n v="7.1521794080180634E-5"/>
  </r>
  <r>
    <x v="69"/>
    <s v="Pesos"/>
    <d v="2026-07-27T00:00:00"/>
    <s v="20/07/2026"/>
    <n v="0.99541840000000004"/>
    <m/>
    <n v="128742.88"/>
    <n v="128153.03"/>
    <n v="128742.88"/>
    <n v="128153.03"/>
    <n v="612126"/>
    <s v="AMOMPY"/>
    <s v="Momentum Capital Investment S.A."/>
    <s v="29/05/2026"/>
    <s v="29/05/2026"/>
    <n v="24"/>
    <s v="No"/>
    <s v=""/>
    <m/>
    <m/>
    <s v="*MAV230701100"/>
    <s v="*MAV230701100"/>
    <n v="2.4581623716279885E-6"/>
  </r>
  <r>
    <x v="69"/>
    <s v="Pesos"/>
    <d v="2026-07-27T00:00:00"/>
    <s v="20/07/2026"/>
    <n v="0.99541846"/>
    <m/>
    <n v="84170.31"/>
    <n v="83784.679999999993"/>
    <n v="84170.31"/>
    <n v="83784.679999999993"/>
    <n v="612115"/>
    <s v="AMOMPY"/>
    <s v="Momentum Capital Investment S.A."/>
    <s v="29/05/2026"/>
    <s v="29/05/2026"/>
    <n v="24"/>
    <s v="No"/>
    <s v=""/>
    <m/>
    <m/>
    <s v="*MAV230701101"/>
    <s v="*MAV230701101"/>
    <n v="1.6071125879340667E-6"/>
  </r>
  <r>
    <x v="69"/>
    <s v="Pesos"/>
    <d v="2026-07-27T00:00:00"/>
    <s v="20/07/2026"/>
    <n v="0.99541838000000005"/>
    <m/>
    <n v="1044096.2"/>
    <n v="1039312.55"/>
    <n v="1044096.2"/>
    <n v="1039312.55"/>
    <n v="612241"/>
    <s v="AMOMPY"/>
    <s v="Momentum Capital Investment S.A."/>
    <s v="29/05/2026"/>
    <s v="29/05/2026"/>
    <n v="24"/>
    <s v="No"/>
    <s v=""/>
    <m/>
    <m/>
    <s v="*MAV230701102"/>
    <s v="*MAV230701102"/>
    <n v="1.9935533344554808E-5"/>
  </r>
  <r>
    <x v="55"/>
    <s v="Pesos"/>
    <d v="2026-07-27T00:00:00"/>
    <s v="20/07/2026"/>
    <n v="0.99333243000000004"/>
    <m/>
    <n v="5450000"/>
    <n v="5413661.75"/>
    <n v="5450000"/>
    <n v="5413661.75"/>
    <n v="6899"/>
    <s v="AMOMPY"/>
    <s v="Momentum Capital Investment S.A."/>
    <s v="20/04/2026"/>
    <s v="20/04/2026"/>
    <n v="35"/>
    <s v="No"/>
    <s v=""/>
    <m/>
    <m/>
    <s v="*MAV230700964"/>
    <s v="*MAV230700964"/>
    <n v="1.0384194276617358E-4"/>
  </r>
  <r>
    <x v="7"/>
    <s v="Pesos"/>
    <d v="2026-07-27T00:00:00"/>
    <s v="20/07/2026"/>
    <n v="0.99427949000000004"/>
    <m/>
    <n v="10000000"/>
    <n v="9942794.9299999997"/>
    <n v="10000000"/>
    <n v="9942794.9299999997"/>
    <n v="471"/>
    <s v="AMOMPY"/>
    <s v="Momentum Capital Investment S.A."/>
    <s v="12/05/2026"/>
    <s v="12/05/2026"/>
    <n v="30"/>
    <s v="No"/>
    <s v=""/>
    <m/>
    <m/>
    <s v="*MAV230701030"/>
    <s v="*MAV230701030"/>
    <n v="1.9071733509336096E-4"/>
  </r>
  <r>
    <x v="70"/>
    <s v="Pesos"/>
    <d v="2026-07-27T00:00:00"/>
    <s v="20/07/2026"/>
    <n v="0.99371107000000003"/>
    <m/>
    <n v="1041333.16"/>
    <n v="1034784.29"/>
    <n v="1041333.16"/>
    <n v="1034784.29"/>
    <n v="10887325"/>
    <s v="AMOMPY"/>
    <s v="Momentum Capital Investment S.A."/>
    <s v="29/05/2026"/>
    <s v="29/05/2026"/>
    <n v="33"/>
    <s v="No"/>
    <s v=""/>
    <m/>
    <m/>
    <s v="*MAV230701126"/>
    <s v="*MAV230701126"/>
    <n v="1.9848674701095903E-5"/>
  </r>
  <r>
    <x v="56"/>
    <s v="Pesos"/>
    <d v="2026-07-27T00:00:00"/>
    <s v="20/07/2026"/>
    <n v="0.99314323000000004"/>
    <m/>
    <n v="1250000"/>
    <n v="1241429.04"/>
    <n v="1250000"/>
    <n v="1241429.04"/>
    <n v="2505"/>
    <s v="AMOMPY"/>
    <s v="Momentum Capital Investment S.A."/>
    <s v="15/05/2026"/>
    <s v="15/05/2026"/>
    <n v="36"/>
    <s v="No"/>
    <s v=""/>
    <m/>
    <m/>
    <s v="*MAV230701047"/>
    <s v="*MAV230701047"/>
    <n v="2.3812422953825261E-5"/>
  </r>
  <r>
    <x v="10"/>
    <s v="Pesos"/>
    <d v="2026-07-27T00:00:00"/>
    <s v="20/07/2026"/>
    <n v="0.99238718000000004"/>
    <m/>
    <n v="4100000"/>
    <n v="4068787.44"/>
    <n v="4100000"/>
    <n v="4068787.44"/>
    <n v="1024"/>
    <s v="AMOMPY"/>
    <s v="Momentum Capital Investment S.A."/>
    <s v="09/03/2026"/>
    <s v="09/03/2026"/>
    <n v="40"/>
    <s v="No"/>
    <s v=""/>
    <m/>
    <m/>
    <s v="*MAV230700923"/>
    <s v="*MAV230700923"/>
    <n v="7.8045288380310411E-5"/>
  </r>
  <r>
    <x v="43"/>
    <s v="Pesos"/>
    <d v="2026-07-27T00:00:00"/>
    <s v="20/07/2026"/>
    <n v="0.99475369999999996"/>
    <m/>
    <n v="150000000"/>
    <n v="149213055.69"/>
    <n v="150000000"/>
    <n v="149213055.69"/>
    <n v="51"/>
    <s v="AMOMPY"/>
    <s v="Momentum Capital Investment S.A."/>
    <s v="21/04/2026"/>
    <s v="21/04/2026"/>
    <n v="27.5"/>
    <s v="No"/>
    <s v=""/>
    <m/>
    <m/>
    <s v="*MIL230700028"/>
    <s v="*MIL230700028"/>
    <n v="2.8621244371107692E-3"/>
  </r>
  <r>
    <x v="50"/>
    <s v="Pesos"/>
    <d v="2026-07-27T00:00:00"/>
    <s v="20/07/2026"/>
    <n v="0.99427949000000004"/>
    <m/>
    <n v="2700000"/>
    <n v="2684554.62"/>
    <n v="2700000"/>
    <n v="2684554.62"/>
    <n v="6267"/>
    <s v="AMOMPY"/>
    <s v="Momentum Capital Investment S.A."/>
    <s v="17/06/2026"/>
    <s v="17/06/2026"/>
    <n v="30"/>
    <s v="No"/>
    <s v=""/>
    <m/>
    <m/>
    <s v="*MAV230701198"/>
    <s v="*MAV230701198"/>
    <n v="5.1493680262293242E-5"/>
  </r>
  <r>
    <x v="58"/>
    <s v="Pesos"/>
    <d v="2026-07-27T00:00:00"/>
    <s v="20/07/2026"/>
    <n v="0.99427951000000003"/>
    <m/>
    <n v="100000000"/>
    <n v="99427951.230000004"/>
    <n v="100000000"/>
    <n v="99427951.230000004"/>
    <n v="16751421"/>
    <s v="AMOMPY"/>
    <s v="Momentum Capital Investment S.A."/>
    <s v="22/06/2026"/>
    <s v="22/06/2026"/>
    <n v="30"/>
    <s v="No"/>
    <s v=""/>
    <m/>
    <m/>
    <s v="*MAV230701239"/>
    <s v="*MAV230701239"/>
    <n v="1.9071733879538297E-3"/>
  </r>
  <r>
    <x v="12"/>
    <s v="Pesos"/>
    <d v="2026-07-27T00:00:00"/>
    <s v="20/07/2026"/>
    <n v="0.99314323999999998"/>
    <m/>
    <n v="3000000"/>
    <n v="2979429.73"/>
    <n v="3000000"/>
    <n v="2979429.73"/>
    <n v="40743003"/>
    <s v="AMOMPY"/>
    <s v="Momentum Capital Investment S.A."/>
    <s v="20/05/2026"/>
    <s v="20/05/2026"/>
    <n v="36"/>
    <s v="No"/>
    <s v=""/>
    <m/>
    <m/>
    <s v="*MAV230701065"/>
    <s v="*MAV230701065"/>
    <n v="5.71498157413503E-5"/>
  </r>
  <r>
    <x v="13"/>
    <s v="Pesos"/>
    <d v="2026-07-27T00:00:00"/>
    <s v="20/07/2026"/>
    <n v="0.99390045000000005"/>
    <m/>
    <n v="15000000"/>
    <n v="14908506.810000001"/>
    <n v="15000000"/>
    <n v="14908506.810000001"/>
    <n v="173"/>
    <s v="AMOMPY"/>
    <s v="Momentum Capital Investment S.A."/>
    <s v="17/04/2026"/>
    <s v="17/04/2026"/>
    <n v="32"/>
    <s v="No"/>
    <s v=""/>
    <m/>
    <m/>
    <s v="*NEU230700018"/>
    <s v="*NEU230700018"/>
    <n v="2.8596694481200811E-4"/>
  </r>
  <r>
    <x v="60"/>
    <s v="Pesos"/>
    <d v="2026-07-27T00:00:00"/>
    <s v="20/07/2026"/>
    <n v="0.99427955000000001"/>
    <m/>
    <n v="330000"/>
    <n v="328112.25"/>
    <n v="330000"/>
    <n v="328112.25"/>
    <n v="9918441"/>
    <s v="AMOMPY"/>
    <s v="Momentum Capital Investment S.A."/>
    <s v="30/06/2026"/>
    <s v="30/06/2026"/>
    <n v="30"/>
    <s v="No"/>
    <s v=""/>
    <m/>
    <m/>
    <s v="*MAV230701298"/>
    <s v="*MAV230701298"/>
    <n v="6.2936723901120053E-6"/>
  </r>
  <r>
    <x v="60"/>
    <s v="Pesos"/>
    <d v="2026-07-27T00:00:00"/>
    <s v="20/07/2026"/>
    <n v="0.99427953999999996"/>
    <m/>
    <n v="415000"/>
    <n v="412626.01"/>
    <n v="415000"/>
    <n v="412626.01"/>
    <n v="9918435"/>
    <s v="AMOMPY"/>
    <s v="Momentum Capital Investment S.A."/>
    <s v="30/06/2026"/>
    <s v="30/06/2026"/>
    <n v="30"/>
    <s v="No"/>
    <s v=""/>
    <m/>
    <m/>
    <s v="*MAV230701299"/>
    <s v="*MAV230701299"/>
    <n v="7.9147697977721955E-6"/>
  </r>
  <r>
    <x v="0"/>
    <s v="Pesos"/>
    <d v="2026-07-28T00:00:00"/>
    <s v="20/07/2026"/>
    <n v="0.99368400000000001"/>
    <m/>
    <n v="5000000"/>
    <n v="4968420"/>
    <n v="5000000"/>
    <n v="4968420"/>
    <n v="16779577"/>
    <s v="AMOMPY"/>
    <s v="Momentum Capital Investment S.A."/>
    <s v="20/04/2026"/>
    <s v="20/04/2026"/>
    <n v="29"/>
    <s v="No"/>
    <s v=""/>
    <m/>
    <m/>
    <s v="*INP240700062"/>
    <s v="*INP240700062"/>
    <n v="9.5301555417331377E-5"/>
  </r>
  <r>
    <x v="0"/>
    <s v="Pesos"/>
    <d v="2026-07-28T00:00:00"/>
    <s v="20/07/2026"/>
    <n v="0.99346762"/>
    <m/>
    <n v="10000000"/>
    <n v="9934676.2100000009"/>
    <n v="10000000"/>
    <n v="9934676.2100000009"/>
    <n v="90019958"/>
    <s v="AMOMPY"/>
    <s v="Momentum Capital Investment S.A."/>
    <s v="22/04/2026"/>
    <s v="22/04/2026"/>
    <n v="30"/>
    <s v="No"/>
    <s v=""/>
    <m/>
    <m/>
    <s v="*INP240700065"/>
    <s v="*INP240700065"/>
    <n v="1.9056160618074938E-4"/>
  </r>
  <r>
    <x v="0"/>
    <s v="Pesos"/>
    <d v="2026-07-28T00:00:00"/>
    <s v="20/07/2026"/>
    <n v="0.99368398999999996"/>
    <m/>
    <n v="5000000"/>
    <n v="4968419.96"/>
    <n v="5000000"/>
    <n v="4968419.96"/>
    <n v="6878"/>
    <s v="AMOMPY"/>
    <s v="Momentum Capital Investment S.A."/>
    <s v="22/04/2026"/>
    <s v="22/04/2026"/>
    <n v="29"/>
    <s v="No"/>
    <s v=""/>
    <m/>
    <m/>
    <s v="*INP240700064"/>
    <s v="*INP240700064"/>
    <n v="9.5301554650072928E-5"/>
  </r>
  <r>
    <x v="68"/>
    <s v="Pesos"/>
    <d v="2026-07-28T00:00:00"/>
    <s v="20/07/2026"/>
    <n v="0.99368402"/>
    <m/>
    <n v="100000000"/>
    <n v="99368402"/>
    <n v="100000000"/>
    <n v="99368402"/>
    <n v="90003810"/>
    <s v="AMOMPY"/>
    <s v="Momentum Capital Investment S.A."/>
    <s v="03/06/2026"/>
    <s v="03/06/2026"/>
    <n v="29"/>
    <s v="No"/>
    <s v=""/>
    <m/>
    <m/>
    <s v="*MAV240701338"/>
    <s v="*MAV240701338"/>
    <n v="1.90603114670955E-3"/>
  </r>
  <r>
    <x v="16"/>
    <s v="Pesos"/>
    <d v="2026-07-28T00:00:00"/>
    <s v="20/07/2026"/>
    <n v="0.99368398999999996"/>
    <m/>
    <n v="12500000"/>
    <n v="12421049.869999999"/>
    <n v="12500000"/>
    <n v="12421049.869999999"/>
    <n v="28996506"/>
    <s v="AMOMPY"/>
    <s v="Momentum Capital Investment S.A."/>
    <s v="31/03/2026"/>
    <s v="31/03/2026"/>
    <n v="29"/>
    <s v="No"/>
    <s v=""/>
    <m/>
    <m/>
    <s v="*AAR240700018"/>
    <s v="*AAR240700018"/>
    <n v="2.3825388604973847E-4"/>
  </r>
  <r>
    <x v="71"/>
    <s v="Pesos"/>
    <d v="2026-07-28T00:00:00"/>
    <s v="20/07/2026"/>
    <n v="0.99346765999999997"/>
    <m/>
    <n v="7012899"/>
    <n v="6967088.3799999999"/>
    <n v="7012899"/>
    <n v="6967088.3799999999"/>
    <n v="90044338"/>
    <s v="AMOMPY"/>
    <s v="Momentum Capital Investment S.A."/>
    <s v="01/07/2026"/>
    <s v="01/07/2026"/>
    <n v="30"/>
    <s v="No"/>
    <s v=""/>
    <m/>
    <m/>
    <s v="*MAV240701610"/>
    <s v="*MAV240701610"/>
    <n v="1.3363893538469282E-4"/>
  </r>
  <r>
    <x v="1"/>
    <s v="Pesos"/>
    <d v="2026-07-28T00:00:00"/>
    <s v="20/07/2026"/>
    <n v="0.99455042999999999"/>
    <m/>
    <n v="21789857.329999998"/>
    <n v="21671112.010000002"/>
    <n v="21789857.329999998"/>
    <n v="21671112.010000002"/>
    <n v="65968"/>
    <s v="AMOMPY"/>
    <s v="Momentum Capital Investment S.A."/>
    <s v="30/06/2026"/>
    <s v="30/06/2026"/>
    <n v="25"/>
    <s v="No"/>
    <s v=""/>
    <m/>
    <m/>
    <s v="*MOV240700072"/>
    <s v="*MOV240700072"/>
    <n v="4.1568359401504117E-4"/>
  </r>
  <r>
    <x v="1"/>
    <s v="Pesos"/>
    <d v="2026-07-28T00:00:00"/>
    <s v="20/07/2026"/>
    <n v="0.99455042999999999"/>
    <m/>
    <n v="456527.78"/>
    <n v="454039.9"/>
    <n v="456527.78"/>
    <n v="454039.9"/>
    <n v="11341117"/>
    <s v="AMOMPY"/>
    <s v="Momentum Capital Investment S.A."/>
    <s v="30/06/2026"/>
    <s v="30/06/2026"/>
    <n v="25"/>
    <s v="No"/>
    <s v=""/>
    <m/>
    <m/>
    <s v="*MOV240700071"/>
    <s v="*MOV240700071"/>
    <n v="8.7091487216317462E-6"/>
  </r>
  <r>
    <x v="72"/>
    <s v="Pesos"/>
    <d v="2026-07-28T00:00:00"/>
    <s v="20/07/2026"/>
    <n v="0.99281909000000002"/>
    <m/>
    <n v="3000000"/>
    <n v="2978457.26"/>
    <n v="3000000"/>
    <n v="2978457.26"/>
    <n v="90015792"/>
    <s v="AMOMPY"/>
    <s v="Momentum Capital Investment S.A."/>
    <s v="29/05/2026"/>
    <s v="29/05/2026"/>
    <n v="33"/>
    <s v="No"/>
    <s v=""/>
    <m/>
    <m/>
    <s v="*MAV240701318"/>
    <s v="*MAV240701318"/>
    <n v="5.7131162345784567E-5"/>
  </r>
  <r>
    <x v="36"/>
    <s v="Pesos"/>
    <d v="2026-07-28T00:00:00"/>
    <s v="20/07/2026"/>
    <n v="0.99303514999999998"/>
    <m/>
    <n v="1062257.1599999999"/>
    <n v="1054858.7"/>
    <n v="1062257.1599999999"/>
    <n v="1054858.7"/>
    <n v="3467336"/>
    <s v="AMOMPY"/>
    <s v="Momentum Capital Investment S.A."/>
    <s v="04/06/2026"/>
    <s v="04/06/2026"/>
    <n v="32"/>
    <s v="No"/>
    <s v=""/>
    <m/>
    <m/>
    <s v="*MAV240701358"/>
    <s v="*MAV240701358"/>
    <n v="2.023373121747037E-5"/>
  </r>
  <r>
    <x v="0"/>
    <s v="Pesos"/>
    <d v="2026-07-28T00:00:00"/>
    <s v="20/07/2026"/>
    <n v="0.99346762"/>
    <m/>
    <n v="1040000"/>
    <n v="1033206.33"/>
    <n v="1040000"/>
    <n v="1033206.33"/>
    <n v="16601551"/>
    <s v="AMOMPY"/>
    <s v="Momentum Capital Investment S.A."/>
    <s v="30/04/2026"/>
    <s v="30/04/2026"/>
    <n v="30"/>
    <s v="No"/>
    <s v=""/>
    <m/>
    <m/>
    <s v="*INP240700067"/>
    <s v="*INP240700067"/>
    <n v="1.9818407122592809E-5"/>
  </r>
  <r>
    <x v="20"/>
    <s v="Pesos"/>
    <d v="2026-07-28T00:00:00"/>
    <s v="20/07/2026"/>
    <n v="0.99281909000000002"/>
    <m/>
    <n v="10000000"/>
    <n v="9928190.9399999995"/>
    <n v="10000000"/>
    <n v="9928190.9399999995"/>
    <n v="13633525"/>
    <s v="AMOMPY"/>
    <s v="Momentum Capital Investment S.A."/>
    <s v="19/05/2026"/>
    <s v="19/05/2026"/>
    <n v="33"/>
    <s v="No"/>
    <s v=""/>
    <m/>
    <m/>
    <s v="*MAV240701233"/>
    <s v="*MAV240701233"/>
    <n v="1.9043720922592237E-4"/>
  </r>
  <r>
    <x v="73"/>
    <s v="Pesos"/>
    <d v="2026-07-28T00:00:00"/>
    <s v="20/07/2026"/>
    <n v="0.99238716999999999"/>
    <m/>
    <n v="75000000"/>
    <n v="74429037.569999993"/>
    <n v="75000000"/>
    <n v="74429037.569999993"/>
    <n v="95275288"/>
    <s v="AMOMPY"/>
    <s v="Momentum Capital Investment S.A."/>
    <s v="27/05/2026"/>
    <s v="27/05/2026"/>
    <n v="35"/>
    <s v="No"/>
    <s v=""/>
    <m/>
    <m/>
    <s v="*MAV240701281"/>
    <s v="*MAV240701281"/>
    <n v="1.4276576957334512E-3"/>
  </r>
  <r>
    <x v="74"/>
    <s v="Pesos"/>
    <d v="2026-07-28T00:00:00"/>
    <s v="20/07/2026"/>
    <n v="0.99487588000000005"/>
    <m/>
    <n v="11744423.460000001"/>
    <n v="11684243.57"/>
    <n v="11744423.460000001"/>
    <n v="11684243.57"/>
    <n v="92"/>
    <s v="AMOMPY"/>
    <s v="Momentum Capital Investment S.A."/>
    <s v="17/07/2026"/>
    <s v="17/07/2026"/>
    <n v="23.5"/>
    <s v="No"/>
    <s v=""/>
    <m/>
    <m/>
    <s v="%INC270700061"/>
    <s v="%INC270700061"/>
    <n v="2.2412086460000421E-4"/>
  </r>
  <r>
    <x v="74"/>
    <s v="Pesos"/>
    <d v="2026-07-28T00:00:00"/>
    <s v="20/07/2026"/>
    <n v="0.99487588000000005"/>
    <m/>
    <n v="25207018.800000001"/>
    <n v="25077854.899999999"/>
    <n v="25207018.800000001"/>
    <n v="25077854.899999999"/>
    <n v="93"/>
    <s v="AMOMPY"/>
    <s v="Momentum Capital Investment S.A."/>
    <s v="17/07/2026"/>
    <s v="17/07/2026"/>
    <n v="23.5"/>
    <s v="No"/>
    <s v=""/>
    <m/>
    <m/>
    <s v="%INC270700062"/>
    <s v="%INC270700062"/>
    <n v="4.8102990055191495E-4"/>
  </r>
  <r>
    <x v="7"/>
    <s v="Pesos"/>
    <d v="2026-07-28T00:00:00"/>
    <s v="20/07/2026"/>
    <n v="0.99346763999999999"/>
    <m/>
    <n v="10000000"/>
    <n v="9934676.3900000006"/>
    <n v="10000000"/>
    <n v="9934676.3900000006"/>
    <n v="573"/>
    <s v="AMOMPY"/>
    <s v="Momentum Capital Investment S.A."/>
    <s v="02/06/2026"/>
    <s v="02/06/2026"/>
    <n v="30"/>
    <s v="No"/>
    <s v=""/>
    <m/>
    <m/>
    <s v="*MAV240701329"/>
    <s v="*MAV240701329"/>
    <n v="1.9056160963341236E-4"/>
  </r>
  <r>
    <x v="25"/>
    <s v="Pesos"/>
    <d v="2026-07-28T00:00:00"/>
    <s v="20/07/2026"/>
    <n v="0.99281907000000003"/>
    <m/>
    <n v="50000000"/>
    <n v="49640953.539999999"/>
    <n v="50000000"/>
    <n v="49640953.539999999"/>
    <n v="29007568"/>
    <s v="AMOMPY"/>
    <s v="Momentum Capital Investment S.A."/>
    <s v="31/03/2026"/>
    <s v="31/03/2026"/>
    <n v="33"/>
    <s v="No"/>
    <s v=""/>
    <m/>
    <m/>
    <s v="*MAV240701063"/>
    <s v="*MAV240701063"/>
    <n v="9.5218602387911694E-4"/>
  </r>
  <r>
    <x v="26"/>
    <s v="Pesos"/>
    <d v="2026-07-28T00:00:00"/>
    <s v="20/07/2026"/>
    <n v="0.99281909000000002"/>
    <m/>
    <n v="1215528.29"/>
    <n v="1206799.68"/>
    <n v="1215528.29"/>
    <n v="1206799.68"/>
    <n v="2418"/>
    <s v="AMOMPY"/>
    <s v="Momentum Capital Investment S.A."/>
    <s v="29/05/2026"/>
    <s v="29/05/2026"/>
    <n v="33"/>
    <s v="No"/>
    <s v=""/>
    <m/>
    <m/>
    <s v="*MAV240701317"/>
    <s v="*MAV240701317"/>
    <n v="2.3148181228869089E-5"/>
  </r>
  <r>
    <x v="10"/>
    <s v="Pesos"/>
    <d v="2026-07-28T00:00:00"/>
    <s v="20/07/2026"/>
    <n v="0.99130907999999995"/>
    <m/>
    <n v="4100000"/>
    <n v="4064367.21"/>
    <n v="4100000"/>
    <n v="4064367.21"/>
    <n v="1025"/>
    <s v="AMOMPY"/>
    <s v="Momentum Capital Investment S.A."/>
    <s v="09/03/2026"/>
    <s v="09/03/2026"/>
    <n v="40"/>
    <s v="No"/>
    <s v=""/>
    <m/>
    <m/>
    <s v="*MAV240701043"/>
    <s v="*MAV240701043"/>
    <n v="7.7960501910104128E-5"/>
  </r>
  <r>
    <x v="29"/>
    <s v="Pesos"/>
    <d v="2026-07-28T00:00:00"/>
    <s v="20/07/2026"/>
    <n v="0.99130907000000001"/>
    <m/>
    <n v="20000000"/>
    <n v="19826181.469999999"/>
    <n v="20000000"/>
    <n v="19826181.469999999"/>
    <n v="4121"/>
    <s v="AMOMPY"/>
    <s v="Momentum Capital Investment S.A."/>
    <s v="28/04/2026"/>
    <s v="28/04/2026"/>
    <n v="40"/>
    <s v="No"/>
    <s v=""/>
    <m/>
    <m/>
    <s v="*MAV240701132"/>
    <s v="*MAV240701132"/>
    <n v="3.802951304594365E-4"/>
  </r>
  <r>
    <x v="75"/>
    <s v="Pesos"/>
    <d v="2026-07-28T00:00:00"/>
    <s v="20/07/2026"/>
    <n v="0.99174002999999999"/>
    <m/>
    <n v="20000000"/>
    <n v="19834800.579999998"/>
    <n v="20000000"/>
    <n v="19834800.579999998"/>
    <n v="65800773"/>
    <s v="AMOMPY"/>
    <s v="Momentum Capital Investment S.A."/>
    <s v="26/03/2026"/>
    <s v="26/03/2026"/>
    <n v="38"/>
    <s v="No"/>
    <s v=""/>
    <m/>
    <m/>
    <s v="*MAV240701056"/>
    <s v="*MAV240701056"/>
    <n v="3.8046045758341414E-4"/>
  </r>
  <r>
    <x v="43"/>
    <s v="Pesos"/>
    <d v="2026-07-28T00:00:00"/>
    <s v="20/07/2026"/>
    <n v="0.99411707000000005"/>
    <m/>
    <n v="50000000"/>
    <n v="49705853.409999996"/>
    <n v="50000000"/>
    <n v="49705853.409999996"/>
    <n v="1415413"/>
    <s v="AMOMPY"/>
    <s v="Momentum Capital Investment S.A."/>
    <s v="25/06/2026"/>
    <s v="25/06/2026"/>
    <n v="27"/>
    <s v="No"/>
    <s v=""/>
    <m/>
    <m/>
    <s v="*MIL240700041"/>
    <s v="*MIL240700041"/>
    <n v="9.5343089821691091E-4"/>
  </r>
  <r>
    <x v="43"/>
    <s v="Pesos"/>
    <d v="2026-07-28T00:00:00"/>
    <s v="20/07/2026"/>
    <n v="0.99368398000000002"/>
    <m/>
    <n v="30000000"/>
    <n v="29810519.489999998"/>
    <n v="30000000"/>
    <n v="29810519.489999998"/>
    <n v="54026410"/>
    <s v="AMOMPY"/>
    <s v="Momentum Capital Investment S.A."/>
    <s v="28/04/2026"/>
    <s v="28/04/2026"/>
    <n v="29"/>
    <s v="No"/>
    <s v=""/>
    <m/>
    <m/>
    <s v="*MIL240700033"/>
    <s v="*MIL240700033"/>
    <n v="5.7180932272144305E-4"/>
  </r>
  <r>
    <x v="43"/>
    <s v="Pesos"/>
    <d v="2026-07-28T00:00:00"/>
    <s v="20/07/2026"/>
    <n v="0.99400871999999996"/>
    <m/>
    <n v="150000000"/>
    <n v="149101307.66999999"/>
    <n v="150000000"/>
    <n v="149101307.66999999"/>
    <n v="1762"/>
    <s v="AMOMPY"/>
    <s v="Momentum Capital Investment S.A."/>
    <s v="21/04/2026"/>
    <s v="21/04/2026"/>
    <n v="27.5"/>
    <s v="No"/>
    <s v=""/>
    <m/>
    <m/>
    <s v="*MIL240700031"/>
    <s v="*MIL240700031"/>
    <n v="2.8599809468018164E-3"/>
  </r>
  <r>
    <x v="30"/>
    <s v="Pesos"/>
    <d v="2026-07-28T00:00:00"/>
    <s v="20/07/2026"/>
    <n v="0.99346769000000001"/>
    <m/>
    <n v="11585339.390000001"/>
    <n v="11509660.369999999"/>
    <n v="11585339.390000001"/>
    <n v="11509660.369999999"/>
    <n v="65"/>
    <s v="AMOMPY"/>
    <s v="Momentum Capital Investment S.A."/>
    <s v="15/07/2026"/>
    <s v="15/07/2026"/>
    <n v="30"/>
    <s v="No"/>
    <s v=""/>
    <m/>
    <m/>
    <s v="%CP1260700001"/>
    <s v="%CP1260700001"/>
    <n v="2.2077210372436665E-4"/>
  </r>
  <r>
    <x v="76"/>
    <s v="Pesos"/>
    <d v="2026-07-28T00:00:00"/>
    <s v="20/07/2026"/>
    <n v="0.99130907999999995"/>
    <m/>
    <n v="128000000"/>
    <n v="126887562.65000001"/>
    <n v="128000000"/>
    <n v="126887562.65000001"/>
    <n v="70383675"/>
    <s v="AMOMPY"/>
    <s v="Momentum Capital Investment S.A."/>
    <s v="04/06/2026"/>
    <s v="04/06/2026"/>
    <n v="40"/>
    <s v="No"/>
    <s v=""/>
    <m/>
    <m/>
    <s v="*MAV240701354"/>
    <s v="*MAV240701354"/>
    <n v="2.4338888587637684E-3"/>
  </r>
  <r>
    <x v="66"/>
    <s v="Pesos"/>
    <d v="2026-07-28T00:00:00"/>
    <s v="20/07/2026"/>
    <n v="0.99455042000000005"/>
    <m/>
    <n v="30958317.780000001"/>
    <n v="30789607.969999999"/>
    <n v="30958317.780000001"/>
    <n v="30789607.969999999"/>
    <n v="13812667"/>
    <s v="AMOMPY"/>
    <s v="Momentum Capital Investment S.A."/>
    <s v="03/07/2026"/>
    <s v="03/07/2026"/>
    <n v="25"/>
    <s v="No"/>
    <s v=""/>
    <m/>
    <m/>
    <s v="*AFB240700015"/>
    <s v="*AFB240700015"/>
    <n v="5.90589670404447E-4"/>
  </r>
  <r>
    <x v="1"/>
    <s v="Pesos"/>
    <d v="2026-07-28T00:00:00"/>
    <s v="20/07/2026"/>
    <n v="0.99368398000000002"/>
    <m/>
    <n v="5000000"/>
    <n v="4968419.92"/>
    <n v="5000000"/>
    <n v="4968419.92"/>
    <n v="43314"/>
    <s v="AMOMPY"/>
    <s v="Momentum Capital Investment S.A."/>
    <s v="21/04/2026"/>
    <s v="21/04/2026"/>
    <n v="29"/>
    <s v="No"/>
    <s v=""/>
    <m/>
    <m/>
    <s v="*MOV240700053"/>
    <s v="*MOV240700053"/>
    <n v="9.5301553882814479E-5"/>
  </r>
  <r>
    <x v="58"/>
    <s v="Pesos"/>
    <d v="2026-07-28T00:00:00"/>
    <s v="20/07/2026"/>
    <n v="0.99346763999999999"/>
    <m/>
    <n v="100000000"/>
    <n v="99346763.810000002"/>
    <n v="100000000"/>
    <n v="99346763.810000002"/>
    <n v="16751422"/>
    <s v="AMOMPY"/>
    <s v="Momentum Capital Investment S.A."/>
    <s v="23/06/2026"/>
    <s v="23/06/2026"/>
    <n v="30"/>
    <s v="No"/>
    <s v=""/>
    <m/>
    <m/>
    <s v="*MAV240701511"/>
    <s v="*MAV240701511"/>
    <n v="1.9056160946077923E-3"/>
  </r>
  <r>
    <x v="12"/>
    <s v="Pesos"/>
    <d v="2026-07-28T00:00:00"/>
    <s v="20/07/2026"/>
    <n v="0.99217137"/>
    <m/>
    <n v="5000000"/>
    <n v="4960856.83"/>
    <n v="5000000"/>
    <n v="4960856.83"/>
    <n v="40742991"/>
    <s v="AMOMPY"/>
    <s v="Momentum Capital Investment S.A."/>
    <s v="20/05/2026"/>
    <s v="20/05/2026"/>
    <n v="36"/>
    <s v="No"/>
    <s v=""/>
    <m/>
    <m/>
    <s v="*MAV240701245"/>
    <s v="*MAV240701245"/>
    <n v="9.5156482765485176E-5"/>
  </r>
  <r>
    <x v="77"/>
    <s v="Pesos"/>
    <d v="2026-07-28T00:00:00"/>
    <s v="20/07/2026"/>
    <n v="0.99281909000000002"/>
    <m/>
    <n v="5549092"/>
    <n v="5509244.4800000004"/>
    <n v="5549092"/>
    <n v="5509244.4800000004"/>
    <n v="9619"/>
    <s v="AMOMPY"/>
    <s v="Momentum Capital Investment S.A."/>
    <s v="14/07/2026"/>
    <s v="14/07/2026"/>
    <n v="33"/>
    <s v="No"/>
    <s v=""/>
    <m/>
    <m/>
    <s v="*MAV240701695"/>
    <s v="*MAV240701695"/>
    <n v="1.0567535919232815E-4"/>
  </r>
  <r>
    <x v="0"/>
    <s v="Pesos"/>
    <d v="2026-07-29T00:00:00"/>
    <s v="20/07/2026"/>
    <n v="0.99290009999999995"/>
    <m/>
    <n v="5000000"/>
    <n v="4964500.51"/>
    <n v="5000000"/>
    <n v="4964500.51"/>
    <n v="16779578"/>
    <s v="AMOMPY"/>
    <s v="Momentum Capital Investment S.A."/>
    <s v="20/04/2026"/>
    <s v="20/04/2026"/>
    <n v="29"/>
    <s v="No"/>
    <s v=""/>
    <m/>
    <m/>
    <s v="*INP270700048"/>
    <s v="*INP270700048"/>
    <n v="9.5226373872002543E-5"/>
  </r>
  <r>
    <x v="0"/>
    <s v="Pesos"/>
    <d v="2026-07-29T00:00:00"/>
    <s v="20/07/2026"/>
    <n v="0.99338651"/>
    <m/>
    <n v="20000000"/>
    <n v="19867730.109999999"/>
    <n v="20000000"/>
    <n v="19867730.109999999"/>
    <n v="66450549"/>
    <s v="AMOMPY"/>
    <s v="Momentum Capital Investment S.A."/>
    <s v="23/04/2026"/>
    <s v="23/04/2026"/>
    <n v="27"/>
    <s v="No"/>
    <s v=""/>
    <m/>
    <m/>
    <s v="*INP250700071"/>
    <s v="*INP250700071"/>
    <n v="3.8109209408519171E-4"/>
  </r>
  <r>
    <x v="0"/>
    <s v="Pesos"/>
    <d v="2026-07-29T00:00:00"/>
    <s v="20/07/2026"/>
    <n v="0.99265705999999998"/>
    <m/>
    <n v="10000000"/>
    <n v="9926570.6099999994"/>
    <n v="10000000"/>
    <n v="9926570.6099999994"/>
    <n v="90019959"/>
    <s v="AMOMPY"/>
    <s v="Momentum Capital Investment S.A."/>
    <s v="22/04/2026"/>
    <s v="22/04/2026"/>
    <n v="30"/>
    <s v="No"/>
    <s v=""/>
    <m/>
    <m/>
    <s v="*INP270700049"/>
    <s v="*INP270700049"/>
    <n v="1.9040612892890857E-4"/>
  </r>
  <r>
    <x v="1"/>
    <s v="Pesos"/>
    <d v="2026-07-29T00:00:00"/>
    <s v="20/07/2026"/>
    <n v="0.99387338999999997"/>
    <m/>
    <n v="10291260"/>
    <n v="10228209.439999999"/>
    <n v="10291260"/>
    <n v="10228209.439999999"/>
    <n v="72516195"/>
    <s v="AMOMPY"/>
    <s v="Momentum Capital Investment S.A."/>
    <s v="30/06/2026"/>
    <s v="30/06/2026"/>
    <n v="25"/>
    <s v="No"/>
    <s v=""/>
    <m/>
    <m/>
    <s v="*MOV250700081"/>
    <s v="*MOV250700081"/>
    <n v="1.9619200244066161E-4"/>
  </r>
  <r>
    <x v="1"/>
    <s v="Pesos"/>
    <d v="2026-07-29T00:00:00"/>
    <s v="20/07/2026"/>
    <n v="0.99387338999999997"/>
    <m/>
    <n v="10000000"/>
    <n v="9938733.8699999992"/>
    <n v="10000000"/>
    <n v="9938733.8699999992"/>
    <n v="72516194"/>
    <s v="AMOMPY"/>
    <s v="Momentum Capital Investment S.A."/>
    <s v="30/06/2026"/>
    <s v="30/06/2026"/>
    <n v="25"/>
    <s v="No"/>
    <s v=""/>
    <m/>
    <m/>
    <s v="*MOV250700080"/>
    <s v="*MOV250700080"/>
    <n v="1.9063943802857111E-4"/>
  </r>
  <r>
    <x v="1"/>
    <s v="Pesos"/>
    <d v="2026-07-29T00:00:00"/>
    <s v="20/07/2026"/>
    <n v="0.99387338999999997"/>
    <m/>
    <n v="6666666.6699999999"/>
    <n v="6625822.5899999999"/>
    <n v="6666666.6699999999"/>
    <n v="6625822.5899999999"/>
    <n v="3407518"/>
    <s v="AMOMPY"/>
    <s v="Momentum Capital Investment S.A."/>
    <s v="30/06/2026"/>
    <s v="30/06/2026"/>
    <n v="25"/>
    <s v="No"/>
    <s v=""/>
    <m/>
    <m/>
    <s v="*MOV260700049"/>
    <s v="*MOV260700049"/>
    <n v="1.2709295887752868E-4"/>
  </r>
  <r>
    <x v="78"/>
    <s v="Pesos"/>
    <d v="2026-07-29T00:00:00"/>
    <s v="20/07/2026"/>
    <n v="0.99265707000000003"/>
    <m/>
    <n v="100000000"/>
    <n v="99265707"/>
    <n v="100000000"/>
    <n v="99265707"/>
    <n v="5411"/>
    <s v="AMOMPY"/>
    <s v="Momentum Capital Investment S.A."/>
    <s v="29/05/2026"/>
    <s v="29/05/2026"/>
    <n v="30"/>
    <s v="No"/>
    <s v=""/>
    <m/>
    <m/>
    <s v="*MAV270701028"/>
    <s v="*MAV270701028"/>
    <n v="1.9040613065524009E-3"/>
  </r>
  <r>
    <x v="79"/>
    <s v="Pesos"/>
    <d v="2026-07-29T00:00:00"/>
    <s v="20/07/2026"/>
    <n v="0.99192871000000005"/>
    <m/>
    <n v="1573636.95"/>
    <n v="1560935.67"/>
    <n v="1573636.95"/>
    <n v="1560935.67"/>
    <n v="13761282"/>
    <s v="AMOMPY"/>
    <s v="Momentum Capital Investment S.A."/>
    <s v="29/05/2026"/>
    <s v="29/05/2026"/>
    <n v="33"/>
    <s v="No"/>
    <s v=""/>
    <m/>
    <m/>
    <s v="*MAV270701033"/>
    <s v="*MAV270701033"/>
    <n v="2.9941026977871089E-5"/>
  </r>
  <r>
    <x v="80"/>
    <s v="Pesos"/>
    <d v="2026-07-29T00:00:00"/>
    <s v="20/07/2026"/>
    <n v="0.99192871000000005"/>
    <m/>
    <n v="1103671.3799999999"/>
    <n v="1094763.32"/>
    <n v="1103671.3799999999"/>
    <n v="1094763.32"/>
    <n v="66956177"/>
    <s v="AMOMPY"/>
    <s v="Momentum Capital Investment S.A."/>
    <s v="29/05/2026"/>
    <s v="29/05/2026"/>
    <n v="33"/>
    <s v="No"/>
    <s v=""/>
    <m/>
    <m/>
    <s v="*MAV250701414"/>
    <s v="*MAV250701414"/>
    <n v="2.0999160137396131E-5"/>
  </r>
  <r>
    <x v="32"/>
    <s v="Pesos"/>
    <d v="2026-07-29T00:00:00"/>
    <s v="20/07/2026"/>
    <n v="0.9919287"/>
    <m/>
    <n v="1701000"/>
    <n v="1687270.73"/>
    <n v="1701000"/>
    <n v="1687270.73"/>
    <n v="67242880"/>
    <s v="AMOMPY"/>
    <s v="Momentum Capital Investment S.A."/>
    <s v="29/05/2026"/>
    <s v="29/05/2026"/>
    <n v="33"/>
    <s v="No"/>
    <s v=""/>
    <m/>
    <m/>
    <s v="*MAV270701034"/>
    <s v="*MAV270701034"/>
    <n v="3.2364318028495212E-5"/>
  </r>
  <r>
    <x v="33"/>
    <s v="Pesos"/>
    <d v="2026-07-29T00:00:00"/>
    <s v="20/07/2026"/>
    <n v="0.99192871000000005"/>
    <m/>
    <n v="2300000"/>
    <n v="2281436.0299999998"/>
    <n v="2300000"/>
    <n v="2281436.0299999998"/>
    <n v="1396"/>
    <s v="AMOMPY"/>
    <s v="Momentum Capital Investment S.A."/>
    <s v="29/05/2026"/>
    <s v="29/05/2026"/>
    <n v="33"/>
    <s v="No"/>
    <s v=""/>
    <m/>
    <m/>
    <s v="*MAV250701415"/>
    <s v="*MAV250701415"/>
    <n v="4.3761276672290482E-5"/>
  </r>
  <r>
    <x v="81"/>
    <s v="Pesos"/>
    <d v="2026-07-29T00:00:00"/>
    <s v="20/07/2026"/>
    <n v="0.99192871000000005"/>
    <m/>
    <n v="1318130"/>
    <n v="1307490.99"/>
    <n v="1318130"/>
    <n v="1307490.99"/>
    <n v="67204032"/>
    <s v="AMOMPY"/>
    <s v="Momentum Capital Investment S.A."/>
    <s v="29/05/2026"/>
    <s v="29/05/2026"/>
    <n v="33"/>
    <s v="No"/>
    <s v=""/>
    <m/>
    <m/>
    <s v="*MAV250701413"/>
    <s v="*MAV250701413"/>
    <n v="2.5079587684041701E-5"/>
  </r>
  <r>
    <x v="4"/>
    <s v="Pesos"/>
    <d v="2026-07-29T00:00:00"/>
    <s v="20/07/2026"/>
    <n v="0.99217140999999998"/>
    <m/>
    <n v="1177029.06"/>
    <n v="1167814.58"/>
    <n v="1177029.06"/>
    <n v="1167814.58"/>
    <n v="1127"/>
    <s v="AMOMPY"/>
    <s v="Momentum Capital Investment S.A."/>
    <s v="04/06/2026"/>
    <s v="04/06/2026"/>
    <n v="32"/>
    <s v="No"/>
    <s v=""/>
    <m/>
    <m/>
    <s v="*MAV250701431"/>
    <s v="*MAV250701431"/>
    <n v="2.2400390046138927E-5"/>
  </r>
  <r>
    <x v="82"/>
    <s v="Pesos"/>
    <d v="2026-07-29T00:00:00"/>
    <s v="20/07/2026"/>
    <n v="0.99192868999999995"/>
    <m/>
    <n v="1450000"/>
    <n v="1438296.59"/>
    <n v="1450000"/>
    <n v="1438296.59"/>
    <n v="90019731"/>
    <s v="AMOMPY"/>
    <s v="Momentum Capital Investment S.A."/>
    <s v="01/06/2026"/>
    <s v="01/06/2026"/>
    <n v="33"/>
    <s v="No"/>
    <s v=""/>
    <m/>
    <m/>
    <s v="*MAV270701035"/>
    <s v="*MAV270701035"/>
    <n v="2.7588630224184702E-5"/>
  </r>
  <r>
    <x v="83"/>
    <s v="Pesos"/>
    <d v="2026-07-29T00:00:00"/>
    <s v="20/07/2026"/>
    <n v="0.99217140999999998"/>
    <m/>
    <n v="1204873.98"/>
    <n v="1195441.51"/>
    <n v="1204873.98"/>
    <n v="1195441.51"/>
    <n v="173"/>
    <s v="AMOMPY"/>
    <s v="Momentum Capital Investment S.A."/>
    <s v="04/06/2026"/>
    <s v="04/06/2026"/>
    <n v="32"/>
    <s v="No"/>
    <s v=""/>
    <m/>
    <m/>
    <s v="*MAV260701143"/>
    <s v="*MAV260701143"/>
    <n v="2.2930314931797897E-5"/>
  </r>
  <r>
    <x v="84"/>
    <s v="Pesos"/>
    <d v="2026-07-29T00:00:00"/>
    <s v="20/07/2026"/>
    <n v="0.99217140999999998"/>
    <m/>
    <n v="5000000"/>
    <n v="4960857.04"/>
    <n v="5000000"/>
    <n v="4960857.04"/>
    <n v="550"/>
    <s v="AMOMPY"/>
    <s v="Momentum Capital Investment S.A."/>
    <s v="04/06/2026"/>
    <s v="04/06/2026"/>
    <n v="32"/>
    <s v="No"/>
    <s v=""/>
    <m/>
    <m/>
    <s v="*MAV250701432"/>
    <s v="*MAV250701432"/>
    <n v="9.515648679359203E-5"/>
  </r>
  <r>
    <x v="36"/>
    <s v="Pesos"/>
    <d v="2026-07-29T00:00:00"/>
    <s v="20/07/2026"/>
    <n v="0.99217140999999998"/>
    <m/>
    <n v="1050000"/>
    <n v="1041779.98"/>
    <n v="1050000"/>
    <n v="1041779.98"/>
    <n v="3467334"/>
    <s v="AMOMPY"/>
    <s v="Momentum Capital Investment S.A."/>
    <s v="04/06/2026"/>
    <s v="04/06/2026"/>
    <n v="32"/>
    <s v="No"/>
    <s v=""/>
    <m/>
    <m/>
    <s v="*MAV270701080"/>
    <s v="*MAV270701080"/>
    <n v="1.9982862257344663E-5"/>
  </r>
  <r>
    <x v="5"/>
    <s v="Pesos"/>
    <d v="2026-07-29T00:00:00"/>
    <s v="20/07/2026"/>
    <n v="0.99436077"/>
    <m/>
    <n v="91981920.340000004"/>
    <n v="91463213.390000001"/>
    <n v="91981920.340000004"/>
    <n v="91463213.390000001"/>
    <n v="3138226"/>
    <s v="AMOMPY"/>
    <s v="Momentum Capital Investment S.A."/>
    <s v="08/07/2026"/>
    <s v="08/07/2026"/>
    <n v="23"/>
    <s v="No"/>
    <s v=""/>
    <m/>
    <m/>
    <s v="*POT250700110"/>
    <s v="*POT250700110"/>
    <n v="1.7543980781685709E-3"/>
  </r>
  <r>
    <x v="55"/>
    <s v="Pesos"/>
    <d v="2026-07-29T00:00:00"/>
    <s v="20/07/2026"/>
    <n v="0.99144372000000003"/>
    <m/>
    <n v="5450000"/>
    <n v="5403368.2999999998"/>
    <n v="5450000"/>
    <n v="5403368.2999999998"/>
    <n v="6896"/>
    <s v="AMOMPY"/>
    <s v="Momentum Capital Investment S.A."/>
    <s v="20/04/2026"/>
    <s v="20/04/2026"/>
    <n v="35"/>
    <s v="No"/>
    <s v=""/>
    <m/>
    <m/>
    <s v="*MAV260701074"/>
    <s v="*MAV260701074"/>
    <n v="1.0364449935446312E-4"/>
  </r>
  <r>
    <x v="0"/>
    <s v="Pesos"/>
    <d v="2026-07-29T00:00:00"/>
    <s v="20/07/2026"/>
    <n v="0.99265707000000003"/>
    <m/>
    <n v="1040000"/>
    <n v="1032363.36"/>
    <n v="1040000"/>
    <n v="1032363.36"/>
    <n v="15901552"/>
    <s v="AMOMPY"/>
    <s v="Momentum Capital Investment S.A."/>
    <s v="30/04/2026"/>
    <s v="30/04/2026"/>
    <n v="30"/>
    <s v="No"/>
    <s v=""/>
    <m/>
    <m/>
    <s v="*INP270700051"/>
    <s v="*INP270700051"/>
    <n v="1.980223772625149E-5"/>
  </r>
  <r>
    <x v="0"/>
    <s v="Pesos"/>
    <d v="2026-07-29T00:00:00"/>
    <s v="20/07/2026"/>
    <n v="0.99290009000000001"/>
    <m/>
    <n v="5000000"/>
    <n v="4964500.46"/>
    <n v="5000000"/>
    <n v="4964500.46"/>
    <n v="16779604"/>
    <s v="AMOMPY"/>
    <s v="Momentum Capital Investment S.A."/>
    <s v="30/04/2026"/>
    <s v="30/04/2026"/>
    <n v="29"/>
    <s v="No"/>
    <s v=""/>
    <m/>
    <m/>
    <s v="*INP270700050"/>
    <s v="*INP270700050"/>
    <n v="9.5226372912929485E-5"/>
  </r>
  <r>
    <x v="85"/>
    <s v="Pesos"/>
    <d v="2026-07-29T00:00:00"/>
    <s v="20/07/2026"/>
    <n v="0.99071712000000001"/>
    <m/>
    <n v="4599318.34"/>
    <n v="4556623.41"/>
    <n v="4599318.34"/>
    <n v="4556623.41"/>
    <n v="576"/>
    <s v="AMOMPY"/>
    <s v="Momentum Capital Investment S.A."/>
    <s v="22/04/2026"/>
    <s v="22/04/2026"/>
    <n v="38"/>
    <s v="No"/>
    <s v=""/>
    <m/>
    <m/>
    <s v="*MAV250701301"/>
    <s v="*MAV250701301"/>
    <n v="8.7402695107101355E-5"/>
  </r>
  <r>
    <x v="86"/>
    <s v="Pesos"/>
    <d v="2026-07-29T00:00:00"/>
    <s v="20/07/2026"/>
    <n v="0.99071714"/>
    <m/>
    <n v="3519950.15"/>
    <n v="3487274.95"/>
    <n v="3519950.15"/>
    <n v="3487274.95"/>
    <n v="90000186"/>
    <s v="AMOMPY"/>
    <s v="Momentum Capital Investment S.A."/>
    <s v="17/04/2026"/>
    <s v="17/04/2026"/>
    <n v="38"/>
    <s v="No"/>
    <s v=""/>
    <m/>
    <m/>
    <s v="*MAV250701294"/>
    <s v="*MAV250701294"/>
    <n v="6.6891029120504409E-5"/>
  </r>
  <r>
    <x v="6"/>
    <s v="Pesos"/>
    <d v="2026-07-29T00:00:00"/>
    <s v="20/07/2026"/>
    <n v="0.99509270000000005"/>
    <m/>
    <n v="2500000"/>
    <n v="2487731.7599999998"/>
    <n v="2500000"/>
    <n v="2487731.7599999998"/>
    <n v="6127"/>
    <s v="AMOMPY"/>
    <s v="Momentum Capital Investment S.A."/>
    <s v="29/05/2026"/>
    <s v="29/05/2026"/>
    <n v="20"/>
    <s v="No"/>
    <s v=""/>
    <m/>
    <m/>
    <s v="*ACI250700361"/>
    <s v="*ACI250700361"/>
    <n v="4.7718330211434483E-5"/>
  </r>
  <r>
    <x v="40"/>
    <s v="Pesos"/>
    <d v="2026-07-29T00:00:00"/>
    <s v="20/07/2026"/>
    <n v="0.99314323999999998"/>
    <m/>
    <n v="6500000"/>
    <n v="6455431.0899999999"/>
    <n v="6500000"/>
    <n v="6455431.0899999999"/>
    <n v="29175492"/>
    <s v="AMOMPY"/>
    <s v="Momentum Capital Investment S.A."/>
    <s v="04/05/2026"/>
    <s v="04/05/2026"/>
    <n v="28"/>
    <s v="No"/>
    <s v=""/>
    <m/>
    <m/>
    <s v="*CUY270700036"/>
    <s v="*CUY270700036"/>
    <n v="1.2382460093277115E-4"/>
  </r>
  <r>
    <x v="7"/>
    <s v="Pesos"/>
    <d v="2026-07-29T00:00:00"/>
    <s v="20/07/2026"/>
    <n v="0.99265709000000002"/>
    <m/>
    <n v="10000000"/>
    <n v="9926570.9000000004"/>
    <n v="10000000"/>
    <n v="9926570.9000000004"/>
    <n v="524"/>
    <s v="AMOMPY"/>
    <s v="Momentum Capital Investment S.A."/>
    <s v="20/05/2026"/>
    <s v="20/05/2026"/>
    <n v="30"/>
    <s v="No"/>
    <s v=""/>
    <m/>
    <m/>
    <s v="*MAV270700973"/>
    <s v="*MAV270700973"/>
    <n v="1.9040613449153234E-4"/>
  </r>
  <r>
    <x v="56"/>
    <s v="Pesos"/>
    <d v="2026-07-29T00:00:00"/>
    <s v="20/07/2026"/>
    <n v="0.99120143000000005"/>
    <m/>
    <n v="2502456.9"/>
    <n v="2480438.86"/>
    <n v="2502456.9"/>
    <n v="2480438.86"/>
    <n v="2755"/>
    <s v="AMOMPY"/>
    <s v="Momentum Capital Investment S.A."/>
    <s v="17/06/2026"/>
    <s v="17/06/2026"/>
    <n v="36"/>
    <s v="No"/>
    <s v=""/>
    <m/>
    <m/>
    <s v="*MAV250701475"/>
    <s v="*MAV250701475"/>
    <n v="4.7578441733104743E-5"/>
  </r>
  <r>
    <x v="7"/>
    <s v="Pesos"/>
    <d v="2026-07-29T00:00:00"/>
    <s v="20/07/2026"/>
    <n v="0.99265707000000003"/>
    <m/>
    <n v="10000000"/>
    <n v="9926570.6699999999"/>
    <n v="10000000"/>
    <n v="9926570.6699999999"/>
    <n v="607"/>
    <s v="AMOMPY"/>
    <s v="Momentum Capital Investment S.A."/>
    <s v="05/06/2026"/>
    <s v="05/06/2026"/>
    <n v="30"/>
    <s v="No"/>
    <s v=""/>
    <m/>
    <m/>
    <s v="*MAV260701145"/>
    <s v="*MAV260701145"/>
    <n v="1.9040613007979625E-4"/>
  </r>
  <r>
    <x v="42"/>
    <s v="Pesos"/>
    <d v="2026-07-29T00:00:00"/>
    <s v="20/07/2026"/>
    <n v="0.99144379000000005"/>
    <m/>
    <n v="700000000"/>
    <n v="694010656.42999995"/>
    <n v="700000000"/>
    <n v="694010656.42999995"/>
    <n v="67836511"/>
    <s v="AMOMPY"/>
    <s v="Momentum Capital Investment S.A."/>
    <s v="26/06/2026"/>
    <s v="26/06/2026"/>
    <n v="35"/>
    <s v="No"/>
    <s v=""/>
    <m/>
    <m/>
    <s v="*MAV270701211"/>
    <s v="*MAV270701211"/>
    <n v="1.3312138473394393E-2"/>
  </r>
  <r>
    <x v="9"/>
    <s v="Pesos"/>
    <d v="2026-07-29T00:00:00"/>
    <s v="20/07/2026"/>
    <n v="0.99023331999999997"/>
    <m/>
    <n v="3500000"/>
    <n v="3465816.63"/>
    <n v="3500000"/>
    <n v="3465816.63"/>
    <n v="60524038"/>
    <s v="AMOMPY"/>
    <s v="Momentum Capital Investment S.A."/>
    <s v="06/03/2026"/>
    <s v="06/03/2026"/>
    <n v="40"/>
    <s v="No"/>
    <s v=""/>
    <m/>
    <m/>
    <s v="*MAV270700762"/>
    <s v="*MAV270700762"/>
    <n v="6.6479427188171228E-5"/>
  </r>
  <r>
    <x v="10"/>
    <s v="Pesos"/>
    <d v="2026-07-29T00:00:00"/>
    <s v="20/07/2026"/>
    <n v="0.99023331999999997"/>
    <m/>
    <n v="4100000"/>
    <n v="4059956.6"/>
    <n v="4100000"/>
    <n v="4059956.6"/>
    <n v="1026"/>
    <s v="AMOMPY"/>
    <s v="Momentum Capital Investment S.A."/>
    <s v="09/03/2026"/>
    <s v="09/03/2026"/>
    <n v="40"/>
    <s v="No"/>
    <s v=""/>
    <m/>
    <m/>
    <s v="*MAV270700763"/>
    <s v="*MAV270700763"/>
    <n v="7.7875899965554508E-5"/>
  </r>
  <r>
    <x v="43"/>
    <s v="Pesos"/>
    <d v="2026-07-29T00:00:00"/>
    <s v="20/07/2026"/>
    <n v="0.99290011"/>
    <m/>
    <n v="1300000"/>
    <n v="1290770.1399999999"/>
    <n v="1300000"/>
    <n v="1290770.1399999999"/>
    <n v="545"/>
    <s v="AMOMPY"/>
    <s v="Momentum Capital Investment S.A."/>
    <s v="28/04/2026"/>
    <s v="28/04/2026"/>
    <n v="29"/>
    <s v="No"/>
    <s v=""/>
    <m/>
    <m/>
    <s v="*MIL250700034"/>
    <s v="*MIL250700034"/>
    <n v="2.4758857348663474E-5"/>
  </r>
  <r>
    <x v="43"/>
    <s v="Pesos"/>
    <d v="2026-07-29T00:00:00"/>
    <s v="20/07/2026"/>
    <n v="0.99290011"/>
    <m/>
    <n v="12500000"/>
    <n v="12411251.34"/>
    <n v="12500000"/>
    <n v="12411251.34"/>
    <n v="9798602"/>
    <s v="AMOMPY"/>
    <s v="Momentum Capital Investment S.A."/>
    <s v="28/04/2026"/>
    <s v="28/04/2026"/>
    <n v="29"/>
    <s v="No"/>
    <s v=""/>
    <m/>
    <m/>
    <s v="*MIL270700025"/>
    <s v="*MIL270700025"/>
    <n v="2.3806593592680134E-4"/>
  </r>
  <r>
    <x v="43"/>
    <s v="Pesos"/>
    <d v="2026-07-29T00:00:00"/>
    <s v="20/07/2026"/>
    <n v="0.99290009000000001"/>
    <m/>
    <n v="3500000"/>
    <n v="3475150.31"/>
    <n v="3500000"/>
    <n v="3475150.31"/>
    <n v="406"/>
    <s v="AMOMPY"/>
    <s v="Momentum Capital Investment S.A."/>
    <s v="22/04/2026"/>
    <s v="22/04/2026"/>
    <n v="29"/>
    <s v="No"/>
    <s v=""/>
    <m/>
    <m/>
    <s v="*MIL250700033"/>
    <s v="*MIL250700033"/>
    <n v="6.6658460808873113E-5"/>
  </r>
  <r>
    <x v="43"/>
    <s v="Pesos"/>
    <d v="2026-07-29T00:00:00"/>
    <s v="20/07/2026"/>
    <n v="0.99265707000000003"/>
    <m/>
    <n v="10000000"/>
    <n v="9926570.6699999999"/>
    <n v="10000000"/>
    <n v="9926570.6699999999"/>
    <n v="65931682"/>
    <s v="AMOMPY"/>
    <s v="Momentum Capital Investment S.A."/>
    <s v="01/04/2026"/>
    <s v="01/04/2026"/>
    <n v="30"/>
    <s v="No"/>
    <s v=""/>
    <m/>
    <m/>
    <s v="*MIL250700032"/>
    <s v="*MIL250700032"/>
    <n v="1.9040613007979625E-4"/>
  </r>
  <r>
    <x v="43"/>
    <s v="Pesos"/>
    <d v="2026-07-29T00:00:00"/>
    <s v="20/07/2026"/>
    <n v="0.99290011"/>
    <m/>
    <n v="11000000"/>
    <n v="10921901.189999999"/>
    <n v="11000000"/>
    <n v="10921901.189999999"/>
    <n v="270"/>
    <s v="AMOMPY"/>
    <s v="Momentum Capital Investment S.A."/>
    <s v="14/04/2026"/>
    <s v="14/04/2026"/>
    <n v="29"/>
    <s v="No"/>
    <s v=""/>
    <m/>
    <m/>
    <s v="*MIL270700024"/>
    <s v="*MIL270700024"/>
    <n v="2.0949802382274496E-4"/>
  </r>
  <r>
    <x v="46"/>
    <s v="Pesos"/>
    <d v="2026-07-29T00:00:00"/>
    <s v="20/07/2026"/>
    <n v="0.99192871999999999"/>
    <m/>
    <n v="50000000"/>
    <n v="49596436.200000003"/>
    <n v="50000000"/>
    <n v="49596436.200000003"/>
    <n v="135"/>
    <s v="AMOMPY"/>
    <s v="Momentum Capital Investment S.A."/>
    <s v="13/05/2026"/>
    <s v="13/05/2026"/>
    <n v="33"/>
    <s v="No"/>
    <s v=""/>
    <m/>
    <m/>
    <s v="*MAV270700938"/>
    <s v="*MAV270700938"/>
    <n v="9.5133211624952004E-4"/>
  </r>
  <r>
    <x v="1"/>
    <s v="Pesos"/>
    <d v="2026-07-29T00:00:00"/>
    <s v="20/07/2026"/>
    <n v="0.99290011"/>
    <m/>
    <n v="5000000"/>
    <n v="4964500.54"/>
    <n v="5000000"/>
    <n v="4964500.54"/>
    <n v="43315"/>
    <s v="AMOMPY"/>
    <s v="Momentum Capital Investment S.A."/>
    <s v="21/04/2026"/>
    <s v="21/04/2026"/>
    <n v="29"/>
    <s v="No"/>
    <s v=""/>
    <m/>
    <m/>
    <s v="*MOV270700045"/>
    <s v="*MOV270700045"/>
    <n v="9.5226374447446383E-5"/>
  </r>
  <r>
    <x v="87"/>
    <s v="Pesos"/>
    <d v="2026-07-29T00:00:00"/>
    <s v="20/07/2026"/>
    <n v="0.99144376000000001"/>
    <m/>
    <n v="30000000"/>
    <n v="29743312.789999999"/>
    <n v="30000000"/>
    <n v="29743312.789999999"/>
    <n v="10492"/>
    <s v="AMOMPY"/>
    <s v="Momentum Capital Investment S.A."/>
    <s v="11/06/2026"/>
    <s v="11/06/2026"/>
    <n v="35"/>
    <s v="No"/>
    <s v=""/>
    <m/>
    <m/>
    <s v="*MAV250701451"/>
    <s v="*MAV250701451"/>
    <n v="5.7052020001352661E-4"/>
  </r>
  <r>
    <x v="88"/>
    <s v="Pesos"/>
    <d v="2026-07-29T00:00:00"/>
    <s v="20/07/2026"/>
    <n v="0.99265707000000003"/>
    <m/>
    <n v="1770042.5"/>
    <n v="1757045.21"/>
    <n v="1770042.5"/>
    <n v="1757045.21"/>
    <n v="248"/>
    <s v="AMOMPY"/>
    <s v="Momentum Capital Investment S.A."/>
    <s v="16/06/2026"/>
    <s v="16/06/2026"/>
    <n v="30"/>
    <s v="No"/>
    <s v=""/>
    <m/>
    <m/>
    <s v="*MAV270701117"/>
    <s v="*MAV270701117"/>
    <n v="3.3702694508832114E-5"/>
  </r>
  <r>
    <x v="89"/>
    <s v="Pesos"/>
    <d v="2026-07-29T00:00:00"/>
    <s v="20/07/2026"/>
    <n v="0.99192879"/>
    <m/>
    <n v="6778023.7000000002"/>
    <n v="6723316.8399999999"/>
    <n v="6778023.7000000002"/>
    <n v="6723316.8399999999"/>
    <n v="80217408"/>
    <s v="AMOMPY"/>
    <s v="Momentum Capital Investment S.A."/>
    <s v="16/07/2026"/>
    <s v="16/07/2026"/>
    <n v="33"/>
    <s v="No"/>
    <s v=""/>
    <m/>
    <m/>
    <s v="*MAV260701248"/>
    <s v="*MAV260701248"/>
    <n v="1.2896304105038166E-4"/>
  </r>
  <r>
    <x v="0"/>
    <s v="Pesos"/>
    <d v="2026-07-30T00:00:00"/>
    <s v="20/07/2026"/>
    <n v="0.99211742999999997"/>
    <m/>
    <n v="5000000"/>
    <n v="4960587.16"/>
    <n v="5000000"/>
    <n v="4960587.16"/>
    <n v="16779579"/>
    <s v="AMOMPY"/>
    <s v="Momentum Capital Investment S.A."/>
    <s v="20/04/2026"/>
    <s v="20/04/2026"/>
    <n v="29"/>
    <s v="No"/>
    <s v=""/>
    <m/>
    <m/>
    <s v="*INP280700068"/>
    <s v="*INP280700068"/>
    <n v="9.5151310100845444E-5"/>
  </r>
  <r>
    <x v="68"/>
    <s v="Pesos"/>
    <d v="2026-07-30T00:00:00"/>
    <s v="20/07/2026"/>
    <n v="0.99211744000000002"/>
    <m/>
    <n v="100000000"/>
    <n v="99211744.239999995"/>
    <n v="100000000"/>
    <n v="99211744.239999995"/>
    <n v="90003811"/>
    <s v="AMOMPY"/>
    <s v="Momentum Capital Investment S.A."/>
    <s v="03/06/2026"/>
    <s v="03/06/2026"/>
    <n v="29"/>
    <s v="No"/>
    <s v=""/>
    <m/>
    <m/>
    <s v="*MAV280701366"/>
    <s v="*MAV280701366"/>
    <n v="1.9030262219656283E-3"/>
  </r>
  <r>
    <x v="16"/>
    <s v="Pesos"/>
    <d v="2026-07-30T00:00:00"/>
    <s v="20/07/2026"/>
    <n v="0.99211744000000002"/>
    <m/>
    <n v="12500000"/>
    <n v="12401468.039999999"/>
    <n v="12500000"/>
    <n v="12401468.039999999"/>
    <n v="28996512"/>
    <s v="AMOMPY"/>
    <s v="Momentum Capital Investment S.A."/>
    <s v="31/03/2026"/>
    <s v="31/03/2026"/>
    <n v="29"/>
    <s v="No"/>
    <s v=""/>
    <m/>
    <m/>
    <s v="*AAR280700029"/>
    <s v="*AAR280700029"/>
    <n v="2.3787827793751815E-4"/>
  </r>
  <r>
    <x v="1"/>
    <s v="Pesos"/>
    <d v="2026-07-30T00:00:00"/>
    <s v="20/07/2026"/>
    <n v="0.99319734999999998"/>
    <m/>
    <n v="548019.59"/>
    <n v="544291.61"/>
    <n v="548019.59"/>
    <n v="544291.61"/>
    <n v="67963011"/>
    <s v="AMOMPY"/>
    <s v="Momentum Capital Investment S.A."/>
    <s v="30/06/2026"/>
    <s v="30/06/2026"/>
    <n v="25"/>
    <s v="No"/>
    <s v=""/>
    <m/>
    <m/>
    <s v="*MOV280700091"/>
    <s v="*MOV280700091"/>
    <n v="1.0440308394540623E-5"/>
  </r>
  <r>
    <x v="78"/>
    <s v="Pesos"/>
    <d v="2026-07-30T00:00:00"/>
    <s v="20/07/2026"/>
    <n v="0.99184782999999999"/>
    <m/>
    <n v="100000000"/>
    <n v="99184782.659999996"/>
    <n v="100000000"/>
    <n v="99184782.659999996"/>
    <n v="5412"/>
    <s v="AMOMPY"/>
    <s v="Momentum Capital Investment S.A."/>
    <s v="29/05/2026"/>
    <s v="29/05/2026"/>
    <n v="30"/>
    <s v="No"/>
    <s v=""/>
    <m/>
    <m/>
    <s v="*MAV280701342"/>
    <s v="*MAV280701342"/>
    <n v="1.9025090594651736E-3"/>
  </r>
  <r>
    <x v="90"/>
    <s v="Pesos"/>
    <d v="2026-07-30T00:00:00"/>
    <s v="20/07/2026"/>
    <n v="0.99130910999999999"/>
    <m/>
    <n v="27063960"/>
    <n v="26828750.050000001"/>
    <n v="27063960"/>
    <n v="26828750.050000001"/>
    <n v="10115827"/>
    <s v="AMOMPY"/>
    <s v="Momentum Capital Investment S.A."/>
    <s v="04/06/2026"/>
    <s v="04/06/2026"/>
    <n v="32"/>
    <s v="No"/>
    <s v=""/>
    <m/>
    <m/>
    <s v="*MAV280701376"/>
    <s v="*MAV280701376"/>
    <n v="5.1461462792352637E-4"/>
  </r>
  <r>
    <x v="91"/>
    <s v="Pesos"/>
    <d v="2026-07-30T00:00:00"/>
    <s v="20/07/2026"/>
    <n v="0.99130910999999999"/>
    <m/>
    <n v="1084567.1200000001"/>
    <n v="1075141.27"/>
    <n v="1084567.1200000001"/>
    <n v="1075141.27"/>
    <n v="71912904"/>
    <s v="AMOMPY"/>
    <s v="Momentum Capital Investment S.A."/>
    <s v="04/06/2026"/>
    <s v="04/06/2026"/>
    <n v="32"/>
    <s v="No"/>
    <s v=""/>
    <m/>
    <m/>
    <s v="*MAV280701375"/>
    <s v="*MAV280701375"/>
    <n v="2.0622780546806639E-5"/>
  </r>
  <r>
    <x v="55"/>
    <s v="Pesos"/>
    <d v="2026-07-30T00:00:00"/>
    <s v="20/07/2026"/>
    <n v="0.99050205000000002"/>
    <m/>
    <n v="5450000"/>
    <n v="5398236.1500000004"/>
    <n v="5450000"/>
    <n v="5398236.1500000004"/>
    <n v="6900"/>
    <s v="AMOMPY"/>
    <s v="Momentum Capital Investment S.A."/>
    <s v="20/04/2026"/>
    <s v="20/04/2026"/>
    <n v="35"/>
    <s v="No"/>
    <s v=""/>
    <m/>
    <m/>
    <s v="*MAV280701169"/>
    <s v="*MAV280701169"/>
    <n v="1.0354605721840477E-4"/>
  </r>
  <r>
    <x v="0"/>
    <s v="Pesos"/>
    <d v="2026-07-30T00:00:00"/>
    <s v="20/07/2026"/>
    <n v="0.99211742999999997"/>
    <m/>
    <n v="5000000"/>
    <n v="4960587.13"/>
    <n v="5000000"/>
    <n v="4960587.13"/>
    <n v="16779605"/>
    <s v="AMOMPY"/>
    <s v="Momentum Capital Investment S.A."/>
    <s v="30/04/2026"/>
    <s v="30/04/2026"/>
    <n v="29"/>
    <s v="No"/>
    <s v=""/>
    <m/>
    <m/>
    <s v="*INP280700072"/>
    <s v="*INP280700072"/>
    <n v="9.5151309525401604E-5"/>
  </r>
  <r>
    <x v="6"/>
    <s v="Pesos"/>
    <d v="2026-07-30T00:00:00"/>
    <s v="20/07/2026"/>
    <n v="0.99211742000000003"/>
    <m/>
    <n v="6530318"/>
    <n v="6478842.2699999996"/>
    <n v="6530318"/>
    <n v="6478842.2699999996"/>
    <n v="69"/>
    <s v="AMOMPY"/>
    <s v="Momentum Capital Investment S.A."/>
    <s v="29/01/2026"/>
    <s v="29/01/2026"/>
    <n v="29"/>
    <s v="No"/>
    <s v=""/>
    <m/>
    <m/>
    <s v="*ACI280700201"/>
    <s v="*ACI280700201"/>
    <n v="1.2427366157340844E-4"/>
  </r>
  <r>
    <x v="6"/>
    <s v="Pesos"/>
    <d v="2026-07-30T00:00:00"/>
    <s v="20/07/2026"/>
    <n v="0.99455041"/>
    <m/>
    <n v="2500000"/>
    <n v="2486376.02"/>
    <n v="2500000"/>
    <n v="2486376.02"/>
    <n v="6128"/>
    <s v="AMOMPY"/>
    <s v="Momentum Capital Investment S.A."/>
    <s v="29/05/2026"/>
    <s v="29/05/2026"/>
    <n v="20"/>
    <s v="No"/>
    <s v=""/>
    <m/>
    <m/>
    <s v="*ACI280700242"/>
    <s v="*ACI280700242"/>
    <n v="4.7692325137237558E-5"/>
  </r>
  <r>
    <x v="40"/>
    <s v="Pesos"/>
    <d v="2026-07-30T00:00:00"/>
    <s v="20/07/2026"/>
    <n v="0.99238716999999999"/>
    <m/>
    <n v="6500000"/>
    <n v="6450516.6200000001"/>
    <n v="6500000"/>
    <n v="6450516.6200000001"/>
    <n v="29175493"/>
    <s v="AMOMPY"/>
    <s v="Momentum Capital Investment S.A."/>
    <s v="04/05/2026"/>
    <s v="04/05/2026"/>
    <n v="28"/>
    <s v="No"/>
    <s v=""/>
    <m/>
    <m/>
    <s v="*CUY280700024"/>
    <s v="*CUY280700024"/>
    <n v="1.2373033421718516E-4"/>
  </r>
  <r>
    <x v="7"/>
    <s v="Pesos"/>
    <d v="2026-07-30T00:00:00"/>
    <s v="20/07/2026"/>
    <n v="0.99184786000000003"/>
    <m/>
    <n v="10000000"/>
    <n v="9918478.6099999994"/>
    <n v="10000000"/>
    <n v="9918478.6099999994"/>
    <n v="548"/>
    <s v="AMOMPY"/>
    <s v="Momentum Capital Investment S.A."/>
    <s v="21/05/2026"/>
    <s v="21/05/2026"/>
    <n v="30"/>
    <s v="No"/>
    <s v=""/>
    <m/>
    <m/>
    <s v="*MAV280701292"/>
    <s v="*MAV280701292"/>
    <n v="1.9025091254494002E-4"/>
  </r>
  <r>
    <x v="56"/>
    <s v="Pesos"/>
    <d v="2026-07-30T00:00:00"/>
    <s v="20/07/2026"/>
    <n v="0.99023331999999997"/>
    <m/>
    <n v="5882352.9299999997"/>
    <n v="5824901.9000000004"/>
    <n v="5882352.9299999997"/>
    <n v="5824901.9000000004"/>
    <n v="2617"/>
    <s v="AMOMPY"/>
    <s v="Momentum Capital Investment S.A."/>
    <s v="26/05/2026"/>
    <s v="26/05/2026"/>
    <n v="36"/>
    <s v="No"/>
    <s v=""/>
    <m/>
    <m/>
    <s v="*MAV280701317"/>
    <s v="*MAV280701317"/>
    <n v="1.1173012974413775E-4"/>
  </r>
  <r>
    <x v="29"/>
    <s v="Pesos"/>
    <d v="2026-07-30T00:00:00"/>
    <s v="20/07/2026"/>
    <n v="0.98915991000000003"/>
    <m/>
    <n v="20000000"/>
    <n v="19783198.27"/>
    <n v="20000000"/>
    <n v="19783198.27"/>
    <n v="4122"/>
    <s v="AMOMPY"/>
    <s v="Momentum Capital Investment S.A."/>
    <s v="28/04/2026"/>
    <s v="28/04/2026"/>
    <n v="40"/>
    <s v="No"/>
    <s v=""/>
    <m/>
    <m/>
    <s v="*MAV280701203"/>
    <s v="*MAV280701203"/>
    <n v="3.7947064987671318E-4"/>
  </r>
  <r>
    <x v="64"/>
    <s v="Pesos"/>
    <d v="2026-07-30T00:00:00"/>
    <s v="20/07/2026"/>
    <n v="0.99050205000000002"/>
    <m/>
    <n v="25000000"/>
    <n v="24762551.170000002"/>
    <n v="25000000"/>
    <n v="24762551.170000002"/>
    <n v="1310"/>
    <s v="AMOMPY"/>
    <s v="Momentum Capital Investment S.A."/>
    <s v="20/04/2026"/>
    <s v="20/04/2026"/>
    <n v="35"/>
    <s v="No"/>
    <s v=""/>
    <m/>
    <m/>
    <s v="*MAV280701170"/>
    <s v="*MAV280701170"/>
    <n v="4.7498191429111452E-4"/>
  </r>
  <r>
    <x v="50"/>
    <s v="Pesos"/>
    <d v="2026-07-30T00:00:00"/>
    <s v="20/07/2026"/>
    <n v="0.99184784000000004"/>
    <m/>
    <n v="2700000"/>
    <n v="2677989.1800000002"/>
    <n v="2700000"/>
    <n v="2677989.1800000002"/>
    <n v="6268"/>
    <s v="AMOMPY"/>
    <s v="Momentum Capital Investment S.A."/>
    <s v="17/06/2026"/>
    <s v="17/06/2026"/>
    <n v="30"/>
    <s v="No"/>
    <s v=""/>
    <m/>
    <m/>
    <s v="*MAV280701442"/>
    <s v="*MAV280701442"/>
    <n v="5.1367745529722495E-5"/>
  </r>
  <r>
    <x v="92"/>
    <s v="Pesos"/>
    <d v="2026-07-30T00:00:00"/>
    <s v="20/07/2026"/>
    <n v="0.99265707999999997"/>
    <m/>
    <n v="75000000"/>
    <n v="74449281.069999993"/>
    <n v="75000000"/>
    <n v="74449281.069999993"/>
    <n v="16181"/>
    <s v="AMOMPY"/>
    <s v="Momentum Capital Investment S.A."/>
    <s v="22/04/2026"/>
    <s v="22/04/2026"/>
    <n v="27"/>
    <s v="No"/>
    <s v=""/>
    <m/>
    <m/>
    <s v="*FED280700037"/>
    <s v="*FED280700037"/>
    <n v="1.4280459956430987E-3"/>
  </r>
  <r>
    <x v="1"/>
    <s v="Pesos"/>
    <d v="2026-07-30T00:00:00"/>
    <s v="20/07/2026"/>
    <n v="0.99211744000000002"/>
    <m/>
    <n v="5000000"/>
    <n v="4960587.21"/>
    <n v="5000000"/>
    <n v="4960587.21"/>
    <n v="43316"/>
    <s v="AMOMPY"/>
    <s v="Momentum Capital Investment S.A."/>
    <s v="21/04/2026"/>
    <s v="21/04/2026"/>
    <n v="29"/>
    <s v="No"/>
    <s v=""/>
    <m/>
    <m/>
    <s v="*MOV280700075"/>
    <s v="*MOV280700075"/>
    <n v="9.5151311059918489E-5"/>
  </r>
  <r>
    <x v="13"/>
    <s v="Pesos"/>
    <d v="2026-07-30T00:00:00"/>
    <s v="20/07/2026"/>
    <n v="0.99130909"/>
    <m/>
    <n v="15000000"/>
    <n v="14869636.310000001"/>
    <n v="15000000"/>
    <n v="14869636.310000001"/>
    <n v="174"/>
    <s v="AMOMPY"/>
    <s v="Momentum Capital Investment S.A."/>
    <s v="17/04/2026"/>
    <s v="17/04/2026"/>
    <n v="32"/>
    <s v="No"/>
    <s v=""/>
    <m/>
    <m/>
    <s v="*NEU280700020"/>
    <s v="*NEU280700020"/>
    <n v="2.8522135182473059E-4"/>
  </r>
  <r>
    <x v="93"/>
    <s v="Pesos"/>
    <d v="2026-07-30T00:00:00"/>
    <s v="20/07/2026"/>
    <n v="0.99184786000000003"/>
    <m/>
    <n v="60000000"/>
    <n v="59510871.649999999"/>
    <n v="60000000"/>
    <n v="59510871.649999999"/>
    <n v="67620312"/>
    <s v="AMOMPY"/>
    <s v="Momentum Capital Investment S.A."/>
    <s v="11/06/2026"/>
    <s v="11/06/2026"/>
    <n v="30"/>
    <s v="No"/>
    <s v=""/>
    <m/>
    <m/>
    <s v="*MAV280701411"/>
    <s v="*MAV280701411"/>
    <n v="1.1415054750778255E-3"/>
  </r>
  <r>
    <x v="60"/>
    <s v="Pesos"/>
    <d v="2026-07-30T00:00:00"/>
    <s v="20/07/2026"/>
    <n v="0.99184791999999999"/>
    <m/>
    <n v="330000"/>
    <n v="327309.81"/>
    <n v="330000"/>
    <n v="327309.81"/>
    <n v="9918442"/>
    <s v="AMOMPY"/>
    <s v="Momentum Capital Investment S.A."/>
    <s v="30/06/2026"/>
    <s v="30/06/2026"/>
    <n v="30"/>
    <s v="No"/>
    <s v=""/>
    <m/>
    <m/>
    <s v="*MAV280701533"/>
    <s v="*MAV280701533"/>
    <n v="6.2782804183928103E-6"/>
  </r>
  <r>
    <x v="60"/>
    <s v="Pesos"/>
    <d v="2026-07-30T00:00:00"/>
    <s v="20/07/2026"/>
    <n v="0.99184791999999999"/>
    <m/>
    <n v="415000"/>
    <n v="411616.88"/>
    <n v="415000"/>
    <n v="411616.88"/>
    <n v="9918436"/>
    <s v="AMOMPY"/>
    <s v="Momentum Capital Investment S.A."/>
    <s v="30/06/2026"/>
    <s v="30/06/2026"/>
    <n v="30"/>
    <s v="No"/>
    <s v=""/>
    <m/>
    <m/>
    <s v="*MAV280701534"/>
    <s v="*MAV280701534"/>
    <n v="7.8954132098391528E-6"/>
  </r>
  <r>
    <x v="0"/>
    <s v="Pesos"/>
    <d v="2026-07-31T00:00:00"/>
    <s v="20/07/2026"/>
    <n v="0.99133599999999999"/>
    <m/>
    <n v="5000000"/>
    <n v="4956679.99"/>
    <n v="5000000"/>
    <n v="4956679.99"/>
    <n v="16779580"/>
    <s v="AMOMPY"/>
    <s v="Momentum Capital Investment S.A."/>
    <s v="20/04/2026"/>
    <s v="20/04/2026"/>
    <n v="29"/>
    <s v="No"/>
    <s v=""/>
    <m/>
    <m/>
    <s v="*INP290700068"/>
    <s v="*INP290700068"/>
    <n v="9.5076364871118503E-5"/>
  </r>
  <r>
    <x v="0"/>
    <s v="Pesos"/>
    <d v="2026-07-31T00:00:00"/>
    <s v="20/07/2026"/>
    <n v="0.99103993000000001"/>
    <m/>
    <n v="10000000"/>
    <n v="9910399.3300000001"/>
    <n v="10000000"/>
    <n v="9910399.3300000001"/>
    <n v="90019960"/>
    <s v="AMOMPY"/>
    <s v="Momentum Capital Investment S.A."/>
    <s v="22/04/2026"/>
    <s v="22/04/2026"/>
    <n v="30"/>
    <s v="No"/>
    <s v=""/>
    <m/>
    <m/>
    <s v="*INP290700069"/>
    <s v="*INP290700069"/>
    <n v="1.9009594014915784E-4"/>
  </r>
  <r>
    <x v="78"/>
    <s v="Pesos"/>
    <d v="2026-07-31T00:00:00"/>
    <s v="20/07/2026"/>
    <n v="0.99103995"/>
    <m/>
    <n v="100000000"/>
    <n v="99103995.129999995"/>
    <n v="100000000"/>
    <n v="99103995.129999995"/>
    <n v="5413"/>
    <s v="AMOMPY"/>
    <s v="Momentum Capital Investment S.A."/>
    <s v="29/05/2026"/>
    <s v="29/05/2026"/>
    <n v="30"/>
    <s v="No"/>
    <s v=""/>
    <m/>
    <m/>
    <s v="*MAV290701277"/>
    <s v="*MAV290701277"/>
    <n v="1.9009594365936523E-3"/>
  </r>
  <r>
    <x v="94"/>
    <s v="Pesos"/>
    <d v="2026-07-31T00:00:00"/>
    <s v="20/07/2026"/>
    <n v="0.99044829999999995"/>
    <m/>
    <n v="2662911.02"/>
    <n v="2637475.7000000002"/>
    <n v="2662911.02"/>
    <n v="2637475.7000000002"/>
    <n v="29386199"/>
    <s v="AMOMPY"/>
    <s v="Momentum Capital Investment S.A."/>
    <s v="04/06/2026"/>
    <s v="04/06/2026"/>
    <n v="32"/>
    <s v="No"/>
    <s v=""/>
    <m/>
    <m/>
    <s v="*MAV290701309"/>
    <s v="*MAV290701309"/>
    <n v="5.0590637785335153E-5"/>
  </r>
  <r>
    <x v="5"/>
    <s v="Pesos"/>
    <d v="2026-07-31T00:00:00"/>
    <s v="20/07/2026"/>
    <n v="0.99311627999999996"/>
    <m/>
    <n v="92035653.5"/>
    <n v="91402106.200000003"/>
    <n v="92035653.5"/>
    <n v="91402106.200000003"/>
    <n v="3138227"/>
    <s v="AMOMPY"/>
    <s v="Momentum Capital Investment S.A."/>
    <s v="08/07/2026"/>
    <s v="08/07/2026"/>
    <n v="23"/>
    <s v="No"/>
    <s v=""/>
    <m/>
    <m/>
    <s v="*POT290700125"/>
    <s v="*POT290700125"/>
    <n v="1.7532259529750118E-3"/>
  </r>
  <r>
    <x v="0"/>
    <s v="Pesos"/>
    <d v="2026-07-31T00:00:00"/>
    <s v="20/07/2026"/>
    <n v="0.99103993000000001"/>
    <m/>
    <n v="1040000"/>
    <n v="1030681.53"/>
    <n v="1040000"/>
    <n v="1030681.53"/>
    <n v="11001553"/>
    <s v="AMOMPY"/>
    <s v="Momentum Capital Investment S.A."/>
    <s v="30/04/2026"/>
    <s v="30/04/2026"/>
    <n v="30"/>
    <s v="No"/>
    <s v=""/>
    <m/>
    <m/>
    <s v="*INP290700073"/>
    <s v="*INP290700073"/>
    <n v="1.9769977769374347E-5"/>
  </r>
  <r>
    <x v="0"/>
    <s v="Pesos"/>
    <d v="2026-07-31T00:00:00"/>
    <s v="20/07/2026"/>
    <n v="0.99133601999999998"/>
    <m/>
    <n v="5000000"/>
    <n v="4956680.1100000003"/>
    <n v="5000000"/>
    <n v="4956680.1100000003"/>
    <n v="16779606"/>
    <s v="AMOMPY"/>
    <s v="Momentum Capital Investment S.A."/>
    <s v="30/04/2026"/>
    <s v="30/04/2026"/>
    <n v="29"/>
    <s v="No"/>
    <s v=""/>
    <m/>
    <m/>
    <s v="*INP290700072"/>
    <s v="*INP290700072"/>
    <n v="9.5076367172893837E-5"/>
  </r>
  <r>
    <x v="63"/>
    <s v="Pesos"/>
    <d v="2026-07-31T00:00:00"/>
    <s v="20/07/2026"/>
    <n v="0.99163226000000004"/>
    <m/>
    <n v="15000000"/>
    <n v="14874483.949999999"/>
    <n v="15000000"/>
    <n v="14874483.949999999"/>
    <n v="29131905"/>
    <s v="AMOMPY"/>
    <s v="Momentum Capital Investment S.A."/>
    <s v="21/04/2026"/>
    <s v="21/04/2026"/>
    <n v="28"/>
    <s v="No"/>
    <s v=""/>
    <m/>
    <m/>
    <s v="*PRO290700011"/>
    <s v="*PRO290700011"/>
    <n v="2.8531433664326508E-4"/>
  </r>
  <r>
    <x v="74"/>
    <s v="Pesos"/>
    <d v="2026-07-31T00:00:00"/>
    <s v="20/07/2026"/>
    <n v="0.99296764000000004"/>
    <m/>
    <n v="41258999.600000001"/>
    <n v="40968851.57"/>
    <n v="41258999.600000001"/>
    <n v="40968851.57"/>
    <n v="94"/>
    <s v="AMOMPY"/>
    <s v="Momentum Capital Investment S.A."/>
    <s v="17/07/2026"/>
    <s v="17/07/2026"/>
    <n v="23.5"/>
    <s v="No"/>
    <s v=""/>
    <m/>
    <m/>
    <s v="%INC300700026"/>
    <s v="%INC300700026"/>
    <n v="7.8584243648539755E-4"/>
  </r>
  <r>
    <x v="7"/>
    <s v="Pesos"/>
    <d v="2026-07-31T00:00:00"/>
    <s v="20/07/2026"/>
    <n v="0.99103993999999995"/>
    <m/>
    <n v="10000000"/>
    <n v="9910399.3900000006"/>
    <n v="10000000"/>
    <n v="9910399.3900000006"/>
    <n v="499"/>
    <s v="AMOMPY"/>
    <s v="Momentum Capital Investment S.A."/>
    <s v="14/05/2026"/>
    <s v="14/05/2026"/>
    <n v="30"/>
    <s v="No"/>
    <s v=""/>
    <m/>
    <m/>
    <s v="*MAV290701192"/>
    <s v="*MAV290701192"/>
    <n v="1.9009594130004552E-4"/>
  </r>
  <r>
    <x v="56"/>
    <s v="Pesos"/>
    <d v="2026-07-31T00:00:00"/>
    <s v="20/07/2026"/>
    <n v="0.98926718000000002"/>
    <m/>
    <n v="5882352.9299999997"/>
    <n v="5819218.71"/>
    <n v="5882352.9299999997"/>
    <n v="5819218.71"/>
    <n v="2618"/>
    <s v="AMOMPY"/>
    <s v="Momentum Capital Investment S.A."/>
    <s v="26/05/2026"/>
    <s v="26/05/2026"/>
    <n v="36"/>
    <s v="No"/>
    <s v=""/>
    <m/>
    <m/>
    <s v="*MAV290701251"/>
    <s v="*MAV290701251"/>
    <n v="1.1162111785570395E-4"/>
  </r>
  <r>
    <x v="26"/>
    <s v="Pesos"/>
    <d v="2026-07-31T00:00:00"/>
    <s v="20/07/2026"/>
    <n v="0.99044829999999995"/>
    <m/>
    <n v="2700000"/>
    <n v="2674210.41"/>
    <n v="2700000"/>
    <n v="2674210.41"/>
    <n v="2425"/>
    <s v="AMOMPY"/>
    <s v="Momentum Capital Investment S.A."/>
    <s v="04/06/2026"/>
    <s v="04/06/2026"/>
    <n v="32"/>
    <s v="No"/>
    <s v=""/>
    <m/>
    <m/>
    <s v="*MAV290701308"/>
    <s v="*MAV290701308"/>
    <n v="5.1295263199612647E-5"/>
  </r>
  <r>
    <x v="10"/>
    <s v="Pesos"/>
    <d v="2026-07-31T00:00:00"/>
    <s v="20/07/2026"/>
    <n v="0.98808881000000004"/>
    <m/>
    <n v="4600000"/>
    <n v="4545208.53"/>
    <n v="4600000"/>
    <n v="4545208.53"/>
    <n v="1027"/>
    <s v="AMOMPY"/>
    <s v="Momentum Capital Investment S.A."/>
    <s v="09/03/2026"/>
    <s v="09/03/2026"/>
    <n v="40"/>
    <s v="No"/>
    <s v=""/>
    <m/>
    <m/>
    <s v="*MAV290701056"/>
    <s v="*MAV290701056"/>
    <n v="8.7183741029365943E-5"/>
  </r>
  <r>
    <x v="95"/>
    <s v="Pesos"/>
    <d v="2026-07-31T00:00:00"/>
    <s v="20/07/2026"/>
    <n v="0.99015280999999999"/>
    <m/>
    <n v="823765.53"/>
    <n v="815653.75"/>
    <n v="823765.53"/>
    <n v="815653.75"/>
    <n v="22968"/>
    <s v="AMOMPY"/>
    <s v="Momentum Capital Investment S.A."/>
    <s v="14/07/2026"/>
    <s v="14/07/2026"/>
    <n v="33"/>
    <s v="No"/>
    <s v=""/>
    <m/>
    <m/>
    <s v="*MAV290701545"/>
    <s v="*MAV290701545"/>
    <n v="1.5645430752025625E-5"/>
  </r>
  <r>
    <x v="43"/>
    <s v="Pesos"/>
    <d v="2026-07-31T00:00:00"/>
    <s v="20/07/2026"/>
    <n v="0.99133601000000005"/>
    <m/>
    <n v="20000000"/>
    <n v="19826720.129999999"/>
    <n v="20000000"/>
    <n v="19826720.129999999"/>
    <n v="66179118"/>
    <s v="AMOMPY"/>
    <s v="Momentum Capital Investment S.A."/>
    <s v="14/04/2026"/>
    <s v="14/04/2026"/>
    <n v="29"/>
    <s v="No"/>
    <s v=""/>
    <m/>
    <m/>
    <s v="*MIL290700024"/>
    <s v="*MIL290700024"/>
    <n v="3.8030546274532236E-4"/>
  </r>
  <r>
    <x v="43"/>
    <s v="Pesos"/>
    <d v="2026-07-31T00:00:00"/>
    <s v="20/07/2026"/>
    <n v="0.99133601000000005"/>
    <m/>
    <n v="10000000"/>
    <n v="9913360.0800000001"/>
    <n v="10000000"/>
    <n v="9913360.0800000001"/>
    <n v="491334"/>
    <s v="AMOMPY"/>
    <s v="Momentum Capital Investment S.A."/>
    <s v="14/04/2026"/>
    <s v="14/04/2026"/>
    <n v="29"/>
    <s v="No"/>
    <s v=""/>
    <m/>
    <m/>
    <s v="*MIL290700025"/>
    <s v="*MIL290700025"/>
    <n v="1.901527316603831E-4"/>
  </r>
  <r>
    <x v="30"/>
    <s v="Pesos"/>
    <d v="2026-07-31T00:00:00"/>
    <s v="20/07/2026"/>
    <n v="0.99104000999999997"/>
    <m/>
    <n v="5356036.28"/>
    <n v="5308046.26"/>
    <n v="5356036.28"/>
    <n v="5308046.26"/>
    <n v="58"/>
    <s v="AMOMPY"/>
    <s v="Momentum Capital Investment S.A."/>
    <s v="08/07/2026"/>
    <s v="08/07/2026"/>
    <n v="30"/>
    <s v="No"/>
    <s v=""/>
    <m/>
    <m/>
    <s v="%CP1300700001"/>
    <s v="%CP1300700001"/>
    <n v="1.0181608334342679E-4"/>
  </r>
  <r>
    <x v="64"/>
    <s v="Pesos"/>
    <d v="2026-07-31T00:00:00"/>
    <s v="20/07/2026"/>
    <n v="0.98956217000000002"/>
    <m/>
    <n v="16600000"/>
    <n v="16426731.970000001"/>
    <n v="16600000"/>
    <n v="16426731.970000001"/>
    <n v="29088024"/>
    <s v="AMOMPY"/>
    <s v="Momentum Capital Investment S.A."/>
    <s v="14/04/2026"/>
    <s v="14/04/2026"/>
    <n v="35"/>
    <s v="No"/>
    <s v=""/>
    <m/>
    <m/>
    <s v="*MAV290701088"/>
    <s v="*MAV290701088"/>
    <n v="3.1508872179980839E-4"/>
  </r>
  <r>
    <x v="96"/>
    <s v="Pesos"/>
    <d v="2026-07-31T00:00:00"/>
    <s v="20/07/2026"/>
    <n v="0.98867764000000002"/>
    <m/>
    <n v="5450000"/>
    <n v="5388293.1399999997"/>
    <n v="5450000"/>
    <n v="5388293.1399999997"/>
    <n v="28516"/>
    <s v="AMOMPY"/>
    <s v="Momentum Capital Investment S.A."/>
    <s v="08/04/2026"/>
    <s v="08/04/2026"/>
    <n v="38"/>
    <s v="No"/>
    <s v=""/>
    <m/>
    <m/>
    <s v="*MAV290701080"/>
    <s v="*MAV290701080"/>
    <n v="1.0335533575795454E-4"/>
  </r>
  <r>
    <x v="1"/>
    <s v="Pesos"/>
    <d v="2026-07-31T00:00:00"/>
    <s v="20/07/2026"/>
    <n v="0.99133599999999999"/>
    <m/>
    <n v="5000000"/>
    <n v="4956680.0199999996"/>
    <n v="5000000"/>
    <n v="4956680.0199999996"/>
    <n v="43317"/>
    <s v="AMOMPY"/>
    <s v="Momentum Capital Investment S.A."/>
    <s v="21/04/2026"/>
    <s v="21/04/2026"/>
    <n v="29"/>
    <s v="No"/>
    <s v=""/>
    <m/>
    <m/>
    <s v="*MOV290700053"/>
    <s v="*MOV290700053"/>
    <n v="9.5076365446562317E-5"/>
  </r>
  <r>
    <x v="97"/>
    <s v="Pesos"/>
    <d v="2026-07-31T00:00:00"/>
    <s v="20/07/2026"/>
    <n v="0.98985736999999996"/>
    <m/>
    <n v="5000000"/>
    <n v="4949286.8600000003"/>
    <n v="5000000"/>
    <n v="4949286.8600000003"/>
    <n v="16815"/>
    <s v="AMOMPY"/>
    <s v="Momentum Capital Investment S.A."/>
    <s v="29/04/2026"/>
    <s v="29/04/2026"/>
    <n v="34"/>
    <s v="No"/>
    <s v=""/>
    <m/>
    <m/>
    <s v="*MAV290701134"/>
    <s v="*MAV290701134"/>
    <n v="9.493455383493345E-5"/>
  </r>
  <r>
    <x v="12"/>
    <s v="Pesos"/>
    <d v="2026-07-31T00:00:00"/>
    <s v="20/07/2026"/>
    <n v="0.98897228000000004"/>
    <m/>
    <n v="3000000"/>
    <n v="2966916.84"/>
    <n v="3000000"/>
    <n v="2966916.84"/>
    <n v="40743006"/>
    <s v="AMOMPY"/>
    <s v="Momentum Capital Investment S.A."/>
    <s v="19/05/2026"/>
    <s v="19/05/2026"/>
    <n v="37"/>
    <s v="No"/>
    <s v=""/>
    <m/>
    <m/>
    <s v="*MAV290701214"/>
    <s v="*MAV290701214"/>
    <n v="5.6909800227411062E-5"/>
  </r>
  <r>
    <x v="98"/>
    <s v="Pesos"/>
    <d v="2026-07-31T00:00:00"/>
    <s v="20/07/2026"/>
    <n v="0.98779466999999999"/>
    <m/>
    <n v="40000000"/>
    <n v="39511786.899999999"/>
    <n v="40000000"/>
    <n v="39511786.899999999"/>
    <n v="64885127"/>
    <s v="AMOMPY"/>
    <s v="Momentum Capital Investment S.A."/>
    <s v="13/02/2026"/>
    <s v="13/02/2026"/>
    <n v="41"/>
    <s v="No"/>
    <s v=""/>
    <m/>
    <m/>
    <s v="*MAV290701035"/>
    <s v="*MAV290701035"/>
    <n v="7.5789380706303775E-4"/>
  </r>
  <r>
    <x v="0"/>
    <s v="Pesos"/>
    <d v="2026-08-03T00:00:00"/>
    <s v="20/07/2026"/>
    <n v="0.98899908999999997"/>
    <m/>
    <n v="5000000"/>
    <n v="4944995.4400000004"/>
    <n v="5000000"/>
    <n v="4944995.4400000004"/>
    <n v="16779581"/>
    <s v="AMOMPY"/>
    <s v="Momentum Capital Investment S.A."/>
    <s v="20/04/2026"/>
    <s v="20/04/2026"/>
    <n v="29"/>
    <s v="No"/>
    <s v=""/>
    <m/>
    <m/>
    <s v="*INP300700064"/>
    <s v="*INP300700064"/>
    <n v="9.4852238128743347E-5"/>
  </r>
  <r>
    <x v="0"/>
    <s v="Pesos"/>
    <d v="2026-08-03T00:00:00"/>
    <s v="20/07/2026"/>
    <n v="0.98862408000000002"/>
    <m/>
    <n v="10000000"/>
    <n v="9886240.8399999999"/>
    <n v="10000000"/>
    <n v="9886240.8399999999"/>
    <n v="90019961"/>
    <s v="AMOMPY"/>
    <s v="Momentum Capital Investment S.A."/>
    <s v="22/04/2026"/>
    <s v="22/04/2026"/>
    <n v="30"/>
    <s v="No"/>
    <s v=""/>
    <m/>
    <m/>
    <s v="*INP300700065"/>
    <s v="*INP300700065"/>
    <n v="1.8963254501075689E-4"/>
  </r>
  <r>
    <x v="68"/>
    <s v="Pesos"/>
    <d v="2026-08-03T00:00:00"/>
    <s v="20/07/2026"/>
    <n v="0.98899910000000002"/>
    <m/>
    <n v="100000000"/>
    <n v="98899909.75"/>
    <n v="100000000"/>
    <n v="98899909.75"/>
    <n v="90003812"/>
    <s v="AMOMPY"/>
    <s v="Momentum Capital Investment S.A."/>
    <s v="03/06/2026"/>
    <s v="03/06/2026"/>
    <n v="29"/>
    <s v="No"/>
    <s v=""/>
    <m/>
    <m/>
    <s v="*MAV300701319"/>
    <s v="*MAV300701319"/>
    <n v="1.8970447807972548E-3"/>
  </r>
  <r>
    <x v="99"/>
    <s v="Pesos"/>
    <d v="2026-08-03T00:00:00"/>
    <s v="20/07/2026"/>
    <n v="0.98750079999999996"/>
    <m/>
    <n v="404788.82"/>
    <n v="399729.28"/>
    <n v="404788.82"/>
    <n v="399729.28"/>
    <n v="38693"/>
    <s v="AMOMPY"/>
    <s v="Momentum Capital Investment S.A."/>
    <s v="14/07/2026"/>
    <s v="14/07/2026"/>
    <n v="33"/>
    <s v="No"/>
    <s v=""/>
    <m/>
    <m/>
    <s v="*MAV300701684"/>
    <s v="*MAV300701684"/>
    <n v="7.667391671768887E-6"/>
  </r>
  <r>
    <x v="1"/>
    <s v="Pesos"/>
    <d v="2026-08-03T00:00:00"/>
    <s v="20/07/2026"/>
    <n v="0.98899908999999997"/>
    <m/>
    <n v="2500000"/>
    <n v="2472497.73"/>
    <n v="2500000"/>
    <n v="2472497.73"/>
    <n v="365"/>
    <s v="AMOMPY"/>
    <s v="Momentum Capital Investment S.A."/>
    <s v="17/04/2026"/>
    <s v="17/04/2026"/>
    <n v="29"/>
    <s v="No"/>
    <s v=""/>
    <m/>
    <m/>
    <s v="*MOV300700055"/>
    <s v="*MOV300700055"/>
    <n v="4.7426119256186282E-5"/>
  </r>
  <r>
    <x v="94"/>
    <s v="Pesos"/>
    <d v="2026-08-03T00:00:00"/>
    <s v="20/07/2026"/>
    <n v="0.98787488999999995"/>
    <m/>
    <n v="5606107.5899999999"/>
    <n v="5538132.9299999997"/>
    <n v="5606107.5899999999"/>
    <n v="5538132.9299999997"/>
    <n v="29386345"/>
    <s v="AMOMPY"/>
    <s v="Momentum Capital Investment S.A."/>
    <s v="04/06/2026"/>
    <s v="04/06/2026"/>
    <n v="32"/>
    <s v="No"/>
    <s v=""/>
    <m/>
    <m/>
    <s v="*MAV300701334"/>
    <s v="*MAV300701334"/>
    <n v="1.0622948187491049E-4"/>
  </r>
  <r>
    <x v="5"/>
    <s v="Pesos"/>
    <d v="2026-08-03T00:00:00"/>
    <s v="20/07/2026"/>
    <n v="0.99125532999999999"/>
    <m/>
    <n v="92619861.719999999"/>
    <n v="91809932.010000005"/>
    <n v="92619861.719999999"/>
    <n v="91809932.010000005"/>
    <n v="3138228"/>
    <s v="AMOMPY"/>
    <s v="Momentum Capital Investment S.A."/>
    <s v="08/07/2026"/>
    <s v="08/07/2026"/>
    <n v="23"/>
    <s v="No"/>
    <s v=""/>
    <m/>
    <m/>
    <s v="*POT300700122"/>
    <s v="*POT300700122"/>
    <n v="1.7610486479227685E-3"/>
  </r>
  <r>
    <x v="19"/>
    <s v="Pesos"/>
    <d v="2026-08-03T00:00:00"/>
    <s v="20/07/2026"/>
    <n v="0.98637989999999998"/>
    <m/>
    <n v="20000000"/>
    <n v="19727597.98"/>
    <n v="20000000"/>
    <n v="19727597.98"/>
    <n v="423"/>
    <s v="AMOMPY"/>
    <s v="Momentum Capital Investment S.A."/>
    <s v="21/05/2026"/>
    <s v="21/05/2026"/>
    <n v="36"/>
    <s v="No"/>
    <s v=""/>
    <m/>
    <m/>
    <s v="*MAV300701258"/>
    <s v="*MAV300701258"/>
    <n v="3.7840415507179437E-4"/>
  </r>
  <r>
    <x v="100"/>
    <s v="Pesos"/>
    <d v="2026-08-03T00:00:00"/>
    <s v="20/07/2026"/>
    <n v="0.98862406999999997"/>
    <m/>
    <n v="10000000"/>
    <n v="9886240.6699999999"/>
    <n v="10000000"/>
    <n v="9886240.6699999999"/>
    <n v="3463102"/>
    <s v="AMOMPY"/>
    <s v="Momentum Capital Investment S.A."/>
    <s v="17/04/2026"/>
    <s v="17/04/2026"/>
    <n v="30"/>
    <s v="No"/>
    <s v=""/>
    <m/>
    <m/>
    <s v="*MAV300701132"/>
    <s v="*MAV300701132"/>
    <n v="1.8963254174990849E-4"/>
  </r>
  <r>
    <x v="85"/>
    <s v="Pesos"/>
    <d v="2026-08-03T00:00:00"/>
    <s v="20/07/2026"/>
    <n v="0.98563407999999997"/>
    <m/>
    <n v="4599318.34"/>
    <n v="4533244.92"/>
    <n v="4599318.34"/>
    <n v="4533244.92"/>
    <n v="577"/>
    <s v="AMOMPY"/>
    <s v="Momentum Capital Investment S.A."/>
    <s v="22/04/2026"/>
    <s v="22/04/2026"/>
    <n v="38"/>
    <s v="No"/>
    <s v=""/>
    <m/>
    <m/>
    <s v="*MAV300701144"/>
    <s v="*MAV300701144"/>
    <n v="8.6954261508430438E-5"/>
  </r>
  <r>
    <x v="101"/>
    <s v="Pesos"/>
    <d v="2026-08-03T00:00:00"/>
    <s v="20/07/2026"/>
    <n v="0.98563405999999998"/>
    <m/>
    <n v="9978017.3200000003"/>
    <n v="9834673.7699999996"/>
    <n v="9978017.3200000003"/>
    <n v="9834673.7699999996"/>
    <n v="30001645"/>
    <s v="AMOMPY"/>
    <s v="Momentum Capital Investment S.A."/>
    <s v="17/04/2026"/>
    <s v="17/04/2026"/>
    <n v="38"/>
    <s v="No"/>
    <s v=""/>
    <m/>
    <m/>
    <s v="*MAV300701130"/>
    <s v="*MAV300701130"/>
    <n v="1.886434132587483E-4"/>
  </r>
  <r>
    <x v="7"/>
    <s v="Pesos"/>
    <d v="2026-08-03T00:00:00"/>
    <s v="20/07/2026"/>
    <n v="0.98862404999999998"/>
    <m/>
    <n v="10000000"/>
    <n v="9886240.5199999996"/>
    <n v="10000000"/>
    <n v="9886240.5199999996"/>
    <n v="574"/>
    <s v="AMOMPY"/>
    <s v="Momentum Capital Investment S.A."/>
    <s v="02/06/2026"/>
    <s v="02/06/2026"/>
    <n v="30"/>
    <s v="No"/>
    <s v=""/>
    <m/>
    <m/>
    <s v="*MAV300701306"/>
    <s v="*MAV300701306"/>
    <n v="1.896325388726893E-4"/>
  </r>
  <r>
    <x v="56"/>
    <s v="Pesos"/>
    <d v="2026-08-03T00:00:00"/>
    <s v="20/07/2026"/>
    <n v="0.98637986"/>
    <m/>
    <n v="5882352.9299999997"/>
    <n v="5802234.4400000004"/>
    <n v="5882352.9299999997"/>
    <n v="5802234.4400000004"/>
    <n v="2619"/>
    <s v="AMOMPY"/>
    <s v="Momentum Capital Investment S.A."/>
    <s v="26/05/2026"/>
    <s v="26/05/2026"/>
    <n v="36"/>
    <s v="No"/>
    <s v=""/>
    <m/>
    <m/>
    <s v="*MAV300701271"/>
    <s v="*MAV300701271"/>
    <n v="1.1129533473981844E-4"/>
  </r>
  <r>
    <x v="26"/>
    <s v="Pesos"/>
    <d v="2026-08-03T00:00:00"/>
    <s v="20/07/2026"/>
    <n v="0.98787488999999995"/>
    <m/>
    <n v="2885565.11"/>
    <n v="2850577.32"/>
    <n v="2885565.11"/>
    <n v="2850577.32"/>
    <n v="2426"/>
    <s v="AMOMPY"/>
    <s v="Momentum Capital Investment S.A."/>
    <s v="04/06/2026"/>
    <s v="04/06/2026"/>
    <n v="32"/>
    <s v="No"/>
    <s v=""/>
    <m/>
    <m/>
    <s v="*MAV300701333"/>
    <s v="*MAV300701333"/>
    <n v="5.46782382393936E-5"/>
  </r>
  <r>
    <x v="43"/>
    <s v="Pesos"/>
    <d v="2026-08-03T00:00:00"/>
    <s v="20/07/2026"/>
    <n v="0.98899910999999996"/>
    <m/>
    <n v="3500000"/>
    <n v="3461496.88"/>
    <n v="3500000"/>
    <n v="3461496.88"/>
    <n v="407"/>
    <s v="AMOMPY"/>
    <s v="Momentum Capital Investment S.A."/>
    <s v="22/04/2026"/>
    <s v="22/04/2026"/>
    <n v="29"/>
    <s v="No"/>
    <s v=""/>
    <m/>
    <m/>
    <s v="*MIL300700030"/>
    <s v="*MIL300700030"/>
    <n v="6.6396568071185543E-5"/>
  </r>
  <r>
    <x v="92"/>
    <s v="Pesos"/>
    <d v="2026-08-03T00:00:00"/>
    <s v="20/07/2026"/>
    <n v="0.98899908999999997"/>
    <m/>
    <n v="80000000"/>
    <n v="79119926.989999995"/>
    <n v="80000000"/>
    <n v="79119926.989999995"/>
    <n v="90041869"/>
    <s v="AMOMPY"/>
    <s v="Momentum Capital Investment S.A."/>
    <s v="20/04/2026"/>
    <s v="20/04/2026"/>
    <n v="29"/>
    <s v="No"/>
    <s v=""/>
    <m/>
    <m/>
    <s v="*FED300700061"/>
    <s v="*FED300700061"/>
    <n v="1.5176358091008202E-3"/>
  </r>
  <r>
    <x v="1"/>
    <s v="Pesos"/>
    <d v="2026-08-03T00:00:00"/>
    <s v="20/07/2026"/>
    <n v="0.98899910000000002"/>
    <m/>
    <n v="5000000"/>
    <n v="4944995.51"/>
    <n v="5000000"/>
    <n v="4944995.51"/>
    <n v="43318"/>
    <s v="AMOMPY"/>
    <s v="Momentum Capital Investment S.A."/>
    <s v="21/04/2026"/>
    <s v="21/04/2026"/>
    <n v="29"/>
    <s v="No"/>
    <s v=""/>
    <m/>
    <m/>
    <s v="*MOV300700056"/>
    <s v="*MOV300700056"/>
    <n v="9.4852239471445623E-5"/>
  </r>
  <r>
    <x v="12"/>
    <s v="Pesos"/>
    <d v="2026-08-03T00:00:00"/>
    <s v="20/07/2026"/>
    <n v="0.98600681999999995"/>
    <m/>
    <n v="3000000"/>
    <n v="2958020.45"/>
    <n v="3000000"/>
    <n v="2958020.45"/>
    <n v="40743007"/>
    <s v="AMOMPY"/>
    <s v="Momentum Capital Investment S.A."/>
    <s v="19/05/2026"/>
    <s v="19/05/2026"/>
    <n v="37"/>
    <s v="No"/>
    <s v=""/>
    <m/>
    <m/>
    <s v="*MAV300701240"/>
    <s v="*MAV300701240"/>
    <n v="5.6739154467873998E-5"/>
  </r>
  <r>
    <x v="98"/>
    <s v="Pesos"/>
    <d v="2026-08-03T00:00:00"/>
    <s v="20/07/2026"/>
    <n v="0.98637987000000005"/>
    <m/>
    <n v="25000000"/>
    <n v="24659496.68"/>
    <n v="25000000"/>
    <n v="24659496.68"/>
    <n v="1165497"/>
    <s v="AMOMPY"/>
    <s v="Momentum Capital Investment S.A."/>
    <s v="06/04/2026"/>
    <s v="06/04/2026"/>
    <n v="36"/>
    <s v="No"/>
    <s v=""/>
    <m/>
    <m/>
    <s v="*MAV300701114"/>
    <s v="*MAV300701114"/>
    <n v="4.730051785904813E-4"/>
  </r>
  <r>
    <x v="13"/>
    <s v="Pesos"/>
    <d v="2026-08-03T00:00:00"/>
    <s v="20/07/2026"/>
    <n v="0.98787486999999996"/>
    <m/>
    <n v="15000000"/>
    <n v="14818123.01"/>
    <n v="15000000"/>
    <n v="14818123.01"/>
    <n v="175"/>
    <s v="AMOMPY"/>
    <s v="Momentum Capital Investment S.A."/>
    <s v="17/04/2026"/>
    <s v="17/04/2026"/>
    <n v="32"/>
    <s v="No"/>
    <s v=""/>
    <m/>
    <m/>
    <s v="*NEU300700019"/>
    <s v="*NEU300700019"/>
    <n v="2.8423325145989029E-4"/>
  </r>
  <r>
    <x v="13"/>
    <s v="Pesos"/>
    <d v="2026-08-03T00:00:00"/>
    <s v="20/07/2026"/>
    <n v="0.98750068999999996"/>
    <m/>
    <n v="21395750"/>
    <n v="21128317.809999999"/>
    <n v="21395750"/>
    <n v="21128317.809999999"/>
    <n v="3233100"/>
    <s v="AMOMPY"/>
    <s v="Momentum Capital Investment S.A."/>
    <s v="20/04/2026"/>
    <s v="20/04/2026"/>
    <n v="33"/>
    <s v="No"/>
    <s v=""/>
    <m/>
    <m/>
    <s v="*NEU300700021"/>
    <s v="*NEU300700021"/>
    <n v="4.0527200813230454E-4"/>
  </r>
  <r>
    <x v="13"/>
    <s v="Pesos"/>
    <d v="2026-08-03T00:00:00"/>
    <s v="20/07/2026"/>
    <n v="0.98750068999999996"/>
    <m/>
    <n v="21395750"/>
    <n v="21128317.809999999"/>
    <n v="21395750"/>
    <n v="21128317.809999999"/>
    <n v="3233101"/>
    <s v="AMOMPY"/>
    <s v="Momentum Capital Investment S.A."/>
    <s v="20/04/2026"/>
    <s v="20/04/2026"/>
    <n v="33"/>
    <s v="No"/>
    <s v=""/>
    <m/>
    <m/>
    <s v="*NEU300700020"/>
    <s v="*NEU300700020"/>
    <n v="4.0527200813230454E-4"/>
  </r>
  <r>
    <x v="14"/>
    <s v="Pesos"/>
    <d v="2026-08-03T00:00:00"/>
    <s v="20/07/2026"/>
    <n v="0.98712685"/>
    <m/>
    <n v="10000000"/>
    <n v="9871268.5199999996"/>
    <n v="10000000"/>
    <n v="9871268.5199999996"/>
    <n v="211"/>
    <s v="AMOMPY"/>
    <s v="Momentum Capital Investment S.A."/>
    <s v="12/06/2026"/>
    <s v="12/06/2026"/>
    <n v="34"/>
    <s v="No"/>
    <s v=""/>
    <m/>
    <m/>
    <s v="*MAV300701402"/>
    <s v="*MAV300701402"/>
    <n v="1.8934535403571733E-4"/>
  </r>
  <r>
    <x v="60"/>
    <s v="Pesos"/>
    <d v="2026-08-03T00:00:00"/>
    <s v="20/07/2026"/>
    <n v="0.98862413000000005"/>
    <m/>
    <n v="330000"/>
    <n v="326245.96000000002"/>
    <n v="330000"/>
    <n v="326245.96000000002"/>
    <n v="9918443"/>
    <s v="AMOMPY"/>
    <s v="Momentum Capital Investment S.A."/>
    <s v="30/06/2026"/>
    <s v="30/06/2026"/>
    <n v="30"/>
    <s v="No"/>
    <s v=""/>
    <m/>
    <m/>
    <s v="*MAV300701526"/>
    <s v="*MAV300701526"/>
    <n v="6.2578742209033207E-6"/>
  </r>
  <r>
    <x v="60"/>
    <s v="Pesos"/>
    <d v="2026-08-03T00:00:00"/>
    <s v="20/07/2026"/>
    <n v="0.98862413999999998"/>
    <m/>
    <n v="415000"/>
    <n v="410279.02"/>
    <n v="415000"/>
    <n v="410279.02"/>
    <n v="9918437"/>
    <s v="AMOMPY"/>
    <s v="Momentum Capital Investment S.A."/>
    <s v="30/06/2026"/>
    <s v="30/06/2026"/>
    <n v="30"/>
    <s v="No"/>
    <s v=""/>
    <m/>
    <m/>
    <s v="*MAV300701527"/>
    <s v="*MAV300701527"/>
    <n v="7.8697511001683458E-6"/>
  </r>
  <r>
    <x v="102"/>
    <s v="Pesos"/>
    <d v="2026-08-03T00:00:00"/>
    <s v="20/07/2026"/>
    <n v="0.98862413000000005"/>
    <m/>
    <n v="1278434.3600000001"/>
    <n v="1263891.06"/>
    <n v="1278434.3600000001"/>
    <n v="1263891.06"/>
    <n v="20325324"/>
    <s v="AMOMPY"/>
    <s v="Momentum Capital Investment S.A."/>
    <s v="30/06/2026"/>
    <s v="30/06/2026"/>
    <n v="30"/>
    <s v="No"/>
    <s v=""/>
    <m/>
    <m/>
    <s v="*MAV300701528"/>
    <s v="*MAV300701528"/>
    <n v="2.424327731875721E-5"/>
  </r>
  <r>
    <x v="103"/>
    <s v="Pesos"/>
    <d v="2026-08-03T00:00:00"/>
    <s v="20/07/2026"/>
    <n v="0.98862410000000001"/>
    <m/>
    <n v="2870567.12"/>
    <n v="2837911.84"/>
    <n v="2870567.12"/>
    <n v="2837911.84"/>
    <n v="92"/>
    <s v="AMOMPY"/>
    <s v="Momentum Capital Investment S.A."/>
    <s v="20/07/2026"/>
    <s v="20/07/2026"/>
    <n v="30"/>
    <s v="No"/>
    <s v=""/>
    <m/>
    <m/>
    <s v="*MAV300701742"/>
    <s v="*MAV300701742"/>
    <n v="5.4435295826291025E-5"/>
  </r>
  <r>
    <x v="0"/>
    <s v="Pesos"/>
    <d v="2026-08-04T00:00:00"/>
    <s v="20/07/2026"/>
    <n v="0.98822259000000001"/>
    <m/>
    <n v="5000000"/>
    <n v="4941112.96"/>
    <n v="5000000"/>
    <n v="4941112.96"/>
    <n v="16779582"/>
    <s v="AMOMPY"/>
    <s v="Momentum Capital Investment S.A."/>
    <s v="20/04/2026"/>
    <s v="20/04/2026"/>
    <n v="29"/>
    <s v="No"/>
    <s v=""/>
    <m/>
    <m/>
    <s v="*INP310700079"/>
    <s v="*INP310700079"/>
    <n v="9.4777766489293237E-5"/>
  </r>
  <r>
    <x v="0"/>
    <s v="Pesos"/>
    <d v="2026-08-04T00:00:00"/>
    <s v="20/07/2026"/>
    <n v="0.98782141000000001"/>
    <m/>
    <n v="40000000"/>
    <n v="39512856.539999999"/>
    <n v="40000000"/>
    <n v="39512856.539999999"/>
    <n v="9631288"/>
    <s v="AMOMPY"/>
    <s v="Momentum Capital Investment S.A."/>
    <s v="23/04/2026"/>
    <s v="23/04/2026"/>
    <n v="30"/>
    <s v="No"/>
    <s v=""/>
    <m/>
    <m/>
    <s v="*INP310700080"/>
    <s v="*INP310700080"/>
    <n v="7.5791432432118758E-4"/>
  </r>
  <r>
    <x v="1"/>
    <s v="Pesos"/>
    <d v="2026-08-04T00:00:00"/>
    <s v="20/07/2026"/>
    <n v="0.98983054999999998"/>
    <m/>
    <n v="9000000"/>
    <n v="8908474.9700000007"/>
    <n v="9000000"/>
    <n v="8908474.9700000007"/>
    <n v="90000070"/>
    <s v="AMOMPY"/>
    <s v="Momentum Capital Investment S.A."/>
    <s v="30/06/2026"/>
    <s v="30/06/2026"/>
    <n v="25"/>
    <s v="No"/>
    <s v=""/>
    <m/>
    <m/>
    <s v="*MOV310700092"/>
    <s v="*MOV310700092"/>
    <n v="1.7087756692014052E-4"/>
  </r>
  <r>
    <x v="104"/>
    <s v="Pesos"/>
    <d v="2026-08-04T00:00:00"/>
    <s v="20/07/2026"/>
    <n v="0.98661982000000004"/>
    <m/>
    <n v="13000000"/>
    <n v="12826057.66"/>
    <n v="13000000"/>
    <n v="12826057.66"/>
    <n v="207"/>
    <s v="AMOMPY"/>
    <s v="Momentum Capital Investment S.A."/>
    <s v="27/05/2026"/>
    <s v="27/05/2026"/>
    <n v="33"/>
    <s v="No"/>
    <s v=""/>
    <m/>
    <m/>
    <s v="*MAV310701530"/>
    <s v="*MAV310701530"/>
    <n v="2.4602252725622586E-4"/>
  </r>
  <r>
    <x v="104"/>
    <s v="Pesos"/>
    <d v="2026-08-04T00:00:00"/>
    <s v="20/07/2026"/>
    <n v="0.98661982000000004"/>
    <m/>
    <n v="13000000"/>
    <n v="12826057.66"/>
    <n v="13000000"/>
    <n v="12826057.66"/>
    <n v="203"/>
    <s v="AMOMPY"/>
    <s v="Momentum Capital Investment S.A."/>
    <s v="27/05/2026"/>
    <s v="27/05/2026"/>
    <n v="33"/>
    <s v="No"/>
    <s v=""/>
    <m/>
    <m/>
    <s v="*MAV310701531"/>
    <s v="*MAV310701531"/>
    <n v="2.4602252725622586E-4"/>
  </r>
  <r>
    <x v="104"/>
    <s v="Pesos"/>
    <d v="2026-08-04T00:00:00"/>
    <s v="20/07/2026"/>
    <n v="0.98661982000000004"/>
    <m/>
    <n v="13000000"/>
    <n v="12826057.66"/>
    <n v="13000000"/>
    <n v="12826057.66"/>
    <n v="206"/>
    <s v="AMOMPY"/>
    <s v="Momentum Capital Investment S.A."/>
    <s v="27/05/2026"/>
    <s v="27/05/2026"/>
    <n v="33"/>
    <s v="No"/>
    <s v=""/>
    <m/>
    <m/>
    <s v="*MAV310701532"/>
    <s v="*MAV310701532"/>
    <n v="2.4602252725622586E-4"/>
  </r>
  <r>
    <x v="72"/>
    <s v="Pesos"/>
    <d v="2026-08-04T00:00:00"/>
    <s v="20/07/2026"/>
    <n v="0.98661986000000002"/>
    <m/>
    <n v="3000000"/>
    <n v="2959859.57"/>
    <n v="3000000"/>
    <n v="2959859.57"/>
    <n v="90015793"/>
    <s v="AMOMPY"/>
    <s v="Momentum Capital Investment S.A."/>
    <s v="29/05/2026"/>
    <s v="29/05/2026"/>
    <n v="33"/>
    <s v="No"/>
    <s v=""/>
    <m/>
    <m/>
    <s v="*MAV310701551"/>
    <s v="*MAV310701551"/>
    <n v="5.6774431476782081E-5"/>
  </r>
  <r>
    <x v="105"/>
    <s v="Pesos"/>
    <d v="2026-08-04T00:00:00"/>
    <s v="20/07/2026"/>
    <n v="0.98702003000000005"/>
    <m/>
    <n v="1341865.8"/>
    <n v="1324448.43"/>
    <n v="1341865.8"/>
    <n v="1324448.43"/>
    <n v="1"/>
    <s v="AMOMPY"/>
    <s v="Momentum Capital Investment S.A."/>
    <s v="04/06/2026"/>
    <s v="04/06/2026"/>
    <n v="32"/>
    <s v="No"/>
    <s v=""/>
    <m/>
    <m/>
    <s v="*MAV310701663"/>
    <s v="*MAV310701663"/>
    <n v="2.5404856161323426E-5"/>
  </r>
  <r>
    <x v="106"/>
    <s v="Pesos"/>
    <d v="2026-08-04T00:00:00"/>
    <s v="20/07/2026"/>
    <n v="0.98702003000000005"/>
    <m/>
    <n v="2000000"/>
    <n v="1974040.07"/>
    <n v="2000000"/>
    <n v="1974040.07"/>
    <n v="1227536"/>
    <s v="AMOMPY"/>
    <s v="Momentum Capital Investment S.A."/>
    <s v="04/06/2026"/>
    <s v="04/06/2026"/>
    <n v="32"/>
    <s v="No"/>
    <s v=""/>
    <m/>
    <m/>
    <s v="*MAV310701662"/>
    <s v="*MAV310701662"/>
    <n v="3.7864972994863101E-5"/>
  </r>
  <r>
    <x v="107"/>
    <s v="Pesos"/>
    <d v="2026-08-04T00:00:00"/>
    <s v="20/07/2026"/>
    <n v="0.98382751999999996"/>
    <m/>
    <n v="60000000"/>
    <n v="59029651.240000002"/>
    <n v="60000000"/>
    <n v="59029651.240000002"/>
    <n v="152491"/>
    <s v="AMOMPY"/>
    <s v="Momentum Capital Investment S.A."/>
    <s v="04/06/2026"/>
    <s v="04/06/2026"/>
    <n v="40"/>
    <s v="No"/>
    <s v=""/>
    <m/>
    <m/>
    <s v="#MAV030860055"/>
    <s v="#MAV030860055"/>
    <n v="1.1322749644584404E-3"/>
  </r>
  <r>
    <x v="20"/>
    <s v="Pesos"/>
    <d v="2026-08-04T00:00:00"/>
    <s v="20/07/2026"/>
    <n v="0.98661986999999995"/>
    <m/>
    <n v="10000000"/>
    <n v="9866198.7100000009"/>
    <n v="10000000"/>
    <n v="9866198.7100000009"/>
    <n v="13633527"/>
    <s v="AMOMPY"/>
    <s v="Momentum Capital Investment S.A."/>
    <s v="19/05/2026"/>
    <s v="19/05/2026"/>
    <n v="33"/>
    <s v="No"/>
    <s v=""/>
    <m/>
    <m/>
    <s v="*MAV310701459"/>
    <s v="*MAV310701459"/>
    <n v="1.8924810767194971E-4"/>
  </r>
  <r>
    <x v="108"/>
    <s v="Pesos"/>
    <d v="2026-08-04T00:00:00"/>
    <s v="20/07/2026"/>
    <n v="0.98502228000000003"/>
    <m/>
    <n v="6598885.3799999999"/>
    <n v="6500049.1399999997"/>
    <n v="6598885.3799999999"/>
    <n v="6500049.1399999997"/>
    <n v="10902567"/>
    <s v="AMOMPY"/>
    <s v="Momentum Capital Investment S.A."/>
    <s v="13/05/2026"/>
    <s v="13/05/2026"/>
    <n v="37"/>
    <s v="No"/>
    <s v=""/>
    <m/>
    <m/>
    <s v="*MAV310701425"/>
    <s v="*MAV310701425"/>
    <n v="1.2468044032732482E-4"/>
  </r>
  <r>
    <x v="6"/>
    <s v="Pesos"/>
    <d v="2026-08-04T00:00:00"/>
    <s v="20/07/2026"/>
    <n v="0.99184784999999998"/>
    <m/>
    <n v="2500000"/>
    <n v="2479619.62"/>
    <n v="2500000"/>
    <n v="2479619.62"/>
    <n v="6129"/>
    <s v="AMOMPY"/>
    <s v="Momentum Capital Investment S.A."/>
    <s v="29/05/2026"/>
    <s v="29/05/2026"/>
    <n v="20"/>
    <s v="No"/>
    <s v=""/>
    <m/>
    <m/>
    <s v="*ACI310700409"/>
    <s v="*ACI310700409"/>
    <n v="4.7562727512837519E-5"/>
  </r>
  <r>
    <x v="63"/>
    <s v="Pesos"/>
    <d v="2026-08-04T00:00:00"/>
    <s v="20/07/2026"/>
    <n v="0.99023346999999995"/>
    <m/>
    <n v="13804469.48"/>
    <n v="13669647.74"/>
    <n v="13804469.48"/>
    <n v="13669647.74"/>
    <n v="6023"/>
    <s v="AMOMPY"/>
    <s v="Momentum Capital Investment S.A."/>
    <s v="13/07/2026"/>
    <s v="13/07/2026"/>
    <n v="24"/>
    <s v="No"/>
    <s v=""/>
    <m/>
    <m/>
    <s v="*PRO310700012"/>
    <s v="*PRO310700012"/>
    <n v="2.6220381763800339E-4"/>
  </r>
  <r>
    <x v="74"/>
    <s v="Pesos"/>
    <d v="2026-08-04T00:00:00"/>
    <s v="20/07/2026"/>
    <n v="0.98902590999999995"/>
    <m/>
    <n v="27789080.199999999"/>
    <n v="27484120.370000001"/>
    <n v="27789080.199999999"/>
    <n v="27484120.370000001"/>
    <n v="540"/>
    <s v="AMOMPY"/>
    <s v="Momentum Capital Investment S.A."/>
    <s v="04/05/2026"/>
    <s v="04/05/2026"/>
    <n v="27"/>
    <s v="No"/>
    <s v=""/>
    <m/>
    <m/>
    <s v="%INC010800022"/>
    <s v="%INC010800022"/>
    <n v="5.271855882832291E-4"/>
  </r>
  <r>
    <x v="74"/>
    <s v="Pesos"/>
    <d v="2026-08-04T00:00:00"/>
    <s v="20/07/2026"/>
    <n v="0.99043484999999998"/>
    <m/>
    <n v="7636731.6600000001"/>
    <n v="7563685.21"/>
    <n v="7636731.6600000001"/>
    <n v="7563685.21"/>
    <n v="90"/>
    <s v="AMOMPY"/>
    <s v="Momentum Capital Investment S.A."/>
    <s v="17/07/2026"/>
    <s v="17/07/2026"/>
    <n v="23.5"/>
    <s v="No"/>
    <s v=""/>
    <m/>
    <m/>
    <s v="%INC020800044"/>
    <s v="%INC020800044"/>
    <n v="1.4508253432682114E-4"/>
  </r>
  <r>
    <x v="74"/>
    <s v="Pesos"/>
    <d v="2026-08-04T00:00:00"/>
    <s v="20/07/2026"/>
    <n v="0.99043486000000003"/>
    <m/>
    <n v="6203209.9199999999"/>
    <n v="6143875.3200000003"/>
    <n v="6203209.9199999999"/>
    <n v="6143875.3200000003"/>
    <n v="91"/>
    <s v="AMOMPY"/>
    <s v="Momentum Capital Investment S.A."/>
    <s v="17/07/2026"/>
    <s v="17/07/2026"/>
    <n v="23.5"/>
    <s v="No"/>
    <s v=""/>
    <m/>
    <m/>
    <s v="%INC020800045"/>
    <s v="%INC020800045"/>
    <n v="1.178485060212612E-4"/>
  </r>
  <r>
    <x v="7"/>
    <s v="Pesos"/>
    <d v="2026-08-04T00:00:00"/>
    <s v="20/07/2026"/>
    <n v="0.98782139999999996"/>
    <m/>
    <n v="10000000"/>
    <n v="9878213.9600000009"/>
    <n v="10000000"/>
    <n v="9878213.9600000009"/>
    <n v="492"/>
    <s v="AMOMPY"/>
    <s v="Momentum Capital Investment S.A."/>
    <s v="13/05/2026"/>
    <s v="13/05/2026"/>
    <n v="30"/>
    <s v="No"/>
    <s v=""/>
    <m/>
    <m/>
    <s v="*MAV310701416"/>
    <s v="*MAV310701416"/>
    <n v="1.8947857772354118E-4"/>
  </r>
  <r>
    <x v="8"/>
    <s v="Pesos"/>
    <d v="2026-08-04T00:00:00"/>
    <s v="20/07/2026"/>
    <n v="0.98462375000000002"/>
    <m/>
    <n v="100000000"/>
    <n v="98462374.989999995"/>
    <n v="100000000"/>
    <n v="98462374.989999995"/>
    <n v="70219538"/>
    <s v="AMOMPY"/>
    <s v="Momentum Capital Investment S.A."/>
    <s v="26/05/2026"/>
    <s v="26/05/2026"/>
    <n v="38"/>
    <s v="No"/>
    <s v=""/>
    <m/>
    <m/>
    <s v="*MAV310701511"/>
    <s v="*MAV310701511"/>
    <n v="1.8886522247780074E-3"/>
  </r>
  <r>
    <x v="8"/>
    <s v="Pesos"/>
    <d v="2026-08-04T00:00:00"/>
    <s v="20/07/2026"/>
    <n v="0.98462375000000002"/>
    <m/>
    <n v="1082000000"/>
    <n v="1065362897.39"/>
    <n v="1082000000"/>
    <n v="1065362897.39"/>
    <n v="70219527"/>
    <s v="AMOMPY"/>
    <s v="Momentum Capital Investment S.A."/>
    <s v="26/05/2026"/>
    <s v="26/05/2026"/>
    <n v="38"/>
    <s v="No"/>
    <s v=""/>
    <m/>
    <m/>
    <s v="*MAV310701512"/>
    <s v="*MAV310701512"/>
    <n v="2.0435217072063513E-2"/>
  </r>
  <r>
    <x v="25"/>
    <s v="Pesos"/>
    <d v="2026-08-04T00:00:00"/>
    <s v="20/07/2026"/>
    <n v="0.98661982000000004"/>
    <m/>
    <n v="50000000"/>
    <n v="49330990.920000002"/>
    <n v="50000000"/>
    <n v="49330990.920000002"/>
    <n v="29030848"/>
    <s v="AMOMPY"/>
    <s v="Momentum Capital Investment S.A."/>
    <s v="06/04/2026"/>
    <s v="06/04/2026"/>
    <n v="33"/>
    <s v="No"/>
    <s v=""/>
    <m/>
    <m/>
    <s v="*MAV310701258"/>
    <s v="*MAV310701258"/>
    <n v="9.4624048791250564E-4"/>
  </r>
  <r>
    <x v="25"/>
    <s v="Pesos"/>
    <d v="2026-08-04T00:00:00"/>
    <s v="20/07/2026"/>
    <n v="0.98661982999999998"/>
    <m/>
    <n v="50000000"/>
    <n v="49330991.600000001"/>
    <n v="50000000"/>
    <n v="49330991.600000001"/>
    <n v="29007569"/>
    <s v="AMOMPY"/>
    <s v="Momentum Capital Investment S.A."/>
    <s v="31/03/2026"/>
    <s v="31/03/2026"/>
    <n v="33"/>
    <s v="No"/>
    <s v=""/>
    <m/>
    <m/>
    <s v="*MAV310701252"/>
    <s v="*MAV310701252"/>
    <n v="9.4624050095589926E-4"/>
  </r>
  <r>
    <x v="56"/>
    <s v="Pesos"/>
    <d v="2026-08-04T00:00:00"/>
    <s v="20/07/2026"/>
    <n v="0.98542123000000004"/>
    <m/>
    <n v="5882352.9299999997"/>
    <n v="5796595.4400000004"/>
    <n v="5882352.9299999997"/>
    <n v="5796595.4400000004"/>
    <n v="2620"/>
    <s v="AMOMPY"/>
    <s v="Momentum Capital Investment S.A."/>
    <s v="26/05/2026"/>
    <s v="26/05/2026"/>
    <n v="36"/>
    <s v="No"/>
    <s v=""/>
    <m/>
    <m/>
    <s v="*MAV310701515"/>
    <s v="*MAV310701515"/>
    <n v="1.1118717048015474E-4"/>
  </r>
  <r>
    <x v="56"/>
    <s v="Pesos"/>
    <d v="2026-08-04T00:00:00"/>
    <s v="20/07/2026"/>
    <n v="0.98542125999999997"/>
    <m/>
    <n v="2273100.5"/>
    <n v="2239961.56"/>
    <n v="2273100.5"/>
    <n v="2239961.56"/>
    <n v="2757"/>
    <s v="AMOMPY"/>
    <s v="Momentum Capital Investment S.A."/>
    <s v="17/06/2026"/>
    <s v="17/06/2026"/>
    <n v="36"/>
    <s v="No"/>
    <s v=""/>
    <m/>
    <m/>
    <s v="*MAV310701758"/>
    <s v="*MAV310701758"/>
    <n v="4.2965735735511902E-5"/>
  </r>
  <r>
    <x v="109"/>
    <s v="Pesos"/>
    <d v="2026-08-04T00:00:00"/>
    <s v="20/07/2026"/>
    <n v="0.98661982000000004"/>
    <m/>
    <n v="6747533.79"/>
    <n v="6657250.5800000001"/>
    <n v="6747533.79"/>
    <n v="6657250.5800000001"/>
    <n v="10949784"/>
    <s v="AMOMPY"/>
    <s v="Momentum Capital Investment S.A."/>
    <s v="27/05/2026"/>
    <s v="27/05/2026"/>
    <n v="33"/>
    <s v="No"/>
    <s v=""/>
    <m/>
    <m/>
    <s v="*MAV310701523"/>
    <s v="*MAV310701523"/>
    <n v="1.276957936480675E-4"/>
  </r>
  <r>
    <x v="110"/>
    <s v="Pesos"/>
    <d v="2026-08-04T00:00:00"/>
    <s v="20/07/2026"/>
    <n v="0.99265707999999997"/>
    <m/>
    <n v="776145000"/>
    <n v="770445826.87"/>
    <n v="776145000"/>
    <n v="770445826.87"/>
    <n v="152009"/>
    <s v="AMOMPY"/>
    <s v="Momentum Capital Investment S.A."/>
    <s v="01/06/2026"/>
    <s v="01/06/2026"/>
    <n v="18"/>
    <s v="No"/>
    <s v=""/>
    <m/>
    <m/>
    <s v="#MAV010860008"/>
    <s v="#MAV010860008"/>
    <n v="1.4778276728920462E-2"/>
  </r>
  <r>
    <x v="110"/>
    <s v="Pesos"/>
    <d v="2026-08-04T00:00:00"/>
    <s v="20/07/2026"/>
    <n v="0.98582042999999997"/>
    <m/>
    <n v="24341349.530000001"/>
    <n v="23996199.559999999"/>
    <n v="24341349.530000001"/>
    <n v="23996199.559999999"/>
    <n v="13784401"/>
    <s v="AMOMPY"/>
    <s v="Momentum Capital Investment S.A."/>
    <s v="08/06/2026"/>
    <s v="08/06/2026"/>
    <n v="35"/>
    <s v="No"/>
    <s v=""/>
    <m/>
    <m/>
    <s v="*MAV310701686"/>
    <s v="*MAV310701686"/>
    <n v="4.6028217062419897E-4"/>
  </r>
  <r>
    <x v="28"/>
    <s v="Pesos"/>
    <d v="2026-08-04T00:00:00"/>
    <s v="20/07/2026"/>
    <n v="0.96894080999999999"/>
    <m/>
    <n v="10000000"/>
    <n v="9689408.0899999999"/>
    <n v="10000000"/>
    <n v="9689408.0899999999"/>
    <n v="3935"/>
    <s v="AMOMPY"/>
    <s v="Momentum Capital Investment S.A."/>
    <s v="03/09/2025"/>
    <s v="03/09/2025"/>
    <n v="78"/>
    <s v="No"/>
    <s v=""/>
    <m/>
    <m/>
    <s v="*MAV310701190"/>
    <s v="*MAV310701190"/>
    <n v="1.8585700525524694E-4"/>
  </r>
  <r>
    <x v="57"/>
    <s v="Pesos"/>
    <d v="2026-08-04T00:00:00"/>
    <s v="20/07/2026"/>
    <n v="0.98862406000000003"/>
    <m/>
    <n v="50000000"/>
    <n v="49431202.759999998"/>
    <n v="50000000"/>
    <n v="49431202.759999998"/>
    <n v="4577"/>
    <s v="AMOMPY"/>
    <s v="Momentum Capital Investment S.A."/>
    <s v="05/05/2026"/>
    <s v="05/05/2026"/>
    <n v="28"/>
    <s v="No"/>
    <s v=""/>
    <m/>
    <m/>
    <s v="*BIF310700007"/>
    <s v="*BIF310700007"/>
    <n v="9.4816269743248026E-4"/>
  </r>
  <r>
    <x v="43"/>
    <s v="Pesos"/>
    <d v="2026-08-04T00:00:00"/>
    <s v="20/07/2026"/>
    <n v="0.98782141000000001"/>
    <m/>
    <n v="10000000"/>
    <n v="9878214.0800000001"/>
    <n v="10000000"/>
    <n v="9878214.0800000001"/>
    <n v="65931757"/>
    <s v="AMOMPY"/>
    <s v="Momentum Capital Investment S.A."/>
    <s v="01/04/2026"/>
    <s v="01/04/2026"/>
    <n v="30"/>
    <s v="No"/>
    <s v=""/>
    <m/>
    <m/>
    <s v="*MIL310700029"/>
    <s v="*MIL310700029"/>
    <n v="1.8947858002531652E-4"/>
  </r>
  <r>
    <x v="30"/>
    <s v="Pesos"/>
    <d v="2026-08-04T00:00:00"/>
    <s v="20/07/2026"/>
    <n v="0.98782157000000004"/>
    <m/>
    <n v="40093877.229999997"/>
    <n v="39605596.93"/>
    <n v="40093877.229999997"/>
    <n v="39605596.93"/>
    <n v="56"/>
    <s v="AMOMPY"/>
    <s v="Momentum Capital Investment S.A."/>
    <s v="13/07/2026"/>
    <s v="13/07/2026"/>
    <n v="30"/>
    <s v="No"/>
    <s v=""/>
    <m/>
    <m/>
    <s v="%CP1030800001"/>
    <s v="%CP1030800001"/>
    <n v="7.5969322051293667E-4"/>
  </r>
  <r>
    <x v="111"/>
    <s v="Pesos"/>
    <d v="2026-08-04T00:00:00"/>
    <s v="20/07/2026"/>
    <n v="0.98382751999999996"/>
    <m/>
    <n v="50000000"/>
    <n v="49191376"/>
    <n v="50000000"/>
    <n v="49191376"/>
    <n v="6540"/>
    <s v="AMOMPY"/>
    <s v="Momentum Capital Investment S.A."/>
    <s v="17/03/2026"/>
    <s v="17/03/2026"/>
    <n v="40"/>
    <s v="No"/>
    <s v=""/>
    <m/>
    <m/>
    <s v="*MAV310701236"/>
    <s v="*MAV310701236"/>
    <n v="9.4356246974265157E-4"/>
  </r>
  <r>
    <x v="76"/>
    <s v="Pesos"/>
    <d v="2026-08-04T00:00:00"/>
    <s v="20/07/2026"/>
    <n v="0.98382756000000005"/>
    <m/>
    <n v="149000000"/>
    <n v="146590306.63"/>
    <n v="149000000"/>
    <n v="146590306.63"/>
    <n v="70388002"/>
    <s v="AMOMPY"/>
    <s v="Momentum Capital Investment S.A."/>
    <s v="09/06/2026"/>
    <s v="09/06/2026"/>
    <n v="40"/>
    <s v="No"/>
    <s v=""/>
    <m/>
    <m/>
    <s v="*MAV310701691"/>
    <s v="*MAV310701691"/>
    <n v="2.811816277799088E-3"/>
  </r>
  <r>
    <x v="66"/>
    <s v="Pesos"/>
    <d v="2026-08-04T00:00:00"/>
    <s v="20/07/2026"/>
    <n v="0.98702003000000005"/>
    <m/>
    <n v="50000000"/>
    <n v="49351001.32"/>
    <n v="50000000"/>
    <n v="49351001.32"/>
    <n v="11915482"/>
    <s v="AMOMPY"/>
    <s v="Momentum Capital Investment S.A."/>
    <s v="07/04/2026"/>
    <s v="07/04/2026"/>
    <n v="32"/>
    <s v="No"/>
    <s v=""/>
    <m/>
    <m/>
    <s v="*AFB310700008"/>
    <s v="*AFB310700008"/>
    <n v="9.4662431662354918E-4"/>
  </r>
  <r>
    <x v="46"/>
    <s v="Pesos"/>
    <d v="2026-08-04T00:00:00"/>
    <s v="20/07/2026"/>
    <n v="0.98661986000000002"/>
    <m/>
    <n v="50000000"/>
    <n v="49330993.039999999"/>
    <n v="50000000"/>
    <n v="49330993.039999999"/>
    <n v="140"/>
    <s v="AMOMPY"/>
    <s v="Momentum Capital Investment S.A."/>
    <s v="22/05/2026"/>
    <s v="22/05/2026"/>
    <n v="33"/>
    <s v="No"/>
    <s v=""/>
    <m/>
    <m/>
    <s v="*MAV310701486"/>
    <s v="*MAV310701486"/>
    <n v="9.4624052857720327E-4"/>
  </r>
  <r>
    <x v="1"/>
    <s v="Pesos"/>
    <d v="2026-08-04T00:00:00"/>
    <s v="20/07/2026"/>
    <n v="0.98822255999999997"/>
    <m/>
    <n v="5000000"/>
    <n v="4941112.82"/>
    <n v="5000000"/>
    <n v="4941112.82"/>
    <n v="43319"/>
    <s v="AMOMPY"/>
    <s v="Momentum Capital Investment S.A."/>
    <s v="21/04/2026"/>
    <s v="21/04/2026"/>
    <n v="29"/>
    <s v="No"/>
    <s v=""/>
    <m/>
    <m/>
    <s v="*MOV310700075"/>
    <s v="*MOV310700075"/>
    <n v="9.4777763803888671E-5"/>
  </r>
  <r>
    <x v="12"/>
    <s v="Pesos"/>
    <d v="2026-08-04T00:00:00"/>
    <s v="20/07/2026"/>
    <n v="0.98502232999999995"/>
    <m/>
    <n v="3000000"/>
    <n v="2955066.98"/>
    <n v="3000000"/>
    <n v="2955066.98"/>
    <n v="40743008"/>
    <s v="AMOMPY"/>
    <s v="Momentum Capital Investment S.A."/>
    <s v="19/05/2026"/>
    <s v="19/05/2026"/>
    <n v="37"/>
    <s v="No"/>
    <s v=""/>
    <m/>
    <m/>
    <s v="*MAV310701462"/>
    <s v="*MAV310701462"/>
    <n v="5.6682502597686204E-5"/>
  </r>
  <r>
    <x v="12"/>
    <s v="Pesos"/>
    <d v="2026-08-04T00:00:00"/>
    <s v="20/07/2026"/>
    <n v="0.98502232999999995"/>
    <m/>
    <n v="6000000"/>
    <n v="5910133.9699999997"/>
    <n v="6000000"/>
    <n v="5910133.9699999997"/>
    <n v="40743010"/>
    <s v="AMOMPY"/>
    <s v="Momentum Capital Investment S.A."/>
    <s v="19/05/2026"/>
    <s v="19/05/2026"/>
    <n v="37"/>
    <s v="No"/>
    <s v=""/>
    <m/>
    <m/>
    <s v="*MAV310701461"/>
    <s v="*MAV310701461"/>
    <n v="1.1336500538718702E-4"/>
  </r>
  <r>
    <x v="12"/>
    <s v="Pesos"/>
    <d v="2026-08-04T00:00:00"/>
    <s v="20/07/2026"/>
    <n v="0.98502232999999995"/>
    <m/>
    <n v="3000000"/>
    <n v="2955066.98"/>
    <n v="3000000"/>
    <n v="2955066.98"/>
    <n v="40743009"/>
    <s v="AMOMPY"/>
    <s v="Momentum Capital Investment S.A."/>
    <s v="19/05/2026"/>
    <s v="19/05/2026"/>
    <n v="37"/>
    <s v="No"/>
    <s v=""/>
    <m/>
    <m/>
    <s v="*MAV310701460"/>
    <s v="*MAV310701460"/>
    <n v="5.6682502597686204E-5"/>
  </r>
  <r>
    <x v="112"/>
    <s v="Pesos"/>
    <d v="2026-08-04T00:00:00"/>
    <s v="20/07/2026"/>
    <n v="0.98782143"/>
    <m/>
    <n v="3666380.87"/>
    <n v="3621729.6"/>
    <n v="3666380.87"/>
    <n v="3621729.6"/>
    <n v="9687"/>
    <s v="AMOMPY"/>
    <s v="Momentum Capital Investment S.A."/>
    <s v="30/06/2026"/>
    <s v="30/06/2026"/>
    <n v="30"/>
    <s v="No"/>
    <s v=""/>
    <m/>
    <m/>
    <s v="*MAV310701922"/>
    <s v="*MAV310701922"/>
    <n v="6.947006577161138E-5"/>
  </r>
  <r>
    <x v="113"/>
    <s v="Pesos"/>
    <d v="2026-08-04T00:00:00"/>
    <s v="20/07/2026"/>
    <n v="0.98742057000000005"/>
    <m/>
    <n v="11957120"/>
    <n v="11806706.189999999"/>
    <n v="11957120"/>
    <n v="11806706.189999999"/>
    <n v="99486214"/>
    <s v="AMOMPY"/>
    <s v="Momentum Capital Investment S.A."/>
    <s v="03/07/2026"/>
    <s v="03/07/2026"/>
    <n v="31"/>
    <s v="No"/>
    <s v=""/>
    <m/>
    <m/>
    <s v="*MAV310702019"/>
    <s v="*MAV310702019"/>
    <n v="2.2646987659304856E-4"/>
  </r>
  <r>
    <x v="68"/>
    <s v="Pesos"/>
    <d v="2026-08-05T00:00:00"/>
    <s v="20/07/2026"/>
    <n v="0.98744730000000003"/>
    <m/>
    <n v="100000000"/>
    <n v="98744729.900000006"/>
    <n v="100000000"/>
    <n v="98744729.900000006"/>
    <n v="90003818"/>
    <s v="AMOMPY"/>
    <s v="Momentum Capital Investment S.A."/>
    <s v="03/06/2026"/>
    <s v="03/06/2026"/>
    <n v="29"/>
    <s v="No"/>
    <s v=""/>
    <m/>
    <m/>
    <s v="*MAV030800921"/>
    <s v="*MAV030800921"/>
    <n v="1.8940682045266442E-3"/>
  </r>
  <r>
    <x v="114"/>
    <s v="Dolar 3500"/>
    <d v="2026-08-05T00:00:00"/>
    <s v="20/07/2026"/>
    <n v="0.99607036999999998"/>
    <s v="1 US3 = 1480,1749803655 $"/>
    <n v="50000"/>
    <n v="49803.519999999997"/>
    <n v="74008749.019999996"/>
    <n v="73717924.239999995"/>
    <n v="144917"/>
    <s v="AMOMPY"/>
    <s v="Momentum Capital Investment S.A."/>
    <s v="01/04/2026"/>
    <s v="01/04/2026"/>
    <n v="9"/>
    <s v="No"/>
    <s v=""/>
    <m/>
    <m/>
    <s v="#UMV030860028"/>
    <s v="#UMV030860028"/>
    <n v="1.4140175029906884E-3"/>
  </r>
  <r>
    <x v="114"/>
    <s v="Dolar 3500"/>
    <d v="2026-08-05T00:00:00"/>
    <s v="20/07/2026"/>
    <n v="0.99650567000000001"/>
    <s v="1 US3 = 1480,1749803655 $"/>
    <n v="50000"/>
    <n v="49825.279999999999"/>
    <n v="74008749.019999996"/>
    <n v="73750132.849999994"/>
    <n v="144506"/>
    <s v="AMOMPY"/>
    <s v="Momentum Capital Investment S.A."/>
    <s v="30/03/2026"/>
    <s v="30/03/2026"/>
    <n v="8"/>
    <s v="No"/>
    <s v=""/>
    <m/>
    <m/>
    <s v="#UMV030860027"/>
    <s v="#UMV030860027"/>
    <n v="1.4146353111934632E-3"/>
  </r>
  <r>
    <x v="115"/>
    <s v="Dolar 3500"/>
    <d v="2026-08-05T00:00:00"/>
    <s v="20/07/2026"/>
    <n v="0.99694081000000001"/>
    <s v="1 US3 = 1480,1749803655 $"/>
    <n v="100000"/>
    <n v="99694.080000000002"/>
    <n v="148017498.03999999"/>
    <n v="147564682.91"/>
    <n v="147169"/>
    <s v="AMOMPY"/>
    <s v="Momentum Capital Investment S.A."/>
    <s v="23/04/2026"/>
    <s v="23/04/2026"/>
    <n v="7"/>
    <s v="No"/>
    <s v=""/>
    <m/>
    <m/>
    <s v="#UMV030860029"/>
    <s v="#UMV030860029"/>
    <n v="2.8305062386006614E-3"/>
  </r>
  <r>
    <x v="115"/>
    <s v="Dolar 3500"/>
    <d v="2026-08-05T00:00:00"/>
    <s v="20/07/2026"/>
    <n v="0.99563533999999998"/>
    <s v="1 US3 = 1480,1749803655 $"/>
    <n v="25000"/>
    <n v="24890.880000000001"/>
    <n v="37004374.509999998"/>
    <n v="36842857.82"/>
    <n v="150611"/>
    <s v="AMOMPY"/>
    <s v="Momentum Capital Investment S.A."/>
    <s v="19/05/2026"/>
    <s v="19/05/2026"/>
    <n v="10"/>
    <s v="No"/>
    <s v=""/>
    <m/>
    <m/>
    <s v="#UMV030860035"/>
    <s v="#UMV030860035"/>
    <n v="7.0669984748986418E-4"/>
  </r>
  <r>
    <x v="116"/>
    <s v="Pesos"/>
    <d v="2026-08-05T00:00:00"/>
    <s v="20/07/2026"/>
    <n v="0.99217138000000005"/>
    <m/>
    <n v="346128566"/>
    <n v="343418857.30000001"/>
    <n v="346128566"/>
    <n v="343418857.30000001"/>
    <n v="152123"/>
    <s v="AMOMPY"/>
    <s v="Momentum Capital Investment S.A."/>
    <s v="02/06/2026"/>
    <s v="02/06/2026"/>
    <n v="18"/>
    <s v="No"/>
    <s v=""/>
    <m/>
    <m/>
    <s v="#MAV040860041"/>
    <s v="#MAV040860041"/>
    <n v="6.5872754840236069E-3"/>
  </r>
  <r>
    <x v="117"/>
    <s v="Pesos"/>
    <d v="2026-08-05T00:00:00"/>
    <s v="20/07/2026"/>
    <n v="0.98616665000000003"/>
    <m/>
    <n v="1000000"/>
    <n v="986166.65"/>
    <n v="1000000"/>
    <n v="986166.65"/>
    <n v="66487550"/>
    <s v="AMOMPY"/>
    <s v="Momentum Capital Investment S.A."/>
    <s v="04/06/2026"/>
    <s v="04/06/2026"/>
    <n v="32"/>
    <s v="No"/>
    <s v=""/>
    <m/>
    <m/>
    <s v="*MAV010801165"/>
    <s v="*MAV010801165"/>
    <n v="1.891611732617191E-5"/>
  </r>
  <r>
    <x v="84"/>
    <s v="Pesos"/>
    <d v="2026-08-05T00:00:00"/>
    <s v="20/07/2026"/>
    <n v="0.98616665000000003"/>
    <m/>
    <n v="5000000"/>
    <n v="4930833.26"/>
    <n v="5000000"/>
    <n v="4930833.26"/>
    <n v="551"/>
    <s v="AMOMPY"/>
    <s v="Momentum Capital Investment S.A."/>
    <s v="04/06/2026"/>
    <s v="04/06/2026"/>
    <n v="32"/>
    <s v="No"/>
    <s v=""/>
    <m/>
    <m/>
    <s v="*MAV010801167"/>
    <s v="*MAV010801167"/>
    <n v="9.4580586822674159E-5"/>
  </r>
  <r>
    <x v="118"/>
    <s v="Pesos"/>
    <d v="2026-08-05T00:00:00"/>
    <s v="20/07/2026"/>
    <n v="0.98616665000000003"/>
    <m/>
    <n v="2046492.39"/>
    <n v="2018182.54"/>
    <n v="2046492.39"/>
    <n v="2018182.54"/>
    <n v="12864393"/>
    <s v="AMOMPY"/>
    <s v="Momentum Capital Investment S.A."/>
    <s v="04/06/2026"/>
    <s v="04/06/2026"/>
    <n v="32"/>
    <s v="No"/>
    <s v=""/>
    <m/>
    <m/>
    <s v="*MAV030800940"/>
    <s v="*MAV030800940"/>
    <n v="3.871169007010289E-5"/>
  </r>
  <r>
    <x v="119"/>
    <s v="Pesos"/>
    <d v="2026-08-05T00:00:00"/>
    <s v="20/07/2026"/>
    <n v="0.99087851000000005"/>
    <m/>
    <n v="8756336.9900000002"/>
    <n v="8676466.1199999992"/>
    <n v="8756336.9900000002"/>
    <n v="8676466.1199999992"/>
    <n v="40012226"/>
    <s v="AMOMPY"/>
    <s v="Momentum Capital Investment S.A."/>
    <s v="22/05/2026"/>
    <s v="22/05/2026"/>
    <n v="21"/>
    <s v="No"/>
    <s v=""/>
    <m/>
    <m/>
    <s v="*MAV030800874"/>
    <s v="*MAV030800874"/>
    <n v="1.6642729816758207E-4"/>
  </r>
  <r>
    <x v="119"/>
    <s v="Pesos"/>
    <d v="2026-08-05T00:00:00"/>
    <s v="20/07/2026"/>
    <n v="0.98958899"/>
    <m/>
    <n v="1484637.46"/>
    <n v="1469180.88"/>
    <n v="1484637.46"/>
    <n v="1469180.88"/>
    <n v="40012463"/>
    <s v="AMOMPY"/>
    <s v="Momentum Capital Investment S.A."/>
    <s v="29/05/2026"/>
    <s v="29/05/2026"/>
    <n v="24"/>
    <s v="No"/>
    <s v=""/>
    <m/>
    <m/>
    <s v="*MAV030800891"/>
    <s v="*MAV030800891"/>
    <n v="2.8181036034273205E-5"/>
  </r>
  <r>
    <x v="0"/>
    <s v="Pesos"/>
    <d v="2026-08-05T00:00:00"/>
    <s v="20/07/2026"/>
    <n v="0.98702005000000004"/>
    <m/>
    <n v="15000000"/>
    <n v="14805300.77"/>
    <n v="15000000"/>
    <n v="14805300.77"/>
    <n v="90000127"/>
    <s v="AMOMPY"/>
    <s v="Momentum Capital Investment S.A."/>
    <s v="05/05/2026"/>
    <s v="05/05/2026"/>
    <n v="30"/>
    <s v="No"/>
    <s v=""/>
    <m/>
    <m/>
    <s v="*INP030800027"/>
    <s v="*INP030800027"/>
    <n v="2.8398730216093123E-4"/>
  </r>
  <r>
    <x v="85"/>
    <s v="Pesos"/>
    <d v="2026-08-05T00:00:00"/>
    <s v="20/07/2026"/>
    <n v="0.98361540999999997"/>
    <m/>
    <n v="4500000"/>
    <n v="4426269.33"/>
    <n v="4500000"/>
    <n v="4426269.33"/>
    <n v="551"/>
    <s v="AMOMPY"/>
    <s v="Momentum Capital Investment S.A."/>
    <s v="22/04/2026"/>
    <s v="22/04/2026"/>
    <n v="38"/>
    <s v="No"/>
    <s v=""/>
    <m/>
    <m/>
    <s v="*MAV030800733"/>
    <s v="*MAV030800733"/>
    <n v="8.4902313380315927E-5"/>
  </r>
  <r>
    <x v="39"/>
    <s v="Pesos"/>
    <d v="2026-08-05T00:00:00"/>
    <s v="20/07/2026"/>
    <n v="0.98361542999999996"/>
    <m/>
    <n v="3116595.02"/>
    <n v="3065530.96"/>
    <n v="3116595.02"/>
    <n v="3065530.96"/>
    <n v="104"/>
    <s v="AMOMPY"/>
    <s v="Momentum Capital Investment S.A."/>
    <s v="17/04/2026"/>
    <s v="17/04/2026"/>
    <n v="38"/>
    <s v="No"/>
    <s v=""/>
    <m/>
    <m/>
    <s v="*MAV030800729"/>
    <s v="*MAV030800729"/>
    <n v="5.8801363143209522E-5"/>
  </r>
  <r>
    <x v="120"/>
    <s v="Pesos"/>
    <d v="2026-08-05T00:00:00"/>
    <s v="20/07/2026"/>
    <n v="0.98361544000000001"/>
    <m/>
    <n v="2398145.2000000002"/>
    <n v="2358852.65"/>
    <n v="2398145.2000000002"/>
    <n v="2358852.65"/>
    <n v="13270644"/>
    <s v="AMOMPY"/>
    <s v="Momentum Capital Investment S.A."/>
    <s v="24/04/2026"/>
    <s v="24/04/2026"/>
    <n v="38"/>
    <s v="No"/>
    <s v=""/>
    <m/>
    <m/>
    <s v="*MAV030800739"/>
    <s v="*MAV030800739"/>
    <n v="4.5246240564463952E-5"/>
  </r>
  <r>
    <x v="6"/>
    <s v="Pesos"/>
    <d v="2026-08-05T00:00:00"/>
    <s v="20/07/2026"/>
    <n v="0.99130909"/>
    <m/>
    <n v="2500000"/>
    <n v="2478272.73"/>
    <n v="2500000"/>
    <n v="2478272.73"/>
    <n v="6130"/>
    <s v="AMOMPY"/>
    <s v="Momentum Capital Investment S.A."/>
    <s v="29/05/2026"/>
    <s v="29/05/2026"/>
    <n v="20"/>
    <s v="No"/>
    <s v=""/>
    <m/>
    <m/>
    <s v="*ACI030800138"/>
    <s v="*ACI030800138"/>
    <n v="4.7536892194572142E-5"/>
  </r>
  <r>
    <x v="63"/>
    <s v="Pesos"/>
    <d v="2026-08-05T00:00:00"/>
    <s v="20/07/2026"/>
    <n v="0.98830282999999997"/>
    <m/>
    <n v="6060681.79"/>
    <n v="5989788.9500000002"/>
    <n v="6060681.79"/>
    <n v="5989788.9500000002"/>
    <n v="66717853"/>
    <s v="AMOMPY"/>
    <s v="Momentum Capital Investment S.A."/>
    <s v="06/05/2026"/>
    <s v="06/05/2026"/>
    <n v="27"/>
    <s v="No"/>
    <s v=""/>
    <m/>
    <m/>
    <s v="*PRO030800006"/>
    <s v="*PRO030800006"/>
    <n v="1.1489290429483501E-4"/>
  </r>
  <r>
    <x v="63"/>
    <s v="Pesos"/>
    <d v="2026-08-05T00:00:00"/>
    <s v="20/07/2026"/>
    <n v="0.9895891"/>
    <m/>
    <n v="21114904.399999999"/>
    <n v="20895079.16"/>
    <n v="21114904.399999999"/>
    <n v="20895079.16"/>
    <n v="40037582"/>
    <s v="AMOMPY"/>
    <s v="Momentum Capital Investment S.A."/>
    <s v="13/07/2026"/>
    <s v="13/07/2026"/>
    <n v="24"/>
    <s v="No"/>
    <s v=""/>
    <m/>
    <m/>
    <s v="*PRO020800008"/>
    <s v="*PRO020800008"/>
    <n v="4.0079815001877177E-4"/>
  </r>
  <r>
    <x v="40"/>
    <s v="Pesos"/>
    <d v="2026-08-05T00:00:00"/>
    <s v="20/07/2026"/>
    <n v="0.98787486999999996"/>
    <m/>
    <n v="6500000"/>
    <n v="6421186.6900000004"/>
    <n v="6500000"/>
    <n v="6421186.6900000004"/>
    <n v="29175491"/>
    <s v="AMOMPY"/>
    <s v="Momentum Capital Investment S.A."/>
    <s v="04/05/2026"/>
    <s v="04/05/2026"/>
    <n v="28"/>
    <s v="No"/>
    <s v=""/>
    <m/>
    <m/>
    <s v="*CUY030800022"/>
    <s v="*CUY030800022"/>
    <n v="1.2316774330311563E-4"/>
  </r>
  <r>
    <x v="121"/>
    <s v="Pesos"/>
    <d v="2026-08-05T00:00:00"/>
    <s v="20/07/2026"/>
    <n v="0.98616665000000003"/>
    <m/>
    <n v="1110641.67"/>
    <n v="1095277.77"/>
    <n v="1110641.67"/>
    <n v="1095277.77"/>
    <n v="925"/>
    <s v="AMOMPY"/>
    <s v="Momentum Capital Investment S.A."/>
    <s v="04/06/2026"/>
    <s v="04/06/2026"/>
    <n v="32"/>
    <s v="No"/>
    <s v=""/>
    <m/>
    <m/>
    <s v="*MAV030800939"/>
    <s v="*MAV030800939"/>
    <n v="2.1009028040106541E-5"/>
  </r>
  <r>
    <x v="56"/>
    <s v="Pesos"/>
    <d v="2026-08-05T00:00:00"/>
    <s v="20/07/2026"/>
    <n v="0.98446438999999997"/>
    <m/>
    <n v="5882352.9299999997"/>
    <n v="5790966.96"/>
    <n v="5882352.9299999997"/>
    <n v="5790966.96"/>
    <n v="2621"/>
    <s v="AMOMPY"/>
    <s v="Momentum Capital Investment S.A."/>
    <s v="26/05/2026"/>
    <s v="26/05/2026"/>
    <n v="36"/>
    <s v="No"/>
    <s v=""/>
    <m/>
    <m/>
    <s v="*MAV010801140"/>
    <s v="*MAV010801140"/>
    <n v="1.1107920800946277E-4"/>
  </r>
  <r>
    <x v="56"/>
    <s v="Pesos"/>
    <d v="2026-08-05T00:00:00"/>
    <s v="20/07/2026"/>
    <n v="0.98446440999999996"/>
    <m/>
    <n v="2273100.5"/>
    <n v="2237786.54"/>
    <n v="2273100.5"/>
    <n v="2237786.54"/>
    <n v="2758"/>
    <s v="AMOMPY"/>
    <s v="Momentum Capital Investment S.A."/>
    <s v="17/06/2026"/>
    <s v="17/06/2026"/>
    <n v="36"/>
    <s v="No"/>
    <s v=""/>
    <m/>
    <m/>
    <s v="*MAV010801224"/>
    <s v="*MAV010801224"/>
    <n v="4.2924015673789304E-5"/>
  </r>
  <r>
    <x v="122"/>
    <s v="Pesos"/>
    <d v="2026-08-05T00:00:00"/>
    <s v="20/07/2026"/>
    <n v="0.98616665999999997"/>
    <m/>
    <n v="1017218.53"/>
    <n v="1003147"/>
    <n v="1017218.53"/>
    <n v="1003147"/>
    <n v="67391910"/>
    <s v="AMOMPY"/>
    <s v="Momentum Capital Investment S.A."/>
    <s v="04/06/2026"/>
    <s v="04/06/2026"/>
    <n v="32"/>
    <s v="No"/>
    <s v=""/>
    <m/>
    <m/>
    <s v="*MAV010801166"/>
    <s v="*MAV010801166"/>
    <n v="1.9241825250729553E-5"/>
  </r>
  <r>
    <x v="43"/>
    <s v="Pesos"/>
    <d v="2026-08-05T00:00:00"/>
    <s v="20/07/2026"/>
    <n v="0.98830291000000003"/>
    <m/>
    <n v="5800000"/>
    <n v="5732156.8499999996"/>
    <n v="5800000"/>
    <n v="5732156.8499999996"/>
    <n v="121"/>
    <s v="AMOMPY"/>
    <s v="Momentum Capital Investment S.A."/>
    <s v="25/06/2026"/>
    <s v="25/06/2026"/>
    <n v="27"/>
    <s v="No"/>
    <s v=""/>
    <m/>
    <m/>
    <s v="*MIL020800026"/>
    <s v="*MIL020800026"/>
    <n v="1.0995114416677951E-4"/>
  </r>
  <r>
    <x v="43"/>
    <s v="Pesos"/>
    <d v="2026-08-05T00:00:00"/>
    <s v="20/07/2026"/>
    <n v="0.98744726000000005"/>
    <m/>
    <n v="4166666.66"/>
    <n v="4114363.59"/>
    <n v="4166666.66"/>
    <n v="4114363.59"/>
    <n v="13567710"/>
    <s v="AMOMPY"/>
    <s v="Momentum Capital Investment S.A."/>
    <s v="30/04/2026"/>
    <s v="30/04/2026"/>
    <n v="29"/>
    <s v="No"/>
    <s v=""/>
    <m/>
    <m/>
    <s v="*MIL020800023"/>
    <s v="*MIL020800023"/>
    <n v="7.8919505532832468E-5"/>
  </r>
  <r>
    <x v="43"/>
    <s v="Pesos"/>
    <d v="2026-08-05T00:00:00"/>
    <s v="20/07/2026"/>
    <n v="0.98744728000000004"/>
    <m/>
    <n v="12500000"/>
    <n v="12343091.01"/>
    <n v="12500000"/>
    <n v="12343091.01"/>
    <n v="4955"/>
    <s v="AMOMPY"/>
    <s v="Momentum Capital Investment S.A."/>
    <s v="24/04/2026"/>
    <s v="24/04/2026"/>
    <n v="29"/>
    <s v="No"/>
    <s v=""/>
    <m/>
    <m/>
    <s v="*MIL010800019"/>
    <s v="*MIL010800019"/>
    <n v="2.3675852120204807E-4"/>
  </r>
  <r>
    <x v="66"/>
    <s v="Pesos"/>
    <d v="2026-08-05T00:00:00"/>
    <s v="20/07/2026"/>
    <n v="0.99001855000000005"/>
    <m/>
    <n v="5416210"/>
    <n v="5362148.4000000004"/>
    <n v="5416210"/>
    <n v="5362148.4000000004"/>
    <n v="30080661"/>
    <s v="AMOMPY"/>
    <s v="Momentum Capital Investment S.A."/>
    <s v="13/07/2026"/>
    <s v="13/07/2026"/>
    <n v="23"/>
    <s v="No"/>
    <s v=""/>
    <m/>
    <m/>
    <s v="*AFB030800006"/>
    <s v="*AFB030800006"/>
    <n v="1.0285384144226028E-4"/>
  </r>
  <r>
    <x v="46"/>
    <s v="Pesos"/>
    <d v="2026-08-05T00:00:00"/>
    <s v="20/07/2026"/>
    <n v="0.98574057999999998"/>
    <m/>
    <n v="50000000"/>
    <n v="49287029.039999999"/>
    <n v="50000000"/>
    <n v="49287029.039999999"/>
    <n v="136"/>
    <s v="AMOMPY"/>
    <s v="Momentum Capital Investment S.A."/>
    <s v="13/05/2026"/>
    <s v="13/05/2026"/>
    <n v="33"/>
    <s v="No"/>
    <s v=""/>
    <m/>
    <m/>
    <s v="*MAV030800838"/>
    <s v="*MAV030800838"/>
    <n v="9.4539723481734249E-4"/>
  </r>
  <r>
    <x v="50"/>
    <s v="Pesos"/>
    <d v="2026-08-05T00:00:00"/>
    <s v="20/07/2026"/>
    <n v="0.98702007000000003"/>
    <m/>
    <n v="2700000"/>
    <n v="2664954.1800000002"/>
    <n v="2700000"/>
    <n v="2664954.1800000002"/>
    <n v="6269"/>
    <s v="AMOMPY"/>
    <s v="Momentum Capital Investment S.A."/>
    <s v="17/06/2026"/>
    <s v="17/06/2026"/>
    <n v="30"/>
    <s v="No"/>
    <s v=""/>
    <m/>
    <m/>
    <s v="*MAV020800928"/>
    <s v="*MAV020800928"/>
    <n v="5.1117715183080115E-5"/>
  </r>
  <r>
    <x v="92"/>
    <s v="Pesos"/>
    <d v="2026-08-05T00:00:00"/>
    <s v="20/07/2026"/>
    <n v="0.98702005000000004"/>
    <m/>
    <n v="8500000"/>
    <n v="8389670.4000000004"/>
    <n v="8500000"/>
    <n v="8389670.4000000004"/>
    <n v="1070"/>
    <s v="AMOMPY"/>
    <s v="Momentum Capital Investment S.A."/>
    <s v="17/04/2026"/>
    <s v="17/04/2026"/>
    <n v="30"/>
    <s v="No"/>
    <s v=""/>
    <m/>
    <m/>
    <s v="*FED030800023"/>
    <s v="*FED030800023"/>
    <n v="1.6092613719426795E-4"/>
  </r>
  <r>
    <x v="92"/>
    <s v="Pesos"/>
    <d v="2026-08-05T00:00:00"/>
    <s v="20/07/2026"/>
    <n v="0.98702005000000004"/>
    <m/>
    <n v="10000000"/>
    <n v="9870200.4800000004"/>
    <n v="10000000"/>
    <n v="9870200.4800000004"/>
    <n v="40621855"/>
    <s v="AMOMPY"/>
    <s v="Momentum Capital Investment S.A."/>
    <s v="17/04/2026"/>
    <s v="17/04/2026"/>
    <n v="30"/>
    <s v="No"/>
    <s v=""/>
    <m/>
    <m/>
    <s v="*FED030800024"/>
    <s v="*FED030800024"/>
    <n v="1.8932486746790547E-4"/>
  </r>
  <r>
    <x v="123"/>
    <s v="Pesos"/>
    <d v="2026-08-05T00:00:00"/>
    <s v="20/07/2026"/>
    <n v="0.98446434999999999"/>
    <m/>
    <n v="16800000"/>
    <n v="16539001.109999999"/>
    <n v="16800000"/>
    <n v="16539001.109999999"/>
    <n v="32600"/>
    <s v="AMOMPY"/>
    <s v="Momentum Capital Investment S.A."/>
    <s v="29/04/2026"/>
    <s v="29/04/2026"/>
    <n v="36"/>
    <s v="No"/>
    <s v=""/>
    <m/>
    <m/>
    <s v="*MAV030800746"/>
    <s v="*MAV030800746"/>
    <n v="3.1724220795181774E-4"/>
  </r>
  <r>
    <x v="12"/>
    <s v="Pesos"/>
    <d v="2026-08-05T00:00:00"/>
    <s v="20/07/2026"/>
    <n v="0.98488940999999997"/>
    <m/>
    <n v="2000000"/>
    <n v="1969778.81"/>
    <n v="2000000"/>
    <n v="1969778.81"/>
    <n v="40751276"/>
    <s v="AMOMPY"/>
    <s v="Momentum Capital Investment S.A."/>
    <s v="02/06/2026"/>
    <s v="02/06/2026"/>
    <n v="35"/>
    <s v="No"/>
    <s v=""/>
    <m/>
    <m/>
    <s v="*MAV030800905"/>
    <s v="*MAV030800905"/>
    <n v="3.7783235801542558E-5"/>
  </r>
  <r>
    <x v="12"/>
    <s v="Pesos"/>
    <d v="2026-08-05T00:00:00"/>
    <s v="20/07/2026"/>
    <n v="0.98488938000000004"/>
    <m/>
    <n v="2500000"/>
    <n v="2462223.44"/>
    <n v="2500000"/>
    <n v="2462223.44"/>
    <n v="40761864"/>
    <s v="AMOMPY"/>
    <s v="Momentum Capital Investment S.A."/>
    <s v="07/07/2026"/>
    <s v="07/07/2026"/>
    <n v="35"/>
    <s v="No"/>
    <s v=""/>
    <m/>
    <m/>
    <s v="*MAV030801231"/>
    <s v="*MAV030801231"/>
    <n v="4.7229043361272253E-5"/>
  </r>
  <r>
    <x v="51"/>
    <s v="Pesos"/>
    <d v="2026-08-05T00:00:00"/>
    <s v="20/07/2026"/>
    <n v="0.98488945999999999"/>
    <m/>
    <n v="5511345.0499999998"/>
    <n v="5428065.6299999999"/>
    <n v="5511345.0499999998"/>
    <n v="5428065.6299999999"/>
    <n v="8220"/>
    <s v="AMOMPY"/>
    <s v="Momentum Capital Investment S.A."/>
    <s v="11/06/2026"/>
    <s v="11/06/2026"/>
    <n v="35"/>
    <s v="No"/>
    <s v=""/>
    <m/>
    <m/>
    <s v="*MAV030800972"/>
    <s v="*MAV030800972"/>
    <n v="1.0411823023141295E-4"/>
  </r>
  <r>
    <x v="124"/>
    <s v="Pesos"/>
    <d v="2026-08-05T00:00:00"/>
    <s v="20/07/2026"/>
    <n v="0.98702005999999998"/>
    <m/>
    <n v="2500000"/>
    <n v="2467550.16"/>
    <n v="2500000"/>
    <n v="2467550.16"/>
    <n v="380"/>
    <s v="AMOMPY"/>
    <s v="Momentum Capital Investment S.A."/>
    <s v="15/07/2026"/>
    <s v="15/07/2026"/>
    <n v="30"/>
    <s v="No"/>
    <s v=""/>
    <m/>
    <m/>
    <s v="*MAV030801290"/>
    <s v="*MAV030801290"/>
    <n v="4.733121763423481E-5"/>
  </r>
  <r>
    <x v="68"/>
    <s v="Pesos"/>
    <d v="2026-08-06T00:00:00"/>
    <s v="20/07/2026"/>
    <n v="0.98667318999999998"/>
    <m/>
    <n v="100000000"/>
    <n v="98667318.930000007"/>
    <n v="100000000"/>
    <n v="98667318.930000007"/>
    <n v="90003813"/>
    <s v="AMOMPY"/>
    <s v="Momentum Capital Investment S.A."/>
    <s v="03/06/2026"/>
    <s v="03/06/2026"/>
    <n v="29"/>
    <s v="No"/>
    <s v=""/>
    <m/>
    <m/>
    <s v="*MAV040801170"/>
    <s v="*MAV040801170"/>
    <n v="1.8925833490097265E-3"/>
  </r>
  <r>
    <x v="125"/>
    <s v="Pesos"/>
    <d v="2026-08-06T00:00:00"/>
    <s v="20/07/2026"/>
    <n v="0.98940130999999998"/>
    <m/>
    <n v="44862794.600000001"/>
    <n v="44387307.689999998"/>
    <n v="44862794.600000001"/>
    <n v="44387307.689999998"/>
    <n v="96"/>
    <s v="AMOMPY"/>
    <s v="Momentum Capital Investment S.A."/>
    <s v="17/07/2026"/>
    <s v="17/07/2026"/>
    <n v="23"/>
    <s v="No"/>
    <s v=""/>
    <m/>
    <m/>
    <s v="%YFP050800100"/>
    <s v="%YFP050800100"/>
    <n v="8.5141341988895344E-4"/>
  </r>
  <r>
    <x v="1"/>
    <s v="Pesos"/>
    <d v="2026-08-06T00:00:00"/>
    <s v="20/07/2026"/>
    <n v="0.98849028999999999"/>
    <m/>
    <n v="2125000"/>
    <n v="2100541.86"/>
    <n v="2125000"/>
    <n v="2100541.86"/>
    <n v="4501"/>
    <s v="AMOMPY"/>
    <s v="Momentum Capital Investment S.A."/>
    <s v="30/06/2026"/>
    <s v="30/06/2026"/>
    <n v="25"/>
    <s v="No"/>
    <s v=""/>
    <m/>
    <m/>
    <s v="*MOV040800058"/>
    <s v="*MOV040800058"/>
    <n v="4.029146217051182E-5"/>
  </r>
  <r>
    <x v="81"/>
    <s v="Pesos"/>
    <d v="2026-08-06T00:00:00"/>
    <s v="20/07/2026"/>
    <n v="0.98486280000000004"/>
    <m/>
    <n v="1319000"/>
    <n v="1299034.04"/>
    <n v="1319000"/>
    <n v="1299034.04"/>
    <n v="67204033"/>
    <s v="AMOMPY"/>
    <s v="Momentum Capital Investment S.A."/>
    <s v="29/05/2026"/>
    <s v="29/05/2026"/>
    <n v="33"/>
    <s v="No"/>
    <s v=""/>
    <m/>
    <m/>
    <s v="*MAV040801146"/>
    <s v="*MAV040801146"/>
    <n v="2.4917371025810995E-5"/>
  </r>
  <r>
    <x v="40"/>
    <s v="Pesos"/>
    <d v="2026-08-06T00:00:00"/>
    <s v="20/07/2026"/>
    <n v="0.98712679999999997"/>
    <m/>
    <n v="6500000"/>
    <n v="6416324.1799999997"/>
    <n v="6500000"/>
    <n v="6416324.1799999997"/>
    <n v="29175497"/>
    <s v="AMOMPY"/>
    <s v="Momentum Capital Investment S.A."/>
    <s v="04/05/2026"/>
    <s v="04/05/2026"/>
    <n v="28"/>
    <s v="No"/>
    <s v=""/>
    <m/>
    <m/>
    <s v="*CUY040800025"/>
    <s v="*CUY040800025"/>
    <n v="1.2307447325625315E-4"/>
  </r>
  <r>
    <x v="8"/>
    <s v="Pesos"/>
    <d v="2026-08-06T00:00:00"/>
    <s v="20/07/2026"/>
    <n v="0.98260924000000005"/>
    <m/>
    <n v="20000000"/>
    <n v="19652184.73"/>
    <n v="20000000"/>
    <n v="19652184.73"/>
    <n v="70219539"/>
    <s v="AMOMPY"/>
    <s v="Momentum Capital Investment S.A."/>
    <s v="04/06/2026"/>
    <s v="04/06/2026"/>
    <n v="38"/>
    <s v="No"/>
    <s v=""/>
    <m/>
    <m/>
    <s v="*MAV040801171"/>
    <s v="*MAV040801171"/>
    <n v="3.7695761874352986E-4"/>
  </r>
  <r>
    <x v="8"/>
    <s v="Pesos"/>
    <d v="2026-08-06T00:00:00"/>
    <s v="20/07/2026"/>
    <n v="0.98260921000000001"/>
    <m/>
    <n v="20000000"/>
    <n v="19652184.190000001"/>
    <n v="20000000"/>
    <n v="19652184.190000001"/>
    <n v="70219540"/>
    <s v="AMOMPY"/>
    <s v="Momentum Capital Investment S.A."/>
    <s v="03/06/2026"/>
    <s v="03/06/2026"/>
    <n v="38"/>
    <s v="No"/>
    <s v=""/>
    <m/>
    <m/>
    <s v="*MAV040801168"/>
    <s v="*MAV040801168"/>
    <n v="3.7695760838554081E-4"/>
  </r>
  <r>
    <x v="56"/>
    <s v="Pesos"/>
    <d v="2026-08-06T00:00:00"/>
    <s v="20/07/2026"/>
    <n v="0.98350939999999998"/>
    <m/>
    <n v="5882352.9299999997"/>
    <n v="5785349.4100000001"/>
    <n v="5882352.9299999997"/>
    <n v="5785349.4100000001"/>
    <n v="2622"/>
    <s v="AMOMPY"/>
    <s v="Momentum Capital Investment S.A."/>
    <s v="26/05/2026"/>
    <s v="26/05/2026"/>
    <n v="36"/>
    <s v="No"/>
    <s v=""/>
    <m/>
    <m/>
    <s v="*MAV040801135"/>
    <s v="*MAV040801135"/>
    <n v="1.1097145519214165E-4"/>
  </r>
  <r>
    <x v="56"/>
    <s v="Pesos"/>
    <d v="2026-08-06T00:00:00"/>
    <s v="20/07/2026"/>
    <n v="0.98350941000000003"/>
    <m/>
    <n v="2273100.5"/>
    <n v="2235615.73"/>
    <n v="2273100.5"/>
    <n v="2235615.73"/>
    <n v="2759"/>
    <s v="AMOMPY"/>
    <s v="Momentum Capital Investment S.A."/>
    <s v="17/06/2026"/>
    <s v="17/06/2026"/>
    <n v="36"/>
    <s v="No"/>
    <s v=""/>
    <m/>
    <m/>
    <s v="*MAV040801302"/>
    <s v="*MAV040801302"/>
    <n v="4.2882376366018321E-5"/>
  </r>
  <r>
    <x v="126"/>
    <s v="Pesos"/>
    <d v="2026-08-06T00:00:00"/>
    <s v="20/07/2026"/>
    <n v="0.98735382999999999"/>
    <m/>
    <n v="30000000"/>
    <n v="29620614.93"/>
    <n v="30000000"/>
    <n v="29620614.93"/>
    <n v="493"/>
    <s v="AMOMPY"/>
    <s v="Momentum Capital Investment S.A."/>
    <s v="06/07/2026"/>
    <s v="06/07/2026"/>
    <n v="27.5"/>
    <s v="No"/>
    <s v=""/>
    <m/>
    <m/>
    <s v="*NIO040800023"/>
    <s v="*NIO040800023"/>
    <n v="5.6816667577355142E-4"/>
  </r>
  <r>
    <x v="43"/>
    <s v="Pesos"/>
    <d v="2026-08-06T00:00:00"/>
    <s v="20/07/2026"/>
    <n v="0.98758089000000004"/>
    <m/>
    <n v="5800000"/>
    <n v="5727969.1299999999"/>
    <n v="5800000"/>
    <n v="5727969.1299999999"/>
    <n v="122"/>
    <s v="AMOMPY"/>
    <s v="Momentum Capital Investment S.A."/>
    <s v="25/06/2026"/>
    <s v="25/06/2026"/>
    <n v="27"/>
    <s v="No"/>
    <s v=""/>
    <m/>
    <m/>
    <s v="*MIL040800028"/>
    <s v="*MIL040800028"/>
    <n v="1.0987081757811505E-4"/>
  </r>
  <r>
    <x v="64"/>
    <s v="Pesos"/>
    <d v="2026-08-06T00:00:00"/>
    <s v="20/07/2026"/>
    <n v="0.98396011999999999"/>
    <m/>
    <n v="25000000"/>
    <n v="24599003.109999999"/>
    <n v="25000000"/>
    <n v="24599003.109999999"/>
    <n v="1308"/>
    <s v="AMOMPY"/>
    <s v="Momentum Capital Investment S.A."/>
    <s v="20/04/2026"/>
    <s v="20/04/2026"/>
    <n v="35"/>
    <s v="No"/>
    <s v=""/>
    <m/>
    <m/>
    <s v="*MAV040801017"/>
    <s v="*MAV040801017"/>
    <n v="4.7184482352513916E-4"/>
  </r>
  <r>
    <x v="127"/>
    <s v="Pesos"/>
    <d v="2026-08-06T00:00:00"/>
    <s v="20/07/2026"/>
    <n v="0.98171069"/>
    <m/>
    <n v="25000000"/>
    <n v="24542767.25"/>
    <n v="25000000"/>
    <n v="24542767.25"/>
    <n v="70379055"/>
    <s v="AMOMPY"/>
    <s v="Momentum Capital Investment S.A."/>
    <s v="08/06/2026"/>
    <s v="08/06/2026"/>
    <n v="40"/>
    <s v="No"/>
    <s v=""/>
    <m/>
    <m/>
    <s v="*MAV040801224"/>
    <s v="*MAV040801224"/>
    <n v="4.7076613755893035E-4"/>
  </r>
  <r>
    <x v="66"/>
    <s v="Pesos"/>
    <d v="2026-08-06T00:00:00"/>
    <s v="20/07/2026"/>
    <n v="0.98940128000000005"/>
    <m/>
    <n v="5119348.5"/>
    <n v="5065089.95"/>
    <n v="5119348.5"/>
    <n v="5065089.95"/>
    <n v="30080794"/>
    <s v="AMOMPY"/>
    <s v="Momentum Capital Investment S.A."/>
    <s v="13/07/2026"/>
    <s v="13/07/2026"/>
    <n v="23"/>
    <s v="No"/>
    <s v=""/>
    <m/>
    <m/>
    <s v="*AFB040800010"/>
    <s v="*AFB040800010"/>
    <n v="9.71558263117235E-5"/>
  </r>
  <r>
    <x v="92"/>
    <s v="Pesos"/>
    <d v="2026-08-06T00:00:00"/>
    <s v="20/07/2026"/>
    <n v="0.98621996999999995"/>
    <m/>
    <n v="8500000"/>
    <n v="8382869.7300000004"/>
    <n v="8500000"/>
    <n v="8382869.7300000004"/>
    <n v="1075"/>
    <s v="AMOMPY"/>
    <s v="Momentum Capital Investment S.A."/>
    <s v="17/04/2026"/>
    <s v="17/04/2026"/>
    <n v="30"/>
    <s v="No"/>
    <s v=""/>
    <m/>
    <m/>
    <s v="*FED040800020"/>
    <s v="*FED040800020"/>
    <n v="1.6079569040658093E-4"/>
  </r>
  <r>
    <x v="92"/>
    <s v="Pesos"/>
    <d v="2026-08-06T00:00:00"/>
    <s v="20/07/2026"/>
    <n v="0.98621996999999995"/>
    <m/>
    <n v="10000000"/>
    <n v="9862199.6799999997"/>
    <n v="10000000"/>
    <n v="9862199.6799999997"/>
    <n v="40621856"/>
    <s v="AMOMPY"/>
    <s v="Momentum Capital Investment S.A."/>
    <s v="17/04/2026"/>
    <s v="17/04/2026"/>
    <n v="30"/>
    <s v="No"/>
    <s v=""/>
    <m/>
    <m/>
    <s v="*FED040800021"/>
    <s v="*FED040800021"/>
    <n v="1.8917140043319764E-4"/>
  </r>
  <r>
    <x v="12"/>
    <s v="Pesos"/>
    <d v="2026-08-06T00:00:00"/>
    <s v="20/07/2026"/>
    <n v="0.98396011999999999"/>
    <m/>
    <n v="1718406.99"/>
    <n v="1690843.95"/>
    <n v="1718406.99"/>
    <n v="1690843.95"/>
    <n v="40751277"/>
    <s v="AMOMPY"/>
    <s v="Momentum Capital Investment S.A."/>
    <s v="02/06/2026"/>
    <s v="02/06/2026"/>
    <n v="35"/>
    <s v="No"/>
    <s v=""/>
    <m/>
    <m/>
    <s v="*MAV040801154"/>
    <s v="*MAV040801154"/>
    <n v="3.2432857609256963E-5"/>
  </r>
  <r>
    <x v="59"/>
    <s v="Pesos"/>
    <d v="2026-08-06T00:00:00"/>
    <s v="20/07/2026"/>
    <n v="0.98712683000000001"/>
    <m/>
    <n v="25000000"/>
    <n v="24678170.670000002"/>
    <n v="25000000"/>
    <n v="24678170.670000002"/>
    <n v="896"/>
    <s v="AMOMPY"/>
    <s v="Momentum Capital Investment S.A."/>
    <s v="22/04/2026"/>
    <s v="22/04/2026"/>
    <n v="28"/>
    <s v="No"/>
    <s v=""/>
    <m/>
    <m/>
    <s v="*TRD040800019"/>
    <s v="*TRD040800019"/>
    <n v="4.733633730049728E-4"/>
  </r>
  <r>
    <x v="60"/>
    <s v="Pesos"/>
    <d v="2026-08-06T00:00:00"/>
    <s v="20/07/2026"/>
    <n v="0.98622005999999995"/>
    <m/>
    <n v="415000"/>
    <n v="409281.33"/>
    <n v="415000"/>
    <n v="409281.33"/>
    <n v="9918438"/>
    <s v="AMOMPY"/>
    <s v="Momentum Capital Investment S.A."/>
    <s v="30/06/2026"/>
    <s v="30/06/2026"/>
    <n v="30"/>
    <s v="No"/>
    <s v=""/>
    <m/>
    <m/>
    <s v="*MAV040801418"/>
    <s v="*MAV040801418"/>
    <n v="7.850613948151342E-6"/>
  </r>
  <r>
    <x v="60"/>
    <s v="Pesos"/>
    <d v="2026-08-06T00:00:00"/>
    <s v="20/07/2026"/>
    <n v="0.98622005999999995"/>
    <m/>
    <n v="330000"/>
    <n v="325452.62"/>
    <n v="330000"/>
    <n v="325452.62"/>
    <n v="9918444"/>
    <s v="AMOMPY"/>
    <s v="Momentum Capital Investment S.A."/>
    <s v="30/06/2026"/>
    <s v="30/06/2026"/>
    <n v="30"/>
    <s v="No"/>
    <s v=""/>
    <m/>
    <m/>
    <s v="*MAV040801419"/>
    <s v="*MAV040801419"/>
    <n v="6.2426568004809762E-6"/>
  </r>
  <r>
    <x v="71"/>
    <s v="Pesos"/>
    <d v="2026-08-07T00:00:00"/>
    <s v="20/07/2026"/>
    <n v="0.98542129000000001"/>
    <m/>
    <n v="7938273"/>
    <n v="7822543.21"/>
    <n v="7938273"/>
    <n v="7822543.21"/>
    <n v="90044419"/>
    <s v="AMOMPY"/>
    <s v="Momentum Capital Investment S.A."/>
    <s v="01/07/2026"/>
    <s v="01/07/2026"/>
    <n v="30"/>
    <s v="No"/>
    <s v=""/>
    <m/>
    <m/>
    <s v="*MAV050801481"/>
    <s v="*MAV050801481"/>
    <n v="1.5004780900815235E-4"/>
  </r>
  <r>
    <x v="32"/>
    <s v="Pesos"/>
    <d v="2026-08-07T00:00:00"/>
    <s v="20/07/2026"/>
    <n v="0.98398669000000005"/>
    <m/>
    <n v="1701000"/>
    <n v="1673761.36"/>
    <n v="1701000"/>
    <n v="1673761.36"/>
    <n v="67242928"/>
    <s v="AMOMPY"/>
    <s v="Momentum Capital Investment S.A."/>
    <s v="29/05/2026"/>
    <s v="29/05/2026"/>
    <n v="33"/>
    <s v="No"/>
    <s v=""/>
    <m/>
    <m/>
    <s v="*MAV050801250"/>
    <s v="*MAV050801250"/>
    <n v="3.2105188572107018E-5"/>
  </r>
  <r>
    <x v="128"/>
    <s v="Pesos"/>
    <d v="2026-08-07T00:00:00"/>
    <s v="20/07/2026"/>
    <n v="0.98446438999999997"/>
    <m/>
    <n v="3847875.41"/>
    <n v="3788096.3"/>
    <n v="3847875.41"/>
    <n v="3788096.3"/>
    <n v="844"/>
    <s v="AMOMPY"/>
    <s v="Momentum Capital Investment S.A."/>
    <s v="04/06/2026"/>
    <s v="04/06/2026"/>
    <n v="32"/>
    <s v="No"/>
    <s v=""/>
    <m/>
    <m/>
    <s v="*MAV050801292"/>
    <s v="*MAV050801292"/>
    <n v="7.2661222171361916E-5"/>
  </r>
  <r>
    <x v="129"/>
    <s v="Pesos"/>
    <d v="2026-08-07T00:00:00"/>
    <s v="20/07/2026"/>
    <n v="0.98446438000000003"/>
    <m/>
    <n v="3300000"/>
    <n v="3248732.46"/>
    <n v="3300000"/>
    <n v="3248732.46"/>
    <n v="13647454"/>
    <s v="AMOMPY"/>
    <s v="Momentum Capital Investment S.A."/>
    <s v="04/06/2026"/>
    <s v="04/06/2026"/>
    <n v="32"/>
    <s v="No"/>
    <s v=""/>
    <m/>
    <m/>
    <s v="*MAV050801293"/>
    <s v="*MAV050801293"/>
    <n v="6.2315435605841155E-5"/>
  </r>
  <r>
    <x v="0"/>
    <s v="Pesos"/>
    <d v="2026-08-07T00:00:00"/>
    <s v="20/07/2026"/>
    <n v="0.98542121999999999"/>
    <m/>
    <n v="8000000"/>
    <n v="7883369.75"/>
    <n v="8000000"/>
    <n v="7883369.75"/>
    <n v="90000620"/>
    <s v="AMOMPY"/>
    <s v="Momentum Capital Investment S.A."/>
    <s v="04/05/2026"/>
    <s v="04/05/2026"/>
    <n v="30"/>
    <s v="No"/>
    <s v=""/>
    <m/>
    <m/>
    <s v="*INP050800057"/>
    <s v="*INP050800057"/>
    <n v="1.5121455092462771E-4"/>
  </r>
  <r>
    <x v="130"/>
    <s v="Pesos"/>
    <d v="2026-08-07T00:00:00"/>
    <s v="20/07/2026"/>
    <n v="0.98160508999999996"/>
    <m/>
    <n v="320500000"/>
    <n v="314604430.35000002"/>
    <n v="320500000"/>
    <n v="314604430.35000002"/>
    <n v="70389104"/>
    <s v="AMOMPY"/>
    <s v="Momentum Capital Investment S.A."/>
    <s v="16/06/2026"/>
    <s v="16/06/2026"/>
    <n v="38"/>
    <s v="No"/>
    <s v=""/>
    <m/>
    <m/>
    <s v="*MAV050801348"/>
    <s v="*MAV050801348"/>
    <n v="6.0345726717021706E-3"/>
  </r>
  <r>
    <x v="7"/>
    <s v="Pesos"/>
    <d v="2026-08-07T00:00:00"/>
    <s v="20/07/2026"/>
    <n v="0.9854214"/>
    <m/>
    <n v="10500000"/>
    <n v="10346924.689999999"/>
    <n v="10500000"/>
    <n v="10346924.689999999"/>
    <n v="803"/>
    <s v="AMOMPY"/>
    <s v="Momentum Capital Investment S.A."/>
    <s v="16/07/2026"/>
    <s v="16/07/2026"/>
    <n v="30"/>
    <s v="No"/>
    <s v=""/>
    <m/>
    <m/>
    <s v="*MAV050801623"/>
    <s v="*MAV050801623"/>
    <n v="1.9846913440147758E-4"/>
  </r>
  <r>
    <x v="8"/>
    <s v="Pesos"/>
    <d v="2026-08-07T00:00:00"/>
    <s v="20/07/2026"/>
    <n v="0.98160504000000004"/>
    <m/>
    <n v="20000000"/>
    <n v="19632100.789999999"/>
    <n v="20000000"/>
    <n v="19632100.789999999"/>
    <n v="70219541"/>
    <s v="AMOMPY"/>
    <s v="Momentum Capital Investment S.A."/>
    <s v="04/06/2026"/>
    <s v="04/06/2026"/>
    <n v="38"/>
    <s v="No"/>
    <s v=""/>
    <m/>
    <m/>
    <s v="*MAV050801290"/>
    <s v="*MAV050801290"/>
    <n v="3.7657237942783018E-4"/>
  </r>
  <r>
    <x v="8"/>
    <s v="Pesos"/>
    <d v="2026-08-07T00:00:00"/>
    <s v="20/07/2026"/>
    <n v="0.98160504000000004"/>
    <m/>
    <n v="20000000"/>
    <n v="19632100.789999999"/>
    <n v="20000000"/>
    <n v="19632100.789999999"/>
    <n v="70219542"/>
    <s v="AMOMPY"/>
    <s v="Momentum Capital Investment S.A."/>
    <s v="04/06/2026"/>
    <s v="04/06/2026"/>
    <n v="38"/>
    <s v="No"/>
    <s v=""/>
    <m/>
    <m/>
    <s v="*MAV050801291"/>
    <s v="*MAV050801291"/>
    <n v="3.7657237942783018E-4"/>
  </r>
  <r>
    <x v="56"/>
    <s v="Pesos"/>
    <d v="2026-08-07T00:00:00"/>
    <s v="20/07/2026"/>
    <n v="0.98255627000000001"/>
    <m/>
    <n v="2273100.5"/>
    <n v="2233449.16"/>
    <n v="2273100.5"/>
    <n v="2233449.16"/>
    <n v="2760"/>
    <s v="AMOMPY"/>
    <s v="Momentum Capital Investment S.A."/>
    <s v="17/06/2026"/>
    <s v="17/06/2026"/>
    <n v="36"/>
    <s v="No"/>
    <s v=""/>
    <m/>
    <m/>
    <s v="*MAV050801363"/>
    <s v="*MAV050801363"/>
    <n v="4.2840818387642799E-5"/>
  </r>
  <r>
    <x v="131"/>
    <s v="Pesos"/>
    <d v="2026-08-07T00:00:00"/>
    <s v="20/07/2026"/>
    <n v="0.98160499999999995"/>
    <m/>
    <n v="100000000"/>
    <n v="98160500.370000005"/>
    <n v="100000000"/>
    <n v="98160500.370000005"/>
    <n v="2598"/>
    <s v="AMOMPY"/>
    <s v="Momentum Capital Investment S.A."/>
    <s v="13/04/2026"/>
    <s v="13/04/2026"/>
    <n v="38"/>
    <s v="No"/>
    <s v=""/>
    <m/>
    <m/>
    <s v="*MAV050801102"/>
    <s v="*MAV050801102"/>
    <n v="1.88286182846952E-3"/>
  </r>
  <r>
    <x v="9"/>
    <s v="Pesos"/>
    <d v="2026-08-07T00:00:00"/>
    <s v="20/07/2026"/>
    <n v="0.98160502000000005"/>
    <m/>
    <n v="10000000"/>
    <n v="9816050.2300000004"/>
    <n v="10000000"/>
    <n v="9816050.2300000004"/>
    <n v="60524152"/>
    <s v="AMOMPY"/>
    <s v="Momentum Capital Investment S.A."/>
    <s v="31/03/2026"/>
    <s v="31/03/2026"/>
    <n v="38"/>
    <s v="No"/>
    <s v=""/>
    <m/>
    <m/>
    <s v="*MAV050801095"/>
    <s v="*MAV050801095"/>
    <n v="1.8828618654897401E-4"/>
  </r>
  <r>
    <x v="95"/>
    <s v="Pesos"/>
    <d v="2026-08-07T00:00:00"/>
    <s v="20/07/2026"/>
    <n v="0.98398673000000003"/>
    <m/>
    <n v="823765.54"/>
    <n v="810574.36"/>
    <n v="823765.54"/>
    <n v="810574.36"/>
    <n v="22969"/>
    <s v="AMOMPY"/>
    <s v="Momentum Capital Investment S.A."/>
    <s v="14/07/2026"/>
    <s v="14/07/2026"/>
    <n v="33"/>
    <s v="No"/>
    <s v=""/>
    <m/>
    <m/>
    <s v="*MAV050801588"/>
    <s v="*MAV050801588"/>
    <n v="1.5548000629859779E-5"/>
  </r>
  <r>
    <x v="43"/>
    <s v="Pesos"/>
    <d v="2026-08-07T00:00:00"/>
    <s v="20/07/2026"/>
    <n v="0.98542118000000001"/>
    <m/>
    <n v="10000000"/>
    <n v="9854211.8100000005"/>
    <n v="10000000"/>
    <n v="9854211.8100000005"/>
    <n v="991"/>
    <s v="AMOMPY"/>
    <s v="Momentum Capital Investment S.A."/>
    <s v="05/05/2026"/>
    <s v="05/05/2026"/>
    <n v="30"/>
    <s v="No"/>
    <s v=""/>
    <m/>
    <m/>
    <s v="*MIL050800016"/>
    <s v="*MIL050800016"/>
    <n v="1.8901818141478304E-4"/>
  </r>
  <r>
    <x v="64"/>
    <s v="Pesos"/>
    <d v="2026-08-07T00:00:00"/>
    <s v="20/07/2026"/>
    <n v="0.98303260999999997"/>
    <m/>
    <n v="17000000"/>
    <n v="16711554.439999999"/>
    <n v="17000000"/>
    <n v="16711554.439999999"/>
    <n v="29088028"/>
    <s v="AMOMPY"/>
    <s v="Momentum Capital Investment S.A."/>
    <s v="14/04/2026"/>
    <s v="14/04/2026"/>
    <n v="35"/>
    <s v="No"/>
    <s v=""/>
    <m/>
    <m/>
    <s v="*MAV050801106"/>
    <s v="*MAV050801106"/>
    <n v="3.2055203295482473E-4"/>
  </r>
  <r>
    <x v="76"/>
    <s v="Pesos"/>
    <d v="2026-08-07T00:00:00"/>
    <s v="20/07/2026"/>
    <n v="0.98160508999999996"/>
    <m/>
    <n v="136500000"/>
    <n v="133989094.36"/>
    <n v="136500000"/>
    <n v="133989094.36"/>
    <n v="70388044"/>
    <s v="AMOMPY"/>
    <s v="Momentum Capital Investment S.A."/>
    <s v="16/06/2026"/>
    <s v="16/06/2026"/>
    <n v="38"/>
    <s v="No"/>
    <s v=""/>
    <m/>
    <m/>
    <s v="*MAV050801354"/>
    <s v="*MAV050801354"/>
    <n v="2.5701066136654275E-3"/>
  </r>
  <r>
    <x v="76"/>
    <s v="Pesos"/>
    <d v="2026-08-07T00:00:00"/>
    <s v="20/07/2026"/>
    <n v="0.98160506999999997"/>
    <m/>
    <n v="268000000"/>
    <n v="263070158.44"/>
    <n v="268000000"/>
    <n v="263070158.44"/>
    <n v="70388041"/>
    <s v="AMOMPY"/>
    <s v="Momentum Capital Investment S.A."/>
    <s v="12/06/2026"/>
    <s v="12/06/2026"/>
    <n v="38"/>
    <s v="No"/>
    <s v=""/>
    <m/>
    <m/>
    <s v="*MAV050801337"/>
    <s v="*MAV050801337"/>
    <n v="5.0460700349841212E-3"/>
  </r>
  <r>
    <x v="46"/>
    <s v="Pesos"/>
    <d v="2026-08-07T00:00:00"/>
    <s v="20/07/2026"/>
    <n v="0.98398669999999999"/>
    <m/>
    <n v="50000000"/>
    <n v="49199334.799999997"/>
    <n v="50000000"/>
    <n v="49199334.799999997"/>
    <n v="141"/>
    <s v="AMOMPY"/>
    <s v="Momentum Capital Investment S.A."/>
    <s v="22/05/2026"/>
    <s v="22/05/2026"/>
    <n v="33"/>
    <s v="No"/>
    <s v=""/>
    <m/>
    <m/>
    <s v="*MAV050801234"/>
    <s v="*MAV050801234"/>
    <n v="9.437151311559892E-4"/>
  </r>
  <r>
    <x v="92"/>
    <s v="Pesos"/>
    <d v="2026-08-07T00:00:00"/>
    <s v="20/07/2026"/>
    <n v="0.98542118000000001"/>
    <m/>
    <n v="10000000"/>
    <n v="9854211.8200000003"/>
    <n v="10000000"/>
    <n v="9854211.8200000003"/>
    <n v="40621854"/>
    <s v="AMOMPY"/>
    <s v="Momentum Capital Investment S.A."/>
    <s v="17/04/2026"/>
    <s v="17/04/2026"/>
    <n v="30"/>
    <s v="No"/>
    <s v=""/>
    <m/>
    <m/>
    <s v="*FED050800034"/>
    <s v="*FED050800034"/>
    <n v="1.8901818160659765E-4"/>
  </r>
  <r>
    <x v="12"/>
    <s v="Pesos"/>
    <d v="2026-08-07T00:00:00"/>
    <s v="20/07/2026"/>
    <n v="0.98303267000000005"/>
    <m/>
    <n v="4104000"/>
    <n v="4034366.07"/>
    <n v="4104000"/>
    <n v="4034366.07"/>
    <n v="40751278"/>
    <s v="AMOMPY"/>
    <s v="Momentum Capital Investment S.A."/>
    <s v="02/06/2026"/>
    <s v="02/06/2026"/>
    <n v="35"/>
    <s v="No"/>
    <s v=""/>
    <m/>
    <m/>
    <s v="*MAV050801267"/>
    <s v="*MAV050801267"/>
    <n v="7.7385036207467639E-5"/>
  </r>
  <r>
    <x v="12"/>
    <s v="Pesos"/>
    <d v="2026-08-07T00:00:00"/>
    <s v="20/07/2026"/>
    <n v="0.98303267000000005"/>
    <m/>
    <n v="5500000"/>
    <n v="5406679.6799999997"/>
    <n v="5500000"/>
    <n v="5406679.6799999997"/>
    <n v="40751262"/>
    <s v="AMOMPY"/>
    <s v="Momentum Capital Investment S.A."/>
    <s v="02/06/2026"/>
    <s v="02/06/2026"/>
    <n v="35"/>
    <s v="No"/>
    <s v=""/>
    <m/>
    <m/>
    <s v="*MAV050801268"/>
    <s v="*MAV050801268"/>
    <n v="1.0370801646142626E-4"/>
  </r>
  <r>
    <x v="98"/>
    <s v="Pesos"/>
    <d v="2026-08-07T00:00:00"/>
    <s v="20/07/2026"/>
    <n v="0.98018158"/>
    <m/>
    <n v="50000000"/>
    <n v="49009078.979999997"/>
    <n v="50000000"/>
    <n v="49009078.979999997"/>
    <n v="1127975"/>
    <s v="AMOMPY"/>
    <s v="Momentum Capital Investment S.A."/>
    <s v="03/03/2026"/>
    <s v="03/03/2026"/>
    <n v="41"/>
    <s v="No"/>
    <s v=""/>
    <m/>
    <m/>
    <s v="*MAV050801071"/>
    <s v="*MAV050801071"/>
    <n v="9.4006574652803917E-4"/>
  </r>
  <r>
    <x v="132"/>
    <s v="Pesos"/>
    <d v="2026-08-07T00:00:00"/>
    <s v="20/07/2026"/>
    <n v="0.98542118999999995"/>
    <m/>
    <n v="1070000"/>
    <n v="1054400.67"/>
    <n v="1070000"/>
    <n v="1054400.67"/>
    <n v="1245"/>
    <s v="AMOMPY"/>
    <s v="Momentum Capital Investment S.A."/>
    <s v="13/07/2026"/>
    <s v="13/07/2026"/>
    <n v="30"/>
    <s v="No"/>
    <s v=""/>
    <m/>
    <m/>
    <s v="*MAV050801580"/>
    <s v="*MAV050801580"/>
    <n v="2.0224945532800434E-5"/>
  </r>
  <r>
    <x v="133"/>
    <s v="Pesos"/>
    <d v="2026-08-07T00:00:00"/>
    <s v="20/07/2026"/>
    <n v="0.98398673000000003"/>
    <m/>
    <n v="1101785.6200000001"/>
    <n v="1084142.43"/>
    <n v="1101785.6200000001"/>
    <n v="1084142.43"/>
    <n v="68221886"/>
    <s v="AMOMPY"/>
    <s v="Momentum Capital Investment S.A."/>
    <s v="14/07/2026"/>
    <s v="14/07/2026"/>
    <n v="33"/>
    <s v="No"/>
    <s v=""/>
    <m/>
    <m/>
    <s v="*MAV050801589"/>
    <s v="*MAV050801589"/>
    <n v="2.0795435948032834E-5"/>
  </r>
  <r>
    <x v="68"/>
    <s v="Pesos"/>
    <d v="2026-08-10T00:00:00"/>
    <s v="20/07/2026"/>
    <n v="0.98358891999999998"/>
    <m/>
    <n v="100000000"/>
    <n v="98358891.909999996"/>
    <n v="100000000"/>
    <n v="98358891.909999996"/>
    <n v="90003814"/>
    <s v="AMOMPY"/>
    <s v="Momentum Capital Investment S.A."/>
    <s v="03/06/2026"/>
    <s v="03/06/2026"/>
    <n v="29"/>
    <s v="No"/>
    <s v=""/>
    <m/>
    <m/>
    <s v="*MAV060800947"/>
    <s v="*MAV060800947"/>
    <n v="1.886667268094922E-3"/>
  </r>
  <r>
    <x v="0"/>
    <s v="Pesos"/>
    <d v="2026-08-10T00:00:00"/>
    <s v="20/07/2026"/>
    <n v="0.98303260999999997"/>
    <m/>
    <n v="10000000"/>
    <n v="9830326.1400000006"/>
    <n v="10000000"/>
    <n v="9830326.1400000006"/>
    <n v="40200399"/>
    <s v="AMOMPY"/>
    <s v="Momentum Capital Investment S.A."/>
    <s v="05/05/2026"/>
    <s v="05/05/2026"/>
    <n v="30"/>
    <s v="No"/>
    <s v=""/>
    <m/>
    <m/>
    <s v="*INP060800057"/>
    <s v="*INP060800057"/>
    <n v="1.8856001936262459E-4"/>
  </r>
  <r>
    <x v="0"/>
    <s v="Pesos"/>
    <d v="2026-08-10T00:00:00"/>
    <s v="20/07/2026"/>
    <n v="0.98303258000000004"/>
    <m/>
    <n v="1040000"/>
    <n v="1022353.89"/>
    <n v="1040000"/>
    <n v="1022353.89"/>
    <n v="13001545"/>
    <s v="AMOMPY"/>
    <s v="Momentum Capital Investment S.A."/>
    <s v="30/04/2026"/>
    <s v="30/04/2026"/>
    <n v="30"/>
    <s v="No"/>
    <s v=""/>
    <m/>
    <m/>
    <s v="*INP060800056"/>
    <s v="*INP060800056"/>
    <n v="1.9610241465890425E-5"/>
  </r>
  <r>
    <x v="19"/>
    <s v="Pesos"/>
    <d v="2026-08-10T00:00:00"/>
    <s v="20/07/2026"/>
    <n v="0.97970804"/>
    <m/>
    <n v="20000000"/>
    <n v="19594160.780000001"/>
    <n v="20000000"/>
    <n v="19594160.780000001"/>
    <n v="424"/>
    <s v="AMOMPY"/>
    <s v="Momentum Capital Investment S.A."/>
    <s v="21/05/2026"/>
    <s v="21/05/2026"/>
    <n v="36"/>
    <s v="No"/>
    <s v=""/>
    <m/>
    <m/>
    <s v="*MAV060800923"/>
    <s v="*MAV060800923"/>
    <n v="3.7584463459837761E-4"/>
  </r>
  <r>
    <x v="134"/>
    <s v="Pesos"/>
    <d v="2026-08-10T00:00:00"/>
    <s v="20/07/2026"/>
    <n v="0.98136749000000001"/>
    <m/>
    <n v="5600000"/>
    <n v="5495657.9299999997"/>
    <n v="5600000"/>
    <n v="5495657.9299999997"/>
    <n v="3501249"/>
    <s v="AMOMPY"/>
    <s v="Momentum Capital Investment S.A."/>
    <s v="24/04/2026"/>
    <s v="24/04/2026"/>
    <n v="33"/>
    <s v="No"/>
    <s v=""/>
    <m/>
    <m/>
    <s v="*MAV060800856"/>
    <s v="*MAV060800856"/>
    <n v="1.0541474931076512E-4"/>
  </r>
  <r>
    <x v="22"/>
    <s v="Pesos"/>
    <d v="2026-08-10T00:00:00"/>
    <s v="20/07/2026"/>
    <n v="0.98081373999999999"/>
    <m/>
    <n v="4190169.08"/>
    <n v="4109775.39"/>
    <n v="4190169.08"/>
    <n v="4109775.39"/>
    <n v="13668591"/>
    <s v="AMOMPY"/>
    <s v="Momentum Capital Investment S.A."/>
    <s v="11/06/2026"/>
    <s v="11/06/2026"/>
    <n v="34"/>
    <s v="No"/>
    <s v=""/>
    <m/>
    <m/>
    <s v="*MAV060800999"/>
    <s v="*MAV060800999"/>
    <n v="7.883149715258969E-5"/>
  </r>
  <r>
    <x v="6"/>
    <s v="Pesos"/>
    <d v="2026-08-10T00:00:00"/>
    <s v="20/07/2026"/>
    <n v="0.98862404999999998"/>
    <m/>
    <n v="2500000"/>
    <n v="2471560.13"/>
    <n v="2500000"/>
    <n v="2471560.13"/>
    <n v="6131"/>
    <s v="AMOMPY"/>
    <s v="Momentum Capital Investment S.A."/>
    <s v="29/05/2026"/>
    <s v="29/05/2026"/>
    <n v="20"/>
    <s v="No"/>
    <s v=""/>
    <m/>
    <m/>
    <s v="*ACI060800164"/>
    <s v="*ACI060800164"/>
    <n v="4.7408134718172325E-5"/>
  </r>
  <r>
    <x v="7"/>
    <s v="Pesos"/>
    <d v="2026-08-10T00:00:00"/>
    <s v="20/07/2026"/>
    <n v="0.98303267000000005"/>
    <m/>
    <n v="8750000"/>
    <n v="8601535.8800000008"/>
    <n v="8750000"/>
    <n v="8601535.8800000008"/>
    <n v="633"/>
    <s v="AMOMPY"/>
    <s v="Momentum Capital Investment S.A."/>
    <s v="12/06/2026"/>
    <s v="12/06/2026"/>
    <n v="30"/>
    <s v="No"/>
    <s v=""/>
    <m/>
    <m/>
    <s v="*MAV060801020"/>
    <s v="*MAV060801020"/>
    <n v="1.6499002667688808E-4"/>
  </r>
  <r>
    <x v="8"/>
    <s v="Pesos"/>
    <d v="2026-08-10T00:00:00"/>
    <s v="20/07/2026"/>
    <n v="0.97860484000000003"/>
    <m/>
    <n v="20000000"/>
    <n v="19572096.809999999"/>
    <n v="20000000"/>
    <n v="19572096.809999999"/>
    <n v="70219543"/>
    <s v="AMOMPY"/>
    <s v="Momentum Capital Investment S.A."/>
    <s v="08/06/2026"/>
    <s v="08/06/2026"/>
    <n v="38"/>
    <s v="No"/>
    <s v=""/>
    <m/>
    <m/>
    <s v="*MAV060800959"/>
    <s v="*MAV060800959"/>
    <n v="3.7542141541407323E-4"/>
  </r>
  <r>
    <x v="8"/>
    <s v="Pesos"/>
    <d v="2026-08-10T00:00:00"/>
    <s v="20/07/2026"/>
    <n v="0.97860482000000004"/>
    <m/>
    <n v="20000000"/>
    <n v="19572096.48"/>
    <n v="20000000"/>
    <n v="19572096.48"/>
    <n v="70219544"/>
    <s v="AMOMPY"/>
    <s v="Momentum Capital Investment S.A."/>
    <s v="04/06/2026"/>
    <s v="04/06/2026"/>
    <n v="38"/>
    <s v="No"/>
    <s v=""/>
    <m/>
    <m/>
    <s v="*MAV060800954"/>
    <s v="*MAV060800954"/>
    <n v="3.7542140908419102E-4"/>
  </r>
  <r>
    <x v="56"/>
    <s v="Pesos"/>
    <d v="2026-08-10T00:00:00"/>
    <s v="20/07/2026"/>
    <n v="0.97970800000000002"/>
    <m/>
    <n v="2197564.35"/>
    <n v="2152971.37"/>
    <n v="2197564.35"/>
    <n v="2152971.37"/>
    <n v="2761"/>
    <s v="AMOMPY"/>
    <s v="Momentum Capital Investment S.A."/>
    <s v="17/06/2026"/>
    <s v="17/06/2026"/>
    <n v="36"/>
    <s v="No"/>
    <s v=""/>
    <m/>
    <m/>
    <s v="*MAV060801029"/>
    <s v="*MAV060801029"/>
    <n v="4.1297136781911123E-5"/>
  </r>
  <r>
    <x v="135"/>
    <s v="Pesos"/>
    <d v="2026-08-10T00:00:00"/>
    <s v="20/07/2026"/>
    <n v="0.98192190999999995"/>
    <m/>
    <n v="50000000"/>
    <n v="49096095.25"/>
    <n v="50000000"/>
    <n v="49096095.25"/>
    <n v="4578"/>
    <s v="AMOMPY"/>
    <s v="Momentum Capital Investment S.A."/>
    <s v="05/05/2026"/>
    <s v="05/05/2026"/>
    <n v="32"/>
    <s v="No"/>
    <s v=""/>
    <m/>
    <m/>
    <s v="*MAV060800872"/>
    <s v="*MAV060800872"/>
    <n v="9.4173484573414781E-4"/>
  </r>
  <r>
    <x v="43"/>
    <s v="Pesos"/>
    <d v="2026-08-10T00:00:00"/>
    <s v="20/07/2026"/>
    <n v="0.98470342"/>
    <m/>
    <n v="5800000"/>
    <n v="5711279.8499999996"/>
    <n v="5800000"/>
    <n v="5711279.8499999996"/>
    <n v="123"/>
    <s v="AMOMPY"/>
    <s v="Momentum Capital Investment S.A."/>
    <s v="25/06/2026"/>
    <s v="25/06/2026"/>
    <n v="27"/>
    <s v="No"/>
    <s v=""/>
    <m/>
    <m/>
    <s v="*MIL060800023"/>
    <s v="*MIL060800023"/>
    <n v="1.0955069280146666E-4"/>
  </r>
  <r>
    <x v="43"/>
    <s v="Pesos"/>
    <d v="2026-08-10T00:00:00"/>
    <s v="20/07/2026"/>
    <n v="0.98470342"/>
    <m/>
    <n v="5800000"/>
    <n v="5711279.8499999996"/>
    <n v="5800000"/>
    <n v="5711279.8499999996"/>
    <n v="124"/>
    <s v="AMOMPY"/>
    <s v="Momentum Capital Investment S.A."/>
    <s v="25/06/2026"/>
    <s v="25/06/2026"/>
    <n v="27"/>
    <s v="No"/>
    <s v=""/>
    <m/>
    <m/>
    <s v="*MIL060800024"/>
    <s v="*MIL060800024"/>
    <n v="1.0955069280146666E-4"/>
  </r>
  <r>
    <x v="12"/>
    <s v="Pesos"/>
    <d v="2026-08-10T00:00:00"/>
    <s v="20/07/2026"/>
    <n v="0.98026064999999996"/>
    <m/>
    <n v="2500000"/>
    <n v="2450651.62"/>
    <n v="2500000"/>
    <n v="2450651.62"/>
    <n v="40761865"/>
    <s v="AMOMPY"/>
    <s v="Momentum Capital Investment S.A."/>
    <s v="07/07/2026"/>
    <s v="07/07/2026"/>
    <n v="35"/>
    <s v="No"/>
    <s v=""/>
    <m/>
    <m/>
    <s v="*MAV060801160"/>
    <s v="*MAV060801160"/>
    <n v="4.7007078945017318E-5"/>
  </r>
  <r>
    <x v="113"/>
    <s v="Pesos"/>
    <d v="2026-08-10T00:00:00"/>
    <s v="20/07/2026"/>
    <n v="0.98247700999999998"/>
    <m/>
    <n v="8091449.2599999998"/>
    <n v="7949662.9100000001"/>
    <n v="8091449.2599999998"/>
    <n v="7949662.9100000001"/>
    <n v="1110"/>
    <s v="AMOMPY"/>
    <s v="Momentum Capital Investment S.A."/>
    <s v="03/07/2026"/>
    <s v="03/07/2026"/>
    <n v="31"/>
    <s v="No"/>
    <s v=""/>
    <m/>
    <m/>
    <s v="*MAV060801139"/>
    <s v="*MAV060801139"/>
    <n v="1.5248615060048644E-4"/>
  </r>
  <r>
    <x v="14"/>
    <s v="Pesos"/>
    <d v="2026-08-10T00:00:00"/>
    <s v="20/07/2026"/>
    <n v="0.98081377000000003"/>
    <m/>
    <n v="18000000"/>
    <n v="17654647.850000001"/>
    <n v="18000000"/>
    <n v="17654647.850000001"/>
    <n v="212"/>
    <s v="AMOMPY"/>
    <s v="Momentum Capital Investment S.A."/>
    <s v="12/06/2026"/>
    <s v="12/06/2026"/>
    <n v="34"/>
    <s v="No"/>
    <s v=""/>
    <m/>
    <m/>
    <s v="*MAV060801017"/>
    <s v="*MAV060801017"/>
    <n v="3.386419425995076E-4"/>
  </r>
  <r>
    <x v="60"/>
    <s v="Pesos"/>
    <d v="2026-08-10T00:00:00"/>
    <s v="20/07/2026"/>
    <n v="0.98303271000000003"/>
    <m/>
    <n v="330000"/>
    <n v="324400.78999999998"/>
    <n v="330000"/>
    <n v="324400.78999999998"/>
    <n v="9918445"/>
    <s v="AMOMPY"/>
    <s v="Momentum Capital Investment S.A."/>
    <s v="30/06/2026"/>
    <s v="30/06/2026"/>
    <n v="30"/>
    <s v="No"/>
    <s v=""/>
    <m/>
    <m/>
    <s v="*MAV060801099"/>
    <s v="*MAV060801099"/>
    <n v="6.2224811641550189E-6"/>
  </r>
  <r>
    <x v="60"/>
    <s v="Pesos"/>
    <d v="2026-08-10T00:00:00"/>
    <s v="20/07/2026"/>
    <n v="0.98303269999999998"/>
    <m/>
    <n v="415000"/>
    <n v="407958.57"/>
    <n v="415000"/>
    <n v="407958.57"/>
    <n v="9918439"/>
    <s v="AMOMPY"/>
    <s v="Momentum Capital Investment S.A."/>
    <s v="30/06/2026"/>
    <s v="30/06/2026"/>
    <n v="30"/>
    <s v="No"/>
    <s v=""/>
    <m/>
    <m/>
    <s v="*MAV060801100"/>
    <s v="*MAV060801100"/>
    <n v="7.8252414785445397E-6"/>
  </r>
  <r>
    <x v="136"/>
    <s v="Pesos"/>
    <d v="2026-08-10T00:00:00"/>
    <s v="20/07/2026"/>
    <n v="0.98192188000000002"/>
    <m/>
    <n v="40000000"/>
    <n v="39276875.329999998"/>
    <n v="40000000"/>
    <n v="39276875.329999998"/>
    <n v="6192"/>
    <s v="AMOMPY"/>
    <s v="Momentum Capital Investment S.A."/>
    <s v="01/07/2026"/>
    <s v="01/07/2026"/>
    <n v="32"/>
    <s v="No"/>
    <s v=""/>
    <m/>
    <m/>
    <s v="*MAV060801113"/>
    <s v="*MAV060801113"/>
    <n v="7.5338785989944701E-4"/>
  </r>
  <r>
    <x v="103"/>
    <s v="Pesos"/>
    <d v="2026-08-10T00:00:00"/>
    <s v="20/07/2026"/>
    <n v="0.98303266"/>
    <m/>
    <n v="2870567.12"/>
    <n v="2821861.23"/>
    <n v="2870567.12"/>
    <n v="2821861.23"/>
    <n v="93"/>
    <s v="AMOMPY"/>
    <s v="Momentum Capital Investment S.A."/>
    <s v="20/07/2026"/>
    <s v="20/07/2026"/>
    <n v="30"/>
    <s v="No"/>
    <s v=""/>
    <m/>
    <m/>
    <s v="*MAV060801240"/>
    <s v="*MAV060801240"/>
    <n v="5.4127421673462368E-5"/>
  </r>
  <r>
    <x v="68"/>
    <s v="Pesos"/>
    <d v="2026-08-11T00:00:00"/>
    <s v="20/07/2026"/>
    <n v="0.98282084000000003"/>
    <m/>
    <n v="100000000"/>
    <n v="98282083.909999996"/>
    <n v="100000000"/>
    <n v="98282083.909999996"/>
    <n v="90003815"/>
    <s v="AMOMPY"/>
    <s v="Momentum Capital Investment S.A."/>
    <s v="03/06/2026"/>
    <s v="03/06/2026"/>
    <n v="29"/>
    <s v="No"/>
    <s v=""/>
    <m/>
    <m/>
    <s v="*MAV070801180"/>
    <s v="*MAV070801180"/>
    <n v="1.8851939784236592E-3"/>
  </r>
  <r>
    <x v="137"/>
    <s v="Pesos"/>
    <d v="2026-08-11T00:00:00"/>
    <s v="20/07/2026"/>
    <n v="0.98049763000000001"/>
    <m/>
    <n v="2000000"/>
    <n v="1960995.26"/>
    <n v="2000000"/>
    <n v="1960995.26"/>
    <n v="435"/>
    <s v="AMOMPY"/>
    <s v="Momentum Capital Investment S.A."/>
    <s v="24/06/2026"/>
    <s v="24/06/2026"/>
    <n v="33"/>
    <s v="No"/>
    <s v=""/>
    <m/>
    <m/>
    <s v="*MAV070801387"/>
    <s v="*MAV070801387"/>
    <n v="3.7614754478086428E-5"/>
  </r>
  <r>
    <x v="72"/>
    <s v="Pesos"/>
    <d v="2026-08-11T00:00:00"/>
    <s v="20/07/2026"/>
    <n v="0.98049757000000004"/>
    <m/>
    <n v="3000000"/>
    <n v="2941492.71"/>
    <n v="3000000"/>
    <n v="2941492.71"/>
    <n v="90015794"/>
    <s v="AMOMPY"/>
    <s v="Momentum Capital Investment S.A."/>
    <s v="29/05/2026"/>
    <s v="29/05/2026"/>
    <n v="33"/>
    <s v="No"/>
    <s v=""/>
    <m/>
    <m/>
    <s v="*MAV070801167"/>
    <s v="*MAV070801167"/>
    <n v="5.6422128264466623E-5"/>
  </r>
  <r>
    <x v="19"/>
    <s v="Pesos"/>
    <d v="2026-08-11T00:00:00"/>
    <s v="20/07/2026"/>
    <n v="0.97876224999999994"/>
    <m/>
    <n v="20000000"/>
    <n v="19575245.010000002"/>
    <n v="20000000"/>
    <n v="19575245.010000002"/>
    <n v="425"/>
    <s v="AMOMPY"/>
    <s v="Momentum Capital Investment S.A."/>
    <s v="21/05/2026"/>
    <s v="21/05/2026"/>
    <n v="36"/>
    <s v="No"/>
    <s v=""/>
    <m/>
    <m/>
    <s v="*MAV070801124"/>
    <s v="*MAV070801124"/>
    <n v="3.7548180249019901E-4"/>
  </r>
  <r>
    <x v="20"/>
    <s v="Pesos"/>
    <d v="2026-08-11T00:00:00"/>
    <s v="20/07/2026"/>
    <n v="0.98049759000000003"/>
    <m/>
    <n v="10000000"/>
    <n v="9804975.8699999992"/>
    <n v="10000000"/>
    <n v="9804975.8699999992"/>
    <n v="13633528"/>
    <s v="AMOMPY"/>
    <s v="Momentum Capital Investment S.A."/>
    <s v="19/05/2026"/>
    <s v="19/05/2026"/>
    <n v="33"/>
    <s v="No"/>
    <s v=""/>
    <m/>
    <m/>
    <s v="*MAV070801108"/>
    <s v="*MAV070801108"/>
    <n v="1.8807376414240379E-4"/>
  </r>
  <r>
    <x v="138"/>
    <s v="Pesos"/>
    <d v="2026-08-11T00:00:00"/>
    <s v="20/07/2026"/>
    <n v="0.97760875000000003"/>
    <m/>
    <n v="5211510.2699999996"/>
    <n v="5094818.05"/>
    <n v="5211510.2699999996"/>
    <n v="5094818.05"/>
    <n v="90000479"/>
    <s v="AMOMPY"/>
    <s v="Momentum Capital Investment S.A."/>
    <s v="24/04/2026"/>
    <s v="24/04/2026"/>
    <n v="38"/>
    <s v="No"/>
    <s v=""/>
    <m/>
    <m/>
    <s v="*MAV070800991"/>
    <s v="*MAV070800991"/>
    <n v="9.7726054708196001E-5"/>
  </r>
  <r>
    <x v="63"/>
    <s v="Pesos"/>
    <d v="2026-08-11T00:00:00"/>
    <s v="20/07/2026"/>
    <n v="0.98574055000000005"/>
    <m/>
    <n v="3000000"/>
    <n v="2957221.65"/>
    <n v="3000000"/>
    <n v="2957221.65"/>
    <n v="16821009"/>
    <s v="AMOMPY"/>
    <s v="Momentum Capital Investment S.A."/>
    <s v="17/07/2026"/>
    <s v="17/07/2026"/>
    <n v="24"/>
    <s v="No"/>
    <s v=""/>
    <m/>
    <m/>
    <s v="*PRO070800014"/>
    <s v="*PRO070800014"/>
    <n v="5.6723832316673535E-5"/>
  </r>
  <r>
    <x v="8"/>
    <s v="Pesos"/>
    <d v="2026-08-11T00:00:00"/>
    <s v="20/07/2026"/>
    <n v="0.97760879999999994"/>
    <m/>
    <n v="20000000"/>
    <n v="19552176.010000002"/>
    <n v="20000000"/>
    <n v="19552176.010000002"/>
    <n v="70219545"/>
    <s v="AMOMPY"/>
    <s v="Momentum Capital Investment S.A."/>
    <s v="08/06/2026"/>
    <s v="08/06/2026"/>
    <n v="38"/>
    <s v="No"/>
    <s v=""/>
    <m/>
    <m/>
    <s v="*MAV070801204"/>
    <s v="*MAV070801204"/>
    <n v="3.7503930536195255E-4"/>
  </r>
  <r>
    <x v="25"/>
    <s v="Pesos"/>
    <d v="2026-08-11T00:00:00"/>
    <s v="20/07/2026"/>
    <n v="0.98049752999999995"/>
    <m/>
    <n v="50000000"/>
    <n v="49024876.57"/>
    <n v="50000000"/>
    <n v="49024876.57"/>
    <n v="29007571"/>
    <s v="AMOMPY"/>
    <s v="Momentum Capital Investment S.A."/>
    <s v="31/03/2026"/>
    <s v="31/03/2026"/>
    <n v="33"/>
    <s v="No"/>
    <s v=""/>
    <m/>
    <m/>
    <s v="*MAV070800967"/>
    <s v="*MAV070800967"/>
    <n v="9.4036876738755695E-4"/>
  </r>
  <r>
    <x v="56"/>
    <s v="Pesos"/>
    <d v="2026-08-11T00:00:00"/>
    <s v="20/07/2026"/>
    <n v="0.97876233000000001"/>
    <m/>
    <n v="2197564.35"/>
    <n v="2150893.21"/>
    <n v="2197564.35"/>
    <n v="2150893.21"/>
    <n v="2762"/>
    <s v="AMOMPY"/>
    <s v="Momentum Capital Investment S.A."/>
    <s v="17/06/2026"/>
    <s v="17/06/2026"/>
    <n v="36"/>
    <s v="No"/>
    <s v=""/>
    <m/>
    <m/>
    <s v="*MAV070801322"/>
    <s v="*MAV070801322"/>
    <n v="4.1257274636519616E-5"/>
  </r>
  <r>
    <x v="135"/>
    <s v="Pesos"/>
    <d v="2026-08-11T00:00:00"/>
    <s v="20/07/2026"/>
    <n v="0.98107730999999998"/>
    <m/>
    <n v="50000000"/>
    <n v="49053865.439999998"/>
    <n v="50000000"/>
    <n v="49053865.439999998"/>
    <n v="4636"/>
    <s v="AMOMPY"/>
    <s v="Momentum Capital Investment S.A."/>
    <s v="12/05/2026"/>
    <s v="12/05/2026"/>
    <n v="32"/>
    <s v="No"/>
    <s v=""/>
    <m/>
    <m/>
    <s v="*MAV070801075"/>
    <s v="*MAV070801075"/>
    <n v="9.4092481627247224E-4"/>
  </r>
  <r>
    <x v="76"/>
    <s v="Pesos"/>
    <d v="2026-08-11T00:00:00"/>
    <s v="20/07/2026"/>
    <n v="0.97760884000000003"/>
    <m/>
    <n v="136200000"/>
    <n v="133150323.48"/>
    <n v="136200000"/>
    <n v="133150323.48"/>
    <n v="70388045"/>
    <s v="AMOMPY"/>
    <s v="Momentum Capital Investment S.A."/>
    <s v="16/06/2026"/>
    <s v="16/06/2026"/>
    <n v="38"/>
    <s v="No"/>
    <s v=""/>
    <m/>
    <m/>
    <s v="*MAV070801312"/>
    <s v="*MAV070801312"/>
    <n v="2.5540177625814281E-3"/>
  </r>
  <r>
    <x v="127"/>
    <s v="Pesos"/>
    <d v="2026-08-11T00:00:00"/>
    <s v="20/07/2026"/>
    <n v="0.97645806000000002"/>
    <m/>
    <n v="25000000"/>
    <n v="24411451.5"/>
    <n v="25000000"/>
    <n v="24411451.5"/>
    <n v="70379056"/>
    <s v="AMOMPY"/>
    <s v="Momentum Capital Investment S.A."/>
    <s v="08/06/2026"/>
    <s v="08/06/2026"/>
    <n v="40"/>
    <s v="No"/>
    <s v=""/>
    <m/>
    <m/>
    <s v="*MAV070801215"/>
    <s v="*MAV070801215"/>
    <n v="4.6824730959636008E-4"/>
  </r>
  <r>
    <x v="139"/>
    <s v="Pesos"/>
    <d v="2026-08-11T00:00:00"/>
    <s v="20/07/2026"/>
    <n v="0.98223897999999998"/>
    <m/>
    <n v="2200000"/>
    <n v="2160925.75"/>
    <n v="2200000"/>
    <n v="2160925.75"/>
    <n v="9793"/>
    <s v="AMOMPY"/>
    <s v="Momentum Capital Investment S.A."/>
    <s v="13/07/2026"/>
    <s v="13/07/2026"/>
    <n v="30"/>
    <s v="No"/>
    <s v=""/>
    <m/>
    <m/>
    <s v="*MAV070801597"/>
    <s v="*MAV070801597"/>
    <n v="4.1449713413190383E-5"/>
  </r>
  <r>
    <x v="50"/>
    <s v="Pesos"/>
    <d v="2026-08-11T00:00:00"/>
    <s v="20/07/2026"/>
    <n v="0.98223906999999999"/>
    <m/>
    <n v="2700000"/>
    <n v="2652045.5"/>
    <n v="2700000"/>
    <n v="2652045.5"/>
    <n v="6270"/>
    <s v="AMOMPY"/>
    <s v="Momentum Capital Investment S.A."/>
    <s v="17/06/2026"/>
    <s v="17/06/2026"/>
    <n v="30"/>
    <s v="No"/>
    <s v=""/>
    <m/>
    <m/>
    <s v="*MAV070801321"/>
    <s v="*MAV070801321"/>
    <n v="5.0870107838615559E-5"/>
  </r>
  <r>
    <x v="52"/>
    <s v="Pesos"/>
    <d v="2026-08-11T00:00:00"/>
    <s v="20/07/2026"/>
    <n v="0.98223903999999995"/>
    <m/>
    <n v="3533450.77"/>
    <n v="3470693.29"/>
    <n v="3533450.77"/>
    <n v="3470693.29"/>
    <n v="9755701"/>
    <s v="AMOMPY"/>
    <s v="Momentum Capital Investment S.A."/>
    <s v="16/06/2026"/>
    <s v="16/06/2026"/>
    <n v="30"/>
    <s v="No"/>
    <s v=""/>
    <m/>
    <m/>
    <s v="*MAV070801305"/>
    <s v="*MAV070801305"/>
    <n v="6.6572968652709542E-5"/>
  </r>
  <r>
    <x v="68"/>
    <s v="Pesos"/>
    <d v="2026-08-12T00:00:00"/>
    <s v="20/07/2026"/>
    <n v="0.98205405000000001"/>
    <m/>
    <n v="100000000"/>
    <n v="98205404.799999997"/>
    <n v="100000000"/>
    <n v="98205404.799999997"/>
    <n v="90003816"/>
    <s v="AMOMPY"/>
    <s v="Momentum Capital Investment S.A."/>
    <s v="03/06/2026"/>
    <s v="03/06/2026"/>
    <n v="29"/>
    <s v="No"/>
    <s v=""/>
    <m/>
    <m/>
    <s v="*MAV100801166"/>
    <s v="*MAV100801166"/>
    <n v="1.8837231610509299E-3"/>
  </r>
  <r>
    <x v="140"/>
    <s v="Pesos"/>
    <d v="2026-08-12T00:00:00"/>
    <s v="20/07/2026"/>
    <n v="0.98144666000000003"/>
    <m/>
    <n v="5586280.8700000001"/>
    <n v="5482636.71"/>
    <n v="5586280.8700000001"/>
    <n v="5482636.71"/>
    <n v="29572225"/>
    <s v="AMOMPY"/>
    <s v="Momentum Capital Investment S.A."/>
    <s v="30/06/2026"/>
    <s v="30/06/2026"/>
    <n v="30"/>
    <s v="No"/>
    <s v=""/>
    <m/>
    <m/>
    <s v="*MAV090801060"/>
    <s v="*MAV090801060"/>
    <n v="1.0516498328465797E-4"/>
  </r>
  <r>
    <x v="141"/>
    <s v="Pesos"/>
    <d v="2026-08-12T00:00:00"/>
    <s v="20/07/2026"/>
    <n v="0.97962916"/>
    <m/>
    <n v="3900000"/>
    <n v="3820553.74"/>
    <n v="3900000"/>
    <n v="3820553.74"/>
    <n v="283"/>
    <s v="AMOMPY"/>
    <s v="Momentum Capital Investment S.A."/>
    <s v="27/05/2026"/>
    <s v="27/05/2026"/>
    <n v="33"/>
    <s v="No"/>
    <s v=""/>
    <m/>
    <m/>
    <s v="*MAV100801131"/>
    <s v="*MAV100801131"/>
    <n v="7.3283803297125185E-5"/>
  </r>
  <r>
    <x v="35"/>
    <s v="Pesos"/>
    <d v="2026-08-12T00:00:00"/>
    <s v="20/07/2026"/>
    <n v="0.98023419000000001"/>
    <m/>
    <n v="2899135.68"/>
    <n v="2841831.91"/>
    <n v="2899135.68"/>
    <n v="2841831.91"/>
    <n v="6553"/>
    <s v="AMOMPY"/>
    <s v="Momentum Capital Investment S.A."/>
    <s v="04/06/2026"/>
    <s v="04/06/2026"/>
    <n v="32"/>
    <s v="No"/>
    <s v=""/>
    <m/>
    <m/>
    <s v="*MAV080801261"/>
    <s v="*MAV080801261"/>
    <n v="5.4510488496867351E-5"/>
  </r>
  <r>
    <x v="129"/>
    <s v="Pesos"/>
    <d v="2026-08-12T00:00:00"/>
    <s v="20/07/2026"/>
    <n v="0.98023419000000001"/>
    <m/>
    <n v="3300000"/>
    <n v="3234772.84"/>
    <n v="3300000"/>
    <n v="3234772.84"/>
    <n v="13647455"/>
    <s v="AMOMPY"/>
    <s v="Momentum Capital Investment S.A."/>
    <s v="04/06/2026"/>
    <s v="04/06/2026"/>
    <n v="32"/>
    <s v="No"/>
    <s v=""/>
    <m/>
    <m/>
    <s v="*MAV100801178"/>
    <s v="*MAV100801178"/>
    <n v="6.2047669696551101E-5"/>
  </r>
  <r>
    <x v="142"/>
    <s v="Pesos"/>
    <d v="2026-08-12T00:00:00"/>
    <s v="20/07/2026"/>
    <n v="0.97902473000000001"/>
    <m/>
    <n v="4000000"/>
    <n v="3916098.93"/>
    <n v="4000000"/>
    <n v="3916098.93"/>
    <n v="90000050"/>
    <s v="AMOMPY"/>
    <s v="Momentum Capital Investment S.A."/>
    <s v="11/06/2026"/>
    <s v="11/06/2026"/>
    <n v="34"/>
    <s v="No"/>
    <s v=""/>
    <m/>
    <m/>
    <s v="*MAV100801236"/>
    <s v="*MAV100801236"/>
    <n v="7.5116499651226579E-5"/>
  </r>
  <r>
    <x v="134"/>
    <s v="Pesos"/>
    <d v="2026-08-12T00:00:00"/>
    <s v="20/07/2026"/>
    <n v="0.98144668000000002"/>
    <m/>
    <n v="5000000"/>
    <n v="4907233.38"/>
    <n v="5000000"/>
    <n v="4907233.38"/>
    <n v="3501230"/>
    <s v="AMOMPY"/>
    <s v="Momentum Capital Investment S.A."/>
    <s v="17/04/2026"/>
    <s v="17/04/2026"/>
    <n v="30"/>
    <s v="No"/>
    <s v=""/>
    <m/>
    <m/>
    <s v="*MAV090800977"/>
    <s v="*MAV090800977"/>
    <n v="9.4127906640309868E-5"/>
  </r>
  <r>
    <x v="85"/>
    <s v="Pesos"/>
    <d v="2026-08-12T00:00:00"/>
    <s v="20/07/2026"/>
    <n v="0.97661481999999999"/>
    <m/>
    <n v="4957711.8099999996"/>
    <n v="4841774.8499999996"/>
    <n v="4957711.8099999996"/>
    <n v="4841774.8499999996"/>
    <n v="590"/>
    <s v="AMOMPY"/>
    <s v="Momentum Capital Investment S.A."/>
    <s v="24/04/2026"/>
    <s v="24/04/2026"/>
    <n v="38"/>
    <s v="No"/>
    <s v=""/>
    <m/>
    <m/>
    <s v="*MAV090800979"/>
    <s v="*MAV090800979"/>
    <n v="9.2872316387406116E-5"/>
  </r>
  <r>
    <x v="6"/>
    <s v="Pesos"/>
    <d v="2026-08-12T00:00:00"/>
    <s v="20/07/2026"/>
    <n v="0.98755413999999997"/>
    <m/>
    <n v="2500000"/>
    <n v="2468885.35"/>
    <n v="2500000"/>
    <n v="2468885.35"/>
    <n v="6132"/>
    <s v="AMOMPY"/>
    <s v="Momentum Capital Investment S.A."/>
    <s v="29/05/2026"/>
    <s v="29/05/2026"/>
    <n v="20"/>
    <s v="No"/>
    <s v=""/>
    <m/>
    <m/>
    <s v="*ACI090800238"/>
    <s v="*ACI090800238"/>
    <n v="4.7356828529404235E-5"/>
  </r>
  <r>
    <x v="63"/>
    <s v="Pesos"/>
    <d v="2026-08-12T00:00:00"/>
    <s v="20/07/2026"/>
    <n v="0.98510215999999995"/>
    <m/>
    <n v="3000000"/>
    <n v="2955306.48"/>
    <n v="3000000"/>
    <n v="2955306.48"/>
    <n v="909575"/>
    <s v="AMOMPY"/>
    <s v="Momentum Capital Investment S.A."/>
    <s v="13/07/2026"/>
    <s v="13/07/2026"/>
    <n v="24"/>
    <s v="No"/>
    <s v=""/>
    <m/>
    <m/>
    <s v="*PRO100800015"/>
    <s v="*PRO100800015"/>
    <n v="5.6687096557641773E-5"/>
  </r>
  <r>
    <x v="63"/>
    <s v="Pesos"/>
    <d v="2026-08-12T00:00:00"/>
    <s v="20/07/2026"/>
    <n v="0.98449101999999999"/>
    <m/>
    <n v="25000000"/>
    <n v="24612275.539999999"/>
    <n v="25000000"/>
    <n v="24612275.539999999"/>
    <n v="6531"/>
    <s v="AMOMPY"/>
    <s v="Momentum Capital Investment S.A."/>
    <s v="16/07/2026"/>
    <s v="16/07/2026"/>
    <n v="25"/>
    <s v="No"/>
    <s v=""/>
    <m/>
    <m/>
    <s v="*PRO080800015"/>
    <s v="*PRO080800015"/>
    <n v="4.7209940812611241E-4"/>
  </r>
  <r>
    <x v="63"/>
    <s v="Pesos"/>
    <d v="2026-08-12T00:00:00"/>
    <s v="20/07/2026"/>
    <n v="0.98449101999999999"/>
    <m/>
    <n v="25000000"/>
    <n v="24612275.539999999"/>
    <n v="25000000"/>
    <n v="24612275.539999999"/>
    <n v="6530"/>
    <s v="AMOMPY"/>
    <s v="Momentum Capital Investment S.A."/>
    <s v="16/07/2026"/>
    <s v="16/07/2026"/>
    <n v="25"/>
    <s v="No"/>
    <s v=""/>
    <m/>
    <m/>
    <s v="*PRO080800014"/>
    <s v="*PRO080800014"/>
    <n v="4.7209940812611241E-4"/>
  </r>
  <r>
    <x v="40"/>
    <s v="Pesos"/>
    <d v="2026-08-12T00:00:00"/>
    <s v="20/07/2026"/>
    <n v="0.98266211000000003"/>
    <m/>
    <n v="7000000"/>
    <n v="6878634.75"/>
    <n v="7000000"/>
    <n v="6878634.75"/>
    <n v="29175494"/>
    <s v="AMOMPY"/>
    <s v="Momentum Capital Investment S.A."/>
    <s v="04/05/2026"/>
    <s v="04/05/2026"/>
    <n v="28"/>
    <s v="No"/>
    <s v=""/>
    <m/>
    <m/>
    <s v="*CUY100800020"/>
    <s v="*CUY100800020"/>
    <n v="1.319422655135247E-4"/>
  </r>
  <r>
    <x v="7"/>
    <s v="Pesos"/>
    <d v="2026-08-12T00:00:00"/>
    <s v="20/07/2026"/>
    <n v="0.98144664000000004"/>
    <m/>
    <n v="10000000"/>
    <n v="9814466.4100000001"/>
    <n v="10000000"/>
    <n v="9814466.4100000001"/>
    <n v="559"/>
    <s v="AMOMPY"/>
    <s v="Momentum Capital Investment S.A."/>
    <s v="28/05/2026"/>
    <s v="28/05/2026"/>
    <n v="30"/>
    <s v="No"/>
    <s v=""/>
    <m/>
    <m/>
    <s v="*MAV100801143"/>
    <s v="*MAV100801143"/>
    <n v="1.8825580656710834E-4"/>
  </r>
  <r>
    <x v="7"/>
    <s v="Pesos"/>
    <d v="2026-08-12T00:00:00"/>
    <s v="20/07/2026"/>
    <n v="0.98144664999999998"/>
    <m/>
    <n v="10000000"/>
    <n v="9814466.5"/>
    <n v="10000000"/>
    <n v="9814466.5"/>
    <n v="500"/>
    <s v="AMOMPY"/>
    <s v="Momentum Capital Investment S.A."/>
    <s v="14/05/2026"/>
    <s v="14/05/2026"/>
    <n v="30"/>
    <s v="No"/>
    <s v=""/>
    <m/>
    <m/>
    <s v="*MAV080801225"/>
    <s v="*MAV080801225"/>
    <n v="1.8825580829343982E-4"/>
  </r>
  <r>
    <x v="24"/>
    <s v="Pesos"/>
    <d v="2026-08-12T00:00:00"/>
    <s v="20/07/2026"/>
    <n v="0.97781826000000005"/>
    <m/>
    <n v="65000000"/>
    <n v="63558187"/>
    <n v="65000000"/>
    <n v="63558187"/>
    <n v="312"/>
    <s v="AMOMPY"/>
    <s v="Momentum Capital Investment S.A."/>
    <s v="10/04/2026"/>
    <s v="10/04/2026"/>
    <n v="36"/>
    <s v="No"/>
    <s v=""/>
    <m/>
    <m/>
    <s v="*MAV090800974"/>
    <s v="*MAV090800974"/>
    <n v="1.2191388973970822E-3"/>
  </r>
  <r>
    <x v="8"/>
    <s v="Pesos"/>
    <d v="2026-08-12T00:00:00"/>
    <s v="20/07/2026"/>
    <n v="0.97661478000000002"/>
    <m/>
    <n v="42000000"/>
    <n v="41017820.909999996"/>
    <n v="42000000"/>
    <n v="41017820.909999996"/>
    <n v="151336"/>
    <s v="AMOMPY"/>
    <s v="Momentum Capital Investment S.A."/>
    <s v="08/06/2026"/>
    <s v="08/06/2026"/>
    <n v="38"/>
    <s v="No"/>
    <s v=""/>
    <m/>
    <m/>
    <s v="#MAV110860043"/>
    <s v="#MAV110860043"/>
    <n v="7.8678173998022278E-4"/>
  </r>
  <r>
    <x v="143"/>
    <s v="Pesos"/>
    <d v="2026-08-12T00:00:00"/>
    <s v="20/07/2026"/>
    <n v="0.97962917000000005"/>
    <m/>
    <n v="2000000"/>
    <n v="1959258.34"/>
    <n v="2000000"/>
    <n v="1959258.34"/>
    <n v="6186"/>
    <s v="AMOMPY"/>
    <s v="Momentum Capital Investment S.A."/>
    <s v="03/06/2026"/>
    <s v="03/06/2026"/>
    <n v="33"/>
    <s v="No"/>
    <s v=""/>
    <m/>
    <m/>
    <s v="*MAV100801171"/>
    <s v="*MAV100801171"/>
    <n v="3.7581437814512195E-5"/>
  </r>
  <r>
    <x v="56"/>
    <s v="Pesos"/>
    <d v="2026-08-12T00:00:00"/>
    <s v="20/07/2026"/>
    <n v="0.97781834999999995"/>
    <m/>
    <n v="2197564.35"/>
    <n v="2148818.75"/>
    <n v="2197564.35"/>
    <n v="2148818.75"/>
    <n v="2763"/>
    <s v="AMOMPY"/>
    <s v="Momentum Capital Investment S.A."/>
    <s v="17/06/2026"/>
    <s v="17/06/2026"/>
    <n v="36"/>
    <s v="No"/>
    <s v=""/>
    <m/>
    <m/>
    <s v="*MAV080801292"/>
    <s v="*MAV080801292"/>
    <n v="4.1217483462534514E-5"/>
  </r>
  <r>
    <x v="7"/>
    <s v="Pesos"/>
    <d v="2026-08-12T00:00:00"/>
    <s v="20/07/2026"/>
    <n v="0.98144666000000003"/>
    <m/>
    <n v="10000000"/>
    <n v="9814466.6199999992"/>
    <n v="10000000"/>
    <n v="9814466.6199999992"/>
    <n v="608"/>
    <s v="AMOMPY"/>
    <s v="Momentum Capital Investment S.A."/>
    <s v="05/06/2026"/>
    <s v="05/06/2026"/>
    <n v="30"/>
    <s v="No"/>
    <s v=""/>
    <m/>
    <m/>
    <s v="*MAV090801006"/>
    <s v="*MAV090801006"/>
    <n v="1.8825581059521516E-4"/>
  </r>
  <r>
    <x v="135"/>
    <s v="Pesos"/>
    <d v="2026-08-12T00:00:00"/>
    <s v="20/07/2026"/>
    <n v="0.98023426000000002"/>
    <m/>
    <n v="50000000"/>
    <n v="49011713.25"/>
    <n v="50000000"/>
    <n v="49011713.25"/>
    <n v="4678"/>
    <s v="AMOMPY"/>
    <s v="Momentum Capital Investment S.A."/>
    <s v="20/05/2026"/>
    <s v="20/05/2026"/>
    <n v="32"/>
    <s v="No"/>
    <s v=""/>
    <m/>
    <m/>
    <s v="*MAV090800990"/>
    <s v="*MAV090800990"/>
    <n v="9.4011627567581438E-4"/>
  </r>
  <r>
    <x v="42"/>
    <s v="Pesos"/>
    <d v="2026-08-12T00:00:00"/>
    <s v="20/07/2026"/>
    <n v="0.97962925000000001"/>
    <m/>
    <n v="180000000"/>
    <n v="176333265.5"/>
    <n v="180000000"/>
    <n v="176333265.5"/>
    <n v="68125958"/>
    <s v="AMOMPY"/>
    <s v="Momentum Capital Investment S.A."/>
    <s v="06/07/2026"/>
    <s v="06/07/2026"/>
    <n v="33"/>
    <s v="No"/>
    <s v=""/>
    <m/>
    <m/>
    <s v="*MAV100801482"/>
    <s v="*MAV100801482"/>
    <n v="3.3823296891098693E-3"/>
  </r>
  <r>
    <x v="42"/>
    <s v="Pesos"/>
    <d v="2026-08-12T00:00:00"/>
    <s v="20/07/2026"/>
    <n v="0.97962925000000001"/>
    <m/>
    <n v="135000000"/>
    <n v="132249949.13"/>
    <n v="135000000"/>
    <n v="132249949.13"/>
    <n v="68125939"/>
    <s v="AMOMPY"/>
    <s v="Momentum Capital Investment S.A."/>
    <s v="06/07/2026"/>
    <s v="06/07/2026"/>
    <n v="33"/>
    <s v="No"/>
    <s v=""/>
    <m/>
    <m/>
    <s v="*MAV100801483"/>
    <s v="*MAV100801483"/>
    <n v="2.5367472669283091E-3"/>
  </r>
  <r>
    <x v="43"/>
    <s v="Pesos"/>
    <d v="2026-08-12T00:00:00"/>
    <s v="20/07/2026"/>
    <n v="0.98327103000000005"/>
    <m/>
    <n v="5900000"/>
    <n v="5801299.0800000001"/>
    <n v="5900000"/>
    <n v="5801299.0800000001"/>
    <n v="126"/>
    <s v="AMOMPY"/>
    <s v="Momentum Capital Investment S.A."/>
    <s v="25/06/2026"/>
    <s v="25/06/2026"/>
    <n v="27"/>
    <s v="No"/>
    <s v=""/>
    <m/>
    <m/>
    <s v="*MIL080800037"/>
    <s v="*MIL080800037"/>
    <n v="1.1127739316827756E-4"/>
  </r>
  <r>
    <x v="43"/>
    <s v="Pesos"/>
    <d v="2026-08-12T00:00:00"/>
    <s v="20/07/2026"/>
    <n v="0.98327103000000005"/>
    <m/>
    <n v="5900000"/>
    <n v="5801299.0800000001"/>
    <n v="5900000"/>
    <n v="5801299.0800000001"/>
    <n v="125"/>
    <s v="AMOMPY"/>
    <s v="Momentum Capital Investment S.A."/>
    <s v="25/06/2026"/>
    <s v="25/06/2026"/>
    <n v="27"/>
    <s v="No"/>
    <s v=""/>
    <m/>
    <m/>
    <s v="*MIL080800038"/>
    <s v="*MIL080800038"/>
    <n v="1.1127739316827756E-4"/>
  </r>
  <r>
    <x v="92"/>
    <s v="Pesos"/>
    <d v="2026-08-12T00:00:00"/>
    <s v="20/07/2026"/>
    <n v="0.98205401999999997"/>
    <m/>
    <n v="80000000"/>
    <n v="78564321.260000005"/>
    <n v="80000000"/>
    <n v="78564321.260000005"/>
    <n v="90041870"/>
    <s v="AMOMPY"/>
    <s v="Momentum Capital Investment S.A."/>
    <s v="20/04/2026"/>
    <s v="20/04/2026"/>
    <n v="29"/>
    <s v="No"/>
    <s v=""/>
    <m/>
    <m/>
    <s v="*FED090800026"/>
    <s v="*FED090800026"/>
    <n v="1.5069784793525741E-3"/>
  </r>
  <r>
    <x v="123"/>
    <s v="Pesos"/>
    <d v="2026-08-12T00:00:00"/>
    <s v="20/07/2026"/>
    <n v="0.98144666999999997"/>
    <m/>
    <n v="16800000"/>
    <n v="16488303.98"/>
    <n v="16800000"/>
    <n v="16488303.98"/>
    <n v="32660"/>
    <s v="AMOMPY"/>
    <s v="Momentum Capital Investment S.A."/>
    <s v="04/05/2026"/>
    <s v="04/05/2026"/>
    <n v="30"/>
    <s v="No"/>
    <s v=""/>
    <m/>
    <m/>
    <s v="*MAV100800966"/>
    <s v="*MAV100800966"/>
    <n v="3.1626976292015884E-4"/>
  </r>
  <r>
    <x v="13"/>
    <s v="Pesos"/>
    <d v="2026-08-12T00:00:00"/>
    <s v="20/07/2026"/>
    <n v="0.98144666000000003"/>
    <m/>
    <n v="10000000"/>
    <n v="9814466.6300000008"/>
    <n v="10000000"/>
    <n v="9814466.6300000008"/>
    <n v="3435966"/>
    <s v="AMOMPY"/>
    <s v="Momentum Capital Investment S.A."/>
    <s v="11/05/2026"/>
    <s v="11/05/2026"/>
    <n v="30"/>
    <s v="No"/>
    <s v=""/>
    <m/>
    <m/>
    <s v="*NEU080800033"/>
    <s v="*NEU080800033"/>
    <n v="1.8825581078702979E-4"/>
  </r>
  <r>
    <x v="144"/>
    <s v="Pesos"/>
    <d v="2026-08-12T00:00:00"/>
    <s v="20/07/2026"/>
    <n v="0.98084011000000004"/>
    <m/>
    <n v="10000000"/>
    <n v="9808401.0999999996"/>
    <n v="10000000"/>
    <n v="9808401.0999999996"/>
    <n v="68232550"/>
    <s v="AMOMPY"/>
    <s v="Momentum Capital Investment S.A."/>
    <s v="08/07/2026"/>
    <s v="08/07/2026"/>
    <n v="31"/>
    <s v="No"/>
    <s v=""/>
    <m/>
    <m/>
    <s v="*MAV080801391"/>
    <s v="*MAV080801391"/>
    <n v="1.8813946505872372E-4"/>
  </r>
  <r>
    <x v="145"/>
    <s v="Pesos"/>
    <d v="2026-08-12T00:00:00"/>
    <s v="20/07/2026"/>
    <n v="0.98449096000000003"/>
    <m/>
    <n v="29200000"/>
    <n v="28747136.100000001"/>
    <n v="29200000"/>
    <n v="28747136.100000001"/>
    <n v="1533585"/>
    <s v="AMOMPY"/>
    <s v="Momentum Capital Investment S.A."/>
    <s v="10/06/2026"/>
    <s v="10/06/2026"/>
    <n v="25"/>
    <s v="No"/>
    <s v=""/>
    <m/>
    <m/>
    <s v="*MAV080801275"/>
    <s v="*MAV080801275"/>
    <n v="5.5141207549356088E-4"/>
  </r>
  <r>
    <x v="146"/>
    <s v="Pesos"/>
    <d v="2026-08-12T00:00:00"/>
    <s v="20/07/2026"/>
    <n v="0.97842112999999997"/>
    <m/>
    <n v="30000000"/>
    <n v="29352633.75"/>
    <n v="30000000"/>
    <n v="29352633.75"/>
    <n v="298"/>
    <s v="AMOMPY"/>
    <s v="Momentum Capital Investment S.A."/>
    <s v="11/06/2026"/>
    <s v="11/06/2026"/>
    <n v="35"/>
    <s v="No"/>
    <s v=""/>
    <m/>
    <m/>
    <s v="*MAV100801230"/>
    <s v="*MAV100801230"/>
    <n v="5.6302640516909933E-4"/>
  </r>
  <r>
    <x v="146"/>
    <s v="Pesos"/>
    <d v="2026-08-12T00:00:00"/>
    <s v="20/07/2026"/>
    <n v="0.97842112999999997"/>
    <m/>
    <n v="20000000"/>
    <n v="19568422.5"/>
    <n v="20000000"/>
    <n v="19568422.5"/>
    <n v="299"/>
    <s v="AMOMPY"/>
    <s v="Momentum Capital Investment S.A."/>
    <s v="11/06/2026"/>
    <s v="11/06/2026"/>
    <n v="35"/>
    <s v="No"/>
    <s v=""/>
    <m/>
    <m/>
    <s v="*MAV100801231"/>
    <s v="*MAV100801231"/>
    <n v="3.7535093677939954E-4"/>
  </r>
  <r>
    <x v="88"/>
    <s v="Pesos"/>
    <d v="2026-08-12T00:00:00"/>
    <s v="20/07/2026"/>
    <n v="0.98144666000000003"/>
    <m/>
    <n v="1770042.5"/>
    <n v="1737202.3"/>
    <n v="1770042.5"/>
    <n v="1737202.3"/>
    <n v="249"/>
    <s v="AMOMPY"/>
    <s v="Momentum Capital Investment S.A."/>
    <s v="16/06/2026"/>
    <s v="16/06/2026"/>
    <n v="30"/>
    <s v="No"/>
    <s v=""/>
    <m/>
    <m/>
    <s v="*MAV100801260"/>
    <s v="*MAV100801260"/>
    <n v="3.332207850072368E-5"/>
  </r>
  <r>
    <x v="60"/>
    <s v="Pesos"/>
    <d v="2026-08-12T00:00:00"/>
    <s v="20/07/2026"/>
    <n v="0.98144664000000004"/>
    <m/>
    <n v="330000"/>
    <n v="323877.39"/>
    <n v="330000"/>
    <n v="323877.39"/>
    <n v="9918446"/>
    <s v="AMOMPY"/>
    <s v="Momentum Capital Investment S.A."/>
    <s v="30/06/2026"/>
    <s v="30/06/2026"/>
    <n v="30"/>
    <s v="No"/>
    <s v=""/>
    <m/>
    <m/>
    <s v="*MAV100801403"/>
    <s v="*MAV100801403"/>
    <n v="6.2124415873669391E-6"/>
  </r>
  <r>
    <x v="147"/>
    <s v="Pesos"/>
    <d v="2026-08-12T00:00:00"/>
    <s v="20/07/2026"/>
    <n v="0.97962910000000003"/>
    <m/>
    <n v="851125.3"/>
    <n v="833787.11"/>
    <n v="851125.3"/>
    <n v="833787.11"/>
    <n v="131"/>
    <s v="AMOMPY"/>
    <s v="Momentum Capital Investment S.A."/>
    <s v="14/07/2026"/>
    <s v="14/07/2026"/>
    <n v="33"/>
    <s v="No"/>
    <s v=""/>
    <m/>
    <m/>
    <s v="*MAV100801567"/>
    <s v="*MAV100801567"/>
    <n v="1.5993255093152667E-5"/>
  </r>
  <r>
    <x v="0"/>
    <s v="Pesos"/>
    <d v="2026-08-13T00:00:00"/>
    <s v="20/07/2026"/>
    <n v="0.98128831999999999"/>
    <m/>
    <n v="5000000"/>
    <n v="4906441.58"/>
    <n v="5000000"/>
    <n v="4906441.58"/>
    <n v="6879"/>
    <s v="AMOMPY"/>
    <s v="Momentum Capital Investment S.A."/>
    <s v="22/04/2026"/>
    <s v="22/04/2026"/>
    <n v="29"/>
    <s v="No"/>
    <s v=""/>
    <m/>
    <m/>
    <s v="*INP110800047"/>
    <s v="*INP110800047"/>
    <n v="9.411271875933777E-5"/>
  </r>
  <r>
    <x v="99"/>
    <s v="Pesos"/>
    <d v="2026-08-13T00:00:00"/>
    <s v="20/07/2026"/>
    <n v="0.97876240000000003"/>
    <m/>
    <n v="473598.9"/>
    <n v="463540.79"/>
    <n v="473598.9"/>
    <n v="463540.79"/>
    <n v="38695"/>
    <s v="AMOMPY"/>
    <s v="Momentum Capital Investment S.A."/>
    <s v="14/07/2026"/>
    <s v="14/07/2026"/>
    <n v="33"/>
    <s v="No"/>
    <s v=""/>
    <m/>
    <m/>
    <s v="*MAV110801671"/>
    <s v="*MAV110801671"/>
    <n v="8.8913896744596006E-6"/>
  </r>
  <r>
    <x v="148"/>
    <s v="Pesos"/>
    <d v="2026-08-13T00:00:00"/>
    <s v="20/07/2026"/>
    <n v="0.97687619000000003"/>
    <m/>
    <n v="3345657.98"/>
    <n v="3268293.64"/>
    <n v="3345657.98"/>
    <n v="3268293.64"/>
    <n v="226"/>
    <s v="AMOMPY"/>
    <s v="Momentum Capital Investment S.A."/>
    <s v="17/06/2026"/>
    <s v="17/06/2026"/>
    <n v="36"/>
    <s v="No"/>
    <s v=""/>
    <m/>
    <m/>
    <s v="*MAV110801469"/>
    <s v="*MAV110801469"/>
    <n v="6.2690647620887864E-5"/>
  </r>
  <r>
    <x v="149"/>
    <s v="Pesos"/>
    <d v="2026-08-13T00:00:00"/>
    <s v="20/07/2026"/>
    <n v="0.98255630000000005"/>
    <m/>
    <n v="150000000"/>
    <n v="147383444.46000001"/>
    <n v="150000000"/>
    <n v="147383444.46000001"/>
    <n v="67981"/>
    <s v="AMOMPY"/>
    <s v="Momentum Capital Investment S.A."/>
    <s v="12/05/2026"/>
    <s v="12/05/2026"/>
    <n v="27"/>
    <s v="No"/>
    <s v=""/>
    <m/>
    <m/>
    <s v="*MAV110801321"/>
    <s v="*MAV110801321"/>
    <n v="2.8270298203054234E-3"/>
  </r>
  <r>
    <x v="40"/>
    <s v="Pesos"/>
    <d v="2026-08-13T00:00:00"/>
    <s v="20/07/2026"/>
    <n v="0.98192190000000001"/>
    <m/>
    <n v="7000000"/>
    <n v="6873453.2800000003"/>
    <n v="7000000"/>
    <n v="6873453.2800000003"/>
    <n v="29175498"/>
    <s v="AMOMPY"/>
    <s v="Momentum Capital Investment S.A."/>
    <s v="04/05/2026"/>
    <s v="04/05/2026"/>
    <n v="28"/>
    <s v="No"/>
    <s v=""/>
    <m/>
    <m/>
    <s v="*CUY110800024"/>
    <s v="*CUY110800024"/>
    <n v="1.3184287734780033E-4"/>
  </r>
  <r>
    <x v="8"/>
    <s v="Pesos"/>
    <d v="2026-08-13T00:00:00"/>
    <s v="20/07/2026"/>
    <n v="0.97562285999999998"/>
    <m/>
    <n v="42000000"/>
    <n v="40976160.039999999"/>
    <n v="42000000"/>
    <n v="40976160.039999999"/>
    <n v="151337"/>
    <s v="AMOMPY"/>
    <s v="Momentum Capital Investment S.A."/>
    <s v="10/06/2026"/>
    <s v="10/06/2026"/>
    <n v="38"/>
    <s v="No"/>
    <s v=""/>
    <m/>
    <m/>
    <s v="#MAV120860032"/>
    <s v="#MAV120860032"/>
    <n v="7.8598262361907799E-4"/>
  </r>
  <r>
    <x v="143"/>
    <s v="Pesos"/>
    <d v="2026-08-13T00:00:00"/>
    <s v="20/07/2026"/>
    <n v="0.97876226"/>
    <m/>
    <n v="2200000"/>
    <n v="2153276.98"/>
    <n v="2200000"/>
    <n v="2153276.98"/>
    <n v="6187"/>
    <s v="AMOMPY"/>
    <s v="Momentum Capital Investment S.A."/>
    <s v="03/06/2026"/>
    <s v="03/06/2026"/>
    <n v="33"/>
    <s v="No"/>
    <s v=""/>
    <m/>
    <m/>
    <s v="*MAV110801415"/>
    <s v="*MAV110801415"/>
    <n v="4.1302998828266121E-5"/>
  </r>
  <r>
    <x v="56"/>
    <s v="Pesos"/>
    <d v="2026-08-13T00:00:00"/>
    <s v="20/07/2026"/>
    <n v="0.97687619000000003"/>
    <m/>
    <n v="2197564.35"/>
    <n v="2146748.2999999998"/>
    <n v="2197564.35"/>
    <n v="2146748.2999999998"/>
    <n v="2764"/>
    <s v="AMOMPY"/>
    <s v="Momentum Capital Investment S.A."/>
    <s v="17/06/2026"/>
    <s v="17/06/2026"/>
    <n v="36"/>
    <s v="No"/>
    <s v=""/>
    <m/>
    <m/>
    <s v="*MAV110801470"/>
    <s v="*MAV110801470"/>
    <n v="4.1177769206208795E-5"/>
  </r>
  <r>
    <x v="110"/>
    <s v="Pesos"/>
    <d v="2026-08-13T00:00:00"/>
    <s v="20/07/2026"/>
    <n v="0.98830286000000001"/>
    <m/>
    <n v="31000000"/>
    <n v="30637388.649999999"/>
    <n v="31000000"/>
    <n v="30637388.649999999"/>
    <n v="152408"/>
    <s v="AMOMPY"/>
    <s v="Momentum Capital Investment S.A."/>
    <s v="03/06/2026"/>
    <s v="03/06/2026"/>
    <n v="18"/>
    <s v="No"/>
    <s v=""/>
    <m/>
    <m/>
    <s v="#MAV120860029"/>
    <s v="#MAV120860029"/>
    <n v="5.8766988142513999E-4"/>
  </r>
  <r>
    <x v="7"/>
    <s v="Pesos"/>
    <d v="2026-08-13T00:00:00"/>
    <s v="20/07/2026"/>
    <n v="0.97876231000000002"/>
    <m/>
    <n v="10000000"/>
    <n v="9787623.1099999994"/>
    <n v="10000000"/>
    <n v="9787623.1099999994"/>
    <n v="663"/>
    <s v="AMOMPY"/>
    <s v="Momentum Capital Investment S.A."/>
    <s v="22/06/2026"/>
    <s v="22/06/2026"/>
    <n v="33"/>
    <s v="No"/>
    <s v=""/>
    <m/>
    <m/>
    <s v="*MAV110801500"/>
    <s v="*MAV110801500"/>
    <n v="1.8774091284988351E-4"/>
  </r>
  <r>
    <x v="7"/>
    <s v="Pesos"/>
    <d v="2026-08-13T00:00:00"/>
    <s v="20/07/2026"/>
    <n v="0.98065557000000003"/>
    <m/>
    <n v="10000000"/>
    <n v="9806555.6600000001"/>
    <n v="10000000"/>
    <n v="9806555.6600000001"/>
    <n v="668"/>
    <s v="AMOMPY"/>
    <s v="Momentum Capital Investment S.A."/>
    <s v="23/06/2026"/>
    <s v="23/06/2026"/>
    <n v="30"/>
    <s v="No"/>
    <s v=""/>
    <m/>
    <m/>
    <s v="*MAV110801507"/>
    <s v="*MAV110801507"/>
    <n v="1.8810406682298088E-4"/>
  </r>
  <r>
    <x v="135"/>
    <s v="Pesos"/>
    <d v="2026-08-13T00:00:00"/>
    <s v="20/07/2026"/>
    <n v="0.97939255000000003"/>
    <m/>
    <n v="50000000"/>
    <n v="48969627.469999999"/>
    <n v="50000000"/>
    <n v="48969627.469999999"/>
    <n v="4633"/>
    <s v="AMOMPY"/>
    <s v="Momentum Capital Investment S.A."/>
    <s v="12/05/2026"/>
    <s v="12/05/2026"/>
    <n v="32"/>
    <s v="No"/>
    <s v=""/>
    <m/>
    <m/>
    <s v="*MAV110801326"/>
    <s v="*MAV110801326"/>
    <n v="9.3930900891999423E-4"/>
  </r>
  <r>
    <x v="9"/>
    <s v="Pesos"/>
    <d v="2026-08-13T00:00:00"/>
    <s v="20/07/2026"/>
    <n v="0.97750404000000002"/>
    <m/>
    <n v="10000000"/>
    <n v="9775040.3599999994"/>
    <n v="10000000"/>
    <n v="9775040.3599999994"/>
    <n v="254"/>
    <s v="AMOMPY"/>
    <s v="Momentum Capital Investment S.A."/>
    <s v="30/04/2026"/>
    <s v="30/04/2026"/>
    <n v="35"/>
    <s v="No"/>
    <s v=""/>
    <m/>
    <m/>
    <s v="*MAV110801282"/>
    <s v="*MAV110801282"/>
    <n v="1.8749955731906537E-4"/>
  </r>
  <r>
    <x v="29"/>
    <s v="Pesos"/>
    <d v="2026-08-13T00:00:00"/>
    <s v="20/07/2026"/>
    <n v="0.97750402999999997"/>
    <m/>
    <n v="15000000"/>
    <n v="14662560.48"/>
    <n v="15000000"/>
    <n v="14662560.48"/>
    <n v="4182"/>
    <s v="AMOMPY"/>
    <s v="Momentum Capital Investment S.A."/>
    <s v="18/05/2026"/>
    <s v="18/05/2026"/>
    <n v="35"/>
    <s v="No"/>
    <s v=""/>
    <m/>
    <m/>
    <s v="*MAV110801360"/>
    <s v="*MAV110801360"/>
    <n v="2.8124933482771044E-4"/>
  </r>
  <r>
    <x v="64"/>
    <s v="Pesos"/>
    <d v="2026-08-13T00:00:00"/>
    <s v="20/07/2026"/>
    <n v="0.97750404999999996"/>
    <m/>
    <n v="25000000"/>
    <n v="24437601.289999999"/>
    <n v="25000000"/>
    <n v="24437601.289999999"/>
    <n v="1309"/>
    <s v="AMOMPY"/>
    <s v="Momentum Capital Investment S.A."/>
    <s v="20/04/2026"/>
    <s v="20/04/2026"/>
    <n v="35"/>
    <s v="No"/>
    <s v=""/>
    <m/>
    <m/>
    <s v="*MAV110801261"/>
    <s v="*MAV110801261"/>
    <n v="4.6874890077843335E-4"/>
  </r>
  <r>
    <x v="150"/>
    <s v="Pesos"/>
    <d v="2026-08-13T00:00:00"/>
    <s v="20/07/2026"/>
    <n v="0.97876229000000003"/>
    <m/>
    <n v="2718106"/>
    <n v="2660379.66"/>
    <n v="2718106"/>
    <n v="2660379.66"/>
    <n v="4077"/>
    <s v="AMOMPY"/>
    <s v="Momentum Capital Investment S.A."/>
    <s v="16/07/2026"/>
    <s v="16/07/2026"/>
    <n v="33"/>
    <s v="No"/>
    <s v=""/>
    <m/>
    <m/>
    <s v="*MAV110801719"/>
    <s v="*MAV110801719"/>
    <n v="5.1029969205226454E-5"/>
  </r>
  <r>
    <x v="103"/>
    <s v="Pesos"/>
    <d v="2026-08-13T00:00:00"/>
    <s v="20/07/2026"/>
    <n v="0.98065568000000003"/>
    <m/>
    <n v="2870567.12"/>
    <n v="2815037.96"/>
    <n v="2870567.12"/>
    <n v="2815037.96"/>
    <n v="94"/>
    <s v="AMOMPY"/>
    <s v="Momentum Capital Investment S.A."/>
    <s v="20/07/2026"/>
    <s v="20/07/2026"/>
    <n v="30"/>
    <s v="No"/>
    <s v=""/>
    <m/>
    <m/>
    <s v="*MAV110801733"/>
    <s v="*MAV110801733"/>
    <n v="5.3996541384752393E-5"/>
  </r>
  <r>
    <x v="68"/>
    <s v="Pesos"/>
    <d v="2026-08-14T00:00:00"/>
    <s v="20/07/2026"/>
    <n v="0.98052386999999996"/>
    <m/>
    <n v="100000000"/>
    <n v="98052386.780000001"/>
    <n v="100000000"/>
    <n v="98052386.780000001"/>
    <n v="90003817"/>
    <s v="AMOMPY"/>
    <s v="Momentum Capital Investment S.A."/>
    <s v="03/06/2026"/>
    <s v="03/06/2026"/>
    <n v="29"/>
    <s v="No"/>
    <s v=""/>
    <m/>
    <m/>
    <s v="*MAV120801652"/>
    <s v="*MAV120801652"/>
    <n v="1.8807880518385686E-3"/>
  </r>
  <r>
    <x v="148"/>
    <s v="Pesos"/>
    <d v="2026-08-14T00:00:00"/>
    <s v="20/07/2026"/>
    <n v="0.97593584"/>
    <m/>
    <n v="3345657.98"/>
    <n v="3265147.54"/>
    <n v="3345657.98"/>
    <n v="3265147.54"/>
    <n v="227"/>
    <s v="AMOMPY"/>
    <s v="Momentum Capital Investment S.A."/>
    <s v="17/06/2026"/>
    <s v="17/06/2026"/>
    <n v="36"/>
    <s v="No"/>
    <s v=""/>
    <m/>
    <m/>
    <s v="*MAV120801779"/>
    <s v="*MAV120801779"/>
    <n v="6.2630300825830597E-5"/>
  </r>
  <r>
    <x v="0"/>
    <s v="Pesos"/>
    <d v="2026-08-14T00:00:00"/>
    <s v="20/07/2026"/>
    <n v="0.97986583000000005"/>
    <m/>
    <n v="1040000"/>
    <n v="1019060.46"/>
    <n v="1040000"/>
    <n v="1019060.46"/>
    <n v="10401546"/>
    <s v="AMOMPY"/>
    <s v="Momentum Capital Investment S.A."/>
    <s v="30/04/2026"/>
    <s v="30/04/2026"/>
    <n v="30"/>
    <s v="No"/>
    <s v=""/>
    <m/>
    <m/>
    <s v="*INP120800052"/>
    <s v="*INP120800052"/>
    <n v="1.9547068666155679E-5"/>
  </r>
  <r>
    <x v="85"/>
    <s v="Pesos"/>
    <d v="2026-08-14T00:00:00"/>
    <s v="20/07/2026"/>
    <n v="0.97463286999999998"/>
    <m/>
    <n v="4957711.8099999996"/>
    <n v="4831948.88"/>
    <n v="4957711.8099999996"/>
    <n v="4831948.88"/>
    <n v="591"/>
    <s v="AMOMPY"/>
    <s v="Momentum Capital Investment S.A."/>
    <s v="24/04/2026"/>
    <s v="24/04/2026"/>
    <n v="38"/>
    <s v="No"/>
    <s v=""/>
    <m/>
    <m/>
    <s v="*MAV120801457"/>
    <s v="*MAV120801457"/>
    <n v="9.2683839925173853E-5"/>
  </r>
  <r>
    <x v="6"/>
    <s v="Pesos"/>
    <d v="2026-08-14T00:00:00"/>
    <s v="20/07/2026"/>
    <n v="0.98052384999999997"/>
    <m/>
    <n v="42000000"/>
    <n v="41182001.899999999"/>
    <n v="42000000"/>
    <n v="41182001.899999999"/>
    <n v="7578"/>
    <s v="AMOMPY"/>
    <s v="Momentum Capital Investment S.A."/>
    <s v="20/04/2026"/>
    <s v="20/04/2026"/>
    <n v="29"/>
    <s v="No"/>
    <s v=""/>
    <m/>
    <m/>
    <s v="*ACI120800233"/>
    <s v="*ACI120800233"/>
    <n v="7.8993097126843059E-4"/>
  </r>
  <r>
    <x v="6"/>
    <s v="Pesos"/>
    <d v="2026-08-14T00:00:00"/>
    <s v="20/07/2026"/>
    <n v="0.98648654000000002"/>
    <m/>
    <n v="2500000"/>
    <n v="2466216.35"/>
    <n v="2500000"/>
    <n v="2466216.35"/>
    <n v="6133"/>
    <s v="AMOMPY"/>
    <s v="Momentum Capital Investment S.A."/>
    <s v="29/05/2026"/>
    <s v="29/05/2026"/>
    <n v="20"/>
    <s v="No"/>
    <s v=""/>
    <m/>
    <m/>
    <s v="*ACI120800246"/>
    <s v="*ACI120800246"/>
    <n v="4.7305633209481833E-5"/>
  </r>
  <r>
    <x v="63"/>
    <s v="Pesos"/>
    <d v="2026-08-14T00:00:00"/>
    <s v="20/07/2026"/>
    <n v="0.98382756000000005"/>
    <m/>
    <n v="6875000"/>
    <n v="6763814.4900000002"/>
    <n v="6875000"/>
    <n v="6763814.4900000002"/>
    <n v="50454429"/>
    <s v="AMOMPY"/>
    <s v="Momentum Capital Investment S.A."/>
    <s v="17/07/2026"/>
    <s v="17/07/2026"/>
    <n v="24"/>
    <s v="No"/>
    <s v=""/>
    <m/>
    <m/>
    <s v="*PRO120800022"/>
    <s v="*PRO120800022"/>
    <n v="1.2973984515223834E-4"/>
  </r>
  <r>
    <x v="7"/>
    <s v="Pesos"/>
    <d v="2026-08-14T00:00:00"/>
    <s v="20/07/2026"/>
    <n v="0.97986587000000003"/>
    <m/>
    <n v="10000000"/>
    <n v="9798658.7400000002"/>
    <n v="10000000"/>
    <n v="9798658.7400000002"/>
    <n v="635"/>
    <s v="AMOMPY"/>
    <s v="Momentum Capital Investment S.A."/>
    <s v="16/06/2026"/>
    <s v="16/06/2026"/>
    <n v="30"/>
    <s v="No"/>
    <s v=""/>
    <m/>
    <m/>
    <s v="*MAV120801757"/>
    <s v="*MAV120801757"/>
    <n v="1.8795259235846175E-4"/>
  </r>
  <r>
    <x v="7"/>
    <s v="Pesos"/>
    <d v="2026-08-14T00:00:00"/>
    <s v="20/07/2026"/>
    <n v="0.97986587999999997"/>
    <m/>
    <n v="5000000"/>
    <n v="4899329.38"/>
    <n v="5000000"/>
    <n v="4899329.38"/>
    <n v="640"/>
    <s v="AMOMPY"/>
    <s v="Momentum Capital Investment S.A."/>
    <s v="16/06/2026"/>
    <s v="16/06/2026"/>
    <n v="30"/>
    <s v="No"/>
    <s v=""/>
    <m/>
    <m/>
    <s v="*MAV120801758"/>
    <s v="*MAV120801758"/>
    <n v="9.3976296371045485E-5"/>
  </r>
  <r>
    <x v="7"/>
    <s v="Pesos"/>
    <d v="2026-08-14T00:00:00"/>
    <s v="20/07/2026"/>
    <n v="0.97986576999999997"/>
    <m/>
    <n v="10000000"/>
    <n v="9798657.7300000004"/>
    <n v="10000000"/>
    <n v="9798657.7300000004"/>
    <n v="575"/>
    <s v="AMOMPY"/>
    <s v="Momentum Capital Investment S.A."/>
    <s v="02/06/2026"/>
    <s v="02/06/2026"/>
    <n v="30"/>
    <s v="No"/>
    <s v=""/>
    <m/>
    <m/>
    <s v="*MAV120801634"/>
    <s v="*MAV120801634"/>
    <n v="1.8795257298518596E-4"/>
  </r>
  <r>
    <x v="8"/>
    <s v="Pesos"/>
    <d v="2026-08-14T00:00:00"/>
    <s v="20/07/2026"/>
    <n v="0.97463286999999998"/>
    <m/>
    <n v="42000000"/>
    <n v="40934580.560000002"/>
    <n v="42000000"/>
    <n v="40934580.560000002"/>
    <n v="151338"/>
    <s v="AMOMPY"/>
    <s v="Momentum Capital Investment S.A."/>
    <s v="10/06/2026"/>
    <s v="10/06/2026"/>
    <n v="38"/>
    <s v="No"/>
    <s v=""/>
    <m/>
    <m/>
    <s v="#MAV130860035"/>
    <s v="#MAV130860035"/>
    <n v="7.8518506843705971E-4"/>
  </r>
  <r>
    <x v="143"/>
    <s v="Pesos"/>
    <d v="2026-08-14T00:00:00"/>
    <s v="20/07/2026"/>
    <n v="0.97789689000000002"/>
    <m/>
    <n v="2200000"/>
    <n v="2151373.16"/>
    <n v="2200000"/>
    <n v="2151373.16"/>
    <n v="6188"/>
    <s v="AMOMPY"/>
    <s v="Momentum Capital Investment S.A."/>
    <s v="03/06/2026"/>
    <s v="03/06/2026"/>
    <n v="33"/>
    <s v="No"/>
    <s v=""/>
    <m/>
    <m/>
    <s v="*MAV120801669"/>
    <s v="*MAV120801669"/>
    <n v="4.1266480778818891E-5"/>
  </r>
  <r>
    <x v="56"/>
    <s v="Pesos"/>
    <d v="2026-08-14T00:00:00"/>
    <s v="20/07/2026"/>
    <n v="0.97593585000000005"/>
    <m/>
    <n v="2197564.35"/>
    <n v="2144681.8199999998"/>
    <n v="2197564.35"/>
    <n v="2144681.8199999998"/>
    <n v="2765"/>
    <s v="AMOMPY"/>
    <s v="Momentum Capital Investment S.A."/>
    <s v="17/06/2026"/>
    <s v="17/06/2026"/>
    <n v="36"/>
    <s v="No"/>
    <s v=""/>
    <m/>
    <m/>
    <s v="*MAV120801780"/>
    <s v="*MAV120801780"/>
    <n v="4.1138131100284015E-5"/>
  </r>
  <r>
    <x v="126"/>
    <s v="Pesos"/>
    <d v="2026-08-14T00:00:00"/>
    <s v="20/07/2026"/>
    <n v="0.98151266000000004"/>
    <m/>
    <n v="30000000"/>
    <n v="29445379.760000002"/>
    <n v="30000000"/>
    <n v="29445379.760000002"/>
    <n v="494"/>
    <s v="AMOMPY"/>
    <s v="Momentum Capital Investment S.A."/>
    <s v="06/07/2026"/>
    <s v="06/07/2026"/>
    <n v="27.5"/>
    <s v="No"/>
    <s v=""/>
    <m/>
    <m/>
    <s v="*NIO120800035"/>
    <s v="*NIO120800035"/>
    <n v="5.6480540916066036E-4"/>
  </r>
  <r>
    <x v="131"/>
    <s v="Pesos"/>
    <d v="2026-08-14T00:00:00"/>
    <s v="20/07/2026"/>
    <n v="0.97658871000000003"/>
    <m/>
    <n v="100000000"/>
    <n v="97658871.299999997"/>
    <n v="100000000"/>
    <n v="97658871.299999997"/>
    <n v="2763"/>
    <s v="AMOMPY"/>
    <s v="Momentum Capital Investment S.A."/>
    <s v="18/05/2026"/>
    <s v="18/05/2026"/>
    <n v="35"/>
    <s v="No"/>
    <s v=""/>
    <m/>
    <m/>
    <s v="*MAV120801558"/>
    <s v="*MAV120801558"/>
    <n v="1.8732398499303566E-3"/>
  </r>
  <r>
    <x v="57"/>
    <s v="Pesos"/>
    <d v="2026-08-14T00:00:00"/>
    <s v="20/07/2026"/>
    <n v="0.98316501999999995"/>
    <m/>
    <n v="50000000"/>
    <n v="49158250.979999997"/>
    <n v="50000000"/>
    <n v="49158250.979999997"/>
    <n v="4902"/>
    <s v="AMOMPY"/>
    <s v="Momentum Capital Investment S.A."/>
    <s v="25/06/2026"/>
    <s v="25/06/2026"/>
    <n v="25"/>
    <s v="No"/>
    <s v=""/>
    <m/>
    <m/>
    <s v="*BIF120800008"/>
    <s v="*BIF120800008"/>
    <n v="9.4292708345702545E-4"/>
  </r>
  <r>
    <x v="111"/>
    <s v="Pesos"/>
    <d v="2026-08-14T00:00:00"/>
    <s v="20/07/2026"/>
    <n v="0.97593587000000004"/>
    <m/>
    <n v="50000000"/>
    <n v="48796793.469999999"/>
    <n v="50000000"/>
    <n v="48796793.469999999"/>
    <n v="6573"/>
    <s v="AMOMPY"/>
    <s v="Momentum Capital Investment S.A."/>
    <s v="14/04/2026"/>
    <s v="14/04/2026"/>
    <n v="36"/>
    <s v="No"/>
    <s v=""/>
    <m/>
    <m/>
    <s v="*MAV120801434"/>
    <s v="*MAV120801434"/>
    <n v="9.3599380025627442E-4"/>
  </r>
  <r>
    <x v="50"/>
    <s v="Pesos"/>
    <d v="2026-08-14T00:00:00"/>
    <s v="20/07/2026"/>
    <n v="0.97986578000000002"/>
    <m/>
    <n v="2700000"/>
    <n v="2645637.61"/>
    <n v="2700000"/>
    <n v="2645637.61"/>
    <n v="6271"/>
    <s v="AMOMPY"/>
    <s v="Momentum Capital Investment S.A."/>
    <s v="17/06/2026"/>
    <s v="17/06/2026"/>
    <n v="30"/>
    <s v="No"/>
    <s v=""/>
    <m/>
    <m/>
    <s v="*MAV120801775"/>
    <s v="*MAV120801775"/>
    <n v="5.0747195145255661E-5"/>
  </r>
  <r>
    <x v="92"/>
    <s v="Pesos"/>
    <d v="2026-08-14T00:00:00"/>
    <s v="20/07/2026"/>
    <n v="0.98184267999999997"/>
    <m/>
    <n v="75000000"/>
    <n v="73638200.989999995"/>
    <n v="75000000"/>
    <n v="73638200.989999995"/>
    <n v="16182"/>
    <s v="AMOMPY"/>
    <s v="Momentum Capital Investment S.A."/>
    <s v="22/04/2026"/>
    <s v="22/04/2026"/>
    <n v="27"/>
    <s v="No"/>
    <s v=""/>
    <m/>
    <m/>
    <s v="*FED120800028"/>
    <s v="*FED120800028"/>
    <n v="1.4124882945646846E-3"/>
  </r>
  <r>
    <x v="151"/>
    <s v="Pesos"/>
    <d v="2026-08-14T00:00:00"/>
    <s v="20/07/2026"/>
    <n v="0.97139056000000001"/>
    <m/>
    <n v="3000000"/>
    <n v="2914171.69"/>
    <n v="3000000"/>
    <n v="2914171.69"/>
    <n v="3074"/>
    <s v="AMOMPY"/>
    <s v="Momentum Capital Investment S.A."/>
    <s v="13/02/2026"/>
    <s v="13/02/2026"/>
    <n v="43"/>
    <s v="No"/>
    <s v=""/>
    <m/>
    <m/>
    <s v="*MAV120801367"/>
    <s v="*MAV120801367"/>
    <n v="5.589807117960101E-5"/>
  </r>
  <r>
    <x v="98"/>
    <s v="Pesos"/>
    <d v="2026-08-14T00:00:00"/>
    <s v="20/07/2026"/>
    <n v="0.97593587000000004"/>
    <m/>
    <n v="25000000"/>
    <n v="24398396.73"/>
    <n v="25000000"/>
    <n v="24398396.73"/>
    <n v="1176620"/>
    <s v="AMOMPY"/>
    <s v="Momentum Capital Investment S.A."/>
    <s v="14/04/2026"/>
    <s v="14/04/2026"/>
    <n v="36"/>
    <s v="No"/>
    <s v=""/>
    <m/>
    <m/>
    <s v="*MAV120801432"/>
    <s v="*MAV120801432"/>
    <n v="4.6799690003222993E-4"/>
  </r>
  <r>
    <x v="13"/>
    <s v="Pesos"/>
    <d v="2026-08-14T00:00:00"/>
    <s v="20/07/2026"/>
    <n v="0.98250342000000002"/>
    <m/>
    <n v="10000000"/>
    <n v="9825034.2200000007"/>
    <n v="10000000"/>
    <n v="9825034.2200000007"/>
    <n v="9825609"/>
    <s v="AMOMPY"/>
    <s v="Momentum Capital Investment S.A."/>
    <s v="22/06/2026"/>
    <s v="22/06/2026"/>
    <n v="26"/>
    <s v="No"/>
    <s v=""/>
    <m/>
    <m/>
    <s v="*NEU120800028"/>
    <s v="*NEU120800028"/>
    <n v="1.8845851260451154E-4"/>
  </r>
  <r>
    <x v="152"/>
    <s v="Pesos"/>
    <d v="2026-08-14T00:00:00"/>
    <s v="20/07/2026"/>
    <n v="0.97789691000000001"/>
    <m/>
    <n v="45000000"/>
    <n v="44005360.93"/>
    <n v="45000000"/>
    <n v="44005360.93"/>
    <n v="90000331"/>
    <s v="AMOMPY"/>
    <s v="Momentum Capital Investment S.A."/>
    <s v="13/07/2026"/>
    <s v="13/07/2026"/>
    <n v="33"/>
    <s v="No"/>
    <s v=""/>
    <m/>
    <m/>
    <s v="*MAV120802007"/>
    <s v="*MAV120802007"/>
    <n v="8.4408712293446695E-4"/>
  </r>
  <r>
    <x v="60"/>
    <s v="Pesos"/>
    <d v="2026-08-14T00:00:00"/>
    <s v="20/07/2026"/>
    <n v="0.97986587000000003"/>
    <m/>
    <n v="330000"/>
    <n v="323355.74"/>
    <n v="330000"/>
    <n v="323355.74"/>
    <n v="9918447"/>
    <s v="AMOMPY"/>
    <s v="Momentum Capital Investment S.A."/>
    <s v="30/06/2026"/>
    <s v="30/06/2026"/>
    <n v="30"/>
    <s v="No"/>
    <s v=""/>
    <m/>
    <m/>
    <s v="*MAV120801871"/>
    <s v="*MAV120801871"/>
    <n v="6.2024355781359456E-6"/>
  </r>
  <r>
    <x v="150"/>
    <s v="Pesos"/>
    <d v="2026-08-14T00:00:00"/>
    <s v="20/07/2026"/>
    <n v="0.97789687000000003"/>
    <m/>
    <n v="2718106"/>
    <n v="2658027.34"/>
    <n v="2718106"/>
    <n v="2658027.34"/>
    <n v="4078"/>
    <s v="AMOMPY"/>
    <s v="Momentum Capital Investment S.A."/>
    <s v="16/07/2026"/>
    <s v="16/07/2026"/>
    <n v="33"/>
    <s v="No"/>
    <s v=""/>
    <m/>
    <m/>
    <s v="*MAV120802093"/>
    <s v="*MAV120802093"/>
    <n v="5.0984848270434443E-5"/>
  </r>
  <r>
    <x v="153"/>
    <s v="Pesos"/>
    <d v="2026-08-14T00:00:00"/>
    <s v="20/07/2026"/>
    <n v="0.97986582"/>
    <m/>
    <n v="1768326.86"/>
    <n v="1732723.04"/>
    <n v="1768326.86"/>
    <n v="1732723.04"/>
    <n v="11347808"/>
    <s v="AMOMPY"/>
    <s v="Momentum Capital Investment S.A."/>
    <s v="20/07/2026"/>
    <s v="20/07/2026"/>
    <n v="30"/>
    <s v="No"/>
    <s v=""/>
    <m/>
    <m/>
    <s v="*MAV120802124"/>
    <s v="*MAV120802124"/>
    <n v="3.3236159748863197E-5"/>
  </r>
  <r>
    <x v="148"/>
    <s v="Pesos"/>
    <d v="2026-08-18T00:00:00"/>
    <s v="20/07/2026"/>
    <n v="0.97219263"/>
    <m/>
    <n v="3345657.98"/>
    <n v="3252624.04"/>
    <n v="3345657.98"/>
    <n v="3252624.04"/>
    <n v="228"/>
    <s v="AMOMPY"/>
    <s v="Momentum Capital Investment S.A."/>
    <s v="17/06/2026"/>
    <s v="17/06/2026"/>
    <n v="36"/>
    <s v="No"/>
    <s v=""/>
    <m/>
    <m/>
    <s v="*MAV130801115"/>
    <s v="*MAV130801115"/>
    <n v="6.2390081796588102E-5"/>
  </r>
  <r>
    <x v="32"/>
    <s v="Pesos"/>
    <d v="2026-08-18T00:00:00"/>
    <s v="20/07/2026"/>
    <n v="0.97445079000000001"/>
    <m/>
    <n v="1701000"/>
    <n v="1657540.8"/>
    <n v="1701000"/>
    <n v="1657540.8"/>
    <n v="67242959"/>
    <s v="AMOMPY"/>
    <s v="Momentum Capital Investment S.A."/>
    <s v="29/05/2026"/>
    <s v="29/05/2026"/>
    <n v="33"/>
    <s v="No"/>
    <s v=""/>
    <m/>
    <m/>
    <s v="*MAV130801036"/>
    <s v="*MAV130801036"/>
    <n v="3.1794054529948713E-5"/>
  </r>
  <r>
    <x v="129"/>
    <s v="Pesos"/>
    <d v="2026-08-18T00:00:00"/>
    <s v="20/07/2026"/>
    <n v="0.97520578999999996"/>
    <m/>
    <n v="3300000"/>
    <n v="3218179.09"/>
    <n v="3300000"/>
    <n v="3218179.09"/>
    <n v="13647456"/>
    <s v="AMOMPY"/>
    <s v="Momentum Capital Investment S.A."/>
    <s v="04/06/2026"/>
    <s v="04/06/2026"/>
    <n v="32"/>
    <s v="No"/>
    <s v=""/>
    <m/>
    <m/>
    <s v="*MAV130801054"/>
    <s v="*MAV130801054"/>
    <n v="6.1729377324890413E-5"/>
  </r>
  <r>
    <x v="154"/>
    <s v="Pesos"/>
    <d v="2026-08-18T00:00:00"/>
    <s v="20/07/2026"/>
    <n v="0.96919809000000001"/>
    <m/>
    <n v="9943984.5"/>
    <n v="9637690.7799999993"/>
    <n v="9943984.5"/>
    <n v="9637690.7799999993"/>
    <n v="1820"/>
    <s v="AMOMPY"/>
    <s v="Momentum Capital Investment S.A."/>
    <s v="16/04/2026"/>
    <s v="16/04/2026"/>
    <n v="40"/>
    <s v="No"/>
    <s v=""/>
    <m/>
    <m/>
    <s v="*MAV130800932"/>
    <s v="*MAV130800932"/>
    <n v="1.8486499168050881E-4"/>
  </r>
  <r>
    <x v="154"/>
    <s v="Pesos"/>
    <d v="2026-08-18T00:00:00"/>
    <s v="20/07/2026"/>
    <n v="0.96919809000000001"/>
    <m/>
    <n v="9943984.5"/>
    <n v="9637690.7799999993"/>
    <n v="9943984.5"/>
    <n v="9637690.7799999993"/>
    <n v="1819"/>
    <s v="AMOMPY"/>
    <s v="Momentum Capital Investment S.A."/>
    <s v="16/04/2026"/>
    <s v="16/04/2026"/>
    <n v="40"/>
    <s v="No"/>
    <s v=""/>
    <m/>
    <m/>
    <s v="*MAV130800931"/>
    <s v="*MAV130800931"/>
    <n v="1.8486499168050881E-4"/>
  </r>
  <r>
    <x v="134"/>
    <s v="Pesos"/>
    <d v="2026-08-18T00:00:00"/>
    <s v="20/07/2026"/>
    <n v="0.97671931999999995"/>
    <m/>
    <n v="5000000"/>
    <n v="4883596.59"/>
    <n v="5000000"/>
    <n v="4883596.59"/>
    <n v="3501229"/>
    <s v="AMOMPY"/>
    <s v="Momentum Capital Investment S.A."/>
    <s v="17/04/2026"/>
    <s v="17/04/2026"/>
    <n v="30"/>
    <s v="No"/>
    <s v=""/>
    <m/>
    <m/>
    <s v="*MAV130800934"/>
    <s v="*MAV130800934"/>
    <n v="9.3674518470212968E-5"/>
  </r>
  <r>
    <x v="134"/>
    <s v="Pesos"/>
    <d v="2026-08-18T00:00:00"/>
    <s v="20/07/2026"/>
    <n v="0.97445071999999999"/>
    <m/>
    <n v="5600000"/>
    <n v="5456924.0199999996"/>
    <n v="5600000"/>
    <n v="5456924.0199999996"/>
    <n v="3501250"/>
    <s v="AMOMPY"/>
    <s v="Momentum Capital Investment S.A."/>
    <s v="24/04/2026"/>
    <s v="24/04/2026"/>
    <n v="33"/>
    <s v="No"/>
    <s v=""/>
    <m/>
    <m/>
    <s v="*MAV130800942"/>
    <s v="*MAV130800942"/>
    <n v="1.0467177631927186E-4"/>
  </r>
  <r>
    <x v="8"/>
    <s v="Pesos"/>
    <d v="2026-08-18T00:00:00"/>
    <s v="20/07/2026"/>
    <n v="0.97069306"/>
    <m/>
    <n v="43000000"/>
    <n v="41739801.689999998"/>
    <n v="43000000"/>
    <n v="41739801.689999998"/>
    <n v="151340"/>
    <s v="AMOMPY"/>
    <s v="Momentum Capital Investment S.A."/>
    <s v="10/06/2026"/>
    <s v="10/06/2026"/>
    <n v="38"/>
    <s v="No"/>
    <s v=""/>
    <m/>
    <m/>
    <s v="#MAV140860044"/>
    <s v="#MAV140860044"/>
    <n v="8.0063038629342063E-4"/>
  </r>
  <r>
    <x v="143"/>
    <s v="Pesos"/>
    <d v="2026-08-18T00:00:00"/>
    <s v="20/07/2026"/>
    <n v="0.97445073000000004"/>
    <m/>
    <n v="2200000"/>
    <n v="2143791.6"/>
    <n v="2200000"/>
    <n v="2143791.6"/>
    <n v="6189"/>
    <s v="AMOMPY"/>
    <s v="Momentum Capital Investment S.A."/>
    <s v="03/06/2026"/>
    <s v="03/06/2026"/>
    <n v="33"/>
    <s v="No"/>
    <s v=""/>
    <m/>
    <m/>
    <s v="*MAV130801046"/>
    <s v="*MAV130801046"/>
    <n v="4.1121055379901357E-5"/>
  </r>
  <r>
    <x v="56"/>
    <s v="Pesos"/>
    <d v="2026-08-18T00:00:00"/>
    <s v="20/07/2026"/>
    <n v="0.97219263"/>
    <m/>
    <n v="2304789"/>
    <n v="2240698.89"/>
    <n v="2304789"/>
    <n v="2240698.89"/>
    <n v="2766"/>
    <s v="AMOMPY"/>
    <s v="Momentum Capital Investment S.A."/>
    <s v="17/06/2026"/>
    <s v="17/06/2026"/>
    <n v="36"/>
    <s v="No"/>
    <s v=""/>
    <m/>
    <m/>
    <s v="*MAV130801114"/>
    <s v="*MAV130801114"/>
    <n v="4.2979878802292868E-5"/>
  </r>
  <r>
    <x v="76"/>
    <s v="Pesos"/>
    <d v="2026-08-18T00:00:00"/>
    <s v="20/07/2026"/>
    <n v="0.97069322000000002"/>
    <m/>
    <n v="215000000"/>
    <n v="208699043.19999999"/>
    <n v="215000000"/>
    <n v="208699043.19999999"/>
    <n v="70390705"/>
    <s v="AMOMPY"/>
    <s v="Momentum Capital Investment S.A."/>
    <s v="24/06/2026"/>
    <s v="24/06/2026"/>
    <n v="38"/>
    <s v="No"/>
    <s v=""/>
    <m/>
    <m/>
    <s v="*MAV130801162"/>
    <s v="*MAV130801162"/>
    <n v="4.0031525980228798E-3"/>
  </r>
  <r>
    <x v="96"/>
    <s v="Pesos"/>
    <d v="2026-08-18T00:00:00"/>
    <s v="20/07/2026"/>
    <n v="0.97069311999999996"/>
    <m/>
    <n v="5450000"/>
    <n v="5290277.4800000004"/>
    <n v="5450000"/>
    <n v="5290277.4800000004"/>
    <n v="28517"/>
    <s v="AMOMPY"/>
    <s v="Momentum Capital Investment S.A."/>
    <s v="08/04/2026"/>
    <s v="08/04/2026"/>
    <n v="38"/>
    <s v="No"/>
    <s v=""/>
    <m/>
    <m/>
    <s v="*MAV130800927"/>
    <s v="*MAV130800927"/>
    <n v="1.0147525217942128E-4"/>
  </r>
  <r>
    <x v="151"/>
    <s v="Pesos"/>
    <d v="2026-08-18T00:00:00"/>
    <s v="20/07/2026"/>
    <n v="0.96696426000000002"/>
    <m/>
    <n v="3500000"/>
    <n v="3384374.93"/>
    <n v="3500000"/>
    <n v="3384374.93"/>
    <n v="3075"/>
    <s v="AMOMPY"/>
    <s v="Momentum Capital Investment S.A."/>
    <s v="13/02/2026"/>
    <s v="13/02/2026"/>
    <n v="43"/>
    <s v="No"/>
    <s v=""/>
    <m/>
    <m/>
    <s v="*MAV130800916"/>
    <s v="*MAV130800916"/>
    <n v="6.4917256380181627E-5"/>
  </r>
  <r>
    <x v="13"/>
    <s v="Pesos"/>
    <d v="2026-08-18T00:00:00"/>
    <s v="20/07/2026"/>
    <n v="0.97520574999999998"/>
    <m/>
    <n v="15000000"/>
    <n v="14628086.25"/>
    <n v="15000000"/>
    <n v="14628086.25"/>
    <n v="176"/>
    <s v="AMOMPY"/>
    <s v="Momentum Capital Investment S.A."/>
    <s v="17/04/2026"/>
    <s v="17/04/2026"/>
    <n v="32"/>
    <s v="No"/>
    <s v=""/>
    <m/>
    <m/>
    <s v="*NEU130800014"/>
    <s v="*NEU130800014"/>
    <n v="2.8058806872282904E-4"/>
  </r>
  <r>
    <x v="146"/>
    <s v="Pesos"/>
    <d v="2026-08-18T00:00:00"/>
    <s v="20/07/2026"/>
    <n v="0.97294420999999998"/>
    <m/>
    <n v="50000000"/>
    <n v="48647210.420000002"/>
    <n v="50000000"/>
    <n v="48647210.420000002"/>
    <n v="300"/>
    <s v="AMOMPY"/>
    <s v="Momentum Capital Investment S.A."/>
    <s v="11/06/2026"/>
    <s v="11/06/2026"/>
    <n v="35"/>
    <s v="No"/>
    <s v=""/>
    <m/>
    <m/>
    <s v="*MAV130801084"/>
    <s v="*MAV130801084"/>
    <n v="9.3312457878766506E-4"/>
  </r>
  <r>
    <x v="150"/>
    <s v="Pesos"/>
    <d v="2026-08-18T00:00:00"/>
    <s v="20/07/2026"/>
    <n v="0.97445097000000003"/>
    <m/>
    <n v="2718108.62"/>
    <n v="2648663.5699999998"/>
    <n v="2718108.62"/>
    <n v="2648663.5699999998"/>
    <n v="4079"/>
    <s v="AMOMPY"/>
    <s v="Momentum Capital Investment S.A."/>
    <s v="16/07/2026"/>
    <s v="16/07/2026"/>
    <n v="33"/>
    <s v="No"/>
    <s v=""/>
    <m/>
    <m/>
    <s v="*MAV130801333"/>
    <s v="*MAV130801333"/>
    <n v="5.0805237479565288E-5"/>
  </r>
  <r>
    <x v="103"/>
    <s v="Pesos"/>
    <d v="2026-08-18T00:00:00"/>
    <s v="20/07/2026"/>
    <n v="0.97671931000000001"/>
    <m/>
    <n v="2870567.11"/>
    <n v="2803738.32"/>
    <n v="2870567.11"/>
    <n v="2803738.32"/>
    <n v="95"/>
    <s v="AMOMPY"/>
    <s v="Momentum Capital Investment S.A."/>
    <s v="20/07/2026"/>
    <s v="20/07/2026"/>
    <n v="30"/>
    <s v="No"/>
    <s v=""/>
    <m/>
    <m/>
    <s v="*MAV130801354"/>
    <s v="*MAV130801354"/>
    <n v="5.3779797778604782E-5"/>
  </r>
  <r>
    <x v="0"/>
    <s v="Pesos"/>
    <d v="2026-08-19T00:00:00"/>
    <s v="20/07/2026"/>
    <n v="0.97829001999999998"/>
    <m/>
    <n v="2900000"/>
    <n v="2837041.05"/>
    <n v="2900000"/>
    <n v="2837041.05"/>
    <n v="10946"/>
    <s v="AMOMPY"/>
    <s v="Momentum Capital Investment S.A."/>
    <s v="03/07/2026"/>
    <s v="03/07/2026"/>
    <n v="27"/>
    <s v="No"/>
    <s v=""/>
    <m/>
    <m/>
    <s v="*INP140800110"/>
    <s v="*INP140800110"/>
    <n v="5.441859280169933E-5"/>
  </r>
  <r>
    <x v="0"/>
    <s v="Pesos"/>
    <d v="2026-08-19T00:00:00"/>
    <s v="20/07/2026"/>
    <n v="0.97671931999999995"/>
    <m/>
    <n v="5000000"/>
    <n v="4883596.6100000003"/>
    <n v="5000000"/>
    <n v="4883596.6100000003"/>
    <n v="6880"/>
    <s v="AMOMPY"/>
    <s v="Momentum Capital Investment S.A."/>
    <s v="22/04/2026"/>
    <s v="22/04/2026"/>
    <n v="29"/>
    <s v="No"/>
    <s v=""/>
    <m/>
    <m/>
    <s v="*INP140800093"/>
    <s v="*INP140800093"/>
    <n v="9.3674518853842199E-5"/>
  </r>
  <r>
    <x v="0"/>
    <s v="Pesos"/>
    <d v="2026-08-19T00:00:00"/>
    <s v="20/07/2026"/>
    <n v="0.97986585999999998"/>
    <m/>
    <n v="30000000"/>
    <n v="29395975.690000001"/>
    <n v="30000000"/>
    <n v="29395975.690000001"/>
    <n v="126"/>
    <s v="AMOMPY"/>
    <s v="Momentum Capital Investment S.A."/>
    <s v="08/07/2026"/>
    <s v="08/07/2026"/>
    <n v="25"/>
    <s v="No"/>
    <s v=""/>
    <m/>
    <m/>
    <s v="*INP140800111"/>
    <s v="*INP140800111"/>
    <n v="5.638577669092108E-4"/>
  </r>
  <r>
    <x v="1"/>
    <s v="Pesos"/>
    <d v="2026-08-19T00:00:00"/>
    <s v="20/07/2026"/>
    <n v="0.97671929999999996"/>
    <m/>
    <n v="2500000"/>
    <n v="2441798.2400000002"/>
    <n v="2500000"/>
    <n v="2441798.2400000002"/>
    <n v="366"/>
    <s v="AMOMPY"/>
    <s v="Momentum Capital Investment S.A."/>
    <s v="17/04/2026"/>
    <s v="17/04/2026"/>
    <n v="29"/>
    <s v="No"/>
    <s v=""/>
    <m/>
    <m/>
    <s v="*MOV140800051"/>
    <s v="*MOV140800051"/>
    <n v="4.6837258180126128E-5"/>
  </r>
  <r>
    <x v="148"/>
    <s v="Pesos"/>
    <d v="2026-08-19T00:00:00"/>
    <s v="20/07/2026"/>
    <n v="0.97126142999999998"/>
    <m/>
    <n v="3345657.98"/>
    <n v="3249508.54"/>
    <n v="3345657.98"/>
    <n v="3249508.54"/>
    <n v="229"/>
    <s v="AMOMPY"/>
    <s v="Momentum Capital Investment S.A."/>
    <s v="17/06/2026"/>
    <s v="17/06/2026"/>
    <n v="36"/>
    <s v="No"/>
    <s v=""/>
    <m/>
    <m/>
    <s v="*MAV140801401"/>
    <s v="*MAV140801401"/>
    <n v="6.2330321954243316E-5"/>
  </r>
  <r>
    <x v="137"/>
    <s v="Pesos"/>
    <d v="2026-08-19T00:00:00"/>
    <s v="20/07/2026"/>
    <n v="0.97359306999999995"/>
    <m/>
    <n v="2000000"/>
    <n v="1947186.15"/>
    <n v="2000000"/>
    <n v="1947186.15"/>
    <n v="436"/>
    <s v="AMOMPY"/>
    <s v="Momentum Capital Investment S.A."/>
    <s v="24/06/2026"/>
    <s v="24/06/2026"/>
    <n v="33"/>
    <s v="No"/>
    <s v=""/>
    <m/>
    <m/>
    <s v="*MAV140801457"/>
    <s v="*MAV140801457"/>
    <n v="3.7349875570520429E-5"/>
  </r>
  <r>
    <x v="72"/>
    <s v="Pesos"/>
    <d v="2026-08-19T00:00:00"/>
    <s v="20/07/2026"/>
    <n v="0.97359302000000003"/>
    <m/>
    <n v="3000000"/>
    <n v="2920779.06"/>
    <n v="3000000"/>
    <n v="2920779.06"/>
    <n v="90015795"/>
    <s v="AMOMPY"/>
    <s v="Momentum Capital Investment S.A."/>
    <s v="29/05/2026"/>
    <s v="29/05/2026"/>
    <n v="33"/>
    <s v="No"/>
    <s v=""/>
    <m/>
    <m/>
    <s v="*MAV140801289"/>
    <s v="*MAV140801289"/>
    <n v="5.6024810190839552E-5"/>
  </r>
  <r>
    <x v="154"/>
    <s v="Pesos"/>
    <d v="2026-08-19T00:00:00"/>
    <s v="20/07/2026"/>
    <n v="0.96816983000000001"/>
    <m/>
    <n v="9943984.5"/>
    <n v="9627465.7699999996"/>
    <n v="9943984.5"/>
    <n v="9627465.7699999996"/>
    <n v="1821"/>
    <s v="AMOMPY"/>
    <s v="Momentum Capital Investment S.A."/>
    <s v="16/04/2026"/>
    <s v="16/04/2026"/>
    <n v="40"/>
    <s v="No"/>
    <s v=""/>
    <m/>
    <m/>
    <s v="*MAV140801128"/>
    <s v="*MAV140801128"/>
    <n v="1.8466886104800235E-4"/>
  </r>
  <r>
    <x v="154"/>
    <s v="Pesos"/>
    <d v="2026-08-19T00:00:00"/>
    <s v="20/07/2026"/>
    <n v="0.96816983000000001"/>
    <m/>
    <n v="9943984.5"/>
    <n v="9627465.7699999996"/>
    <n v="9943984.5"/>
    <n v="9627465.7699999996"/>
    <n v="1822"/>
    <s v="AMOMPY"/>
    <s v="Momentum Capital Investment S.A."/>
    <s v="16/04/2026"/>
    <s v="16/04/2026"/>
    <n v="40"/>
    <s v="No"/>
    <s v=""/>
    <m/>
    <m/>
    <s v="*MAV140801129"/>
    <s v="*MAV140801129"/>
    <n v="1.8466886104800235E-4"/>
  </r>
  <r>
    <x v="21"/>
    <s v="Pesos"/>
    <d v="2026-08-19T00:00:00"/>
    <s v="20/07/2026"/>
    <n v="0.97359315000000002"/>
    <m/>
    <n v="10000000"/>
    <n v="9735931.4700000007"/>
    <n v="10000000"/>
    <n v="9735931.4700000007"/>
    <n v="29692616"/>
    <s v="AMOMPY"/>
    <s v="Momentum Capital Investment S.A."/>
    <s v="16/07/2026"/>
    <s v="16/07/2026"/>
    <n v="33"/>
    <s v="No"/>
    <s v=""/>
    <m/>
    <m/>
    <s v="*MAV140801740"/>
    <s v="*MAV140801740"/>
    <n v="1.8674939166325423E-4"/>
  </r>
  <r>
    <x v="63"/>
    <s v="Pesos"/>
    <d v="2026-08-19T00:00:00"/>
    <s v="20/07/2026"/>
    <n v="0.98065575999999999"/>
    <m/>
    <n v="6875000"/>
    <n v="6742008.3700000001"/>
    <n v="6875000"/>
    <n v="6742008.3700000001"/>
    <n v="50454430"/>
    <s v="AMOMPY"/>
    <s v="Momentum Capital Investment S.A."/>
    <s v="17/07/2026"/>
    <s v="17/07/2026"/>
    <n v="24"/>
    <s v="No"/>
    <s v=""/>
    <m/>
    <m/>
    <s v="*PRO140800020"/>
    <s v="*PRO140800020"/>
    <n v="1.2932157190770246E-4"/>
  </r>
  <r>
    <x v="74"/>
    <s v="Pesos"/>
    <d v="2026-08-19T00:00:00"/>
    <s v="20/07/2026"/>
    <n v="0.98105112999999999"/>
    <m/>
    <n v="213331018.81999999"/>
    <n v="209288637.28999999"/>
    <n v="213331018.81999999"/>
    <n v="209288637.28999999"/>
    <n v="97"/>
    <s v="AMOMPY"/>
    <s v="Momentum Capital Investment S.A."/>
    <s v="17/07/2026"/>
    <s v="17/07/2026"/>
    <n v="23.5"/>
    <s v="No"/>
    <s v=""/>
    <m/>
    <m/>
    <s v="%INC150800022"/>
    <s v="%INC150800022"/>
    <n v="4.0144618741794575E-3"/>
  </r>
  <r>
    <x v="43"/>
    <s v="Pesos"/>
    <d v="2026-08-19T00:00:00"/>
    <s v="20/07/2026"/>
    <n v="0.97907747000000001"/>
    <m/>
    <n v="15000000"/>
    <n v="14686162.060000001"/>
    <n v="15000000"/>
    <n v="14686162.060000001"/>
    <n v="9621090"/>
    <s v="AMOMPY"/>
    <s v="Momentum Capital Investment S.A."/>
    <s v="17/07/2026"/>
    <s v="17/07/2026"/>
    <n v="26"/>
    <s v="No"/>
    <s v=""/>
    <m/>
    <m/>
    <s v="*MIL140800030"/>
    <s v="*MIL140800030"/>
    <n v="2.8170204761855872E-4"/>
  </r>
  <r>
    <x v="8"/>
    <s v="Pesos"/>
    <d v="2026-08-19T00:00:00"/>
    <s v="20/07/2026"/>
    <n v="0.96971313000000003"/>
    <m/>
    <n v="42000000"/>
    <n v="40727951.43"/>
    <n v="42000000"/>
    <n v="40727951.43"/>
    <n v="151341"/>
    <s v="AMOMPY"/>
    <s v="Momentum Capital Investment S.A."/>
    <s v="12/06/2026"/>
    <s v="12/06/2026"/>
    <n v="38"/>
    <s v="No"/>
    <s v=""/>
    <m/>
    <m/>
    <s v="#MAV180860038"/>
    <s v="#MAV180860038"/>
    <n v="7.8122161979875412E-4"/>
  </r>
  <r>
    <x v="143"/>
    <s v="Pesos"/>
    <d v="2026-08-19T00:00:00"/>
    <s v="20/07/2026"/>
    <n v="0.97359306999999995"/>
    <m/>
    <n v="2200000"/>
    <n v="2141904.7599999998"/>
    <n v="2200000"/>
    <n v="2141904.7599999998"/>
    <n v="6190"/>
    <s v="AMOMPY"/>
    <s v="Momentum Capital Investment S.A."/>
    <s v="03/06/2026"/>
    <s v="03/06/2026"/>
    <n v="33"/>
    <s v="No"/>
    <s v=""/>
    <m/>
    <m/>
    <s v="*MAV140801306"/>
    <s v="*MAV140801306"/>
    <n v="4.1084863031665164E-5"/>
  </r>
  <r>
    <x v="25"/>
    <s v="Pesos"/>
    <d v="2026-08-19T00:00:00"/>
    <s v="20/07/2026"/>
    <n v="0.97359298000000005"/>
    <m/>
    <n v="50000000"/>
    <n v="48679649.159999996"/>
    <n v="50000000"/>
    <n v="48679649.159999996"/>
    <n v="29007570"/>
    <s v="AMOMPY"/>
    <s v="Momentum Capital Investment S.A."/>
    <s v="31/03/2026"/>
    <s v="31/03/2026"/>
    <n v="33"/>
    <s v="No"/>
    <s v=""/>
    <m/>
    <m/>
    <s v="*MAV140801114"/>
    <s v="*MAV140801114"/>
    <n v="9.3374680122010388E-4"/>
  </r>
  <r>
    <x v="155"/>
    <s v="Pesos"/>
    <d v="2026-08-19T00:00:00"/>
    <s v="20/07/2026"/>
    <n v="0.97907743000000003"/>
    <m/>
    <n v="411347057.39999998"/>
    <n v="402740618.69"/>
    <n v="411347057.39999998"/>
    <n v="402740618.69"/>
    <n v="30013761"/>
    <s v="AMOMPY"/>
    <s v="Momentum Capital Investment S.A."/>
    <s v="13/07/2026"/>
    <s v="13/07/2026"/>
    <n v="26"/>
    <s v="No"/>
    <s v=""/>
    <m/>
    <m/>
    <s v="*MAV140801634"/>
    <s v="*MAV140801634"/>
    <n v="7.7251535479881655E-3"/>
  </r>
  <r>
    <x v="155"/>
    <s v="Pesos"/>
    <d v="2026-08-19T00:00:00"/>
    <s v="20/07/2026"/>
    <n v="0.97907743000000003"/>
    <m/>
    <n v="282621528"/>
    <n v="276708358.52999997"/>
    <n v="282621528"/>
    <n v="276708358.52999997"/>
    <n v="30013762"/>
    <s v="AMOMPY"/>
    <s v="Momentum Capital Investment S.A."/>
    <s v="13/07/2026"/>
    <s v="13/07/2026"/>
    <n v="26"/>
    <s v="No"/>
    <s v=""/>
    <m/>
    <m/>
    <s v="*MAV140801635"/>
    <s v="*MAV140801635"/>
    <n v="5.3076706407440581E-3"/>
  </r>
  <r>
    <x v="155"/>
    <s v="Pesos"/>
    <d v="2026-08-19T00:00:00"/>
    <s v="20/07/2026"/>
    <n v="0.97907743000000003"/>
    <m/>
    <n v="139384224"/>
    <n v="136467947.44"/>
    <n v="139384224"/>
    <n v="136467947.44"/>
    <n v="30013763"/>
    <s v="AMOMPY"/>
    <s v="Momentum Capital Investment S.A."/>
    <s v="13/07/2026"/>
    <s v="13/07/2026"/>
    <n v="26"/>
    <s v="No"/>
    <s v=""/>
    <m/>
    <m/>
    <s v="*MAV140801636"/>
    <s v="*MAV140801636"/>
    <n v="2.6176546378210027E-3"/>
  </r>
  <r>
    <x v="27"/>
    <s v="Pesos"/>
    <d v="2026-08-19T00:00:00"/>
    <s v="20/07/2026"/>
    <n v="0.97515366999999997"/>
    <m/>
    <n v="35624104.350000001"/>
    <n v="34738975.93"/>
    <n v="35624104.350000001"/>
    <n v="34738975.93"/>
    <n v="84234525"/>
    <s v="AMOMPY"/>
    <s v="Momentum Capital Investment S.A."/>
    <s v="07/07/2026"/>
    <s v="07/07/2026"/>
    <n v="31"/>
    <s v="No"/>
    <s v=""/>
    <m/>
    <m/>
    <s v="*MAV140801617"/>
    <s v="*MAV140801617"/>
    <n v="6.6634431866352604E-4"/>
  </r>
  <r>
    <x v="126"/>
    <s v="Pesos"/>
    <d v="2026-08-19T00:00:00"/>
    <s v="20/07/2026"/>
    <n v="0.97789702000000001"/>
    <m/>
    <n v="30000000"/>
    <n v="29336910.649999999"/>
    <n v="30000000"/>
    <n v="29336910.649999999"/>
    <n v="495"/>
    <s v="AMOMPY"/>
    <s v="Momentum Capital Investment S.A."/>
    <s v="06/07/2026"/>
    <s v="06/07/2026"/>
    <n v="27.5"/>
    <s v="No"/>
    <s v=""/>
    <m/>
    <m/>
    <s v="*NIO140800028"/>
    <s v="*NIO140800028"/>
    <n v="5.6272481313662576E-4"/>
  </r>
  <r>
    <x v="126"/>
    <s v="Pesos"/>
    <d v="2026-08-19T00:00:00"/>
    <s v="20/07/2026"/>
    <n v="0.97789702000000001"/>
    <m/>
    <n v="30000000"/>
    <n v="29336910.649999999"/>
    <n v="30000000"/>
    <n v="29336910.649999999"/>
    <n v="485"/>
    <s v="AMOMPY"/>
    <s v="Momentum Capital Investment S.A."/>
    <s v="06/07/2026"/>
    <s v="06/07/2026"/>
    <n v="27.5"/>
    <s v="No"/>
    <s v=""/>
    <m/>
    <m/>
    <s v="*NIO140800027"/>
    <s v="*NIO140800027"/>
    <n v="5.6272481313662576E-4"/>
  </r>
  <r>
    <x v="28"/>
    <s v="Pesos"/>
    <d v="2026-08-19T00:00:00"/>
    <s v="20/07/2026"/>
    <n v="0.93975284000000003"/>
    <m/>
    <n v="10000000"/>
    <n v="9397528.3900000006"/>
    <n v="10000000"/>
    <n v="9397528.3900000006"/>
    <n v="3936"/>
    <s v="AMOMPY"/>
    <s v="Momentum Capital Investment S.A."/>
    <s v="03/09/2025"/>
    <s v="03/09/2025"/>
    <n v="78"/>
    <s v="No"/>
    <s v=""/>
    <m/>
    <m/>
    <s v="*MAV140801099"/>
    <s v="*MAV140801099"/>
    <n v="1.8025832611686009E-4"/>
  </r>
  <r>
    <x v="29"/>
    <s v="Pesos"/>
    <d v="2026-08-19T00:00:00"/>
    <s v="20/07/2026"/>
    <n v="0.97203737000000001"/>
    <m/>
    <n v="20000000"/>
    <n v="19440747.379999999"/>
    <n v="20000000"/>
    <n v="19440747.379999999"/>
    <n v="4183"/>
    <s v="AMOMPY"/>
    <s v="Momentum Capital Investment S.A."/>
    <s v="19/05/2026"/>
    <s v="19/05/2026"/>
    <n v="35"/>
    <s v="No"/>
    <s v=""/>
    <m/>
    <m/>
    <s v="*MAV140801231"/>
    <s v="*MAV140801231"/>
    <n v="3.7290194141988999E-4"/>
  </r>
  <r>
    <x v="43"/>
    <s v="Pesos"/>
    <d v="2026-08-19T00:00:00"/>
    <s v="20/07/2026"/>
    <n v="0.97593591000000002"/>
    <m/>
    <n v="60000000"/>
    <n v="58556154.380000003"/>
    <n v="60000000"/>
    <n v="58556154.380000003"/>
    <n v="60"/>
    <s v="AMOMPY"/>
    <s v="Momentum Capital Investment S.A."/>
    <s v="05/05/2026"/>
    <s v="05/05/2026"/>
    <n v="30"/>
    <s v="No"/>
    <s v=""/>
    <m/>
    <m/>
    <s v="*MIL140800023"/>
    <s v="*MIL140800023"/>
    <n v="1.1231926028136474E-3"/>
  </r>
  <r>
    <x v="43"/>
    <s v="Pesos"/>
    <d v="2026-08-19T00:00:00"/>
    <s v="20/07/2026"/>
    <n v="0.97671929999999996"/>
    <m/>
    <n v="5500000"/>
    <n v="5371956.1200000001"/>
    <n v="5500000"/>
    <n v="5371956.1200000001"/>
    <n v="66554053"/>
    <s v="AMOMPY"/>
    <s v="Momentum Capital Investment S.A."/>
    <s v="28/04/2026"/>
    <s v="28/04/2026"/>
    <n v="29"/>
    <s v="No"/>
    <s v=""/>
    <m/>
    <m/>
    <s v="*MIL140800022"/>
    <s v="*MIL140800022"/>
    <n v="1.0304196784282579E-4"/>
  </r>
  <r>
    <x v="64"/>
    <s v="Pesos"/>
    <d v="2026-08-19T00:00:00"/>
    <s v="20/07/2026"/>
    <n v="0.96816981999999996"/>
    <m/>
    <n v="40000000"/>
    <n v="38726792.82"/>
    <n v="40000000"/>
    <n v="38726792.82"/>
    <n v="223"/>
    <s v="AMOMPY"/>
    <s v="Momentum Capital Investment S.A."/>
    <s v="18/03/2026"/>
    <s v="18/03/2026"/>
    <n v="40"/>
    <s v="No"/>
    <s v=""/>
    <m/>
    <m/>
    <s v="*MAV140801110"/>
    <s v="*MAV140801110"/>
    <n v="7.4283647358128766E-4"/>
  </r>
  <r>
    <x v="127"/>
    <s v="Pesos"/>
    <d v="2026-08-19T00:00:00"/>
    <s v="20/07/2026"/>
    <n v="0.96971337999999996"/>
    <m/>
    <n v="525000000"/>
    <n v="509099525.92000002"/>
    <n v="525000000"/>
    <n v="509099525.92000002"/>
    <n v="157282"/>
    <s v="AMOMPY"/>
    <s v="Momentum Capital Investment S.A."/>
    <s v="17/07/2026"/>
    <s v="17/07/2026"/>
    <n v="38"/>
    <s v="No"/>
    <s v=""/>
    <m/>
    <m/>
    <s v="#MAV180860088"/>
    <s v="#MAV180860088"/>
    <n v="9.7652727994819305E-3"/>
  </r>
  <r>
    <x v="66"/>
    <s v="Pesos"/>
    <d v="2026-08-19T00:00:00"/>
    <s v="20/07/2026"/>
    <n v="0.97437267000000005"/>
    <m/>
    <n v="3243208.42"/>
    <n v="3160093.65"/>
    <n v="3243208.42"/>
    <n v="3160093.65"/>
    <n v="143910"/>
    <s v="AMOMPY"/>
    <s v="Momentum Capital Investment S.A."/>
    <s v="17/04/2026"/>
    <s v="17/04/2026"/>
    <n v="32"/>
    <s v="No"/>
    <s v=""/>
    <m/>
    <m/>
    <s v="*AFB140800011"/>
    <s v="*AFB140800011"/>
    <n v="6.0615213711689426E-5"/>
  </r>
  <r>
    <x v="139"/>
    <s v="Pesos"/>
    <d v="2026-08-19T00:00:00"/>
    <s v="20/07/2026"/>
    <n v="0.97593602999999995"/>
    <m/>
    <n v="2200000"/>
    <n v="2147059.27"/>
    <n v="2200000"/>
    <n v="2147059.27"/>
    <n v="9789"/>
    <s v="AMOMPY"/>
    <s v="Momentum Capital Investment S.A."/>
    <s v="13/07/2026"/>
    <s v="13/07/2026"/>
    <n v="30"/>
    <s v="No"/>
    <s v=""/>
    <m/>
    <m/>
    <s v="*MAV140801651"/>
    <s v="*MAV140801651"/>
    <n v="4.118373406519579E-5"/>
  </r>
  <r>
    <x v="151"/>
    <s v="Pesos"/>
    <d v="2026-08-19T00:00:00"/>
    <s v="20/07/2026"/>
    <n v="0.96586404000000003"/>
    <m/>
    <n v="3500000"/>
    <n v="3380524.14"/>
    <n v="3500000"/>
    <n v="3380524.14"/>
    <n v="3076"/>
    <s v="AMOMPY"/>
    <s v="Momentum Capital Investment S.A."/>
    <s v="13/02/2026"/>
    <s v="13/02/2026"/>
    <n v="43"/>
    <s v="No"/>
    <s v=""/>
    <m/>
    <m/>
    <s v="*MAV140801103"/>
    <s v="*MAV140801103"/>
    <n v="6.484339260123672E-5"/>
  </r>
  <r>
    <x v="156"/>
    <s v="Pesos"/>
    <d v="2026-08-19T00:00:00"/>
    <s v="20/07/2026"/>
    <n v="0.97593589000000003"/>
    <m/>
    <n v="2500000"/>
    <n v="2439839.73"/>
    <n v="2500000"/>
    <n v="2439839.73"/>
    <n v="334"/>
    <s v="AMOMPY"/>
    <s v="Momentum Capital Investment S.A."/>
    <s v="16/06/2026"/>
    <s v="16/06/2026"/>
    <n v="30"/>
    <s v="No"/>
    <s v=""/>
    <m/>
    <m/>
    <s v="*MAV140801384"/>
    <s v="*MAV140801384"/>
    <n v="4.6799691096566276E-5"/>
  </r>
  <r>
    <x v="0"/>
    <s v="Pesos"/>
    <d v="2026-08-20T00:00:00"/>
    <s v="20/07/2026"/>
    <n v="0.97596192999999998"/>
    <m/>
    <n v="6410198.7999999998"/>
    <n v="6256110"/>
    <n v="6410198.7999999998"/>
    <n v="6256110"/>
    <n v="5612"/>
    <s v="AMOMPY"/>
    <s v="Momentum Capital Investment S.A."/>
    <s v="22/04/2026"/>
    <s v="22/04/2026"/>
    <n v="29"/>
    <s v="No"/>
    <s v=""/>
    <m/>
    <m/>
    <s v="*INP170800028"/>
    <s v="*INP170800028"/>
    <n v="1.2000133118011783E-4"/>
  </r>
  <r>
    <x v="0"/>
    <s v="Pesos"/>
    <d v="2026-08-20T00:00:00"/>
    <s v="20/07/2026"/>
    <n v="0.97596192999999998"/>
    <m/>
    <n v="5184831.3600000003"/>
    <n v="5060198.04"/>
    <n v="5184831.3600000003"/>
    <n v="5060198.04"/>
    <n v="6881"/>
    <s v="AMOMPY"/>
    <s v="Momentum Capital Investment S.A."/>
    <s v="22/04/2026"/>
    <s v="22/04/2026"/>
    <n v="29"/>
    <s v="No"/>
    <s v=""/>
    <m/>
    <m/>
    <s v="*INP180800042"/>
    <s v="*INP180800042"/>
    <n v="9.7061992329901991E-5"/>
  </r>
  <r>
    <x v="68"/>
    <s v="Pesos"/>
    <d v="2026-08-20T00:00:00"/>
    <s v="20/07/2026"/>
    <n v="0.97596198000000001"/>
    <m/>
    <n v="200000000"/>
    <n v="195192396.31999999"/>
    <n v="200000000"/>
    <n v="195192396.31999999"/>
    <n v="90003854"/>
    <s v="AMOMPY"/>
    <s v="Momentum Capital Investment S.A."/>
    <s v="24/06/2026"/>
    <s v="24/06/2026"/>
    <n v="29"/>
    <s v="No"/>
    <s v=""/>
    <m/>
    <m/>
    <s v="*MAV180801537"/>
    <s v="*MAV180801537"/>
    <n v="3.7440753750552871E-3"/>
  </r>
  <r>
    <x v="148"/>
    <s v="Pesos"/>
    <d v="2026-08-20T00:00:00"/>
    <s v="20/07/2026"/>
    <n v="0.97033185"/>
    <m/>
    <n v="3345657.98"/>
    <n v="3246398.49"/>
    <n v="3345657.98"/>
    <n v="3246398.49"/>
    <n v="230"/>
    <s v="AMOMPY"/>
    <s v="Momentum Capital Investment S.A."/>
    <s v="17/06/2026"/>
    <s v="17/06/2026"/>
    <n v="36"/>
    <s v="No"/>
    <s v=""/>
    <m/>
    <m/>
    <s v="*MAV150801508"/>
    <s v="*MAV150801508"/>
    <n v="6.2270666650862035E-5"/>
  </r>
  <r>
    <x v="148"/>
    <s v="Pesos"/>
    <d v="2026-08-20T00:00:00"/>
    <s v="20/07/2026"/>
    <n v="0.97033185"/>
    <m/>
    <n v="3345657.98"/>
    <n v="3246398.49"/>
    <n v="3345657.98"/>
    <n v="3246398.49"/>
    <n v="231"/>
    <s v="AMOMPY"/>
    <s v="Momentum Capital Investment S.A."/>
    <s v="17/06/2026"/>
    <s v="17/06/2026"/>
    <n v="36"/>
    <s v="No"/>
    <s v=""/>
    <m/>
    <m/>
    <s v="*MAV180801457"/>
    <s v="*MAV180801457"/>
    <n v="6.2270666650862035E-5"/>
  </r>
  <r>
    <x v="141"/>
    <s v="Pesos"/>
    <d v="2026-08-20T00:00:00"/>
    <s v="20/07/2026"/>
    <n v="0.97273679999999996"/>
    <m/>
    <n v="3900000"/>
    <n v="3793673.52"/>
    <n v="3900000"/>
    <n v="3793673.52"/>
    <n v="284"/>
    <s v="AMOMPY"/>
    <s v="Momentum Capital Investment S.A."/>
    <s v="27/05/2026"/>
    <s v="27/05/2026"/>
    <n v="33"/>
    <s v="No"/>
    <s v=""/>
    <m/>
    <m/>
    <s v="*MAV170800745"/>
    <s v="*MAV170800745"/>
    <n v="7.2768201400353146E-5"/>
  </r>
  <r>
    <x v="84"/>
    <s v="Pesos"/>
    <d v="2026-08-20T00:00:00"/>
    <s v="20/07/2026"/>
    <n v="0.97354112999999998"/>
    <m/>
    <n v="13000000"/>
    <n v="12656034.720000001"/>
    <n v="13000000"/>
    <n v="12656034.720000001"/>
    <n v="545"/>
    <s v="AMOMPY"/>
    <s v="Momentum Capital Investment S.A."/>
    <s v="04/06/2026"/>
    <s v="04/06/2026"/>
    <n v="32"/>
    <s v="No"/>
    <s v=""/>
    <m/>
    <m/>
    <s v="*MAV150801456"/>
    <s v="*MAV150801456"/>
    <n v="2.427612388308054E-4"/>
  </r>
  <r>
    <x v="157"/>
    <s v="Pesos"/>
    <d v="2026-08-20T00:00:00"/>
    <s v="20/07/2026"/>
    <n v="0.97354116000000002"/>
    <m/>
    <n v="1000000"/>
    <n v="973541.16"/>
    <n v="1000000"/>
    <n v="973541.16"/>
    <n v="67381452"/>
    <s v="AMOMPY"/>
    <s v="Momentum Capital Investment S.A."/>
    <s v="04/06/2026"/>
    <s v="04/06/2026"/>
    <n v="32"/>
    <s v="No"/>
    <s v=""/>
    <m/>
    <m/>
    <s v="*MAV180801398"/>
    <s v="*MAV180801398"/>
    <n v="1.8673941979702416E-5"/>
  </r>
  <r>
    <x v="69"/>
    <s v="Pesos"/>
    <d v="2026-08-20T00:00:00"/>
    <s v="20/07/2026"/>
    <n v="0.97839494000000005"/>
    <m/>
    <n v="28712357.309999999"/>
    <n v="28092025.109999999"/>
    <n v="28712357.309999999"/>
    <n v="28092025.109999999"/>
    <n v="568307"/>
    <s v="AMOMPY"/>
    <s v="Momentum Capital Investment S.A."/>
    <s v="24/04/2026"/>
    <s v="24/04/2026"/>
    <n v="26"/>
    <s v="No"/>
    <s v=""/>
    <m/>
    <m/>
    <s v="*MAV180801234"/>
    <s v="*MAV180801234"/>
    <n v="5.3884608946218912E-4"/>
  </r>
  <r>
    <x v="69"/>
    <s v="Pesos"/>
    <d v="2026-08-20T00:00:00"/>
    <s v="20/07/2026"/>
    <n v="0.97839494000000005"/>
    <m/>
    <n v="50399108.950000003"/>
    <n v="49310233.189999998"/>
    <n v="50399108.950000003"/>
    <n v="49310233.189999998"/>
    <n v="568283"/>
    <s v="AMOMPY"/>
    <s v="Momentum Capital Investment S.A."/>
    <s v="24/04/2026"/>
    <s v="24/04/2026"/>
    <n v="26"/>
    <s v="No"/>
    <s v=""/>
    <m/>
    <m/>
    <s v="*MAV180801235"/>
    <s v="*MAV180801235"/>
    <n v="9.4584232432006908E-4"/>
  </r>
  <r>
    <x v="69"/>
    <s v="Pesos"/>
    <d v="2026-08-20T00:00:00"/>
    <s v="20/07/2026"/>
    <n v="0.97839494000000005"/>
    <m/>
    <n v="4643215.3099999996"/>
    <n v="4542898.34"/>
    <n v="4643215.3099999996"/>
    <n v="4542898.34"/>
    <n v="568282"/>
    <s v="AMOMPY"/>
    <s v="Momentum Capital Investment S.A."/>
    <s v="24/04/2026"/>
    <s v="24/04/2026"/>
    <n v="26"/>
    <s v="No"/>
    <s v=""/>
    <m/>
    <m/>
    <s v="*MAV180801236"/>
    <s v="*MAV180801236"/>
    <n v="8.713942820953396E-5"/>
  </r>
  <r>
    <x v="69"/>
    <s v="Pesos"/>
    <d v="2026-08-20T00:00:00"/>
    <s v="20/07/2026"/>
    <n v="0.97839494000000005"/>
    <m/>
    <n v="2120477.86"/>
    <n v="2074664.8"/>
    <n v="2120477.86"/>
    <n v="2074664.8"/>
    <n v="568321"/>
    <s v="AMOMPY"/>
    <s v="Momentum Capital Investment S.A."/>
    <s v="24/04/2026"/>
    <s v="24/04/2026"/>
    <n v="26"/>
    <s v="No"/>
    <s v=""/>
    <m/>
    <m/>
    <s v="*MAV180801237"/>
    <s v="*MAV180801237"/>
    <n v="3.9795102348349523E-5"/>
  </r>
  <r>
    <x v="69"/>
    <s v="Pesos"/>
    <d v="2026-08-20T00:00:00"/>
    <s v="20/07/2026"/>
    <n v="0.97839494000000005"/>
    <m/>
    <n v="3412014.84"/>
    <n v="3338298.04"/>
    <n v="3412014.84"/>
    <n v="3338298.04"/>
    <n v="568312"/>
    <s v="AMOMPY"/>
    <s v="Momentum Capital Investment S.A."/>
    <s v="24/04/2026"/>
    <s v="24/04/2026"/>
    <n v="26"/>
    <s v="No"/>
    <s v=""/>
    <m/>
    <m/>
    <s v="*MAV180801238"/>
    <s v="*MAV180801238"/>
    <n v="6.4033434302782121E-5"/>
  </r>
  <r>
    <x v="69"/>
    <s v="Pesos"/>
    <d v="2026-08-20T00:00:00"/>
    <s v="20/07/2026"/>
    <n v="0.97839494000000005"/>
    <m/>
    <n v="2502217.0699999998"/>
    <n v="2448156.52"/>
    <n v="2502217.0699999998"/>
    <n v="2448156.52"/>
    <n v="568315"/>
    <s v="AMOMPY"/>
    <s v="Momentum Capital Investment S.A."/>
    <s v="24/04/2026"/>
    <s v="24/04/2026"/>
    <n v="26"/>
    <s v="No"/>
    <s v=""/>
    <m/>
    <m/>
    <s v="*MAV180801239"/>
    <s v="*MAV180801239"/>
    <n v="4.6959219281196264E-5"/>
  </r>
  <r>
    <x v="69"/>
    <s v="Pesos"/>
    <d v="2026-08-20T00:00:00"/>
    <s v="20/07/2026"/>
    <n v="0.97839494000000005"/>
    <m/>
    <n v="6395453.2000000002"/>
    <n v="6257279.0499999998"/>
    <n v="6395453.2000000002"/>
    <n v="6257279.0499999998"/>
    <n v="568311"/>
    <s v="AMOMPY"/>
    <s v="Momentum Capital Investment S.A."/>
    <s v="24/04/2026"/>
    <s v="24/04/2026"/>
    <n v="26"/>
    <s v="No"/>
    <s v=""/>
    <m/>
    <m/>
    <s v="*MAV180801240"/>
    <s v="*MAV180801240"/>
    <n v="1.2002375526732475E-4"/>
  </r>
  <r>
    <x v="69"/>
    <s v="Pesos"/>
    <d v="2026-08-20T00:00:00"/>
    <s v="20/07/2026"/>
    <n v="0.97839494999999999"/>
    <m/>
    <n v="1860181.4"/>
    <n v="1819992.08"/>
    <n v="1860181.4"/>
    <n v="1819992.08"/>
    <n v="568323"/>
    <s v="AMOMPY"/>
    <s v="Momentum Capital Investment S.A."/>
    <s v="24/04/2026"/>
    <s v="24/04/2026"/>
    <n v="26"/>
    <s v="No"/>
    <s v=""/>
    <m/>
    <m/>
    <s v="*MAV180801241"/>
    <s v="*MAV180801241"/>
    <n v="3.4910107452917471E-5"/>
  </r>
  <r>
    <x v="69"/>
    <s v="Pesos"/>
    <d v="2026-08-20T00:00:00"/>
    <s v="20/07/2026"/>
    <n v="0.97839494000000005"/>
    <m/>
    <n v="3621557.13"/>
    <n v="3543313.17"/>
    <n v="3621557.13"/>
    <n v="3543313.17"/>
    <n v="568292"/>
    <s v="AMOMPY"/>
    <s v="Momentum Capital Investment S.A."/>
    <s v="24/04/2026"/>
    <s v="24/04/2026"/>
    <n v="26"/>
    <s v="No"/>
    <s v=""/>
    <m/>
    <m/>
    <s v="*MAV180801242"/>
    <s v="*MAV180801242"/>
    <n v="6.7965924062723181E-5"/>
  </r>
  <r>
    <x v="69"/>
    <s v="Pesos"/>
    <d v="2026-08-20T00:00:00"/>
    <s v="20/07/2026"/>
    <n v="0.97839494000000005"/>
    <m/>
    <n v="14947325.66"/>
    <n v="14624387.800000001"/>
    <n v="14947325.66"/>
    <n v="14624387.800000001"/>
    <n v="568359"/>
    <s v="AMOMPY"/>
    <s v="Momentum Capital Investment S.A."/>
    <s v="24/04/2026"/>
    <s v="24/04/2026"/>
    <n v="26"/>
    <s v="No"/>
    <s v=""/>
    <m/>
    <m/>
    <s v="*MAV180801243"/>
    <s v="*MAV180801243"/>
    <n v="2.8051712704768215E-4"/>
  </r>
  <r>
    <x v="69"/>
    <s v="Pesos"/>
    <d v="2026-08-20T00:00:00"/>
    <s v="20/07/2026"/>
    <n v="0.97839494000000005"/>
    <m/>
    <n v="10604114.439999999"/>
    <n v="10375011.91"/>
    <n v="10604114.439999999"/>
    <n v="10375011.91"/>
    <n v="568349"/>
    <s v="AMOMPY"/>
    <s v="Momentum Capital Investment S.A."/>
    <s v="24/04/2026"/>
    <s v="24/04/2026"/>
    <n v="26"/>
    <s v="No"/>
    <s v=""/>
    <m/>
    <m/>
    <s v="*MAV180801244"/>
    <s v="*MAV180801244"/>
    <n v="1.990078883219088E-4"/>
  </r>
  <r>
    <x v="0"/>
    <s v="Pesos"/>
    <d v="2026-08-20T00:00:00"/>
    <s v="20/07/2026"/>
    <n v="0.97515364999999998"/>
    <m/>
    <n v="1040000"/>
    <n v="1014159.79"/>
    <n v="1040000"/>
    <n v="1014159.79"/>
    <n v="13301548"/>
    <s v="AMOMPY"/>
    <s v="Momentum Capital Investment S.A."/>
    <s v="30/04/2026"/>
    <s v="30/04/2026"/>
    <n v="30"/>
    <s v="No"/>
    <s v=""/>
    <m/>
    <m/>
    <s v="*INP180800044"/>
    <s v="*INP180800044"/>
    <n v="1.9453066654734132E-5"/>
  </r>
  <r>
    <x v="0"/>
    <s v="Pesos"/>
    <d v="2026-08-20T00:00:00"/>
    <s v="20/07/2026"/>
    <n v="0.97515364999999998"/>
    <m/>
    <n v="1040000"/>
    <n v="1014159.79"/>
    <n v="1040000"/>
    <n v="1014159.79"/>
    <n v="19101547"/>
    <s v="AMOMPY"/>
    <s v="Momentum Capital Investment S.A."/>
    <s v="30/04/2026"/>
    <s v="30/04/2026"/>
    <n v="30"/>
    <s v="No"/>
    <s v=""/>
    <m/>
    <m/>
    <s v="*INP150800068"/>
    <s v="*INP150800068"/>
    <n v="1.9453066654734132E-5"/>
  </r>
  <r>
    <x v="154"/>
    <s v="Pesos"/>
    <d v="2026-08-20T00:00:00"/>
    <s v="20/07/2026"/>
    <n v="0.96714365999999996"/>
    <m/>
    <n v="7551944"/>
    <n v="7303814.7400000002"/>
    <n v="7551944"/>
    <n v="7303814.7400000002"/>
    <n v="1824"/>
    <s v="AMOMPY"/>
    <s v="Momentum Capital Investment S.A."/>
    <s v="16/04/2026"/>
    <s v="16/04/2026"/>
    <n v="40"/>
    <s v="No"/>
    <s v=""/>
    <m/>
    <m/>
    <s v="*MAV160801087"/>
    <s v="*MAV160801087"/>
    <n v="1.4009783899147652E-4"/>
  </r>
  <r>
    <x v="154"/>
    <s v="Pesos"/>
    <d v="2026-08-20T00:00:00"/>
    <s v="20/07/2026"/>
    <n v="0.96714365999999996"/>
    <m/>
    <n v="7551944"/>
    <n v="7303814.7400000002"/>
    <n v="7551944"/>
    <n v="7303814.7400000002"/>
    <n v="1823"/>
    <s v="AMOMPY"/>
    <s v="Momentum Capital Investment S.A."/>
    <s v="16/04/2026"/>
    <s v="16/04/2026"/>
    <n v="40"/>
    <s v="No"/>
    <s v=""/>
    <m/>
    <m/>
    <s v="*MAV160801088"/>
    <s v="*MAV160801088"/>
    <n v="1.4009783899147652E-4"/>
  </r>
  <r>
    <x v="158"/>
    <s v="Pesos"/>
    <d v="2026-08-20T00:00:00"/>
    <s v="20/07/2026"/>
    <n v="0.97515370000000001"/>
    <m/>
    <n v="17969542.75"/>
    <n v="17523066.100000001"/>
    <n v="17969542.75"/>
    <n v="17523066.100000001"/>
    <n v="691"/>
    <s v="AMOMPY"/>
    <s v="Momentum Capital Investment S.A."/>
    <s v="06/05/2026"/>
    <s v="06/05/2026"/>
    <n v="30"/>
    <s v="No"/>
    <s v=""/>
    <m/>
    <m/>
    <s v="*MAV150801357"/>
    <s v="*MAV150801357"/>
    <n v="3.3611801236826011E-4"/>
  </r>
  <r>
    <x v="6"/>
    <s v="Pesos"/>
    <d v="2026-08-20T00:00:00"/>
    <s v="20/07/2026"/>
    <n v="0.98329743000000003"/>
    <m/>
    <n v="2500000"/>
    <n v="2458243.58"/>
    <n v="2500000"/>
    <n v="2458243.58"/>
    <n v="6135"/>
    <s v="AMOMPY"/>
    <s v="Momentum Capital Investment S.A."/>
    <s v="29/05/2026"/>
    <s v="29/05/2026"/>
    <n v="20"/>
    <s v="No"/>
    <s v=""/>
    <m/>
    <m/>
    <s v="*ACI180800202"/>
    <s v="*ACI180800202"/>
    <n v="4.715270383113124E-5"/>
  </r>
  <r>
    <x v="6"/>
    <s v="Pesos"/>
    <d v="2026-08-20T00:00:00"/>
    <s v="20/07/2026"/>
    <n v="0.98329743000000003"/>
    <m/>
    <n v="2500000"/>
    <n v="2458243.58"/>
    <n v="2500000"/>
    <n v="2458243.58"/>
    <n v="6134"/>
    <s v="AMOMPY"/>
    <s v="Momentum Capital Investment S.A."/>
    <s v="29/05/2026"/>
    <s v="29/05/2026"/>
    <n v="20"/>
    <s v="No"/>
    <s v=""/>
    <m/>
    <m/>
    <s v="*ACI150800332"/>
    <s v="*ACI150800332"/>
    <n v="4.715270383113124E-5"/>
  </r>
  <r>
    <x v="63"/>
    <s v="Pesos"/>
    <d v="2026-08-20T00:00:00"/>
    <s v="20/07/2026"/>
    <n v="0.98002374000000003"/>
    <m/>
    <n v="3000000"/>
    <n v="2940071.22"/>
    <n v="3000000"/>
    <n v="2940071.22"/>
    <n v="913749"/>
    <s v="AMOMPY"/>
    <s v="Momentum Capital Investment S.A."/>
    <s v="13/07/2026"/>
    <s v="13/07/2026"/>
    <n v="24"/>
    <s v="No"/>
    <s v=""/>
    <m/>
    <m/>
    <s v="*PRO180800016"/>
    <s v="*PRO180800016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51"/>
    <s v="AMOMPY"/>
    <s v="Momentum Capital Investment S.A."/>
    <s v="13/07/2026"/>
    <s v="13/07/2026"/>
    <n v="24"/>
    <s v="No"/>
    <s v=""/>
    <m/>
    <m/>
    <s v="*PRO180800017"/>
    <s v="*PRO180800017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53"/>
    <s v="AMOMPY"/>
    <s v="Momentum Capital Investment S.A."/>
    <s v="13/07/2026"/>
    <s v="13/07/2026"/>
    <n v="24"/>
    <s v="No"/>
    <s v=""/>
    <m/>
    <m/>
    <s v="*PRO180800018"/>
    <s v="*PRO180800018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42"/>
    <s v="AMOMPY"/>
    <s v="Momentum Capital Investment S.A."/>
    <s v="13/07/2026"/>
    <s v="13/07/2026"/>
    <n v="24"/>
    <s v="No"/>
    <s v=""/>
    <m/>
    <m/>
    <s v="*PRO180800019"/>
    <s v="*PRO180800019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52"/>
    <s v="AMOMPY"/>
    <s v="Momentum Capital Investment S.A."/>
    <s v="13/07/2026"/>
    <s v="13/07/2026"/>
    <n v="24"/>
    <s v="No"/>
    <s v=""/>
    <m/>
    <m/>
    <s v="*PRO180800014"/>
    <s v="*PRO180800014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46"/>
    <s v="AMOMPY"/>
    <s v="Momentum Capital Investment S.A."/>
    <s v="13/07/2026"/>
    <s v="13/07/2026"/>
    <n v="24"/>
    <s v="No"/>
    <s v=""/>
    <m/>
    <m/>
    <s v="*PRO180800026"/>
    <s v="*PRO180800026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43"/>
    <s v="AMOMPY"/>
    <s v="Momentum Capital Investment S.A."/>
    <s v="13/07/2026"/>
    <s v="13/07/2026"/>
    <n v="24"/>
    <s v="No"/>
    <s v=""/>
    <m/>
    <m/>
    <s v="*PRO180800025"/>
    <s v="*PRO180800025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44"/>
    <s v="AMOMPY"/>
    <s v="Momentum Capital Investment S.A."/>
    <s v="13/07/2026"/>
    <s v="13/07/2026"/>
    <n v="24"/>
    <s v="No"/>
    <s v=""/>
    <m/>
    <m/>
    <s v="*PRO180800024"/>
    <s v="*PRO180800024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48"/>
    <s v="AMOMPY"/>
    <s v="Momentum Capital Investment S.A."/>
    <s v="13/07/2026"/>
    <s v="13/07/2026"/>
    <n v="24"/>
    <s v="No"/>
    <s v=""/>
    <m/>
    <m/>
    <s v="*PRO180800023"/>
    <s v="*PRO180800023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47"/>
    <s v="AMOMPY"/>
    <s v="Momentum Capital Investment S.A."/>
    <s v="13/07/2026"/>
    <s v="13/07/2026"/>
    <n v="24"/>
    <s v="No"/>
    <s v=""/>
    <m/>
    <m/>
    <s v="*PRO180800022"/>
    <s v="*PRO180800022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45"/>
    <s v="AMOMPY"/>
    <s v="Momentum Capital Investment S.A."/>
    <s v="13/07/2026"/>
    <s v="13/07/2026"/>
    <n v="24"/>
    <s v="No"/>
    <s v=""/>
    <m/>
    <m/>
    <s v="*PRO180800021"/>
    <s v="*PRO180800021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41"/>
    <s v="AMOMPY"/>
    <s v="Momentum Capital Investment S.A."/>
    <s v="13/07/2026"/>
    <s v="13/07/2026"/>
    <n v="24"/>
    <s v="No"/>
    <s v=""/>
    <m/>
    <m/>
    <s v="*PRO180800020"/>
    <s v="*PRO180800020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50"/>
    <s v="AMOMPY"/>
    <s v="Momentum Capital Investment S.A."/>
    <s v="13/07/2026"/>
    <s v="13/07/2026"/>
    <n v="24"/>
    <s v="No"/>
    <s v=""/>
    <m/>
    <m/>
    <s v="*PRO180800015"/>
    <s v="*PRO180800015"/>
    <n v="5.6394862009196305E-5"/>
  </r>
  <r>
    <x v="63"/>
    <s v="Pesos"/>
    <d v="2026-08-20T00:00:00"/>
    <s v="20/07/2026"/>
    <n v="0.98002374000000003"/>
    <m/>
    <n v="2893973.29"/>
    <n v="2836162.53"/>
    <n v="2893973.29"/>
    <n v="2836162.53"/>
    <n v="913757"/>
    <s v="AMOMPY"/>
    <s v="Momentum Capital Investment S.A."/>
    <s v="13/07/2026"/>
    <s v="13/07/2026"/>
    <n v="24"/>
    <s v="No"/>
    <s v=""/>
    <m/>
    <m/>
    <s v="*PRO180800010"/>
    <s v="*PRO180800010"/>
    <n v="5.4401741504412623E-5"/>
  </r>
  <r>
    <x v="63"/>
    <s v="Pesos"/>
    <d v="2026-08-20T00:00:00"/>
    <s v="20/07/2026"/>
    <n v="0.98002374000000003"/>
    <m/>
    <n v="3000000"/>
    <n v="2940071.22"/>
    <n v="3000000"/>
    <n v="2940071.22"/>
    <n v="913755"/>
    <s v="AMOMPY"/>
    <s v="Momentum Capital Investment S.A."/>
    <s v="13/07/2026"/>
    <s v="13/07/2026"/>
    <n v="24"/>
    <s v="No"/>
    <s v=""/>
    <m/>
    <m/>
    <s v="*PRO180800011"/>
    <s v="*PRO180800011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56"/>
    <s v="AMOMPY"/>
    <s v="Momentum Capital Investment S.A."/>
    <s v="13/07/2026"/>
    <s v="13/07/2026"/>
    <n v="24"/>
    <s v="No"/>
    <s v=""/>
    <m/>
    <m/>
    <s v="*PRO180800012"/>
    <s v="*PRO180800012"/>
    <n v="5.6394862009196305E-5"/>
  </r>
  <r>
    <x v="63"/>
    <s v="Pesos"/>
    <d v="2026-08-20T00:00:00"/>
    <s v="20/07/2026"/>
    <n v="0.98002374000000003"/>
    <m/>
    <n v="3000000"/>
    <n v="2940071.22"/>
    <n v="3000000"/>
    <n v="2940071.22"/>
    <n v="913754"/>
    <s v="AMOMPY"/>
    <s v="Momentum Capital Investment S.A."/>
    <s v="13/07/2026"/>
    <s v="13/07/2026"/>
    <n v="24"/>
    <s v="No"/>
    <s v=""/>
    <m/>
    <m/>
    <s v="*PRO180800013"/>
    <s v="*PRO180800013"/>
    <n v="5.6394862009196305E-5"/>
  </r>
  <r>
    <x v="40"/>
    <s v="Pesos"/>
    <d v="2026-08-20T00:00:00"/>
    <s v="20/07/2026"/>
    <n v="0.97677159999999996"/>
    <m/>
    <n v="5000000"/>
    <n v="4883858"/>
    <n v="5000000"/>
    <n v="4883858"/>
    <n v="29175486"/>
    <s v="AMOMPY"/>
    <s v="Momentum Capital Investment S.A."/>
    <s v="04/05/2026"/>
    <s v="04/05/2026"/>
    <n v="28"/>
    <s v="No"/>
    <s v=""/>
    <m/>
    <m/>
    <s v="*CUY170800021"/>
    <s v="*CUY170800021"/>
    <n v="9.3679532695983267E-5"/>
  </r>
  <r>
    <x v="40"/>
    <s v="Pesos"/>
    <d v="2026-08-20T00:00:00"/>
    <s v="20/07/2026"/>
    <n v="0.97677159999999996"/>
    <m/>
    <n v="5000000"/>
    <n v="4883858"/>
    <n v="5000000"/>
    <n v="4883858"/>
    <n v="29175484"/>
    <s v="AMOMPY"/>
    <s v="Momentum Capital Investment S.A."/>
    <s v="04/05/2026"/>
    <s v="04/05/2026"/>
    <n v="28"/>
    <s v="No"/>
    <s v=""/>
    <m/>
    <m/>
    <s v="*CUY180800042"/>
    <s v="*CUY180800042"/>
    <n v="9.3679532695983267E-5"/>
  </r>
  <r>
    <x v="7"/>
    <s v="Pesos"/>
    <d v="2026-08-20T00:00:00"/>
    <s v="20/07/2026"/>
    <n v="0.97515372"/>
    <m/>
    <n v="10000000"/>
    <n v="9751537.2400000002"/>
    <n v="10000000"/>
    <n v="9751537.2400000002"/>
    <n v="560"/>
    <s v="AMOMPY"/>
    <s v="Momentum Capital Investment S.A."/>
    <s v="28/05/2026"/>
    <s v="28/05/2026"/>
    <n v="30"/>
    <s v="No"/>
    <s v=""/>
    <m/>
    <m/>
    <s v="*MAV170800753"/>
    <s v="*MAV170800753"/>
    <n v="1.8704873313488609E-4"/>
  </r>
  <r>
    <x v="7"/>
    <s v="Pesos"/>
    <d v="2026-08-20T00:00:00"/>
    <s v="20/07/2026"/>
    <n v="0.97515362999999999"/>
    <m/>
    <n v="10000000"/>
    <n v="9751536.3399999999"/>
    <n v="10000000"/>
    <n v="9751536.3399999999"/>
    <n v="501"/>
    <s v="AMOMPY"/>
    <s v="Momentum Capital Investment S.A."/>
    <s v="14/05/2026"/>
    <s v="14/05/2026"/>
    <n v="30"/>
    <s v="No"/>
    <s v=""/>
    <m/>
    <m/>
    <s v="*MAV150801372"/>
    <s v="*MAV150801372"/>
    <n v="1.87048715871571E-4"/>
  </r>
  <r>
    <x v="7"/>
    <s v="Pesos"/>
    <d v="2026-08-20T00:00:00"/>
    <s v="20/07/2026"/>
    <n v="0.97515366999999997"/>
    <m/>
    <n v="10000000"/>
    <n v="9751536.7300000004"/>
    <n v="10000000"/>
    <n v="9751536.7300000004"/>
    <n v="472"/>
    <s v="AMOMPY"/>
    <s v="Momentum Capital Investment S.A."/>
    <s v="12/05/2026"/>
    <s v="12/05/2026"/>
    <n v="30"/>
    <s v="No"/>
    <s v=""/>
    <m/>
    <m/>
    <s v="*MAV150801364"/>
    <s v="*MAV150801364"/>
    <n v="1.8704872335234088E-4"/>
  </r>
  <r>
    <x v="8"/>
    <s v="Pesos"/>
    <d v="2026-08-20T00:00:00"/>
    <s v="20/07/2026"/>
    <n v="0.96873509000000002"/>
    <m/>
    <n v="40400000"/>
    <n v="39136897.469999999"/>
    <n v="40400000"/>
    <n v="39136897.469999999"/>
    <n v="151343"/>
    <s v="AMOMPY"/>
    <s v="Momentum Capital Investment S.A."/>
    <s v="12/06/2026"/>
    <s v="12/06/2026"/>
    <n v="38"/>
    <s v="No"/>
    <s v=""/>
    <m/>
    <m/>
    <s v="#MAV190860035"/>
    <s v="#MAV190860035"/>
    <n v="7.5070288001006786E-4"/>
  </r>
  <r>
    <x v="142"/>
    <s v="Pesos"/>
    <d v="2026-08-20T00:00:00"/>
    <s v="20/07/2026"/>
    <n v="0.97113212999999998"/>
    <m/>
    <n v="1500000"/>
    <n v="1456698.19"/>
    <n v="1500000"/>
    <n v="1456698.19"/>
    <n v="2"/>
    <s v="AMOMPY"/>
    <s v="Momentum Capital Investment S.A."/>
    <s v="23/04/2026"/>
    <s v="23/04/2026"/>
    <n v="35"/>
    <s v="No"/>
    <s v=""/>
    <m/>
    <m/>
    <s v="*MAV150801344"/>
    <s v="*MAV150801344"/>
    <n v="2.7941599800461979E-5"/>
  </r>
  <r>
    <x v="29"/>
    <s v="Pesos"/>
    <d v="2026-08-20T00:00:00"/>
    <s v="20/07/2026"/>
    <n v="0.97113214000000003"/>
    <m/>
    <n v="15000000"/>
    <n v="14566982.1"/>
    <n v="15000000"/>
    <n v="14566982.1"/>
    <n v="4266"/>
    <s v="AMOMPY"/>
    <s v="Momentum Capital Investment S.A."/>
    <s v="09/06/2026"/>
    <s v="09/06/2026"/>
    <n v="35"/>
    <s v="No"/>
    <s v=""/>
    <m/>
    <m/>
    <s v="*MAV180801414"/>
    <s v="*MAV180801414"/>
    <n v="2.7941600184091202E-4"/>
  </r>
  <r>
    <x v="143"/>
    <s v="Pesos"/>
    <d v="2026-08-20T00:00:00"/>
    <s v="20/07/2026"/>
    <n v="0.97273679999999996"/>
    <m/>
    <n v="2200000"/>
    <n v="2140020.96"/>
    <n v="2200000"/>
    <n v="2140020.96"/>
    <n v="6191"/>
    <s v="AMOMPY"/>
    <s v="Momentum Capital Investment S.A."/>
    <s v="03/06/2026"/>
    <s v="03/06/2026"/>
    <n v="33"/>
    <s v="No"/>
    <s v=""/>
    <m/>
    <m/>
    <s v="*MAV180801393"/>
    <s v="*MAV180801393"/>
    <n v="4.1048728995071005E-5"/>
  </r>
  <r>
    <x v="56"/>
    <s v="Pesos"/>
    <d v="2026-08-20T00:00:00"/>
    <s v="20/07/2026"/>
    <n v="0.97033183999999995"/>
    <m/>
    <n v="2304789"/>
    <n v="2236410.16"/>
    <n v="2304789"/>
    <n v="2236410.16"/>
    <n v="2768"/>
    <s v="AMOMPY"/>
    <s v="Momentum Capital Investment S.A."/>
    <s v="17/06/2026"/>
    <s v="17/06/2026"/>
    <n v="36"/>
    <s v="No"/>
    <s v=""/>
    <m/>
    <m/>
    <s v="*MAV150801509"/>
    <s v="*MAV150801509"/>
    <n v="4.2897614694233366E-5"/>
  </r>
  <r>
    <x v="56"/>
    <s v="Pesos"/>
    <d v="2026-08-20T00:00:00"/>
    <s v="20/07/2026"/>
    <n v="0.97033183999999995"/>
    <m/>
    <n v="2304789"/>
    <n v="2236410.16"/>
    <n v="2304789"/>
    <n v="2236410.16"/>
    <n v="2769"/>
    <s v="AMOMPY"/>
    <s v="Momentum Capital Investment S.A."/>
    <s v="17/06/2026"/>
    <s v="17/06/2026"/>
    <n v="36"/>
    <s v="No"/>
    <s v=""/>
    <m/>
    <m/>
    <s v="*MAV180801458"/>
    <s v="*MAV180801458"/>
    <n v="4.2897614694233366E-5"/>
  </r>
  <r>
    <x v="7"/>
    <s v="Pesos"/>
    <d v="2026-08-20T00:00:00"/>
    <s v="20/07/2026"/>
    <n v="0.97273686000000004"/>
    <m/>
    <n v="10000000"/>
    <n v="9727368.5700000003"/>
    <n v="10000000"/>
    <n v="9727368.5700000003"/>
    <n v="664"/>
    <s v="AMOMPY"/>
    <s v="Momentum Capital Investment S.A."/>
    <s v="22/06/2026"/>
    <s v="22/06/2026"/>
    <n v="33"/>
    <s v="No"/>
    <s v=""/>
    <m/>
    <m/>
    <s v="*MAV160801152"/>
    <s v="*MAV160801152"/>
    <n v="1.865851427292102E-4"/>
  </r>
  <r>
    <x v="7"/>
    <s v="Pesos"/>
    <d v="2026-08-20T00:00:00"/>
    <s v="20/07/2026"/>
    <n v="0.97515364000000004"/>
    <m/>
    <n v="10000000"/>
    <n v="9751536.3599999994"/>
    <n v="10000000"/>
    <n v="9751536.3599999994"/>
    <n v="669"/>
    <s v="AMOMPY"/>
    <s v="Momentum Capital Investment S.A."/>
    <s v="23/06/2026"/>
    <s v="23/06/2026"/>
    <n v="30"/>
    <s v="No"/>
    <s v=""/>
    <m/>
    <m/>
    <s v="*MAV180801524"/>
    <s v="*MAV180801524"/>
    <n v="1.8704871625520021E-4"/>
  </r>
  <r>
    <x v="43"/>
    <s v="Pesos"/>
    <d v="2026-08-20T00:00:00"/>
    <s v="20/07/2026"/>
    <n v="0.97839505999999998"/>
    <m/>
    <n v="10000000"/>
    <n v="9783950.6199999992"/>
    <n v="10000000"/>
    <n v="9783950.6199999992"/>
    <n v="68035369"/>
    <s v="AMOMPY"/>
    <s v="Momentum Capital Investment S.A."/>
    <s v="07/07/2026"/>
    <s v="07/07/2026"/>
    <n v="26"/>
    <s v="No"/>
    <s v=""/>
    <m/>
    <m/>
    <s v="*MIL150800044"/>
    <s v="*MIL150800044"/>
    <n v="1.8767046912546918E-4"/>
  </r>
  <r>
    <x v="43"/>
    <s v="Pesos"/>
    <d v="2026-08-20T00:00:00"/>
    <s v="20/07/2026"/>
    <n v="0.97839505999999998"/>
    <m/>
    <n v="10000000"/>
    <n v="9783950.6199999992"/>
    <n v="10000000"/>
    <n v="9783950.6199999992"/>
    <n v="68035335"/>
    <s v="AMOMPY"/>
    <s v="Momentum Capital Investment S.A."/>
    <s v="07/07/2026"/>
    <s v="07/07/2026"/>
    <n v="26"/>
    <s v="No"/>
    <s v=""/>
    <m/>
    <m/>
    <s v="*MIL150800043"/>
    <s v="*MIL150800043"/>
    <n v="1.8767046912546918E-4"/>
  </r>
  <r>
    <x v="43"/>
    <s v="Pesos"/>
    <d v="2026-08-20T00:00:00"/>
    <s v="20/07/2026"/>
    <n v="0.97839505999999998"/>
    <m/>
    <n v="10000000"/>
    <n v="9783950.6199999992"/>
    <n v="10000000"/>
    <n v="9783950.6199999992"/>
    <n v="68035337"/>
    <s v="AMOMPY"/>
    <s v="Momentum Capital Investment S.A."/>
    <s v="07/07/2026"/>
    <s v="07/07/2026"/>
    <n v="26"/>
    <s v="No"/>
    <s v=""/>
    <m/>
    <m/>
    <s v="*MIL180800046"/>
    <s v="*MIL180800046"/>
    <n v="1.8767046912546918E-4"/>
  </r>
  <r>
    <x v="43"/>
    <s v="Pesos"/>
    <d v="2026-08-20T00:00:00"/>
    <s v="20/07/2026"/>
    <n v="0.97596196000000002"/>
    <m/>
    <n v="10000000"/>
    <n v="9759619.6099999994"/>
    <n v="10000000"/>
    <n v="9759619.6099999994"/>
    <n v="2149"/>
    <s v="AMOMPY"/>
    <s v="Momentum Capital Investment S.A."/>
    <s v="27/04/2026"/>
    <s v="27/04/2026"/>
    <n v="29"/>
    <s v="No"/>
    <s v=""/>
    <m/>
    <m/>
    <s v="*MIL170800018"/>
    <s v="*MIL170800018"/>
    <n v="1.8720376480138335E-4"/>
  </r>
  <r>
    <x v="43"/>
    <s v="Pesos"/>
    <d v="2026-08-20T00:00:00"/>
    <s v="20/07/2026"/>
    <n v="0.97596196000000002"/>
    <m/>
    <n v="10000000"/>
    <n v="9759619.6099999994"/>
    <n v="10000000"/>
    <n v="9759619.6099999994"/>
    <n v="2150"/>
    <s v="AMOMPY"/>
    <s v="Momentum Capital Investment S.A."/>
    <s v="27/04/2026"/>
    <s v="27/04/2026"/>
    <n v="29"/>
    <s v="No"/>
    <s v=""/>
    <m/>
    <m/>
    <s v="*MIL180800036"/>
    <s v="*MIL180800036"/>
    <n v="1.8720376480138335E-4"/>
  </r>
  <r>
    <x v="64"/>
    <s v="Pesos"/>
    <d v="2026-08-20T00:00:00"/>
    <s v="20/07/2026"/>
    <n v="0.97113214999999997"/>
    <m/>
    <n v="25000000"/>
    <n v="24278303.719999999"/>
    <n v="25000000"/>
    <n v="24278303.719999999"/>
    <n v="1307"/>
    <s v="AMOMPY"/>
    <s v="Momentum Capital Investment S.A."/>
    <s v="20/04/2026"/>
    <s v="20/04/2026"/>
    <n v="35"/>
    <s v="No"/>
    <s v=""/>
    <m/>
    <m/>
    <s v="*MAV180801225"/>
    <s v="*MAV180801225"/>
    <n v="4.6569334062144152E-4"/>
  </r>
  <r>
    <x v="50"/>
    <s v="Pesos"/>
    <d v="2026-08-20T00:00:00"/>
    <s v="20/07/2026"/>
    <n v="0.97515368999999996"/>
    <m/>
    <n v="2700000"/>
    <n v="2632914.96"/>
    <n v="2700000"/>
    <n v="2632914.96"/>
    <n v="6272"/>
    <s v="AMOMPY"/>
    <s v="Momentum Capital Investment S.A."/>
    <s v="17/06/2026"/>
    <s v="17/06/2026"/>
    <n v="30"/>
    <s v="No"/>
    <s v=""/>
    <m/>
    <m/>
    <s v="*MAV170800800"/>
    <s v="*MAV170800800"/>
    <n v="5.0503156128016718E-5"/>
  </r>
  <r>
    <x v="123"/>
    <s v="Pesos"/>
    <d v="2026-08-20T00:00:00"/>
    <s v="20/07/2026"/>
    <n v="0.97515364000000004"/>
    <m/>
    <n v="13500000"/>
    <n v="13164574.130000001"/>
    <n v="13500000"/>
    <n v="13164574.130000001"/>
    <n v="32806"/>
    <s v="AMOMPY"/>
    <s v="Momentum Capital Investment S.A."/>
    <s v="07/05/2026"/>
    <s v="07/05/2026"/>
    <n v="30"/>
    <s v="No"/>
    <s v=""/>
    <m/>
    <m/>
    <s v="*MAV180801262"/>
    <s v="*MAV180801262"/>
    <n v="2.5251576778850463E-4"/>
  </r>
  <r>
    <x v="159"/>
    <s v="Pesos"/>
    <d v="2026-08-20T00:00:00"/>
    <s v="20/07/2026"/>
    <n v="0.97515368000000002"/>
    <m/>
    <n v="14731164.33"/>
    <n v="14365149.18"/>
    <n v="14731164.33"/>
    <n v="14365149.18"/>
    <n v="29493306"/>
    <s v="AMOMPY"/>
    <s v="Momentum Capital Investment S.A."/>
    <s v="17/06/2026"/>
    <s v="17/06/2026"/>
    <n v="30"/>
    <s v="No"/>
    <s v=""/>
    <m/>
    <m/>
    <s v="*MAV150801507"/>
    <s v="*MAV150801507"/>
    <n v="2.7554455151859188E-4"/>
  </r>
  <r>
    <x v="103"/>
    <s v="Pesos"/>
    <d v="2026-08-20T00:00:00"/>
    <s v="20/07/2026"/>
    <n v="0.97515375999999998"/>
    <m/>
    <n v="2870567.11"/>
    <n v="2799244.32"/>
    <n v="2870567.11"/>
    <n v="2799244.32"/>
    <n v="96"/>
    <s v="AMOMPY"/>
    <s v="Momentum Capital Investment S.A."/>
    <s v="20/07/2026"/>
    <s v="20/07/2026"/>
    <n v="30"/>
    <s v="No"/>
    <s v=""/>
    <m/>
    <m/>
    <s v="*MAV180801756"/>
    <s v="*MAV180801756"/>
    <n v="5.3693596292006327E-5"/>
  </r>
  <r>
    <x v="1"/>
    <s v="Pesos"/>
    <d v="2026-08-21T00:00:00"/>
    <s v="20/07/2026"/>
    <n v="0.97855239999999999"/>
    <m/>
    <n v="966441.68"/>
    <n v="945713.82"/>
    <n v="966441.68"/>
    <n v="945713.82"/>
    <n v="3531"/>
    <s v="AMOMPY"/>
    <s v="Momentum Capital Investment S.A."/>
    <s v="30/06/2026"/>
    <s v="30/06/2026"/>
    <n v="25"/>
    <s v="No"/>
    <s v=""/>
    <m/>
    <m/>
    <s v="*MOV190800063"/>
    <s v="*MOV190800063"/>
    <n v="1.8140172937405884E-5"/>
  </r>
  <r>
    <x v="1"/>
    <s v="Pesos"/>
    <d v="2026-08-21T00:00:00"/>
    <s v="20/07/2026"/>
    <n v="0.97855238"/>
    <m/>
    <n v="639790.28"/>
    <n v="626068.30000000005"/>
    <n v="639790.28"/>
    <n v="626068.30000000005"/>
    <n v="3533"/>
    <s v="AMOMPY"/>
    <s v="Momentum Capital Investment S.A."/>
    <s v="30/06/2026"/>
    <s v="30/06/2026"/>
    <n v="25"/>
    <s v="No"/>
    <s v=""/>
    <m/>
    <m/>
    <s v="*MOV190800064"/>
    <s v="*MOV190800064"/>
    <n v="1.2008904800215048E-5"/>
  </r>
  <r>
    <x v="148"/>
    <s v="Pesos"/>
    <d v="2026-08-21T00:00:00"/>
    <s v="20/07/2026"/>
    <n v="0.96940404000000002"/>
    <m/>
    <n v="3345657.98"/>
    <n v="3243294.37"/>
    <n v="3345657.98"/>
    <n v="3243294.37"/>
    <n v="232"/>
    <s v="AMOMPY"/>
    <s v="Momentum Capital Investment S.A."/>
    <s v="17/06/2026"/>
    <s v="17/06/2026"/>
    <n v="36"/>
    <s v="No"/>
    <s v=""/>
    <m/>
    <m/>
    <s v="*MAV190801281"/>
    <s v="*MAV190801281"/>
    <n v="6.2211125093545607E-5"/>
  </r>
  <r>
    <x v="32"/>
    <s v="Pesos"/>
    <d v="2026-08-21T00:00:00"/>
    <s v="20/07/2026"/>
    <n v="0.97188209999999997"/>
    <m/>
    <n v="1698044.02"/>
    <n v="1650298.59"/>
    <n v="1698044.02"/>
    <n v="1650298.59"/>
    <n v="67243116"/>
    <s v="AMOMPY"/>
    <s v="Momentum Capital Investment S.A."/>
    <s v="29/05/2026"/>
    <s v="29/05/2026"/>
    <n v="33"/>
    <s v="No"/>
    <s v=""/>
    <m/>
    <m/>
    <s v="*MAV190801208"/>
    <s v="*MAV190801208"/>
    <n v="3.1655138359886815E-5"/>
  </r>
  <r>
    <x v="157"/>
    <s v="Pesos"/>
    <d v="2026-08-21T00:00:00"/>
    <s v="20/07/2026"/>
    <n v="0.97271085999999995"/>
    <m/>
    <n v="1000000"/>
    <n v="972710.86"/>
    <n v="1000000"/>
    <n v="972710.86"/>
    <n v="67277718"/>
    <s v="AMOMPY"/>
    <s v="Momentum Capital Investment S.A."/>
    <s v="04/06/2026"/>
    <s v="04/06/2026"/>
    <n v="32"/>
    <s v="No"/>
    <s v=""/>
    <m/>
    <m/>
    <s v="*MAV190801237"/>
    <s v="*MAV190801237"/>
    <n v="1.8658015612474401E-5"/>
  </r>
  <r>
    <x v="129"/>
    <s v="Pesos"/>
    <d v="2026-08-21T00:00:00"/>
    <s v="20/07/2026"/>
    <n v="0.97271088000000006"/>
    <m/>
    <n v="3090647.25"/>
    <n v="3006306.2"/>
    <n v="3090647.25"/>
    <n v="3006306.2"/>
    <n v="13647457"/>
    <s v="AMOMPY"/>
    <s v="Momentum Capital Investment S.A."/>
    <s v="04/06/2026"/>
    <s v="04/06/2026"/>
    <n v="32"/>
    <s v="No"/>
    <s v=""/>
    <m/>
    <m/>
    <s v="*MAV190801238"/>
    <s v="*MAV190801238"/>
    <n v="5.7665345707642856E-5"/>
  </r>
  <r>
    <x v="7"/>
    <s v="Pesos"/>
    <d v="2026-08-21T00:00:00"/>
    <s v="20/07/2026"/>
    <n v="0.97437267000000005"/>
    <m/>
    <n v="10000000"/>
    <n v="9743726.7300000004"/>
    <n v="10000000"/>
    <n v="9743726.7300000004"/>
    <n v="576"/>
    <s v="AMOMPY"/>
    <s v="Momentum Capital Investment S.A."/>
    <s v="02/06/2026"/>
    <s v="02/06/2026"/>
    <n v="30"/>
    <s v="No"/>
    <s v=""/>
    <m/>
    <m/>
    <s v="*MAV190801220"/>
    <s v="*MAV190801220"/>
    <n v="1.8689891614042856E-4"/>
  </r>
  <r>
    <x v="8"/>
    <s v="Pesos"/>
    <d v="2026-08-21T00:00:00"/>
    <s v="20/07/2026"/>
    <n v="0.96775918000000005"/>
    <m/>
    <n v="40400000"/>
    <n v="39097470.670000002"/>
    <n v="40400000"/>
    <n v="39097470.670000002"/>
    <n v="151347"/>
    <s v="AMOMPY"/>
    <s v="Momentum Capital Investment S.A."/>
    <s v="12/06/2026"/>
    <s v="12/06/2026"/>
    <n v="38"/>
    <s v="No"/>
    <s v=""/>
    <m/>
    <m/>
    <s v="#MAV200860046"/>
    <s v="#MAV200860046"/>
    <n v="7.4994661637592906E-4"/>
  </r>
  <r>
    <x v="143"/>
    <s v="Pesos"/>
    <d v="2026-08-21T00:00:00"/>
    <s v="20/07/2026"/>
    <n v="0.97188204"/>
    <m/>
    <n v="2200000"/>
    <n v="2138140.48"/>
    <n v="2200000"/>
    <n v="2138140.48"/>
    <n v="6192"/>
    <s v="AMOMPY"/>
    <s v="Momentum Capital Investment S.A."/>
    <s v="03/06/2026"/>
    <s v="03/06/2026"/>
    <n v="33"/>
    <s v="No"/>
    <s v=""/>
    <m/>
    <m/>
    <s v="*MAV190801232"/>
    <s v="*MAV190801232"/>
    <n v="4.1012658640928004E-5"/>
  </r>
  <r>
    <x v="7"/>
    <s v="Pesos"/>
    <d v="2026-08-21T00:00:00"/>
    <s v="20/07/2026"/>
    <n v="0.97437277"/>
    <m/>
    <n v="10000000"/>
    <n v="9743727.7200000007"/>
    <n v="10000000"/>
    <n v="9743727.7200000007"/>
    <n v="609"/>
    <s v="AMOMPY"/>
    <s v="Momentum Capital Investment S.A."/>
    <s v="05/06/2026"/>
    <s v="05/06/2026"/>
    <n v="30"/>
    <s v="No"/>
    <s v=""/>
    <m/>
    <m/>
    <s v="*MAV190801242"/>
    <s v="*MAV190801242"/>
    <n v="1.8689893513007517E-4"/>
  </r>
  <r>
    <x v="7"/>
    <s v="Pesos"/>
    <d v="2026-08-21T00:00:00"/>
    <s v="20/07/2026"/>
    <n v="0.97437267999999999"/>
    <m/>
    <n v="10000000"/>
    <n v="9743726.8200000003"/>
    <n v="10000000"/>
    <n v="9743726.8200000003"/>
    <n v="677"/>
    <s v="AMOMPY"/>
    <s v="Momentum Capital Investment S.A."/>
    <s v="24/06/2026"/>
    <s v="24/06/2026"/>
    <n v="30"/>
    <s v="No"/>
    <s v=""/>
    <m/>
    <m/>
    <s v="*MAV190801323"/>
    <s v="*MAV190801323"/>
    <n v="1.8689891786676007E-4"/>
  </r>
  <r>
    <x v="57"/>
    <s v="Pesos"/>
    <d v="2026-08-21T00:00:00"/>
    <s v="20/07/2026"/>
    <n v="0.97687623000000001"/>
    <m/>
    <n v="200000000"/>
    <n v="195375246.90000001"/>
    <n v="200000000"/>
    <n v="195375246.90000001"/>
    <n v="90003874"/>
    <s v="AMOMPY"/>
    <s v="Momentum Capital Investment S.A."/>
    <s v="26/06/2026"/>
    <s v="26/06/2026"/>
    <n v="27"/>
    <s v="No"/>
    <s v=""/>
    <m/>
    <m/>
    <s v="*BIF190800006"/>
    <s v="*BIF190800006"/>
    <n v="3.7475827163595573E-3"/>
  </r>
  <r>
    <x v="43"/>
    <s v="Pesos"/>
    <d v="2026-08-21T00:00:00"/>
    <s v="20/07/2026"/>
    <n v="0.97687619999999997"/>
    <m/>
    <n v="7250000"/>
    <n v="7082352.4199999999"/>
    <n v="7250000"/>
    <n v="7082352.4199999999"/>
    <n v="1088"/>
    <s v="AMOMPY"/>
    <s v="Momentum Capital Investment S.A."/>
    <s v="25/06/2026"/>
    <s v="25/06/2026"/>
    <n v="27"/>
    <s v="No"/>
    <s v=""/>
    <m/>
    <m/>
    <s v="*MIL190800031"/>
    <s v="*MIL190800031"/>
    <n v="1.3584986809482712E-4"/>
  </r>
  <r>
    <x v="43"/>
    <s v="Pesos"/>
    <d v="2026-08-21T00:00:00"/>
    <s v="20/07/2026"/>
    <n v="0.97687619999999997"/>
    <m/>
    <n v="7250000"/>
    <n v="7082352.4199999999"/>
    <n v="7250000"/>
    <n v="7082352.4199999999"/>
    <n v="1087"/>
    <s v="AMOMPY"/>
    <s v="Momentum Capital Investment S.A."/>
    <s v="25/06/2026"/>
    <s v="25/06/2026"/>
    <n v="27"/>
    <s v="No"/>
    <s v=""/>
    <m/>
    <m/>
    <s v="*MIL190800032"/>
    <s v="*MIL190800032"/>
    <n v="1.3584986809482712E-4"/>
  </r>
  <r>
    <x v="43"/>
    <s v="Pesos"/>
    <d v="2026-08-21T00:00:00"/>
    <s v="20/07/2026"/>
    <n v="0.97687619999999997"/>
    <m/>
    <n v="7250000"/>
    <n v="7082352.4199999999"/>
    <n v="7250000"/>
    <n v="7082352.4199999999"/>
    <n v="1086"/>
    <s v="AMOMPY"/>
    <s v="Momentum Capital Investment S.A."/>
    <s v="25/06/2026"/>
    <s v="25/06/2026"/>
    <n v="27"/>
    <s v="No"/>
    <s v=""/>
    <m/>
    <m/>
    <s v="*MIL190800033"/>
    <s v="*MIL190800033"/>
    <n v="1.3584986809482712E-4"/>
  </r>
  <r>
    <x v="43"/>
    <s v="Pesos"/>
    <d v="2026-08-21T00:00:00"/>
    <s v="20/07/2026"/>
    <n v="0.97687619999999997"/>
    <m/>
    <n v="7250000"/>
    <n v="7082352.4199999999"/>
    <n v="7250000"/>
    <n v="7082352.4199999999"/>
    <n v="1084"/>
    <s v="AMOMPY"/>
    <s v="Momentum Capital Investment S.A."/>
    <s v="25/06/2026"/>
    <s v="25/06/2026"/>
    <n v="27"/>
    <s v="No"/>
    <s v=""/>
    <m/>
    <m/>
    <s v="*MIL190800034"/>
    <s v="*MIL190800034"/>
    <n v="1.3584986809482712E-4"/>
  </r>
  <r>
    <x v="43"/>
    <s v="Pesos"/>
    <d v="2026-08-21T00:00:00"/>
    <s v="20/07/2026"/>
    <n v="0.97771361000000001"/>
    <m/>
    <n v="10000000"/>
    <n v="9777136.0899999999"/>
    <n v="10000000"/>
    <n v="9777136.0899999999"/>
    <n v="68035371"/>
    <s v="AMOMPY"/>
    <s v="Momentum Capital Investment S.A."/>
    <s v="07/07/2026"/>
    <s v="07/07/2026"/>
    <n v="26"/>
    <s v="No"/>
    <s v=""/>
    <m/>
    <m/>
    <s v="*MIL190800036"/>
    <s v="*MIL190800036"/>
    <n v="1.8753975648273005E-4"/>
  </r>
  <r>
    <x v="43"/>
    <s v="Pesos"/>
    <d v="2026-08-21T00:00:00"/>
    <s v="20/07/2026"/>
    <n v="0.97520574999999998"/>
    <m/>
    <n v="10000000"/>
    <n v="9752057.4499999993"/>
    <n v="10000000"/>
    <n v="9752057.4499999993"/>
    <n v="2151"/>
    <s v="AMOMPY"/>
    <s v="Momentum Capital Investment S.A."/>
    <s v="27/04/2026"/>
    <s v="27/04/2026"/>
    <n v="29"/>
    <s v="No"/>
    <s v=""/>
    <m/>
    <m/>
    <s v="*MIL190800025"/>
    <s v="*MIL190800025"/>
    <n v="1.8705871152281293E-4"/>
  </r>
  <r>
    <x v="64"/>
    <s v="Pesos"/>
    <d v="2026-08-21T00:00:00"/>
    <s v="20/07/2026"/>
    <n v="0.97022865999999997"/>
    <m/>
    <n v="16600000"/>
    <n v="16105795.68"/>
    <n v="16600000"/>
    <n v="16105795.68"/>
    <n v="29088026"/>
    <s v="AMOMPY"/>
    <s v="Momentum Capital Investment S.A."/>
    <s v="14/04/2026"/>
    <s v="14/04/2026"/>
    <n v="35"/>
    <s v="No"/>
    <s v=""/>
    <m/>
    <m/>
    <s v="*MAV190801107"/>
    <s v="*MAV190801107"/>
    <n v="3.0893269480795432E-4"/>
  </r>
  <r>
    <x v="76"/>
    <s v="Pesos"/>
    <d v="2026-08-21T00:00:00"/>
    <s v="20/07/2026"/>
    <n v="0.97022867000000002"/>
    <m/>
    <n v="283000000"/>
    <n v="274574712.31"/>
    <n v="283000000"/>
    <n v="274574712.31"/>
    <n v="70390734"/>
    <s v="AMOMPY"/>
    <s v="Momentum Capital Investment S.A."/>
    <s v="02/07/2026"/>
    <s v="02/07/2026"/>
    <n v="35"/>
    <s v="No"/>
    <s v=""/>
    <m/>
    <m/>
    <s v="*MAV190801350"/>
    <s v="*MAV190801350"/>
    <n v="5.2667441885769087E-3"/>
  </r>
  <r>
    <x v="47"/>
    <s v="Pesos"/>
    <d v="2026-08-21T00:00:00"/>
    <s v="20/07/2026"/>
    <n v="0.97437278999999999"/>
    <m/>
    <n v="1606134"/>
    <n v="1564973.27"/>
    <n v="1606134"/>
    <n v="1564973.27"/>
    <n v="67237064"/>
    <s v="AMOMPY"/>
    <s v="Momentum Capital Investment S.A."/>
    <s v="16/06/2026"/>
    <s v="16/06/2026"/>
    <n v="30"/>
    <s v="No"/>
    <s v=""/>
    <m/>
    <m/>
    <s v="*MAV190801272"/>
    <s v="*MAV190801272"/>
    <n v="3.0018474045581353E-5"/>
  </r>
  <r>
    <x v="132"/>
    <s v="Pesos"/>
    <d v="2026-08-21T00:00:00"/>
    <s v="20/07/2026"/>
    <n v="0.97437273999999996"/>
    <m/>
    <n v="1070000"/>
    <n v="1042578.83"/>
    <n v="1070000"/>
    <n v="1042578.83"/>
    <n v="1246"/>
    <s v="AMOMPY"/>
    <s v="Momentum Capital Investment S.A."/>
    <s v="13/07/2026"/>
    <s v="13/07/2026"/>
    <n v="30"/>
    <s v="No"/>
    <s v=""/>
    <m/>
    <m/>
    <s v="*MAV190801388"/>
    <s v="*MAV190801388"/>
    <n v="1.9998185367618178E-5"/>
  </r>
  <r>
    <x v="0"/>
    <s v="Pesos"/>
    <d v="2026-08-24T00:00:00"/>
    <s v="20/07/2026"/>
    <n v="0.97294417"/>
    <m/>
    <n v="11923076.92"/>
    <n v="11600488.220000001"/>
    <n v="11923076.92"/>
    <n v="11600488.220000001"/>
    <n v="90021985"/>
    <s v="AMOMPY"/>
    <s v="Momentum Capital Investment S.A."/>
    <s v="30/04/2026"/>
    <s v="30/04/2026"/>
    <n v="29"/>
    <s v="No"/>
    <s v=""/>
    <m/>
    <m/>
    <s v="*NEU200800029"/>
    <s v="*NEU200800029"/>
    <n v="2.225143146043269E-4"/>
  </r>
  <r>
    <x v="68"/>
    <s v="Pesos"/>
    <d v="2026-08-24T00:00:00"/>
    <s v="20/07/2026"/>
    <n v="0.97294420000000004"/>
    <m/>
    <n v="200000000"/>
    <n v="194588840.22"/>
    <n v="200000000"/>
    <n v="194588840.22"/>
    <n v="90003855"/>
    <s v="AMOMPY"/>
    <s v="Momentum Capital Investment S.A."/>
    <s v="24/06/2026"/>
    <s v="24/06/2026"/>
    <n v="29"/>
    <s v="No"/>
    <s v=""/>
    <m/>
    <m/>
    <s v="*MAV200801416"/>
    <s v="*MAV200801416"/>
    <n v="3.7324982871457268E-3"/>
  </r>
  <r>
    <x v="17"/>
    <s v="Pesos"/>
    <d v="2026-08-24T00:00:00"/>
    <s v="20/07/2026"/>
    <n v="0.96932691000000004"/>
    <m/>
    <n v="1035000000"/>
    <n v="1003253351.54"/>
    <n v="1035000000"/>
    <n v="1003253351.54"/>
    <n v="157492"/>
    <s v="AMOMPY"/>
    <s v="Momentum Capital Investment S.A."/>
    <s v="20/07/2026"/>
    <s v="20/07/2026"/>
    <n v="33"/>
    <s v="No"/>
    <s v=""/>
    <m/>
    <m/>
    <s v="#MAV210860045"/>
    <s v="#MAV210860045"/>
    <n v="1.924386522866681E-2"/>
  </r>
  <r>
    <x v="154"/>
    <s v="Pesos"/>
    <d v="2026-08-24T00:00:00"/>
    <s v="20/07/2026"/>
    <n v="0.96306073000000003"/>
    <m/>
    <n v="7551944"/>
    <n v="7272980.6600000001"/>
    <n v="7551944"/>
    <n v="7272980.6600000001"/>
    <n v="1825"/>
    <s v="AMOMPY"/>
    <s v="Momentum Capital Investment S.A."/>
    <s v="16/04/2026"/>
    <s v="16/04/2026"/>
    <n v="40"/>
    <s v="No"/>
    <s v=""/>
    <m/>
    <m/>
    <s v="*MAV200801170"/>
    <s v="*MAV200801170"/>
    <n v="1.3950639628255448E-4"/>
  </r>
  <r>
    <x v="154"/>
    <s v="Pesos"/>
    <d v="2026-08-24T00:00:00"/>
    <s v="20/07/2026"/>
    <n v="0.96306073000000003"/>
    <m/>
    <n v="7551944"/>
    <n v="7272980.6600000001"/>
    <n v="7551944"/>
    <n v="7272980.6600000001"/>
    <n v="1826"/>
    <s v="AMOMPY"/>
    <s v="Momentum Capital Investment S.A."/>
    <s v="16/04/2026"/>
    <s v="16/04/2026"/>
    <n v="40"/>
    <s v="No"/>
    <s v=""/>
    <m/>
    <m/>
    <s v="*MAV200801171"/>
    <s v="*MAV200801171"/>
    <n v="1.3950639628255448E-4"/>
  </r>
  <r>
    <x v="134"/>
    <s v="Pesos"/>
    <d v="2026-08-24T00:00:00"/>
    <s v="20/07/2026"/>
    <n v="0.96932682999999997"/>
    <m/>
    <n v="5600000"/>
    <n v="5428230.2599999998"/>
    <n v="5600000"/>
    <n v="5428230.2599999998"/>
    <n v="3501251"/>
    <s v="AMOMPY"/>
    <s v="Momentum Capital Investment S.A."/>
    <s v="24/04/2026"/>
    <s v="24/04/2026"/>
    <n v="33"/>
    <s v="No"/>
    <s v=""/>
    <m/>
    <m/>
    <s v="*MAV200801181"/>
    <s v="*MAV200801181"/>
    <n v="1.0412138807536906E-4"/>
  </r>
  <r>
    <x v="130"/>
    <s v="Pesos"/>
    <d v="2026-08-24T00:00:00"/>
    <s v="20/07/2026"/>
    <n v="0.96932693999999997"/>
    <m/>
    <n v="175000000"/>
    <n v="169632214.55000001"/>
    <n v="175000000"/>
    <n v="169632214.55000001"/>
    <n v="70389145"/>
    <s v="AMOMPY"/>
    <s v="Momentum Capital Investment S.A."/>
    <s v="03/07/2026"/>
    <s v="03/07/2026"/>
    <n v="33"/>
    <s v="No"/>
    <s v=""/>
    <m/>
    <m/>
    <s v="*MAV200801501"/>
    <s v="*MAV200801501"/>
    <n v="3.2537937403644365E-3"/>
  </r>
  <r>
    <x v="160"/>
    <s v="Pesos"/>
    <d v="2026-08-24T00:00:00"/>
    <s v="20/07/2026"/>
    <n v="0.96484272000000004"/>
    <m/>
    <n v="7865231.25"/>
    <n v="7588711.1100000003"/>
    <n v="7865231.25"/>
    <n v="7588711.1100000003"/>
    <n v="90000558"/>
    <s v="AMOMPY"/>
    <s v="Momentum Capital Investment S.A."/>
    <s v="22/04/2026"/>
    <s v="22/04/2026"/>
    <n v="38"/>
    <s v="No"/>
    <s v=""/>
    <m/>
    <m/>
    <s v="*MAV200801174"/>
    <s v="*MAV200801174"/>
    <n v="1.4556256765647498E-4"/>
  </r>
  <r>
    <x v="63"/>
    <s v="Pesos"/>
    <d v="2026-08-24T00:00:00"/>
    <s v="20/07/2026"/>
    <n v="0.97750413999999997"/>
    <m/>
    <n v="6875000"/>
    <n v="6720340.9699999997"/>
    <n v="6875000"/>
    <n v="6720340.9699999997"/>
    <n v="50454431"/>
    <s v="AMOMPY"/>
    <s v="Momentum Capital Investment S.A."/>
    <s v="17/07/2026"/>
    <s v="17/07/2026"/>
    <n v="24"/>
    <s v="No"/>
    <s v=""/>
    <m/>
    <m/>
    <s v="*PRO200800017"/>
    <s v="*PRO200800017"/>
    <n v="1.2890595951546316E-4"/>
  </r>
  <r>
    <x v="7"/>
    <s v="Pesos"/>
    <d v="2026-08-24T00:00:00"/>
    <s v="20/07/2026"/>
    <n v="0.97203729999999999"/>
    <m/>
    <n v="7500000"/>
    <n v="7290279.7400000002"/>
    <n v="7500000"/>
    <n v="7290279.7400000002"/>
    <n v="510"/>
    <s v="AMOMPY"/>
    <s v="Momentum Capital Investment S.A."/>
    <s v="18/05/2026"/>
    <s v="18/05/2026"/>
    <n v="30"/>
    <s v="No"/>
    <s v=""/>
    <m/>
    <m/>
    <s v="*MAV200801228"/>
    <s v="*MAV200801228"/>
    <n v="1.3983821791423796E-4"/>
  </r>
  <r>
    <x v="143"/>
    <s v="Pesos"/>
    <d v="2026-08-24T00:00:00"/>
    <s v="20/07/2026"/>
    <n v="0.96932684999999996"/>
    <m/>
    <n v="2200000"/>
    <n v="2132519.08"/>
    <n v="2200000"/>
    <n v="2132519.08"/>
    <n v="6193"/>
    <s v="AMOMPY"/>
    <s v="Momentum Capital Investment S.A."/>
    <s v="03/06/2026"/>
    <s v="03/06/2026"/>
    <n v="33"/>
    <s v="No"/>
    <s v=""/>
    <m/>
    <m/>
    <s v="*MAV200801295"/>
    <s v="*MAV200801295"/>
    <n v="4.0904831974981292E-5"/>
  </r>
  <r>
    <x v="43"/>
    <s v="Pesos"/>
    <d v="2026-08-24T00:00:00"/>
    <s v="20/07/2026"/>
    <n v="0.97658875999999994"/>
    <m/>
    <n v="10000000"/>
    <n v="9765887.5899999999"/>
    <n v="10000000"/>
    <n v="9765887.5899999999"/>
    <n v="186"/>
    <s v="AMOMPY"/>
    <s v="Momentum Capital Investment S.A."/>
    <s v="17/07/2026"/>
    <s v="17/07/2026"/>
    <n v="25"/>
    <s v="No"/>
    <s v=""/>
    <m/>
    <m/>
    <s v="*MIL200800036"/>
    <s v="*MIL200800036"/>
    <n v="1.8732399381650783E-4"/>
  </r>
  <r>
    <x v="126"/>
    <s v="Pesos"/>
    <d v="2026-08-24T00:00:00"/>
    <s v="20/07/2026"/>
    <n v="0.97430775000000003"/>
    <m/>
    <n v="30000000"/>
    <n v="29229232.449999999"/>
    <n v="30000000"/>
    <n v="29229232.449999999"/>
    <n v="496"/>
    <s v="AMOMPY"/>
    <s v="Momentum Capital Investment S.A."/>
    <s v="06/07/2026"/>
    <s v="06/07/2026"/>
    <n v="27.5"/>
    <s v="No"/>
    <s v=""/>
    <m/>
    <m/>
    <s v="*NIO200800056"/>
    <s v="*NIO200800056"/>
    <n v="5.6065938792206288E-4"/>
  </r>
  <r>
    <x v="42"/>
    <s v="Pesos"/>
    <d v="2026-08-24T00:00:00"/>
    <s v="20/07/2026"/>
    <n v="0.96484276000000002"/>
    <m/>
    <n v="50000000"/>
    <n v="48242138.240000002"/>
    <n v="50000000"/>
    <n v="48242138.240000002"/>
    <n v="67105677"/>
    <s v="AMOMPY"/>
    <s v="Momentum Capital Investment S.A."/>
    <s v="26/05/2026"/>
    <s v="26/05/2026"/>
    <n v="38"/>
    <s v="No"/>
    <s v=""/>
    <m/>
    <m/>
    <s v="*MAV200801263"/>
    <s v="*MAV200801263"/>
    <n v="9.2535470248689155E-4"/>
  </r>
  <r>
    <x v="10"/>
    <s v="Pesos"/>
    <d v="2026-08-24T00:00:00"/>
    <s v="20/07/2026"/>
    <n v="0.96932684000000002"/>
    <m/>
    <n v="2500000"/>
    <n v="2423317.09"/>
    <n v="2500000"/>
    <n v="2423317.09"/>
    <n v="1197"/>
    <s v="AMOMPY"/>
    <s v="Momentum Capital Investment S.A."/>
    <s v="19/05/2026"/>
    <s v="19/05/2026"/>
    <n v="33"/>
    <s v="No"/>
    <s v=""/>
    <m/>
    <m/>
    <s v="*MAV200801233"/>
    <s v="*MAV200801233"/>
    <n v="4.6482762718610986E-5"/>
  </r>
  <r>
    <x v="43"/>
    <s v="Pesos"/>
    <d v="2026-08-24T00:00:00"/>
    <s v="20/07/2026"/>
    <n v="0.97294418999999999"/>
    <m/>
    <n v="10000000"/>
    <n v="9729441.8699999992"/>
    <n v="10000000"/>
    <n v="9729441.8699999992"/>
    <n v="2152"/>
    <s v="AMOMPY"/>
    <s v="Momentum Capital Investment S.A."/>
    <s v="27/04/2026"/>
    <s v="27/04/2026"/>
    <n v="29"/>
    <s v="No"/>
    <s v=""/>
    <m/>
    <m/>
    <s v="*MIL200800031"/>
    <s v="*MIL200800031"/>
    <n v="1.8662491165270028E-4"/>
  </r>
  <r>
    <x v="43"/>
    <s v="Pesos"/>
    <d v="2026-08-24T00:00:00"/>
    <s v="20/07/2026"/>
    <n v="0.97294415999999995"/>
    <m/>
    <n v="10000000"/>
    <n v="9729441.5800000001"/>
    <n v="10000000"/>
    <n v="9729441.5800000001"/>
    <n v="66412292"/>
    <s v="AMOMPY"/>
    <s v="Momentum Capital Investment S.A."/>
    <s v="22/04/2026"/>
    <s v="22/04/2026"/>
    <n v="29"/>
    <s v="No"/>
    <s v=""/>
    <m/>
    <m/>
    <s v="*MIL200800030"/>
    <s v="*MIL200800030"/>
    <n v="1.8662490609007657E-4"/>
  </r>
  <r>
    <x v="48"/>
    <s v="Pesos"/>
    <d v="2026-08-24T00:00:00"/>
    <s v="20/07/2026"/>
    <n v="0.96752824999999998"/>
    <m/>
    <n v="100000000"/>
    <n v="96752824.780000001"/>
    <n v="100000000"/>
    <n v="96752824.780000001"/>
    <n v="7413"/>
    <s v="AMOMPY"/>
    <s v="Momentum Capital Investment S.A."/>
    <s v="20/05/2026"/>
    <s v="20/05/2026"/>
    <n v="35"/>
    <s v="No"/>
    <s v=""/>
    <m/>
    <m/>
    <s v="*MAV200801245"/>
    <s v="*MAV200801245"/>
    <n v="1.8558605537685065E-3"/>
  </r>
  <r>
    <x v="11"/>
    <s v="Pesos"/>
    <d v="2026-08-24T00:00:00"/>
    <s v="20/07/2026"/>
    <n v="0.96842676999999999"/>
    <m/>
    <n v="100000000"/>
    <n v="96842676.969999999"/>
    <n v="100000000"/>
    <n v="96842676.969999999"/>
    <n v="768"/>
    <s v="AMOMPY"/>
    <s v="Momentum Capital Investment S.A."/>
    <s v="20/07/2026"/>
    <s v="20/07/2026"/>
    <n v="34"/>
    <s v="No"/>
    <s v=""/>
    <m/>
    <m/>
    <s v="*MAV200801631"/>
    <s v="*MAV200801631"/>
    <n v="1.8575840500640397E-3"/>
  </r>
  <r>
    <x v="97"/>
    <s v="Pesos"/>
    <d v="2026-08-24T00:00:00"/>
    <s v="20/07/2026"/>
    <n v="0.96932684999999996"/>
    <m/>
    <n v="10000000"/>
    <n v="9693268.5500000007"/>
    <n v="10000000"/>
    <n v="9693268.5500000007"/>
    <n v="3221"/>
    <s v="AMOMPY"/>
    <s v="Momentum Capital Investment S.A."/>
    <s v="03/06/2026"/>
    <s v="03/06/2026"/>
    <n v="33"/>
    <s v="No"/>
    <s v=""/>
    <m/>
    <m/>
    <s v="*MAV200801291"/>
    <s v="*MAV200801291"/>
    <n v="1.859310545189216E-4"/>
  </r>
  <r>
    <x v="161"/>
    <s v="Pesos"/>
    <d v="2026-08-24T00:00:00"/>
    <s v="20/07/2026"/>
    <n v="0.96663151999999997"/>
    <m/>
    <n v="15000000"/>
    <n v="14499472.800000001"/>
    <n v="15000000"/>
    <n v="14499472.800000001"/>
    <n v="29515959"/>
    <s v="AMOMPY"/>
    <s v="Momentum Capital Investment S.A."/>
    <s v="19/06/2026"/>
    <s v="19/06/2026"/>
    <n v="36"/>
    <s v="No"/>
    <s v=""/>
    <m/>
    <m/>
    <s v="*MAV200801378"/>
    <s v="*MAV200801378"/>
    <n v="2.7812107482283889E-4"/>
  </r>
  <r>
    <x v="103"/>
    <s v="Pesos"/>
    <d v="2026-08-24T00:00:00"/>
    <s v="20/07/2026"/>
    <n v="0.97203740000000005"/>
    <m/>
    <n v="2870567.11"/>
    <n v="2790298.59"/>
    <n v="2870567.11"/>
    <n v="2790298.59"/>
    <n v="97"/>
    <s v="AMOMPY"/>
    <s v="Momentum Capital Investment S.A."/>
    <s v="20/07/2026"/>
    <s v="20/07/2026"/>
    <n v="30"/>
    <s v="No"/>
    <s v=""/>
    <m/>
    <m/>
    <s v="*MAV200801632"/>
    <s v="*MAV200801632"/>
    <n v="5.3522004119174023E-5"/>
  </r>
  <r>
    <x v="0"/>
    <s v="Pesos"/>
    <d v="2026-08-25T00:00:00"/>
    <s v="20/07/2026"/>
    <n v="0.97219270999999996"/>
    <m/>
    <n v="40000000"/>
    <n v="38887708.299999997"/>
    <n v="40000000"/>
    <n v="38887708.299999997"/>
    <n v="80939847"/>
    <s v="AMOMPY"/>
    <s v="Momentum Capital Investment S.A."/>
    <s v="30/04/2026"/>
    <s v="30/04/2026"/>
    <n v="29"/>
    <s v="No"/>
    <s v=""/>
    <m/>
    <m/>
    <s v="*INP210800035"/>
    <s v="*INP210800035"/>
    <n v="7.4592306761615704E-4"/>
  </r>
  <r>
    <x v="0"/>
    <s v="Pesos"/>
    <d v="2026-08-25T00:00:00"/>
    <s v="20/07/2026"/>
    <n v="0.97687619999999997"/>
    <m/>
    <n v="10000000"/>
    <n v="9768762.0399999991"/>
    <n v="10000000"/>
    <n v="9768762.0399999991"/>
    <n v="4533"/>
    <s v="AMOMPY"/>
    <s v="Momentum Capital Investment S.A."/>
    <s v="17/07/2026"/>
    <s v="17/07/2026"/>
    <n v="24"/>
    <s v="No"/>
    <s v=""/>
    <m/>
    <m/>
    <s v="*INP210800046"/>
    <s v="*INP210800046"/>
    <n v="1.8737912996763217E-4"/>
  </r>
  <r>
    <x v="137"/>
    <s v="Pesos"/>
    <d v="2026-08-25T00:00:00"/>
    <s v="20/07/2026"/>
    <n v="0.96847802999999999"/>
    <m/>
    <n v="2000000"/>
    <n v="1936956.06"/>
    <n v="2000000"/>
    <n v="1936956.06"/>
    <n v="437"/>
    <s v="AMOMPY"/>
    <s v="Momentum Capital Investment S.A."/>
    <s v="24/06/2026"/>
    <s v="24/06/2026"/>
    <n v="33"/>
    <s v="No"/>
    <s v=""/>
    <m/>
    <m/>
    <s v="*MAV210801326"/>
    <s v="*MAV210801326"/>
    <n v="3.7153647496191112E-5"/>
  </r>
  <r>
    <x v="72"/>
    <s v="Pesos"/>
    <d v="2026-08-25T00:00:00"/>
    <s v="20/07/2026"/>
    <n v="0.96847813999999999"/>
    <m/>
    <n v="3000000"/>
    <n v="2905434.42"/>
    <n v="3000000"/>
    <n v="2905434.42"/>
    <n v="90015796"/>
    <s v="AMOMPY"/>
    <s v="Momentum Capital Investment S.A."/>
    <s v="29/05/2026"/>
    <s v="29/05/2026"/>
    <n v="33"/>
    <s v="No"/>
    <s v=""/>
    <m/>
    <m/>
    <s v="*MAV210801180"/>
    <s v="*MAV210801180"/>
    <n v="5.5730477574168861E-5"/>
  </r>
  <r>
    <x v="157"/>
    <s v="Pesos"/>
    <d v="2026-08-25T00:00:00"/>
    <s v="20/07/2026"/>
    <n v="0.96940408"/>
    <m/>
    <n v="1000000"/>
    <n v="969404.08"/>
    <n v="1000000"/>
    <n v="969404.08"/>
    <n v="67277769"/>
    <s v="AMOMPY"/>
    <s v="Momentum Capital Investment S.A."/>
    <s v="04/06/2026"/>
    <s v="04/06/2026"/>
    <n v="32"/>
    <s v="No"/>
    <s v=""/>
    <m/>
    <m/>
    <s v="*MAV210801221"/>
    <s v="*MAV210801221"/>
    <n v="1.8594586740232736E-5"/>
  </r>
  <r>
    <x v="21"/>
    <s v="Pesos"/>
    <d v="2026-08-25T00:00:00"/>
    <s v="20/07/2026"/>
    <n v="0.96847804000000004"/>
    <m/>
    <n v="10000000"/>
    <n v="9684780.4100000001"/>
    <n v="10000000"/>
    <n v="9684780.4100000001"/>
    <n v="29692617"/>
    <s v="AMOMPY"/>
    <s v="Momentum Capital Investment S.A."/>
    <s v="16/07/2026"/>
    <s v="16/07/2026"/>
    <n v="33"/>
    <s v="No"/>
    <s v=""/>
    <m/>
    <m/>
    <s v="*MAV210801547"/>
    <s v="*MAV210801547"/>
    <n v="1.8576823959091628E-4"/>
  </r>
  <r>
    <x v="22"/>
    <s v="Pesos"/>
    <d v="2026-08-25T00:00:00"/>
    <s v="20/07/2026"/>
    <n v="0.96847810000000001"/>
    <m/>
    <n v="4486536.05"/>
    <n v="4345111.8899999997"/>
    <n v="4486536.05"/>
    <n v="4345111.8899999997"/>
    <n v="14051794"/>
    <s v="AMOMPY"/>
    <s v="Momentum Capital Investment S.A."/>
    <s v="06/07/2026"/>
    <s v="06/07/2026"/>
    <n v="33"/>
    <s v="No"/>
    <s v=""/>
    <m/>
    <m/>
    <s v="*MAV210801441"/>
    <s v="*MAV210801441"/>
    <n v="8.3345595094484862E-5"/>
  </r>
  <r>
    <x v="6"/>
    <s v="Pesos"/>
    <d v="2026-08-25T00:00:00"/>
    <s v="20/07/2026"/>
    <n v="0.98065563"/>
    <m/>
    <n v="2500000"/>
    <n v="2451639.08"/>
    <n v="2500000"/>
    <n v="2451639.08"/>
    <n v="6136"/>
    <s v="AMOMPY"/>
    <s v="Momentum Capital Investment S.A."/>
    <s v="29/05/2026"/>
    <s v="29/05/2026"/>
    <n v="20"/>
    <s v="No"/>
    <s v=""/>
    <m/>
    <m/>
    <s v="*ACI210800309"/>
    <s v="*ACI210800309"/>
    <n v="4.7026019870686321E-5"/>
  </r>
  <r>
    <x v="63"/>
    <s v="Pesos"/>
    <d v="2026-08-25T00:00:00"/>
    <s v="20/07/2026"/>
    <n v="0.97687617999999998"/>
    <m/>
    <n v="34261895.340000004"/>
    <n v="33469629.43"/>
    <n v="34261895.340000004"/>
    <n v="33469629.43"/>
    <n v="76337349"/>
    <s v="AMOMPY"/>
    <s v="Momentum Capital Investment S.A."/>
    <s v="13/07/2026"/>
    <s v="13/07/2026"/>
    <n v="24"/>
    <s v="No"/>
    <s v=""/>
    <m/>
    <m/>
    <s v="*PRO210800019"/>
    <s v="*PRO210800019"/>
    <n v="6.4199639803412154E-4"/>
  </r>
  <r>
    <x v="63"/>
    <s v="Pesos"/>
    <d v="2026-08-25T00:00:00"/>
    <s v="20/07/2026"/>
    <n v="0.97687619999999997"/>
    <m/>
    <n v="3000000"/>
    <n v="2930628.61"/>
    <n v="3000000"/>
    <n v="2930628.61"/>
    <n v="16821010"/>
    <s v="AMOMPY"/>
    <s v="Momentum Capital Investment S.A."/>
    <s v="17/07/2026"/>
    <s v="17/07/2026"/>
    <n v="24"/>
    <s v="No"/>
    <s v=""/>
    <m/>
    <m/>
    <s v="*PRO210800022"/>
    <s v="*PRO210800022"/>
    <n v="5.6213738951926733E-5"/>
  </r>
  <r>
    <x v="63"/>
    <s v="Pesos"/>
    <d v="2026-08-25T00:00:00"/>
    <s v="20/07/2026"/>
    <n v="0.97687619999999997"/>
    <m/>
    <n v="6875000"/>
    <n v="6716023.9000000004"/>
    <n v="6875000"/>
    <n v="6716023.9000000004"/>
    <n v="50454432"/>
    <s v="AMOMPY"/>
    <s v="Momentum Capital Investment S.A."/>
    <s v="17/07/2026"/>
    <s v="17/07/2026"/>
    <n v="24"/>
    <s v="No"/>
    <s v=""/>
    <m/>
    <m/>
    <s v="*PRO210800021"/>
    <s v="*PRO210800021"/>
    <n v="1.2882315180479348E-4"/>
  </r>
  <r>
    <x v="29"/>
    <s v="Pesos"/>
    <d v="2026-08-25T00:00:00"/>
    <s v="20/07/2026"/>
    <n v="0.96663149000000004"/>
    <m/>
    <n v="15000000"/>
    <n v="14499472.41"/>
    <n v="15000000"/>
    <n v="14499472.41"/>
    <n v="4267"/>
    <s v="AMOMPY"/>
    <s v="Momentum Capital Investment S.A."/>
    <s v="09/06/2026"/>
    <s v="09/06/2026"/>
    <n v="35"/>
    <s v="No"/>
    <s v=""/>
    <m/>
    <m/>
    <s v="*MAV210801237"/>
    <s v="*MAV210801237"/>
    <n v="2.7812106734206898E-4"/>
  </r>
  <r>
    <x v="143"/>
    <s v="Pesos"/>
    <d v="2026-08-25T00:00:00"/>
    <s v="20/07/2026"/>
    <n v="0.96847806000000003"/>
    <m/>
    <n v="2200000"/>
    <n v="2130651.7400000002"/>
    <n v="2200000"/>
    <n v="2130651.7400000002"/>
    <n v="6194"/>
    <s v="AMOMPY"/>
    <s v="Momentum Capital Investment S.A."/>
    <s v="03/06/2026"/>
    <s v="03/06/2026"/>
    <n v="33"/>
    <s v="No"/>
    <s v=""/>
    <m/>
    <m/>
    <s v="*MAV210801215"/>
    <s v="*MAV210801215"/>
    <n v="4.0869013665238359E-5"/>
  </r>
  <r>
    <x v="25"/>
    <s v="Pesos"/>
    <d v="2026-08-25T00:00:00"/>
    <s v="20/07/2026"/>
    <n v="0.96847808000000002"/>
    <m/>
    <n v="50000000"/>
    <n v="48423904.240000002"/>
    <n v="50000000"/>
    <n v="48423904.240000002"/>
    <n v="29007567"/>
    <s v="AMOMPY"/>
    <s v="Momentum Capital Investment S.A."/>
    <s v="31/03/2026"/>
    <s v="31/03/2026"/>
    <n v="33"/>
    <s v="No"/>
    <s v=""/>
    <m/>
    <m/>
    <s v="*MAV210801063"/>
    <s v="*MAV210801063"/>
    <n v="9.2884123996198151E-4"/>
  </r>
  <r>
    <x v="162"/>
    <s v="Pesos"/>
    <d v="2026-08-25T00:00:00"/>
    <s v="20/07/2026"/>
    <n v="0.96387462999999995"/>
    <m/>
    <n v="15000000"/>
    <n v="14458119.460000001"/>
    <n v="15000000"/>
    <n v="14458119.460000001"/>
    <n v="16806006"/>
    <s v="AMOMPY"/>
    <s v="Momentum Capital Investment S.A."/>
    <s v="26/06/2026"/>
    <s v="26/06/2026"/>
    <n v="38"/>
    <s v="No"/>
    <s v=""/>
    <m/>
    <m/>
    <s v="*MAV210801341"/>
    <s v="*MAV210801341"/>
    <n v="2.773278573364545E-4"/>
  </r>
  <r>
    <x v="131"/>
    <s v="Pesos"/>
    <d v="2026-08-25T00:00:00"/>
    <s v="20/07/2026"/>
    <n v="0.96663140000000003"/>
    <m/>
    <n v="50000000"/>
    <n v="48331570.060000002"/>
    <n v="50000000"/>
    <n v="48331570.060000002"/>
    <n v="2992"/>
    <s v="AMOMPY"/>
    <s v="Momentum Capital Investment S.A."/>
    <s v="02/07/2026"/>
    <s v="02/07/2026"/>
    <n v="35"/>
    <s v="No"/>
    <s v=""/>
    <m/>
    <m/>
    <s v="*MAV210801387"/>
    <s v="*MAV210801387"/>
    <n v="9.2707013547158339E-4"/>
  </r>
  <r>
    <x v="9"/>
    <s v="Pesos"/>
    <d v="2026-08-25T00:00:00"/>
    <s v="20/07/2026"/>
    <n v="0.96663136000000005"/>
    <m/>
    <n v="10000000"/>
    <n v="9666313.5899999999"/>
    <n v="10000000"/>
    <n v="9666313.5899999999"/>
    <n v="161"/>
    <s v="AMOMPY"/>
    <s v="Momentum Capital Investment S.A."/>
    <s v="23/04/2026"/>
    <s v="23/04/2026"/>
    <n v="35"/>
    <s v="No"/>
    <s v=""/>
    <m/>
    <m/>
    <s v="*MAV210801077"/>
    <s v="*MAV210801077"/>
    <n v="1.8541401899974005E-4"/>
  </r>
  <r>
    <x v="43"/>
    <s v="Pesos"/>
    <d v="2026-08-25T00:00:00"/>
    <s v="20/07/2026"/>
    <n v="0.97499743000000005"/>
    <m/>
    <n v="40000000"/>
    <n v="38999897.310000002"/>
    <n v="40000000"/>
    <n v="38999897.310000002"/>
    <n v="1479"/>
    <s v="AMOMPY"/>
    <s v="Momentum Capital Investment S.A."/>
    <s v="07/07/2026"/>
    <s v="07/07/2026"/>
    <n v="26"/>
    <s v="No"/>
    <s v=""/>
    <m/>
    <m/>
    <s v="*MIL210800031"/>
    <s v="*MIL210800031"/>
    <n v="7.4807501675768114E-4"/>
  </r>
  <r>
    <x v="43"/>
    <s v="Pesos"/>
    <d v="2026-08-25T00:00:00"/>
    <s v="20/07/2026"/>
    <n v="0.97219264000000005"/>
    <m/>
    <n v="10000000"/>
    <n v="9721926.3800000008"/>
    <n v="10000000"/>
    <n v="9721926.3800000008"/>
    <n v="2153"/>
    <s v="AMOMPY"/>
    <s v="Momentum Capital Investment S.A."/>
    <s v="27/04/2026"/>
    <s v="27/04/2026"/>
    <n v="29"/>
    <s v="No"/>
    <s v=""/>
    <m/>
    <m/>
    <s v="*MIL210800022"/>
    <s v="*MIL210800022"/>
    <n v="1.8648075357292378E-4"/>
  </r>
  <r>
    <x v="43"/>
    <s v="Pesos"/>
    <d v="2026-08-25T00:00:00"/>
    <s v="20/07/2026"/>
    <n v="0.97219266000000004"/>
    <m/>
    <n v="5500000"/>
    <n v="5347059.62"/>
    <n v="5500000"/>
    <n v="5347059.62"/>
    <n v="66554072"/>
    <s v="AMOMPY"/>
    <s v="Momentum Capital Investment S.A."/>
    <s v="28/04/2026"/>
    <s v="28/04/2026"/>
    <n v="29"/>
    <s v="No"/>
    <s v=""/>
    <m/>
    <m/>
    <s v="*MIL210800023"/>
    <s v="*MIL210800023"/>
    <n v="1.0256441659425026E-4"/>
  </r>
  <r>
    <x v="43"/>
    <s v="Pesos"/>
    <d v="2026-08-25T00:00:00"/>
    <s v="20/07/2026"/>
    <n v="0.97219264999999999"/>
    <m/>
    <n v="12500000"/>
    <n v="12152408.15"/>
    <n v="12500000"/>
    <n v="12152408.15"/>
    <n v="4956"/>
    <s v="AMOMPY"/>
    <s v="Momentum Capital Investment S.A."/>
    <s v="24/04/2026"/>
    <s v="24/04/2026"/>
    <n v="29"/>
    <s v="No"/>
    <s v=""/>
    <m/>
    <m/>
    <s v="*MIL210800021"/>
    <s v="*MIL210800021"/>
    <n v="2.3310094532291042E-4"/>
  </r>
  <r>
    <x v="43"/>
    <s v="Pesos"/>
    <d v="2026-08-25T00:00:00"/>
    <s v="20/07/2026"/>
    <n v="0.97219268999999997"/>
    <m/>
    <n v="10000000"/>
    <n v="9721926.8699999992"/>
    <n v="10000000"/>
    <n v="9721926.8699999992"/>
    <n v="66412351"/>
    <s v="AMOMPY"/>
    <s v="Momentum Capital Investment S.A."/>
    <s v="22/04/2026"/>
    <s v="22/04/2026"/>
    <n v="29"/>
    <s v="No"/>
    <s v=""/>
    <m/>
    <m/>
    <s v="*MIL210800020"/>
    <s v="*MIL210800020"/>
    <n v="1.8648076297183972E-4"/>
  </r>
  <r>
    <x v="139"/>
    <s v="Pesos"/>
    <d v="2026-08-25T00:00:00"/>
    <s v="20/07/2026"/>
    <n v="0.97126135999999996"/>
    <m/>
    <n v="2200000"/>
    <n v="2136775"/>
    <n v="2200000"/>
    <n v="2136775"/>
    <n v="9792"/>
    <s v="AMOMPY"/>
    <s v="Momentum Capital Investment S.A."/>
    <s v="13/07/2026"/>
    <s v="13/07/2026"/>
    <n v="30"/>
    <s v="No"/>
    <s v=""/>
    <m/>
    <m/>
    <s v="*MAV210801491"/>
    <s v="*MAV210801491"/>
    <n v="4.0986466739299062E-5"/>
  </r>
  <r>
    <x v="1"/>
    <s v="Pesos"/>
    <d v="2026-08-25T00:00:00"/>
    <s v="20/07/2026"/>
    <n v="0.97312577"/>
    <m/>
    <n v="10000000"/>
    <n v="9731257.6999999993"/>
    <n v="10000000"/>
    <n v="9731257.6999999993"/>
    <n v="360532"/>
    <s v="AMOMPY"/>
    <s v="Momentum Capital Investment S.A."/>
    <s v="21/04/2026"/>
    <s v="21/04/2026"/>
    <n v="28"/>
    <s v="No"/>
    <s v=""/>
    <m/>
    <m/>
    <s v="*MOV210800042"/>
    <s v="*MOV210800042"/>
    <n v="1.8665974192537722E-4"/>
  </r>
  <r>
    <x v="161"/>
    <s v="Pesos"/>
    <d v="2026-08-25T00:00:00"/>
    <s v="20/07/2026"/>
    <n v="0.96571077000000005"/>
    <m/>
    <n v="15000000"/>
    <n v="14485661.6"/>
    <n v="15000000"/>
    <n v="14485661.6"/>
    <n v="29515957"/>
    <s v="AMOMPY"/>
    <s v="Momentum Capital Investment S.A."/>
    <s v="19/06/2026"/>
    <s v="19/06/2026"/>
    <n v="36"/>
    <s v="No"/>
    <s v=""/>
    <m/>
    <m/>
    <s v="*MAV210801298"/>
    <s v="*MAV210801298"/>
    <n v="2.7785615582601896E-4"/>
  </r>
  <r>
    <x v="113"/>
    <s v="Pesos"/>
    <d v="2026-08-25T00:00:00"/>
    <s v="20/07/2026"/>
    <n v="0.97033190000000002"/>
    <m/>
    <n v="11957120"/>
    <n v="11602374.93"/>
    <n v="11957120"/>
    <n v="11602374.93"/>
    <n v="99486215"/>
    <s v="AMOMPY"/>
    <s v="Momentum Capital Investment S.A."/>
    <s v="07/07/2026"/>
    <s v="07/07/2026"/>
    <n v="31"/>
    <s v="No"/>
    <s v=""/>
    <m/>
    <m/>
    <s v="*MAV210801460"/>
    <s v="*MAV210801460"/>
    <n v="2.2255050445897312E-4"/>
  </r>
  <r>
    <x v="52"/>
    <s v="Pesos"/>
    <d v="2026-08-25T00:00:00"/>
    <s v="20/07/2026"/>
    <n v="0.97126142999999998"/>
    <m/>
    <n v="3533450.77"/>
    <n v="3431904.44"/>
    <n v="3533450.77"/>
    <n v="3431904.44"/>
    <n v="9755703"/>
    <s v="AMOMPY"/>
    <s v="Momentum Capital Investment S.A."/>
    <s v="16/06/2026"/>
    <s v="16/06/2026"/>
    <n v="30"/>
    <s v="No"/>
    <s v=""/>
    <m/>
    <m/>
    <s v="*MAV210801275"/>
    <s v="*MAV210801275"/>
    <n v="6.582894183173838E-5"/>
  </r>
  <r>
    <x v="163"/>
    <s v="Pesos"/>
    <d v="2026-08-25T00:00:00"/>
    <s v="20/07/2026"/>
    <n v="0.9712615"/>
    <m/>
    <n v="5519685.5800000001"/>
    <n v="5361058.09"/>
    <n v="5519685.5800000001"/>
    <n v="5361058.09"/>
    <n v="9910339"/>
    <s v="AMOMPY"/>
    <s v="Momentum Capital Investment S.A."/>
    <s v="15/07/2026"/>
    <s v="15/07/2026"/>
    <n v="30"/>
    <s v="No"/>
    <s v=""/>
    <m/>
    <m/>
    <s v="*MAV210801529"/>
    <s v="*MAV210801529"/>
    <n v="1.0283292770330763E-4"/>
  </r>
  <r>
    <x v="0"/>
    <s v="Pesos"/>
    <d v="2026-08-26T00:00:00"/>
    <s v="20/07/2026"/>
    <n v="0.97239989000000004"/>
    <m/>
    <n v="16545572.09"/>
    <n v="16088912.539999999"/>
    <n v="16545572.09"/>
    <n v="16088912.539999999"/>
    <n v="7610"/>
    <s v="AMOMPY"/>
    <s v="Momentum Capital Investment S.A."/>
    <s v="05/06/2026"/>
    <s v="05/06/2026"/>
    <n v="28"/>
    <s v="No"/>
    <s v=""/>
    <m/>
    <m/>
    <s v="*INP240800044"/>
    <s v="*INP240800044"/>
    <n v="3.0860885151323913E-4"/>
  </r>
  <r>
    <x v="0"/>
    <s v="Pesos"/>
    <d v="2026-08-26T00:00:00"/>
    <s v="20/07/2026"/>
    <n v="0.97624907000000005"/>
    <m/>
    <n v="10000000"/>
    <n v="9762490.7300000004"/>
    <n v="10000000"/>
    <n v="9762490.7300000004"/>
    <n v="4534"/>
    <s v="AMOMPY"/>
    <s v="Momentum Capital Investment S.A."/>
    <s v="17/07/2026"/>
    <s v="17/07/2026"/>
    <n v="24"/>
    <s v="No"/>
    <s v=""/>
    <m/>
    <m/>
    <s v="*INP240800046"/>
    <s v="*INP240800046"/>
    <n v="1.8725883707824197E-4"/>
  </r>
  <r>
    <x v="68"/>
    <s v="Pesos"/>
    <d v="2026-08-26T00:00:00"/>
    <s v="20/07/2026"/>
    <n v="0.97144238000000005"/>
    <m/>
    <n v="200000000"/>
    <n v="194288475.53999999"/>
    <n v="200000000"/>
    <n v="194288475.53999999"/>
    <n v="90003856"/>
    <s v="AMOMPY"/>
    <s v="Momentum Capital Investment S.A."/>
    <s v="24/06/2026"/>
    <s v="24/06/2026"/>
    <n v="29"/>
    <s v="No"/>
    <s v=""/>
    <m/>
    <m/>
    <s v="*MAV240800969"/>
    <s v="*MAV240800969"/>
    <n v="3.7267368536927515E-3"/>
  </r>
  <r>
    <x v="141"/>
    <s v="Pesos"/>
    <d v="2026-08-26T00:00:00"/>
    <s v="20/07/2026"/>
    <n v="0.96763078000000002"/>
    <m/>
    <n v="3900000"/>
    <n v="3773760.03"/>
    <n v="3900000"/>
    <n v="3773760.03"/>
    <n v="285"/>
    <s v="AMOMPY"/>
    <s v="Momentum Capital Investment S.A."/>
    <s v="27/05/2026"/>
    <s v="27/05/2026"/>
    <n v="33"/>
    <s v="No"/>
    <s v=""/>
    <m/>
    <m/>
    <s v="*MAV240800853"/>
    <s v="*MAV240800853"/>
    <n v="7.2386231564713755E-5"/>
  </r>
  <r>
    <x v="157"/>
    <s v="Pesos"/>
    <d v="2026-08-26T00:00:00"/>
    <s v="20/07/2026"/>
    <n v="0.96858087000000004"/>
    <m/>
    <n v="1000000"/>
    <n v="968580.87"/>
    <n v="1000000"/>
    <n v="968580.87"/>
    <n v="67381469"/>
    <s v="AMOMPY"/>
    <s v="Momentum Capital Investment S.A."/>
    <s v="04/06/2026"/>
    <s v="04/06/2026"/>
    <n v="32"/>
    <s v="No"/>
    <s v=""/>
    <m/>
    <m/>
    <s v="*MAV240800890"/>
    <s v="*MAV240800890"/>
    <n v="1.8578796369564579E-5"/>
  </r>
  <r>
    <x v="157"/>
    <s v="Pesos"/>
    <d v="2026-08-26T00:00:00"/>
    <s v="20/07/2026"/>
    <n v="0.96858087000000004"/>
    <m/>
    <n v="1000000"/>
    <n v="968580.87"/>
    <n v="1000000"/>
    <n v="968580.87"/>
    <n v="67277847"/>
    <s v="AMOMPY"/>
    <s v="Momentum Capital Investment S.A."/>
    <s v="04/06/2026"/>
    <s v="04/06/2026"/>
    <n v="32"/>
    <s v="No"/>
    <s v=""/>
    <m/>
    <m/>
    <s v="*MAV220801234"/>
    <s v="*MAV220801234"/>
    <n v="1.8578796369564579E-5"/>
  </r>
  <r>
    <x v="69"/>
    <s v="Pesos"/>
    <d v="2026-08-26T00:00:00"/>
    <s v="20/07/2026"/>
    <n v="0.97624904999999995"/>
    <m/>
    <n v="169949.7"/>
    <n v="165913.23000000001"/>
    <n v="169949.7"/>
    <n v="165913.23000000001"/>
    <n v="612232"/>
    <s v="AMOMPY"/>
    <s v="Momentum Capital Investment S.A."/>
    <s v="29/05/2026"/>
    <s v="29/05/2026"/>
    <n v="24"/>
    <s v="No"/>
    <s v=""/>
    <m/>
    <m/>
    <s v="*MAV240800868"/>
    <s v="*MAV240800868"/>
    <n v="3.1824581825436352E-6"/>
  </r>
  <r>
    <x v="69"/>
    <s v="Pesos"/>
    <d v="2026-08-26T00:00:00"/>
    <s v="20/07/2026"/>
    <n v="0.97624904999999995"/>
    <m/>
    <n v="169949.7"/>
    <n v="165913.23000000001"/>
    <n v="169949.7"/>
    <n v="165913.23000000001"/>
    <n v="612239"/>
    <s v="AMOMPY"/>
    <s v="Momentum Capital Investment S.A."/>
    <s v="29/05/2026"/>
    <s v="29/05/2026"/>
    <n v="24"/>
    <s v="No"/>
    <s v=""/>
    <m/>
    <m/>
    <s v="*MAV240800866"/>
    <s v="*MAV240800866"/>
    <n v="3.1824581825436352E-6"/>
  </r>
  <r>
    <x v="69"/>
    <s v="Pesos"/>
    <d v="2026-08-26T00:00:00"/>
    <s v="20/07/2026"/>
    <n v="0.97624911999999997"/>
    <m/>
    <n v="2382065.5699999998"/>
    <n v="2325489.42"/>
    <n v="2382065.5699999998"/>
    <n v="2325489.42"/>
    <n v="612234"/>
    <s v="AMOMPY"/>
    <s v="Momentum Capital Investment S.A."/>
    <s v="29/05/2026"/>
    <s v="29/05/2026"/>
    <n v="24"/>
    <s v="No"/>
    <s v=""/>
    <m/>
    <m/>
    <s v="*MAV240800867"/>
    <s v="*MAV240800867"/>
    <n v="4.4606285062967263E-5"/>
  </r>
  <r>
    <x v="0"/>
    <s v="Pesos"/>
    <d v="2026-08-26T00:00:00"/>
    <s v="20/07/2026"/>
    <n v="0.97048663000000002"/>
    <m/>
    <n v="1040000"/>
    <n v="1009306.09"/>
    <n v="1040000"/>
    <n v="1009306.09"/>
    <n v="10601549"/>
    <s v="AMOMPY"/>
    <s v="Momentum Capital Investment S.A."/>
    <s v="30/04/2026"/>
    <s v="30/04/2026"/>
    <n v="30"/>
    <s v="No"/>
    <s v=""/>
    <m/>
    <m/>
    <s v="*INP220800066"/>
    <s v="*INP220800066"/>
    <n v="1.9359965596544788E-5"/>
  </r>
  <r>
    <x v="85"/>
    <s v="Pesos"/>
    <d v="2026-08-26T00:00:00"/>
    <s v="20/07/2026"/>
    <n v="0.96290830000000005"/>
    <m/>
    <n v="4500000"/>
    <n v="4333087.3499999996"/>
    <n v="4500000"/>
    <n v="4333087.3499999996"/>
    <n v="555"/>
    <s v="AMOMPY"/>
    <s v="Momentum Capital Investment S.A."/>
    <s v="22/04/2026"/>
    <s v="22/04/2026"/>
    <n v="38"/>
    <s v="No"/>
    <s v=""/>
    <m/>
    <m/>
    <s v="*MAV230801002"/>
    <s v="*MAV230801002"/>
    <n v="8.3114946847118916E-5"/>
  </r>
  <r>
    <x v="120"/>
    <s v="Pesos"/>
    <d v="2026-08-26T00:00:00"/>
    <s v="20/07/2026"/>
    <n v="0.96290825000000002"/>
    <m/>
    <n v="2398145.2000000002"/>
    <n v="2309193.81"/>
    <n v="2398145.2000000002"/>
    <n v="2309193.81"/>
    <n v="13270645"/>
    <s v="AMOMPY"/>
    <s v="Momentum Capital Investment S.A."/>
    <s v="24/04/2026"/>
    <s v="24/04/2026"/>
    <n v="38"/>
    <s v="No"/>
    <s v=""/>
    <m/>
    <m/>
    <s v="*MAV240800762"/>
    <s v="*MAV240800762"/>
    <n v="4.4293711452146474E-5"/>
  </r>
  <r>
    <x v="6"/>
    <s v="Pesos"/>
    <d v="2026-08-26T00:00:00"/>
    <s v="20/07/2026"/>
    <n v="0.98012895"/>
    <m/>
    <n v="2500000"/>
    <n v="2450322.37"/>
    <n v="2500000"/>
    <n v="2450322.37"/>
    <n v="6137"/>
    <s v="AMOMPY"/>
    <s v="Momentum Capital Investment S.A."/>
    <s v="29/05/2026"/>
    <s v="29/05/2026"/>
    <n v="20"/>
    <s v="No"/>
    <s v=""/>
    <m/>
    <m/>
    <s v="*ACI240800158"/>
    <s v="*ACI240800158"/>
    <n v="4.7000763448919735E-5"/>
  </r>
  <r>
    <x v="40"/>
    <s v="Pesos"/>
    <d v="2026-08-26T00:00:00"/>
    <s v="20/07/2026"/>
    <n v="0.97239989999999998"/>
    <m/>
    <n v="5000000"/>
    <n v="4861999.49"/>
    <n v="5000000"/>
    <n v="4861999.49"/>
    <n v="29175487"/>
    <s v="AMOMPY"/>
    <s v="Momentum Capital Investment S.A."/>
    <s v="04/05/2026"/>
    <s v="04/05/2026"/>
    <n v="28"/>
    <s v="No"/>
    <s v=""/>
    <m/>
    <m/>
    <s v="*CUY240800027"/>
    <s v="*CUY240800027"/>
    <n v="9.3260254534695524E-5"/>
  </r>
  <r>
    <x v="7"/>
    <s v="Pesos"/>
    <d v="2026-08-26T00:00:00"/>
    <s v="20/07/2026"/>
    <n v="0.97048663000000002"/>
    <m/>
    <n v="10000000"/>
    <n v="9704866.2599999998"/>
    <n v="10000000"/>
    <n v="9704866.2599999998"/>
    <n v="568"/>
    <s v="AMOMPY"/>
    <s v="Momentum Capital Investment S.A."/>
    <s v="01/06/2026"/>
    <s v="01/06/2026"/>
    <n v="30"/>
    <s v="No"/>
    <s v=""/>
    <m/>
    <m/>
    <s v="*MAV240800875"/>
    <s v="*MAV240800875"/>
    <n v="1.861535155432068E-4"/>
  </r>
  <r>
    <x v="7"/>
    <s v="Pesos"/>
    <d v="2026-08-26T00:00:00"/>
    <s v="20/07/2026"/>
    <n v="0.97048661999999997"/>
    <m/>
    <n v="10000000"/>
    <n v="9704866.2300000004"/>
    <n v="10000000"/>
    <n v="9704866.2300000004"/>
    <n v="502"/>
    <s v="AMOMPY"/>
    <s v="Momentum Capital Investment S.A."/>
    <s v="14/05/2026"/>
    <s v="14/05/2026"/>
    <n v="30"/>
    <s v="No"/>
    <s v=""/>
    <m/>
    <m/>
    <s v="*MAV220801199"/>
    <s v="*MAV220801199"/>
    <n v="1.8615351496776298E-4"/>
  </r>
  <r>
    <x v="7"/>
    <s v="Pesos"/>
    <d v="2026-08-26T00:00:00"/>
    <s v="20/07/2026"/>
    <n v="0.97048667"/>
    <m/>
    <n v="10000000"/>
    <n v="9704866.6699999999"/>
    <n v="10000000"/>
    <n v="9704866.6699999999"/>
    <n v="473"/>
    <s v="AMOMPY"/>
    <s v="Momentum Capital Investment S.A."/>
    <s v="12/05/2026"/>
    <s v="12/05/2026"/>
    <n v="30"/>
    <s v="No"/>
    <s v=""/>
    <m/>
    <m/>
    <s v="*MAV220801198"/>
    <s v="*MAV220801198"/>
    <n v="1.8615352340760588E-4"/>
  </r>
  <r>
    <x v="143"/>
    <s v="Pesos"/>
    <d v="2026-08-26T00:00:00"/>
    <s v="20/07/2026"/>
    <n v="0.96763089999999996"/>
    <m/>
    <n v="2200000"/>
    <n v="2128787.98"/>
    <n v="2200000"/>
    <n v="2128787.98"/>
    <n v="6195"/>
    <s v="AMOMPY"/>
    <s v="Momentum Capital Investment S.A."/>
    <s v="03/06/2026"/>
    <s v="03/06/2026"/>
    <n v="33"/>
    <s v="No"/>
    <s v=""/>
    <m/>
    <m/>
    <s v="*MAV240800885"/>
    <s v="*MAV240800885"/>
    <n v="4.0833264025126483E-5"/>
  </r>
  <r>
    <x v="7"/>
    <s v="Pesos"/>
    <d v="2026-08-26T00:00:00"/>
    <s v="20/07/2026"/>
    <n v="0.97048665000000001"/>
    <m/>
    <n v="10000000"/>
    <n v="9704866.4900000002"/>
    <n v="10000000"/>
    <n v="9704866.4900000002"/>
    <n v="670"/>
    <s v="AMOMPY"/>
    <s v="Momentum Capital Investment S.A."/>
    <s v="23/06/2026"/>
    <s v="23/06/2026"/>
    <n v="30"/>
    <s v="No"/>
    <s v=""/>
    <m/>
    <m/>
    <s v="*MAV240800956"/>
    <s v="*MAV240800956"/>
    <n v="1.8615351995494289E-4"/>
  </r>
  <r>
    <x v="162"/>
    <s v="Pesos"/>
    <d v="2026-08-26T00:00:00"/>
    <s v="20/07/2026"/>
    <n v="0.96290827000000001"/>
    <m/>
    <n v="15000000"/>
    <n v="14443624.07"/>
    <n v="15000000"/>
    <n v="14443624.07"/>
    <n v="16806010"/>
    <s v="AMOMPY"/>
    <s v="Momentum Capital Investment S.A."/>
    <s v="29/06/2026"/>
    <s v="29/06/2026"/>
    <n v="38"/>
    <s v="No"/>
    <s v=""/>
    <m/>
    <m/>
    <s v="*MAV240800993"/>
    <s v="*MAV240800993"/>
    <n v="2.770498145757014E-4"/>
  </r>
  <r>
    <x v="126"/>
    <s v="Pesos"/>
    <d v="2026-08-26T00:00:00"/>
    <s v="20/07/2026"/>
    <n v="0.97287933000000004"/>
    <m/>
    <n v="30000000"/>
    <n v="29186379.829999998"/>
    <n v="30000000"/>
    <n v="29186379.829999998"/>
    <n v="487"/>
    <s v="AMOMPY"/>
    <s v="Momentum Capital Investment S.A."/>
    <s v="06/07/2026"/>
    <s v="06/07/2026"/>
    <n v="27.5"/>
    <s v="No"/>
    <s v=""/>
    <m/>
    <m/>
    <s v="*NIO240800024"/>
    <s v="*NIO240800024"/>
    <n v="5.5983741205454206E-4"/>
  </r>
  <r>
    <x v="10"/>
    <s v="Pesos"/>
    <d v="2026-08-26T00:00:00"/>
    <s v="20/07/2026"/>
    <n v="0.96763087000000003"/>
    <m/>
    <n v="2500000"/>
    <n v="2419077.17"/>
    <n v="2500000"/>
    <n v="2419077.17"/>
    <n v="1198"/>
    <s v="AMOMPY"/>
    <s v="Momentum Capital Investment S.A."/>
    <s v="19/05/2026"/>
    <s v="19/05/2026"/>
    <n v="33"/>
    <s v="No"/>
    <s v=""/>
    <m/>
    <m/>
    <s v="*MAV240800820"/>
    <s v="*MAV240800820"/>
    <n v="4.640143485767229E-5"/>
  </r>
  <r>
    <x v="43"/>
    <s v="Pesos"/>
    <d v="2026-08-26T00:00:00"/>
    <s v="20/07/2026"/>
    <n v="0.97144233000000002"/>
    <m/>
    <n v="10000000"/>
    <n v="9714423.3000000007"/>
    <n v="10000000"/>
    <n v="9714423.3000000007"/>
    <n v="2154"/>
    <s v="AMOMPY"/>
    <s v="Momentum Capital Investment S.A."/>
    <s v="27/04/2026"/>
    <s v="27/04/2026"/>
    <n v="29"/>
    <s v="No"/>
    <s v=""/>
    <m/>
    <m/>
    <s v="*MIL240800017"/>
    <s v="*MIL240800017"/>
    <n v="1.8633683353508061E-4"/>
  </r>
  <r>
    <x v="43"/>
    <s v="Pesos"/>
    <d v="2026-08-26T00:00:00"/>
    <s v="20/07/2026"/>
    <n v="0.97432067"/>
    <m/>
    <n v="100000000"/>
    <n v="97432067.379999995"/>
    <n v="100000000"/>
    <n v="97432067.379999995"/>
    <n v="2830"/>
    <s v="AMOMPY"/>
    <s v="Momentum Capital Investment S.A."/>
    <s v="04/06/2026"/>
    <s v="04/06/2026"/>
    <n v="26"/>
    <s v="No"/>
    <s v=""/>
    <m/>
    <m/>
    <s v="*MIL240800021"/>
    <s v="*MIL240800021"/>
    <n v="1.8688894193406021E-3"/>
  </r>
  <r>
    <x v="43"/>
    <s v="Pesos"/>
    <d v="2026-08-26T00:00:00"/>
    <s v="20/07/2026"/>
    <n v="0.97144229999999998"/>
    <m/>
    <n v="10000000"/>
    <n v="9714422.9700000007"/>
    <n v="10000000"/>
    <n v="9714422.9700000007"/>
    <n v="66412396"/>
    <s v="AMOMPY"/>
    <s v="Momentum Capital Investment S.A."/>
    <s v="22/04/2026"/>
    <s v="22/04/2026"/>
    <n v="29"/>
    <s v="No"/>
    <s v=""/>
    <m/>
    <m/>
    <s v="*MIL240800016"/>
    <s v="*MIL240800016"/>
    <n v="1.8633682720519844E-4"/>
  </r>
  <r>
    <x v="44"/>
    <s v="Pesos"/>
    <d v="2026-08-26T00:00:00"/>
    <s v="20/07/2026"/>
    <n v="0.96196937000000005"/>
    <m/>
    <n v="10800428.970000001"/>
    <n v="10389681.859999999"/>
    <n v="10800428.970000001"/>
    <n v="10389681.859999999"/>
    <n v="53243195"/>
    <s v="AMOMPY"/>
    <s v="Momentum Capital Investment S.A."/>
    <s v="15/05/2026"/>
    <s v="15/05/2026"/>
    <n v="39"/>
    <s v="No"/>
    <s v=""/>
    <m/>
    <m/>
    <s v="*MAV230801012"/>
    <s v="*MAV230801012"/>
    <n v="1.992892793985276E-4"/>
  </r>
  <r>
    <x v="76"/>
    <s v="Pesos"/>
    <d v="2026-08-26T00:00:00"/>
    <s v="20/07/2026"/>
    <n v="0.96763089999999996"/>
    <m/>
    <n v="226000000"/>
    <n v="218684582.61000001"/>
    <n v="226000000"/>
    <n v="218684582.61000001"/>
    <n v="70390784"/>
    <s v="AMOMPY"/>
    <s v="Momentum Capital Investment S.A."/>
    <s v="08/07/2026"/>
    <s v="08/07/2026"/>
    <n v="33"/>
    <s v="No"/>
    <s v=""/>
    <m/>
    <m/>
    <s v="*MAV240801079"/>
    <s v="*MAV240801079"/>
    <n v="4.194689834700548E-3"/>
  </r>
  <r>
    <x v="50"/>
    <s v="Pesos"/>
    <d v="2026-08-26T00:00:00"/>
    <s v="20/07/2026"/>
    <n v="0.97048670000000004"/>
    <m/>
    <n v="2700000"/>
    <n v="2620314.08"/>
    <n v="2700000"/>
    <n v="2620314.08"/>
    <n v="6273"/>
    <s v="AMOMPY"/>
    <s v="Momentum Capital Investment S.A."/>
    <s v="17/06/2026"/>
    <s v="17/06/2026"/>
    <n v="30"/>
    <s v="No"/>
    <s v=""/>
    <m/>
    <m/>
    <s v="*MAV220801263"/>
    <s v="*MAV220801263"/>
    <n v="5.0261452837307175E-5"/>
  </r>
  <r>
    <x v="1"/>
    <s v="Pesos"/>
    <d v="2026-08-26T00:00:00"/>
    <s v="20/07/2026"/>
    <n v="0.97239984999999995"/>
    <m/>
    <n v="10000000"/>
    <n v="9723998.4600000009"/>
    <n v="10000000"/>
    <n v="9723998.4600000009"/>
    <n v="360558"/>
    <s v="AMOMPY"/>
    <s v="Momentum Capital Investment S.A."/>
    <s v="21/04/2026"/>
    <s v="21/04/2026"/>
    <n v="28"/>
    <s v="No"/>
    <s v=""/>
    <m/>
    <m/>
    <s v="*MOV230800052"/>
    <s v="*MOV230800052"/>
    <n v="1.8652049909503122E-4"/>
  </r>
  <r>
    <x v="13"/>
    <s v="Pesos"/>
    <d v="2026-08-26T00:00:00"/>
    <s v="20/07/2026"/>
    <n v="0.96858084"/>
    <m/>
    <n v="15000000"/>
    <n v="14528712.59"/>
    <n v="15000000"/>
    <n v="14528712.59"/>
    <n v="177"/>
    <s v="AMOMPY"/>
    <s v="Momentum Capital Investment S.A."/>
    <s v="17/04/2026"/>
    <s v="17/04/2026"/>
    <n v="32"/>
    <s v="No"/>
    <s v=""/>
    <m/>
    <m/>
    <s v="*NEU220800025"/>
    <s v="*NEU220800025"/>
    <n v="2.7868193671999652E-4"/>
  </r>
  <r>
    <x v="164"/>
    <s v="Pesos"/>
    <d v="2026-08-26T00:00:00"/>
    <s v="20/07/2026"/>
    <n v="0.96763080999999995"/>
    <m/>
    <n v="10000000"/>
    <n v="9676308.0600000005"/>
    <n v="10000000"/>
    <n v="9676308.0600000005"/>
    <n v="5743953"/>
    <s v="AMOMPY"/>
    <s v="Momentum Capital Investment S.A."/>
    <s v="03/07/2026"/>
    <s v="03/07/2026"/>
    <n v="33"/>
    <s v="No"/>
    <s v=""/>
    <m/>
    <m/>
    <s v="*MAV240801032"/>
    <s v="*MAV240801032"/>
    <n v="1.8560572753818325E-4"/>
  </r>
  <r>
    <x v="165"/>
    <s v="Pesos"/>
    <d v="2026-08-26T00:00:00"/>
    <s v="20/07/2026"/>
    <n v="0.97048679999999998"/>
    <m/>
    <n v="2219157.79"/>
    <n v="2153663.33"/>
    <n v="2219157.79"/>
    <n v="2153663.33"/>
    <n v="149"/>
    <s v="AMOMPY"/>
    <s v="Momentum Capital Investment S.A."/>
    <s v="13/07/2026"/>
    <s v="13/07/2026"/>
    <n v="30"/>
    <s v="No"/>
    <s v=""/>
    <m/>
    <m/>
    <s v="*MAV230801069"/>
    <s v="*MAV230801069"/>
    <n v="4.1310409585797789E-5"/>
  </r>
  <r>
    <x v="165"/>
    <s v="Pesos"/>
    <d v="2026-08-26T00:00:00"/>
    <s v="20/07/2026"/>
    <n v="0.97048679999999998"/>
    <m/>
    <n v="2219157.79"/>
    <n v="2153663.33"/>
    <n v="2219157.79"/>
    <n v="2153663.33"/>
    <n v="150"/>
    <s v="AMOMPY"/>
    <s v="Momentum Capital Investment S.A."/>
    <s v="13/07/2026"/>
    <s v="13/07/2026"/>
    <n v="30"/>
    <s v="No"/>
    <s v=""/>
    <m/>
    <m/>
    <s v="*MAV240801091"/>
    <s v="*MAV240801091"/>
    <n v="4.1310409585797789E-5"/>
  </r>
  <r>
    <x v="166"/>
    <s v="Pesos"/>
    <d v="2026-08-26T00:00:00"/>
    <s v="20/07/2026"/>
    <n v="0.97048679999999998"/>
    <m/>
    <n v="5300000"/>
    <n v="5143580.0199999996"/>
    <n v="5300000"/>
    <n v="5143580.0199999996"/>
    <n v="21"/>
    <s v="AMOMPY"/>
    <s v="Momentum Capital Investment S.A."/>
    <s v="13/07/2026"/>
    <s v="13/07/2026"/>
    <n v="30"/>
    <s v="No"/>
    <s v=""/>
    <m/>
    <m/>
    <s v="*MAV230801070"/>
    <s v="*MAV230801070"/>
    <n v="9.8661380543413888E-5"/>
  </r>
  <r>
    <x v="167"/>
    <s v="Pesos"/>
    <d v="2026-08-26T00:00:00"/>
    <s v="20/07/2026"/>
    <n v="0.97048681999999997"/>
    <m/>
    <n v="830000"/>
    <n v="805504.06"/>
    <n v="830000"/>
    <n v="805504.06"/>
    <n v="62"/>
    <s v="AMOMPY"/>
    <s v="Momentum Capital Investment S.A."/>
    <s v="20/07/2026"/>
    <s v="20/07/2026"/>
    <n v="30"/>
    <s v="No"/>
    <s v=""/>
    <m/>
    <m/>
    <s v="*MAV240801148"/>
    <s v="*MAV240801148"/>
    <n v="1.5450744867176171E-5"/>
  </r>
  <r>
    <x v="168"/>
    <s v="Pesos"/>
    <d v="2026-08-26T00:00:00"/>
    <s v="20/07/2026"/>
    <n v="0.97048670000000004"/>
    <m/>
    <n v="969231"/>
    <n v="940625.8"/>
    <n v="969231"/>
    <n v="940625.8"/>
    <n v="1400"/>
    <s v="AMOMPY"/>
    <s v="Momentum Capital Investment S.A."/>
    <s v="15/07/2026"/>
    <s v="15/07/2026"/>
    <n v="30"/>
    <s v="No"/>
    <s v=""/>
    <m/>
    <m/>
    <s v="*MAV230801082"/>
    <s v="*MAV230801082"/>
    <n v="1.804257727922995E-5"/>
  </r>
  <r>
    <x v="168"/>
    <s v="Pesos"/>
    <d v="2026-08-26T00:00:00"/>
    <s v="20/07/2026"/>
    <n v="0.97048670000000004"/>
    <m/>
    <n v="969231"/>
    <n v="940625.8"/>
    <n v="969231"/>
    <n v="940625.8"/>
    <n v="1401"/>
    <s v="AMOMPY"/>
    <s v="Momentum Capital Investment S.A."/>
    <s v="15/07/2026"/>
    <s v="15/07/2026"/>
    <n v="30"/>
    <s v="No"/>
    <s v=""/>
    <m/>
    <m/>
    <s v="*MAV240801111"/>
    <s v="*MAV240801111"/>
    <n v="1.804257727922995E-5"/>
  </r>
  <r>
    <x v="0"/>
    <s v="Pesos"/>
    <d v="2026-08-27T00:00:00"/>
    <s v="20/07/2026"/>
    <n v="0.97562296000000004"/>
    <m/>
    <n v="10000000"/>
    <n v="9756229.5700000003"/>
    <n v="10000000"/>
    <n v="9756229.5700000003"/>
    <n v="4535"/>
    <s v="AMOMPY"/>
    <s v="Momentum Capital Investment S.A."/>
    <s v="17/07/2026"/>
    <s v="17/07/2026"/>
    <n v="24"/>
    <s v="No"/>
    <s v=""/>
    <m/>
    <m/>
    <s v="*INP250800096"/>
    <s v="*INP250800096"/>
    <n v="1.8713873888068282E-4"/>
  </r>
  <r>
    <x v="68"/>
    <s v="Pesos"/>
    <d v="2026-08-27T00:00:00"/>
    <s v="20/07/2026"/>
    <n v="0.97069311999999996"/>
    <m/>
    <n v="200000000"/>
    <n v="194138624.75999999"/>
    <n v="200000000"/>
    <n v="194138624.75999999"/>
    <n v="90003857"/>
    <s v="AMOMPY"/>
    <s v="Momentum Capital Investment S.A."/>
    <s v="24/06/2026"/>
    <s v="24/06/2026"/>
    <n v="29"/>
    <s v="No"/>
    <s v=""/>
    <m/>
    <m/>
    <s v="*MAV250801559"/>
    <s v="*MAV250801559"/>
    <n v="3.7238624967715372E-3"/>
  </r>
  <r>
    <x v="1"/>
    <s v="Pesos"/>
    <d v="2026-08-27T00:00:00"/>
    <s v="20/07/2026"/>
    <n v="0.97463285"/>
    <m/>
    <n v="456527.78"/>
    <n v="444946.97"/>
    <n v="456527.78"/>
    <n v="444946.97"/>
    <n v="11341119"/>
    <s v="AMOMPY"/>
    <s v="Momentum Capital Investment S.A."/>
    <s v="30/06/2026"/>
    <s v="30/06/2026"/>
    <n v="25"/>
    <s v="No"/>
    <s v=""/>
    <m/>
    <m/>
    <s v="*MOV250800088"/>
    <s v="*MOV250800088"/>
    <n v="8.5347330377119245E-6"/>
  </r>
  <r>
    <x v="137"/>
    <s v="Pesos"/>
    <d v="2026-08-27T00:00:00"/>
    <s v="20/07/2026"/>
    <n v="0.96678507000000002"/>
    <m/>
    <n v="2000000"/>
    <n v="1933570.14"/>
    <n v="2000000"/>
    <n v="1933570.14"/>
    <n v="438"/>
    <s v="AMOMPY"/>
    <s v="Momentum Capital Investment S.A."/>
    <s v="24/06/2026"/>
    <s v="24/06/2026"/>
    <n v="33"/>
    <s v="No"/>
    <s v=""/>
    <m/>
    <m/>
    <s v="*MAV250801558"/>
    <s v="*MAV250801558"/>
    <n v="3.7088700603110684E-5"/>
  </r>
  <r>
    <x v="0"/>
    <s v="Pesos"/>
    <d v="2026-08-27T00:00:00"/>
    <s v="20/07/2026"/>
    <n v="0.97069307999999999"/>
    <m/>
    <n v="40000000"/>
    <n v="38827723.299999997"/>
    <n v="40000000"/>
    <n v="38827723.299999997"/>
    <n v="80939846"/>
    <s v="AMOMPY"/>
    <s v="Momentum Capital Investment S.A."/>
    <s v="30/04/2026"/>
    <s v="30/04/2026"/>
    <n v="29"/>
    <s v="No"/>
    <s v=""/>
    <m/>
    <m/>
    <s v="*INP250800064"/>
    <s v="*INP250800064"/>
    <n v="7.4477246766653353E-4"/>
  </r>
  <r>
    <x v="40"/>
    <s v="Pesos"/>
    <d v="2026-08-27T00:00:00"/>
    <s v="20/07/2026"/>
    <n v="0.97167504999999998"/>
    <m/>
    <n v="5000000"/>
    <n v="4858375.24"/>
    <n v="5000000"/>
    <n v="4858375.24"/>
    <n v="29175496"/>
    <s v="AMOMPY"/>
    <s v="Momentum Capital Investment S.A."/>
    <s v="04/05/2026"/>
    <s v="04/05/2026"/>
    <n v="28"/>
    <s v="No"/>
    <s v=""/>
    <m/>
    <m/>
    <s v="*CUY250800056"/>
    <s v="*CUY250800056"/>
    <n v="9.319073612396912E-5"/>
  </r>
  <r>
    <x v="7"/>
    <s v="Pesos"/>
    <d v="2026-08-27T00:00:00"/>
    <s v="20/07/2026"/>
    <n v="0.96971309999999999"/>
    <m/>
    <n v="8750000"/>
    <n v="8484989.5999999996"/>
    <n v="8750000"/>
    <n v="8484989.5999999996"/>
    <n v="634"/>
    <s v="AMOMPY"/>
    <s v="Momentum Capital Investment S.A."/>
    <s v="12/06/2026"/>
    <s v="12/06/2026"/>
    <n v="30"/>
    <s v="No"/>
    <s v=""/>
    <m/>
    <m/>
    <s v="*MAV250801495"/>
    <s v="*MAV250801495"/>
    <n v="1.6275449872995448E-4"/>
  </r>
  <r>
    <x v="7"/>
    <s v="Pesos"/>
    <d v="2026-08-27T00:00:00"/>
    <s v="20/07/2026"/>
    <n v="0.96971311000000004"/>
    <m/>
    <n v="10000000"/>
    <n v="9697131.1199999992"/>
    <n v="10000000"/>
    <n v="9697131.1199999992"/>
    <n v="636"/>
    <s v="AMOMPY"/>
    <s v="Momentum Capital Investment S.A."/>
    <s v="16/06/2026"/>
    <s v="16/06/2026"/>
    <n v="30"/>
    <s v="No"/>
    <s v=""/>
    <m/>
    <m/>
    <s v="*MAV250801499"/>
    <s v="*MAV250801499"/>
    <n v="1.8600514425547933E-4"/>
  </r>
  <r>
    <x v="7"/>
    <s v="Pesos"/>
    <d v="2026-08-27T00:00:00"/>
    <s v="20/07/2026"/>
    <n v="0.96971311000000004"/>
    <m/>
    <n v="5000000"/>
    <n v="4848565.5599999996"/>
    <n v="5000000"/>
    <n v="4848565.5599999996"/>
    <n v="641"/>
    <s v="AMOMPY"/>
    <s v="Momentum Capital Investment S.A."/>
    <s v="16/06/2026"/>
    <s v="16/06/2026"/>
    <n v="30"/>
    <s v="No"/>
    <s v=""/>
    <m/>
    <m/>
    <s v="*MAV250801500"/>
    <s v="*MAV250801500"/>
    <n v="9.3002572127739663E-5"/>
  </r>
  <r>
    <x v="7"/>
    <s v="Pesos"/>
    <d v="2026-08-27T00:00:00"/>
    <s v="20/07/2026"/>
    <n v="0.96971308000000001"/>
    <m/>
    <n v="5000000"/>
    <n v="4848565.38"/>
    <n v="5000000"/>
    <n v="4848565.38"/>
    <n v="681"/>
    <s v="AMOMPY"/>
    <s v="Momentum Capital Investment S.A."/>
    <s v="26/06/2026"/>
    <s v="26/06/2026"/>
    <n v="30"/>
    <s v="No"/>
    <s v=""/>
    <m/>
    <m/>
    <s v="*MAV250801577"/>
    <s v="*MAV250801577"/>
    <n v="9.3002568675076662E-5"/>
  </r>
  <r>
    <x v="29"/>
    <s v="Pesos"/>
    <d v="2026-08-27T00:00:00"/>
    <s v="20/07/2026"/>
    <n v="0.96484276999999996"/>
    <m/>
    <n v="15000000"/>
    <n v="14472641.59"/>
    <n v="15000000"/>
    <n v="14472641.59"/>
    <n v="4268"/>
    <s v="AMOMPY"/>
    <s v="Momentum Capital Investment S.A."/>
    <s v="09/06/2026"/>
    <s v="09/06/2026"/>
    <n v="35"/>
    <s v="No"/>
    <s v=""/>
    <m/>
    <m/>
    <s v="*MAV250801479"/>
    <s v="*MAV250801479"/>
    <n v="2.7760641300947987E-4"/>
  </r>
  <r>
    <x v="143"/>
    <s v="Pesos"/>
    <d v="2026-08-27T00:00:00"/>
    <s v="20/07/2026"/>
    <n v="0.96678507000000002"/>
    <m/>
    <n v="2200000"/>
    <n v="2126927.16"/>
    <n v="2200000"/>
    <n v="2126927.16"/>
    <n v="6196"/>
    <s v="AMOMPY"/>
    <s v="Momentum Capital Investment S.A."/>
    <s v="03/06/2026"/>
    <s v="03/06/2026"/>
    <n v="33"/>
    <s v="No"/>
    <s v=""/>
    <m/>
    <m/>
    <s v="*MAV250801460"/>
    <s v="*MAV250801460"/>
    <n v="4.0797570778510525E-5"/>
  </r>
  <r>
    <x v="57"/>
    <s v="Pesos"/>
    <d v="2026-08-27T00:00:00"/>
    <s v="20/07/2026"/>
    <n v="0.97463295000000005"/>
    <m/>
    <n v="50000000"/>
    <n v="48731647.479999997"/>
    <n v="50000000"/>
    <n v="48731647.479999997"/>
    <n v="4901"/>
    <s v="AMOMPY"/>
    <s v="Momentum Capital Investment S.A."/>
    <s v="25/06/2026"/>
    <s v="25/06/2026"/>
    <n v="25"/>
    <s v="No"/>
    <s v=""/>
    <m/>
    <m/>
    <s v="*BIF250800007"/>
    <s v="*BIF250800007"/>
    <n v="9.3474420497725169E-4"/>
  </r>
  <r>
    <x v="43"/>
    <s v="Pesos"/>
    <d v="2026-08-27T00:00:00"/>
    <s v="20/07/2026"/>
    <n v="0.97364490000000004"/>
    <m/>
    <n v="10000000"/>
    <n v="9736449.0500000007"/>
    <n v="10000000"/>
    <n v="9736449.0500000007"/>
    <n v="68035340"/>
    <s v="AMOMPY"/>
    <s v="Momentum Capital Investment S.A."/>
    <s v="07/07/2026"/>
    <s v="07/07/2026"/>
    <n v="26"/>
    <s v="No"/>
    <s v=""/>
    <m/>
    <m/>
    <s v="*MIL250800035"/>
    <s v="*MIL250800035"/>
    <n v="1.8675931960393817E-4"/>
  </r>
  <r>
    <x v="43"/>
    <s v="Pesos"/>
    <d v="2026-08-27T00:00:00"/>
    <s v="20/07/2026"/>
    <n v="0.97069309999999998"/>
    <m/>
    <n v="10000000"/>
    <n v="9706930.9700000007"/>
    <n v="10000000"/>
    <n v="9706930.9700000007"/>
    <n v="2155"/>
    <s v="AMOMPY"/>
    <s v="Momentum Capital Investment S.A."/>
    <s v="27/04/2026"/>
    <s v="27/04/2026"/>
    <n v="29"/>
    <s v="No"/>
    <s v=""/>
    <m/>
    <m/>
    <s v="*MIL250800027"/>
    <s v="*MIL250800027"/>
    <n v="1.8619311969794529E-4"/>
  </r>
  <r>
    <x v="43"/>
    <s v="Pesos"/>
    <d v="2026-08-27T00:00:00"/>
    <s v="20/07/2026"/>
    <n v="0.97069307000000005"/>
    <m/>
    <n v="10000000"/>
    <n v="9706930.6600000001"/>
    <n v="10000000"/>
    <n v="9706930.6600000001"/>
    <n v="66412433"/>
    <s v="AMOMPY"/>
    <s v="Momentum Capital Investment S.A."/>
    <s v="22/04/2026"/>
    <s v="22/04/2026"/>
    <n v="29"/>
    <s v="No"/>
    <s v=""/>
    <m/>
    <m/>
    <s v="*MIL250800026"/>
    <s v="*MIL250800026"/>
    <n v="1.8619311375169231E-4"/>
  </r>
  <r>
    <x v="64"/>
    <s v="Pesos"/>
    <d v="2026-08-27T00:00:00"/>
    <s v="20/07/2026"/>
    <n v="0.96678498999999996"/>
    <m/>
    <n v="12500000"/>
    <n v="12084812.439999999"/>
    <n v="12500000"/>
    <n v="12084812.439999999"/>
    <n v="1355"/>
    <s v="AMOMPY"/>
    <s v="Momentum Capital Investment S.A."/>
    <s v="21/05/2026"/>
    <s v="21/05/2026"/>
    <n v="33"/>
    <s v="No"/>
    <s v=""/>
    <m/>
    <m/>
    <s v="*MAV250801412"/>
    <s v="*MAV250801412"/>
    <n v="2.3180436083477556E-4"/>
  </r>
  <r>
    <x v="88"/>
    <s v="Pesos"/>
    <d v="2026-08-27T00:00:00"/>
    <s v="20/07/2026"/>
    <n v="0.96971311000000004"/>
    <m/>
    <n v="1770042.53"/>
    <n v="1716433.44"/>
    <n v="1770042.53"/>
    <n v="1716433.44"/>
    <n v="250"/>
    <s v="AMOMPY"/>
    <s v="Momentum Capital Investment S.A."/>
    <s v="16/06/2026"/>
    <s v="16/06/2026"/>
    <n v="30"/>
    <s v="No"/>
    <s v=""/>
    <m/>
    <m/>
    <s v="*MAV250801497"/>
    <s v="*MAV250801497"/>
    <n v="3.2923701418624175E-5"/>
  </r>
  <r>
    <x v="164"/>
    <s v="Pesos"/>
    <d v="2026-08-27T00:00:00"/>
    <s v="20/07/2026"/>
    <n v="0.96678516999999997"/>
    <m/>
    <n v="10000000"/>
    <n v="9667851.75"/>
    <n v="10000000"/>
    <n v="9667851.75"/>
    <n v="5743951"/>
    <s v="AMOMPY"/>
    <s v="Momentum Capital Investment S.A."/>
    <s v="03/07/2026"/>
    <s v="03/07/2026"/>
    <n v="33"/>
    <s v="No"/>
    <s v=""/>
    <m/>
    <m/>
    <s v="*MAV250801622"/>
    <s v="*MAV250801622"/>
    <n v="1.8544352315608768E-4"/>
  </r>
  <r>
    <x v="168"/>
    <s v="Pesos"/>
    <d v="2026-08-27T00:00:00"/>
    <s v="20/07/2026"/>
    <n v="0.96971313000000003"/>
    <m/>
    <n v="969231.48"/>
    <n v="939876.49"/>
    <n v="969231.48"/>
    <n v="939876.49"/>
    <n v="1402"/>
    <s v="AMOMPY"/>
    <s v="Momentum Capital Investment S.A."/>
    <s v="15/07/2026"/>
    <s v="15/07/2026"/>
    <n v="30"/>
    <s v="No"/>
    <s v=""/>
    <m/>
    <m/>
    <s v="*MAV250801690"/>
    <s v="*MAV250801690"/>
    <n v="1.8028204418543905E-5"/>
  </r>
  <r>
    <x v="89"/>
    <s v="Pesos"/>
    <d v="2026-08-27T00:00:00"/>
    <s v="20/07/2026"/>
    <n v="0.96678511"/>
    <m/>
    <n v="6690591.5999999996"/>
    <n v="6468364.3700000001"/>
    <n v="6690591.5999999996"/>
    <n v="6468364.3700000001"/>
    <n v="80217409"/>
    <s v="AMOMPY"/>
    <s v="Momentum Capital Investment S.A."/>
    <s v="16/07/2026"/>
    <s v="16/07/2026"/>
    <n v="33"/>
    <s v="No"/>
    <s v=""/>
    <m/>
    <m/>
    <s v="*MAV250801700"/>
    <s v="*MAV250801700"/>
    <n v="1.2407268014118106E-4"/>
  </r>
  <r>
    <x v="103"/>
    <s v="Pesos"/>
    <d v="2026-08-27T00:00:00"/>
    <s v="20/07/2026"/>
    <n v="0.96971324000000003"/>
    <m/>
    <n v="2870567.11"/>
    <n v="2783626.93"/>
    <n v="2870567.11"/>
    <n v="2783626.93"/>
    <n v="98"/>
    <s v="AMOMPY"/>
    <s v="Momentum Capital Investment S.A."/>
    <s v="20/07/2026"/>
    <s v="20/07/2026"/>
    <n v="30"/>
    <s v="No"/>
    <s v=""/>
    <m/>
    <m/>
    <s v="*MAV250801717"/>
    <s v="*MAV250801717"/>
    <n v="5.3394031931795428E-5"/>
  </r>
  <r>
    <x v="0"/>
    <s v="Pesos"/>
    <d v="2026-08-28T00:00:00"/>
    <s v="20/07/2026"/>
    <n v="0.97499743000000005"/>
    <m/>
    <n v="10000000"/>
    <n v="9749974.3300000001"/>
    <n v="10000000"/>
    <n v="9749974.3300000001"/>
    <n v="4536"/>
    <s v="AMOMPY"/>
    <s v="Momentum Capital Investment S.A."/>
    <s v="17/07/2026"/>
    <s v="17/07/2026"/>
    <n v="24"/>
    <s v="No"/>
    <s v=""/>
    <m/>
    <m/>
    <s v="*INP260800074"/>
    <s v="*INP260800074"/>
    <n v="1.8701875423737392E-4"/>
  </r>
  <r>
    <x v="68"/>
    <s v="Pesos"/>
    <d v="2026-08-28T00:00:00"/>
    <s v="20/07/2026"/>
    <n v="0.96994502000000005"/>
    <m/>
    <n v="200000000"/>
    <n v="193989004.66"/>
    <n v="200000000"/>
    <n v="193989004.66"/>
    <n v="90003858"/>
    <s v="AMOMPY"/>
    <s v="Momentum Capital Investment S.A."/>
    <s v="24/06/2026"/>
    <s v="24/06/2026"/>
    <n v="29"/>
    <s v="No"/>
    <s v=""/>
    <m/>
    <m/>
    <s v="*MAV260801308"/>
    <s v="*MAV260801308"/>
    <n v="3.7209925646297906E-3"/>
  </r>
  <r>
    <x v="0"/>
    <s v="Pesos"/>
    <d v="2026-08-28T00:00:00"/>
    <s v="20/07/2026"/>
    <n v="0.96994499999999995"/>
    <m/>
    <n v="40000000"/>
    <n v="38797800.130000003"/>
    <n v="40000000"/>
    <n v="38797800.130000003"/>
    <n v="80939845"/>
    <s v="AMOMPY"/>
    <s v="Momentum Capital Investment S.A."/>
    <s v="30/04/2026"/>
    <s v="30/04/2026"/>
    <n v="29"/>
    <s v="No"/>
    <s v=""/>
    <m/>
    <m/>
    <s v="*INP260800068"/>
    <s v="*INP260800068"/>
    <n v="7.4419849754242637E-4"/>
  </r>
  <r>
    <x v="7"/>
    <s v="Pesos"/>
    <d v="2026-08-28T00:00:00"/>
    <s v="20/07/2026"/>
    <n v="0.96894089999999999"/>
    <m/>
    <n v="10000000"/>
    <n v="9689409.0399999991"/>
    <n v="10000000"/>
    <n v="9689409.0399999991"/>
    <n v="700"/>
    <s v="AMOMPY"/>
    <s v="Momentum Capital Investment S.A."/>
    <s v="29/06/2026"/>
    <s v="29/06/2026"/>
    <n v="30"/>
    <s v="No"/>
    <s v=""/>
    <m/>
    <m/>
    <s v="*MAV260801328"/>
    <s v="*MAV260801328"/>
    <n v="1.8585702347763506E-4"/>
  </r>
  <r>
    <x v="7"/>
    <s v="Pesos"/>
    <d v="2026-08-28T00:00:00"/>
    <s v="20/07/2026"/>
    <n v="0.96894082000000004"/>
    <m/>
    <n v="10000000"/>
    <n v="9689408.2300000004"/>
    <n v="10000000"/>
    <n v="9689408.2300000004"/>
    <n v="577"/>
    <s v="AMOMPY"/>
    <s v="Momentum Capital Investment S.A."/>
    <s v="02/06/2026"/>
    <s v="02/06/2026"/>
    <n v="30"/>
    <s v="No"/>
    <s v=""/>
    <m/>
    <m/>
    <s v="*MAV260801222"/>
    <s v="*MAV260801222"/>
    <n v="1.8585700794065152E-4"/>
  </r>
  <r>
    <x v="24"/>
    <s v="Pesos"/>
    <d v="2026-08-28T00:00:00"/>
    <s v="20/07/2026"/>
    <n v="0.96693878"/>
    <m/>
    <n v="65000000"/>
    <n v="62851020.869999997"/>
    <n v="65000000"/>
    <n v="62851020.869999997"/>
    <n v="335"/>
    <s v="AMOMPY"/>
    <s v="Momentum Capital Investment S.A."/>
    <s v="26/06/2026"/>
    <s v="26/06/2026"/>
    <n v="32"/>
    <s v="No"/>
    <s v=""/>
    <m/>
    <m/>
    <s v="*MAV260801320"/>
    <s v="*MAV260801320"/>
    <n v="1.2055744177179378E-3"/>
  </r>
  <r>
    <x v="143"/>
    <s v="Pesos"/>
    <d v="2026-08-28T00:00:00"/>
    <s v="20/07/2026"/>
    <n v="0.96594073000000003"/>
    <m/>
    <n v="2200000"/>
    <n v="2125069.6"/>
    <n v="2200000"/>
    <n v="2125069.6"/>
    <n v="6197"/>
    <s v="AMOMPY"/>
    <s v="Momentum Capital Investment S.A."/>
    <s v="03/06/2026"/>
    <s v="03/06/2026"/>
    <n v="33"/>
    <s v="No"/>
    <s v=""/>
    <m/>
    <m/>
    <s v="*MAV260801235"/>
    <s v="*MAV260801235"/>
    <n v="4.0761940063458051E-5"/>
  </r>
  <r>
    <x v="7"/>
    <s v="Pesos"/>
    <d v="2026-08-28T00:00:00"/>
    <s v="20/07/2026"/>
    <n v="0.96894093000000003"/>
    <m/>
    <n v="10000000"/>
    <n v="9689409.3000000007"/>
    <n v="10000000"/>
    <n v="9689409.3000000007"/>
    <n v="610"/>
    <s v="AMOMPY"/>
    <s v="Momentum Capital Investment S.A."/>
    <s v="05/06/2026"/>
    <s v="05/06/2026"/>
    <n v="30"/>
    <s v="No"/>
    <s v=""/>
    <m/>
    <m/>
    <s v="*MAV260801238"/>
    <s v="*MAV260801238"/>
    <n v="1.85857028464815E-4"/>
  </r>
  <r>
    <x v="43"/>
    <s v="Pesos"/>
    <d v="2026-08-28T00:00:00"/>
    <s v="20/07/2026"/>
    <n v="0.96994502000000005"/>
    <m/>
    <n v="10000000"/>
    <n v="9699450.1799999997"/>
    <n v="10000000"/>
    <n v="9699450.1799999997"/>
    <n v="2156"/>
    <s v="AMOMPY"/>
    <s v="Momentum Capital Investment S.A."/>
    <s v="27/04/2026"/>
    <s v="27/04/2026"/>
    <n v="29"/>
    <s v="No"/>
    <s v=""/>
    <m/>
    <m/>
    <s v="*MIL260800030"/>
    <s v="*MIL260800030"/>
    <n v="1.8604962721487209E-4"/>
  </r>
  <r>
    <x v="43"/>
    <s v="Pesos"/>
    <d v="2026-08-28T00:00:00"/>
    <s v="20/07/2026"/>
    <n v="0.96994506999999996"/>
    <m/>
    <n v="10000000"/>
    <n v="9699450.6999999993"/>
    <n v="10000000"/>
    <n v="9699450.6999999993"/>
    <n v="66412455"/>
    <s v="AMOMPY"/>
    <s v="Momentum Capital Investment S.A."/>
    <s v="22/04/2026"/>
    <s v="22/04/2026"/>
    <n v="29"/>
    <s v="No"/>
    <s v=""/>
    <m/>
    <m/>
    <s v="*MIL260800029"/>
    <s v="*MIL260800029"/>
    <n v="1.8604963718923191E-4"/>
  </r>
  <r>
    <x v="64"/>
    <s v="Pesos"/>
    <d v="2026-08-28T00:00:00"/>
    <s v="20/07/2026"/>
    <n v="0.96395094999999997"/>
    <m/>
    <n v="16600000"/>
    <n v="16001585.710000001"/>
    <n v="16600000"/>
    <n v="16001585.710000001"/>
    <n v="29088025"/>
    <s v="AMOMPY"/>
    <s v="Momentum Capital Investment S.A."/>
    <s v="14/04/2026"/>
    <s v="14/04/2026"/>
    <n v="35"/>
    <s v="No"/>
    <s v=""/>
    <m/>
    <m/>
    <s v="*MAV260801138"/>
    <s v="*MAV260801138"/>
    <n v="3.0693379531254261E-4"/>
  </r>
  <r>
    <x v="1"/>
    <s v="Pesos"/>
    <d v="2026-08-28T00:00:00"/>
    <s v="20/07/2026"/>
    <n v="0.97095131999999995"/>
    <m/>
    <n v="10000000"/>
    <n v="9709513.1899999995"/>
    <n v="10000000"/>
    <n v="9709513.1899999995"/>
    <n v="360559"/>
    <s v="AMOMPY"/>
    <s v="Momentum Capital Investment S.A."/>
    <s v="21/04/2026"/>
    <s v="21/04/2026"/>
    <n v="28"/>
    <s v="No"/>
    <s v=""/>
    <m/>
    <m/>
    <s v="*MOV260800071"/>
    <s v="*MOV260800071"/>
    <n v="1.862426504506654E-4"/>
  </r>
  <r>
    <x v="13"/>
    <s v="Pesos"/>
    <d v="2026-08-28T00:00:00"/>
    <s v="20/07/2026"/>
    <n v="0.96693868999999999"/>
    <m/>
    <n v="15000000"/>
    <n v="14504080.42"/>
    <n v="15000000"/>
    <n v="14504080.42"/>
    <n v="178"/>
    <s v="AMOMPY"/>
    <s v="Momentum Capital Investment S.A."/>
    <s v="17/04/2026"/>
    <s v="17/04/2026"/>
    <n v="32"/>
    <s v="No"/>
    <s v=""/>
    <m/>
    <m/>
    <s v="*NEU260800027"/>
    <s v="*NEU260800027"/>
    <n v="2.7820945570705799E-4"/>
  </r>
  <r>
    <x v="164"/>
    <s v="Pesos"/>
    <d v="2026-08-28T00:00:00"/>
    <s v="20/07/2026"/>
    <n v="0.96594080999999998"/>
    <m/>
    <n v="9000000"/>
    <n v="8693467.2599999998"/>
    <n v="9000000"/>
    <n v="8693467.2599999998"/>
    <n v="5743952"/>
    <s v="AMOMPY"/>
    <s v="Momentum Capital Investment S.A."/>
    <s v="03/07/2026"/>
    <s v="03/07/2026"/>
    <n v="33"/>
    <s v="No"/>
    <s v=""/>
    <m/>
    <m/>
    <s v="*MAV260801362"/>
    <s v="*MAV260801362"/>
    <n v="1.6675340487471791E-4"/>
  </r>
  <r>
    <x v="169"/>
    <s v="Pesos"/>
    <d v="2026-08-28T00:00:00"/>
    <s v="20/07/2026"/>
    <n v="0.96894089999999999"/>
    <m/>
    <n v="5628483"/>
    <n v="5453667.3600000003"/>
    <n v="5628483"/>
    <n v="5453667.3600000003"/>
    <n v="68199745"/>
    <s v="AMOMPY"/>
    <s v="Momentum Capital Investment S.A."/>
    <s v="13/07/2026"/>
    <s v="13/07/2026"/>
    <n v="30"/>
    <s v="No"/>
    <s v=""/>
    <m/>
    <m/>
    <s v="*MAV260801395"/>
    <s v="*MAV260801395"/>
    <n v="1.0460930882186518E-4"/>
  </r>
  <r>
    <x v="0"/>
    <s v="Pesos"/>
    <d v="2026-08-31T00:00:00"/>
    <s v="20/07/2026"/>
    <n v="0.97312586999999995"/>
    <m/>
    <n v="10000000"/>
    <n v="9731258.75"/>
    <n v="10000000"/>
    <n v="9731258.75"/>
    <n v="4537"/>
    <s v="AMOMPY"/>
    <s v="Momentum Capital Investment S.A."/>
    <s v="17/07/2026"/>
    <s v="17/07/2026"/>
    <n v="24"/>
    <s v="No"/>
    <s v=""/>
    <m/>
    <m/>
    <s v="*INP270800045"/>
    <s v="*INP270800045"/>
    <n v="1.8665976206591148E-4"/>
  </r>
  <r>
    <x v="134"/>
    <s v="Pesos"/>
    <d v="2026-08-31T00:00:00"/>
    <s v="20/07/2026"/>
    <n v="0.96663142000000002"/>
    <m/>
    <n v="5000000"/>
    <n v="4833157.09"/>
    <n v="5000000"/>
    <n v="4833157.09"/>
    <n v="3495447"/>
    <s v="AMOMPY"/>
    <s v="Momentum Capital Investment S.A."/>
    <s v="17/04/2026"/>
    <s v="17/04/2026"/>
    <n v="30"/>
    <s v="No"/>
    <s v=""/>
    <m/>
    <m/>
    <s v="*MAV270800957"/>
    <s v="*MAV270800957"/>
    <n v="9.270701515840107E-5"/>
  </r>
  <r>
    <x v="134"/>
    <s v="Pesos"/>
    <d v="2026-08-31T00:00:00"/>
    <s v="20/07/2026"/>
    <n v="0.96341663"/>
    <m/>
    <n v="5600000"/>
    <n v="5395133.1399999997"/>
    <n v="5600000"/>
    <n v="5395133.1399999997"/>
    <n v="3501252"/>
    <s v="AMOMPY"/>
    <s v="Momentum Capital Investment S.A."/>
    <s v="24/04/2026"/>
    <s v="24/04/2026"/>
    <n v="33"/>
    <s v="No"/>
    <s v=""/>
    <m/>
    <m/>
    <s v="*MAV270800960"/>
    <s v="*MAV270800960"/>
    <n v="1.0348653695251026E-4"/>
  </r>
  <r>
    <x v="7"/>
    <s v="Pesos"/>
    <d v="2026-08-31T00:00:00"/>
    <s v="20/07/2026"/>
    <n v="0.96663138000000004"/>
    <m/>
    <n v="7500000"/>
    <n v="7249735.3600000003"/>
    <n v="7500000"/>
    <n v="7249735.3600000003"/>
    <n v="511"/>
    <s v="AMOMPY"/>
    <s v="Momentum Capital Investment S.A."/>
    <s v="18/05/2026"/>
    <s v="18/05/2026"/>
    <n v="30"/>
    <s v="No"/>
    <s v=""/>
    <m/>
    <m/>
    <s v="*MAV270800997"/>
    <s v="*MAV270800997"/>
    <n v="1.3906051746269979E-4"/>
  </r>
  <r>
    <x v="143"/>
    <s v="Pesos"/>
    <d v="2026-08-31T00:00:00"/>
    <s v="20/07/2026"/>
    <n v="0.96341664999999999"/>
    <m/>
    <n v="2200000"/>
    <n v="2119516.64"/>
    <n v="2200000"/>
    <n v="2119516.64"/>
    <n v="6198"/>
    <s v="AMOMPY"/>
    <s v="Momentum Capital Investment S.A."/>
    <s v="03/06/2026"/>
    <s v="03/06/2026"/>
    <n v="33"/>
    <s v="No"/>
    <s v=""/>
    <m/>
    <m/>
    <s v="*MAV270801053"/>
    <s v="*MAV270801053"/>
    <n v="4.065542617671534E-5"/>
  </r>
  <r>
    <x v="7"/>
    <s v="Pesos"/>
    <d v="2026-08-31T00:00:00"/>
    <s v="20/07/2026"/>
    <n v="0.96663136999999999"/>
    <m/>
    <n v="10000000"/>
    <n v="9666313.7200000007"/>
    <n v="10000000"/>
    <n v="9666313.7200000007"/>
    <n v="671"/>
    <s v="AMOMPY"/>
    <s v="Momentum Capital Investment S.A."/>
    <s v="23/06/2026"/>
    <s v="23/06/2026"/>
    <n v="30"/>
    <s v="No"/>
    <s v=""/>
    <m/>
    <m/>
    <s v="*MAV270801108"/>
    <s v="*MAV270801108"/>
    <n v="1.8541402149333002E-4"/>
  </r>
  <r>
    <x v="9"/>
    <s v="Pesos"/>
    <d v="2026-08-31T00:00:00"/>
    <s v="20/07/2026"/>
    <n v="0.96128526000000003"/>
    <m/>
    <n v="10000000"/>
    <n v="9612852.5800000001"/>
    <n v="10000000"/>
    <n v="9612852.5800000001"/>
    <n v="255"/>
    <s v="AMOMPY"/>
    <s v="Momentum Capital Investment S.A."/>
    <s v="30/04/2026"/>
    <s v="30/04/2026"/>
    <n v="35"/>
    <s v="No"/>
    <s v=""/>
    <m/>
    <m/>
    <s v="*MAV270800969"/>
    <s v="*MAV270800969"/>
    <n v="1.8438855871112084E-4"/>
  </r>
  <r>
    <x v="57"/>
    <s v="Pesos"/>
    <d v="2026-08-31T00:00:00"/>
    <s v="20/07/2026"/>
    <n v="0.96986782000000005"/>
    <m/>
    <n v="200000000"/>
    <n v="193973564.22"/>
    <n v="200000000"/>
    <n v="193973564.22"/>
    <n v="90003876"/>
    <s v="AMOMPY"/>
    <s v="Momentum Capital Investment S.A."/>
    <s v="26/06/2026"/>
    <s v="26/06/2026"/>
    <n v="27"/>
    <s v="No"/>
    <s v=""/>
    <m/>
    <m/>
    <s v="*BIF270800005"/>
    <s v="*BIF270800005"/>
    <n v="3.7206963944291377E-3"/>
  </r>
  <r>
    <x v="43"/>
    <s v="Pesos"/>
    <d v="2026-08-31T00:00:00"/>
    <s v="20/07/2026"/>
    <n v="0.97095144"/>
    <m/>
    <n v="10000000"/>
    <n v="9709514.4100000001"/>
    <n v="10000000"/>
    <n v="9709514.4100000001"/>
    <n v="68035342"/>
    <s v="AMOMPY"/>
    <s v="Momentum Capital Investment S.A."/>
    <s v="07/07/2026"/>
    <s v="07/07/2026"/>
    <n v="26"/>
    <s v="No"/>
    <s v=""/>
    <m/>
    <m/>
    <s v="*MIL270800035"/>
    <s v="*MIL270800035"/>
    <n v="1.8624267385204806E-4"/>
  </r>
  <r>
    <x v="43"/>
    <s v="Pesos"/>
    <d v="2026-08-31T00:00:00"/>
    <s v="20/07/2026"/>
    <n v="0.96770776999999997"/>
    <m/>
    <n v="10000000"/>
    <n v="9677077.6899999995"/>
    <n v="10000000"/>
    <n v="9677077.6899999995"/>
    <n v="2157"/>
    <s v="AMOMPY"/>
    <s v="Momentum Capital Investment S.A."/>
    <s v="27/04/2026"/>
    <s v="27/04/2026"/>
    <n v="29"/>
    <s v="No"/>
    <s v=""/>
    <m/>
    <m/>
    <s v="*MIL270800028"/>
    <s v="*MIL270800028"/>
    <n v="1.856204901661607E-4"/>
  </r>
  <r>
    <x v="43"/>
    <s v="Pesos"/>
    <d v="2026-08-31T00:00:00"/>
    <s v="20/07/2026"/>
    <n v="0.97095136999999998"/>
    <m/>
    <n v="27000000"/>
    <n v="26215687"/>
    <n v="27000000"/>
    <n v="26215687"/>
    <n v="1416"/>
    <s v="AMOMPY"/>
    <s v="Momentum Capital Investment S.A."/>
    <s v="04/06/2026"/>
    <s v="04/06/2026"/>
    <n v="26"/>
    <s v="No"/>
    <s v=""/>
    <m/>
    <m/>
    <s v="*MIL270800031"/>
    <s v="*MIL270800031"/>
    <n v="5.0285518282148329E-4"/>
  </r>
  <r>
    <x v="43"/>
    <s v="Pesos"/>
    <d v="2026-08-31T00:00:00"/>
    <s v="20/07/2026"/>
    <n v="0.96770774000000004"/>
    <m/>
    <n v="10000000"/>
    <n v="9677077.3599999994"/>
    <n v="10000000"/>
    <n v="9677077.3599999994"/>
    <n v="66412480"/>
    <s v="AMOMPY"/>
    <s v="Momentum Capital Investment S.A."/>
    <s v="22/04/2026"/>
    <s v="22/04/2026"/>
    <n v="29"/>
    <s v="No"/>
    <s v=""/>
    <m/>
    <m/>
    <s v="*MIL270800027"/>
    <s v="*MIL270800027"/>
    <n v="1.856204838362785E-4"/>
  </r>
  <r>
    <x v="47"/>
    <s v="Pesos"/>
    <d v="2026-08-31T00:00:00"/>
    <s v="20/07/2026"/>
    <n v="0.96663138999999998"/>
    <m/>
    <n v="1606134"/>
    <n v="1552539.54"/>
    <n v="1606134"/>
    <n v="1552539.54"/>
    <n v="67237112"/>
    <s v="AMOMPY"/>
    <s v="Momentum Capital Investment S.A."/>
    <s v="16/06/2026"/>
    <s v="16/06/2026"/>
    <n v="30"/>
    <s v="No"/>
    <s v=""/>
    <m/>
    <m/>
    <s v="*MAV270801078"/>
    <s v="*MAV270801078"/>
    <n v="2.9779976936110107E-5"/>
  </r>
  <r>
    <x v="49"/>
    <s v="Pesos"/>
    <d v="2026-08-31T00:00:00"/>
    <s v="20/07/2026"/>
    <n v="0.96878651999999998"/>
    <m/>
    <n v="35000000"/>
    <n v="33907528.280000001"/>
    <n v="35000000"/>
    <n v="33907528.280000001"/>
    <n v="3329632"/>
    <s v="AMOMPY"/>
    <s v="Momentum Capital Investment S.A."/>
    <s v="30/04/2026"/>
    <s v="30/04/2026"/>
    <n v="28"/>
    <s v="No"/>
    <s v=""/>
    <m/>
    <m/>
    <s v="*FID270800026"/>
    <s v="*FID270800026"/>
    <n v="6.5039593783157445E-4"/>
  </r>
  <r>
    <x v="50"/>
    <s v="Pesos"/>
    <d v="2026-08-31T00:00:00"/>
    <s v="20/07/2026"/>
    <n v="0.96663142999999996"/>
    <m/>
    <n v="2700000"/>
    <n v="2609904.86"/>
    <n v="2700000"/>
    <n v="2609904.86"/>
    <n v="6274"/>
    <s v="AMOMPY"/>
    <s v="Momentum Capital Investment S.A."/>
    <s v="17/06/2026"/>
    <s v="17/06/2026"/>
    <n v="30"/>
    <s v="No"/>
    <s v=""/>
    <m/>
    <m/>
    <s v="*MAV270801084"/>
    <s v="*MAV270801084"/>
    <n v="5.0061788787834461E-5"/>
  </r>
  <r>
    <x v="97"/>
    <s v="Pesos"/>
    <d v="2026-08-31T00:00:00"/>
    <s v="20/07/2026"/>
    <n v="0.96341666000000004"/>
    <m/>
    <n v="10000000"/>
    <n v="9634166.5500000007"/>
    <n v="10000000"/>
    <n v="9634166.5500000007"/>
    <n v="3222"/>
    <s v="AMOMPY"/>
    <s v="Momentum Capital Investment S.A."/>
    <s v="03/06/2026"/>
    <s v="03/06/2026"/>
    <n v="33"/>
    <s v="No"/>
    <s v=""/>
    <m/>
    <m/>
    <s v="*MAV270801044"/>
    <s v="*MAV270801044"/>
    <n v="1.8479739179953092E-4"/>
  </r>
  <r>
    <x v="103"/>
    <s v="Pesos"/>
    <d v="2026-08-31T00:00:00"/>
    <s v="20/07/2026"/>
    <n v="0.96663149000000004"/>
    <m/>
    <n v="2870567.11"/>
    <n v="2774780.57"/>
    <n v="2870567.11"/>
    <n v="2774780.57"/>
    <n v="99"/>
    <s v="AMOMPY"/>
    <s v="Momentum Capital Investment S.A."/>
    <s v="20/07/2026"/>
    <s v="20/07/2026"/>
    <n v="30"/>
    <s v="No"/>
    <s v=""/>
    <m/>
    <m/>
    <s v="*MAV270801255"/>
    <s v="*MAV270801255"/>
    <n v="5.3224345820761801E-5"/>
  </r>
  <r>
    <x v="0"/>
    <s v="Pesos"/>
    <d v="2026-09-01T00:00:00"/>
    <s v="20/07/2026"/>
    <n v="0.97250354999999999"/>
    <m/>
    <n v="10000000"/>
    <n v="9725035.4800000004"/>
    <n v="10000000"/>
    <n v="9725035.4800000004"/>
    <n v="4538"/>
    <s v="AMOMPY"/>
    <s v="Momentum Capital Investment S.A."/>
    <s v="17/07/2026"/>
    <s v="17/07/2026"/>
    <n v="24"/>
    <s v="No"/>
    <s v=""/>
    <m/>
    <m/>
    <s v="*INP280800058"/>
    <s v="*INP280800058"/>
    <n v="1.8654039065391692E-4"/>
  </r>
  <r>
    <x v="170"/>
    <s v="Pesos"/>
    <d v="2026-09-01T00:00:00"/>
    <s v="20/07/2026"/>
    <n v="0.96586402999999998"/>
    <m/>
    <n v="25000000"/>
    <n v="24146600.649999999"/>
    <n v="25000000"/>
    <n v="24146600.649999999"/>
    <n v="718978"/>
    <s v="AMOMPY"/>
    <s v="Momentum Capital Investment S.A."/>
    <s v="17/04/2026"/>
    <s v="17/04/2026"/>
    <n v="30"/>
    <s v="No"/>
    <s v=""/>
    <m/>
    <m/>
    <s v="*CVA280800007"/>
    <s v="*CVA280800007"/>
    <n v="4.631670832953222E-4"/>
  </r>
  <r>
    <x v="1"/>
    <s v="Pesos"/>
    <d v="2026-09-01T00:00:00"/>
    <s v="20/07/2026"/>
    <n v="0.9669643"/>
    <m/>
    <n v="2500000"/>
    <n v="2417410.75"/>
    <n v="2500000"/>
    <n v="2417410.75"/>
    <n v="367"/>
    <s v="AMOMPY"/>
    <s v="Momentum Capital Investment S.A."/>
    <s v="17/04/2026"/>
    <s v="17/04/2026"/>
    <n v="29"/>
    <s v="No"/>
    <s v=""/>
    <m/>
    <m/>
    <s v="*MOV280800055"/>
    <s v="*MOV280800055"/>
    <n v="4.6369470487112122E-5"/>
  </r>
  <r>
    <x v="72"/>
    <s v="Pesos"/>
    <d v="2026-09-01T00:00:00"/>
    <s v="20/07/2026"/>
    <n v="0.96257826000000002"/>
    <m/>
    <n v="3000000"/>
    <n v="2887734.77"/>
    <n v="3000000"/>
    <n v="2887734.77"/>
    <n v="90015797"/>
    <s v="AMOMPY"/>
    <s v="Momentum Capital Investment S.A."/>
    <s v="29/05/2026"/>
    <s v="29/05/2026"/>
    <n v="33"/>
    <s v="No"/>
    <s v=""/>
    <m/>
    <m/>
    <s v="*MAV280801098"/>
    <s v="*MAV280801098"/>
    <n v="5.5390972424575558E-5"/>
  </r>
  <r>
    <x v="157"/>
    <s v="Pesos"/>
    <d v="2026-09-01T00:00:00"/>
    <s v="20/07/2026"/>
    <n v="0.96367102000000004"/>
    <m/>
    <n v="1000000"/>
    <n v="963671.02"/>
    <n v="1000000"/>
    <n v="963671.02"/>
    <n v="67381500"/>
    <s v="AMOMPY"/>
    <s v="Momentum Capital Investment S.A."/>
    <s v="04/06/2026"/>
    <s v="04/06/2026"/>
    <n v="32"/>
    <s v="No"/>
    <s v=""/>
    <m/>
    <m/>
    <s v="*MAV280801128"/>
    <s v="*MAV280801128"/>
    <n v="1.8484618272329283E-5"/>
  </r>
  <r>
    <x v="171"/>
    <s v="Pesos"/>
    <d v="2026-09-01T00:00:00"/>
    <s v="20/07/2026"/>
    <n v="0.95499741000000005"/>
    <m/>
    <n v="9972860.4499999993"/>
    <n v="9524055.8499999996"/>
    <n v="9972860.4499999993"/>
    <n v="9524055.8499999996"/>
    <n v="1179204"/>
    <s v="AMOMPY"/>
    <s v="Momentum Capital Investment S.A."/>
    <s v="16/04/2026"/>
    <s v="16/04/2026"/>
    <n v="40"/>
    <s v="No"/>
    <s v=""/>
    <m/>
    <m/>
    <s v="*MAV280801005"/>
    <s v="*MAV280801005"/>
    <n v="1.8268530768061759E-4"/>
  </r>
  <r>
    <x v="85"/>
    <s v="Pesos"/>
    <d v="2026-09-01T00:00:00"/>
    <s v="20/07/2026"/>
    <n v="0.95715119000000004"/>
    <m/>
    <n v="4500000"/>
    <n v="4307180.37"/>
    <n v="4500000"/>
    <n v="4307180.37"/>
    <n v="556"/>
    <s v="AMOMPY"/>
    <s v="Momentum Capital Investment S.A."/>
    <s v="22/04/2026"/>
    <s v="22/04/2026"/>
    <n v="38"/>
    <s v="No"/>
    <s v=""/>
    <m/>
    <m/>
    <s v="*MAV280801009"/>
    <s v="*MAV280801009"/>
    <n v="8.2618013115637741E-5"/>
  </r>
  <r>
    <x v="21"/>
    <s v="Pesos"/>
    <d v="2026-09-01T00:00:00"/>
    <s v="20/07/2026"/>
    <n v="0.96257815999999996"/>
    <m/>
    <n v="10000000"/>
    <n v="9625781.6199999992"/>
    <n v="10000000"/>
    <n v="9625781.6199999992"/>
    <n v="29692614"/>
    <s v="AMOMPY"/>
    <s v="Momentum Capital Investment S.A."/>
    <s v="16/07/2026"/>
    <s v="16/07/2026"/>
    <n v="33"/>
    <s v="No"/>
    <s v=""/>
    <m/>
    <m/>
    <s v="*MAV280801422"/>
    <s v="*MAV280801422"/>
    <n v="1.8463655659013524E-4"/>
  </r>
  <r>
    <x v="6"/>
    <s v="Pesos"/>
    <d v="2026-09-01T00:00:00"/>
    <s v="20/07/2026"/>
    <n v="0.97698081000000003"/>
    <m/>
    <n v="2500000"/>
    <n v="2442452.0099999998"/>
    <n v="2500000"/>
    <n v="2442452.0099999998"/>
    <n v="6138"/>
    <s v="AMOMPY"/>
    <s v="Momentum Capital Investment S.A."/>
    <s v="29/05/2026"/>
    <s v="29/05/2026"/>
    <n v="20"/>
    <s v="No"/>
    <s v=""/>
    <m/>
    <m/>
    <s v="*ACI280800203"/>
    <s v="*ACI280800203"/>
    <n v="4.6849798444009847E-5"/>
  </r>
  <r>
    <x v="29"/>
    <s v="Pesos"/>
    <d v="2026-09-01T00:00:00"/>
    <s v="20/07/2026"/>
    <n v="0.96040011000000003"/>
    <m/>
    <n v="20000000"/>
    <n v="19208002.210000001"/>
    <n v="20000000"/>
    <n v="19208002.210000001"/>
    <n v="4269"/>
    <s v="AMOMPY"/>
    <s v="Momentum Capital Investment S.A."/>
    <s v="09/06/2026"/>
    <s v="09/06/2026"/>
    <n v="35"/>
    <s v="No"/>
    <s v=""/>
    <m/>
    <m/>
    <s v="*MAV280801141"/>
    <s v="*MAV280801141"/>
    <n v="3.6843754897382641E-4"/>
  </r>
  <r>
    <x v="143"/>
    <s v="Pesos"/>
    <d v="2026-09-01T00:00:00"/>
    <s v="20/07/2026"/>
    <n v="0.96257817000000001"/>
    <m/>
    <n v="2200000"/>
    <n v="2117671.9700000002"/>
    <n v="2200000"/>
    <n v="2117671.9700000002"/>
    <n v="6199"/>
    <s v="AMOMPY"/>
    <s v="Momentum Capital Investment S.A."/>
    <s v="03/06/2026"/>
    <s v="03/06/2026"/>
    <n v="33"/>
    <s v="No"/>
    <s v=""/>
    <m/>
    <m/>
    <s v="*MAV280801125"/>
    <s v="*MAV280801125"/>
    <n v="4.062004271069763E-5"/>
  </r>
  <r>
    <x v="25"/>
    <s v="Pesos"/>
    <d v="2026-09-01T00:00:00"/>
    <s v="20/07/2026"/>
    <n v="0.96257817000000001"/>
    <m/>
    <n v="50000000"/>
    <n v="48128908.369999997"/>
    <n v="50000000"/>
    <n v="48128908.369999997"/>
    <n v="29030847"/>
    <s v="AMOMPY"/>
    <s v="Momentum Capital Investment S.A."/>
    <s v="06/04/2026"/>
    <s v="06/04/2026"/>
    <n v="33"/>
    <s v="No"/>
    <s v=""/>
    <m/>
    <m/>
    <s v="*MAV280800998"/>
    <s v="*MAV280800998"/>
    <n v="9.2318278812967072E-4"/>
  </r>
  <r>
    <x v="7"/>
    <s v="Pesos"/>
    <d v="2026-09-01T00:00:00"/>
    <s v="20/07/2026"/>
    <n v="0.96257822999999998"/>
    <m/>
    <n v="10000000"/>
    <n v="9625782.2899999991"/>
    <n v="10000000"/>
    <n v="9625782.2899999991"/>
    <n v="665"/>
    <s v="AMOMPY"/>
    <s v="Momentum Capital Investment S.A."/>
    <s v="22/06/2026"/>
    <s v="22/06/2026"/>
    <n v="33"/>
    <s v="No"/>
    <s v=""/>
    <m/>
    <m/>
    <s v="*MAV280801208"/>
    <s v="*MAV280801208"/>
    <n v="1.8463656944171425E-4"/>
  </r>
  <r>
    <x v="126"/>
    <s v="Pesos"/>
    <d v="2026-09-01T00:00:00"/>
    <s v="20/07/2026"/>
    <n v="0.96917235999999995"/>
    <m/>
    <n v="52602739.240000002"/>
    <n v="50981120.700000003"/>
    <n v="52602739.240000002"/>
    <n v="50981120.700000003"/>
    <n v="287"/>
    <s v="AMOMPY"/>
    <s v="Momentum Capital Investment S.A."/>
    <s v="01/07/2026"/>
    <s v="01/07/2026"/>
    <n v="27"/>
    <s v="No"/>
    <s v=""/>
    <m/>
    <m/>
    <s v="*NIO280800031"/>
    <s v="*NIO280800031"/>
    <n v="9.7789238824992869E-4"/>
  </r>
  <r>
    <x v="28"/>
    <s v="Pesos"/>
    <d v="2026-09-01T00:00:00"/>
    <s v="20/07/2026"/>
    <n v="0.91584286999999998"/>
    <m/>
    <n v="10000000"/>
    <n v="9158428.6899999995"/>
    <n v="10000000"/>
    <n v="9158428.6899999995"/>
    <n v="3937"/>
    <s v="AMOMPY"/>
    <s v="Momentum Capital Investment S.A."/>
    <s v="03/09/2025"/>
    <s v="03/09/2025"/>
    <n v="78"/>
    <s v="No"/>
    <s v=""/>
    <m/>
    <m/>
    <s v="*MAV280800986"/>
    <s v="*MAV280800986"/>
    <n v="1.7567204450020583E-4"/>
  </r>
  <r>
    <x v="172"/>
    <s v="Pesos"/>
    <d v="2026-09-01T00:00:00"/>
    <s v="20/07/2026"/>
    <n v="0.96367104999999997"/>
    <m/>
    <n v="22266654.899999999"/>
    <n v="21457730.780000001"/>
    <n v="22266654.899999999"/>
    <n v="21457730.780000001"/>
    <n v="8292016"/>
    <s v="AMOMPY"/>
    <s v="Momentum Capital Investment S.A."/>
    <s v="12/06/2026"/>
    <s v="12/06/2026"/>
    <n v="32"/>
    <s v="No"/>
    <s v=""/>
    <m/>
    <m/>
    <s v="*MAV280801153"/>
    <s v="*MAV280801153"/>
    <n v="4.1159063023261868E-4"/>
  </r>
  <r>
    <x v="57"/>
    <s v="Pesos"/>
    <d v="2026-09-01T00:00:00"/>
    <s v="20/07/2026"/>
    <n v="0.96917246000000001"/>
    <m/>
    <n v="200000000"/>
    <n v="193834491.69999999"/>
    <n v="200000000"/>
    <n v="193834491.69999999"/>
    <n v="90003877"/>
    <s v="AMOMPY"/>
    <s v="Momentum Capital Investment S.A."/>
    <s v="26/06/2026"/>
    <s v="26/06/2026"/>
    <n v="27"/>
    <s v="No"/>
    <s v=""/>
    <m/>
    <m/>
    <s v="*BIF280800005"/>
    <s v="*BIF280800005"/>
    <n v="3.7180287802838345E-3"/>
  </r>
  <r>
    <x v="43"/>
    <s v="Pesos"/>
    <d v="2026-09-01T00:00:00"/>
    <s v="20/07/2026"/>
    <n v="0.97028031000000003"/>
    <m/>
    <n v="2500000"/>
    <n v="2425700.7599999998"/>
    <n v="2500000"/>
    <n v="2425700.7599999998"/>
    <n v="3838"/>
    <s v="AMOMPY"/>
    <s v="Momentum Capital Investment S.A."/>
    <s v="07/07/2026"/>
    <s v="07/07/2026"/>
    <n v="26"/>
    <s v="No"/>
    <s v=""/>
    <m/>
    <m/>
    <s v="*MIL280800037"/>
    <s v="*MIL280800037"/>
    <n v="4.6528484992211369E-5"/>
  </r>
  <r>
    <x v="43"/>
    <s v="Pesos"/>
    <d v="2026-09-01T00:00:00"/>
    <s v="20/07/2026"/>
    <n v="0.96696428000000001"/>
    <m/>
    <n v="10000000"/>
    <n v="9669642.8100000005"/>
    <n v="10000000"/>
    <n v="9669642.8100000005"/>
    <n v="2158"/>
    <s v="AMOMPY"/>
    <s v="Momentum Capital Investment S.A."/>
    <s v="27/04/2026"/>
    <s v="27/04/2026"/>
    <n v="29"/>
    <s v="No"/>
    <s v=""/>
    <m/>
    <m/>
    <s v="*MIL280800030"/>
    <s v="*MIL280800030"/>
    <n v="1.8547787830397087E-4"/>
  </r>
  <r>
    <x v="43"/>
    <s v="Pesos"/>
    <d v="2026-09-01T00:00:00"/>
    <s v="20/07/2026"/>
    <n v="0.97028026000000001"/>
    <m/>
    <n v="120000000"/>
    <n v="116433630.98"/>
    <n v="120000000"/>
    <n v="116433630.98"/>
    <n v="344"/>
    <s v="AMOMPY"/>
    <s v="Momentum Capital Investment S.A."/>
    <s v="04/06/2026"/>
    <s v="04/06/2026"/>
    <n v="26"/>
    <s v="No"/>
    <s v=""/>
    <m/>
    <m/>
    <s v="*MIL280800034"/>
    <s v="*MIL280800034"/>
    <n v="2.2333671741281095E-3"/>
  </r>
  <r>
    <x v="43"/>
    <s v="Pesos"/>
    <d v="2026-09-01T00:00:00"/>
    <s v="20/07/2026"/>
    <n v="0.96696433999999998"/>
    <m/>
    <n v="10000000"/>
    <n v="9669643.3599999994"/>
    <n v="10000000"/>
    <n v="9669643.3599999994"/>
    <n v="66412510"/>
    <s v="AMOMPY"/>
    <s v="Momentum Capital Investment S.A."/>
    <s v="22/04/2026"/>
    <s v="22/04/2026"/>
    <n v="29"/>
    <s v="No"/>
    <s v=""/>
    <m/>
    <m/>
    <s v="*MIL280800029"/>
    <s v="*MIL280800029"/>
    <n v="1.8547788885377452E-4"/>
  </r>
  <r>
    <x v="173"/>
    <s v="Pesos"/>
    <d v="2026-09-01T00:00:00"/>
    <s v="20/07/2026"/>
    <n v="0.96257828000000001"/>
    <m/>
    <n v="20000000"/>
    <n v="19251565.620000001"/>
    <n v="20000000"/>
    <n v="19251565.620000001"/>
    <n v="156669"/>
    <s v="AMOMPY"/>
    <s v="Momentum Capital Investment S.A."/>
    <s v="14/07/2026"/>
    <s v="14/07/2026"/>
    <n v="33"/>
    <s v="No"/>
    <s v=""/>
    <m/>
    <m/>
    <s v="#MAV310860061"/>
    <s v="#MAV310860061"/>
    <n v="3.6927315883214816E-4"/>
  </r>
  <r>
    <x v="96"/>
    <s v="Pesos"/>
    <d v="2026-09-01T00:00:00"/>
    <s v="20/07/2026"/>
    <n v="0.95715110000000003"/>
    <m/>
    <n v="5450000"/>
    <n v="5216473.4800000004"/>
    <n v="5450000"/>
    <n v="5216473.4800000004"/>
    <n v="28518"/>
    <s v="AMOMPY"/>
    <s v="Momentum Capital Investment S.A."/>
    <s v="08/04/2026"/>
    <s v="08/04/2026"/>
    <n v="38"/>
    <s v="No"/>
    <s v=""/>
    <m/>
    <m/>
    <s v="*MAV280801000"/>
    <s v="*MAV280801000"/>
    <n v="1.0005958361758054E-4"/>
  </r>
  <r>
    <x v="1"/>
    <s v="Pesos"/>
    <d v="2026-09-01T00:00:00"/>
    <s v="20/07/2026"/>
    <n v="0.96806709999999996"/>
    <m/>
    <n v="10000000"/>
    <n v="9680670.9600000009"/>
    <n v="10000000"/>
    <n v="9680670.9600000009"/>
    <n v="360560"/>
    <s v="AMOMPY"/>
    <s v="Momentum Capital Investment S.A."/>
    <s v="21/04/2026"/>
    <s v="21/04/2026"/>
    <n v="28"/>
    <s v="No"/>
    <s v=""/>
    <m/>
    <m/>
    <s v="*MOV280800056"/>
    <s v="*MOV280800056"/>
    <n v="1.8568941433521938E-4"/>
  </r>
  <r>
    <x v="13"/>
    <s v="Pesos"/>
    <d v="2026-09-01T00:00:00"/>
    <s v="20/07/2026"/>
    <n v="0.96257815999999996"/>
    <m/>
    <n v="21395750"/>
    <n v="20595081.57"/>
    <n v="21395750"/>
    <n v="20595081.57"/>
    <n v="3233102"/>
    <s v="AMOMPY"/>
    <s v="Momentum Capital Investment S.A."/>
    <s v="20/04/2026"/>
    <s v="20/04/2026"/>
    <n v="33"/>
    <s v="No"/>
    <s v=""/>
    <m/>
    <m/>
    <s v="*NEU280800014"/>
    <s v="*NEU280800014"/>
    <n v="3.9504375788838609E-4"/>
  </r>
  <r>
    <x v="13"/>
    <s v="Pesos"/>
    <d v="2026-09-01T00:00:00"/>
    <s v="20/07/2026"/>
    <n v="0.96257815999999996"/>
    <m/>
    <n v="21395750"/>
    <n v="20595081.57"/>
    <n v="21395750"/>
    <n v="20595081.57"/>
    <n v="3233103"/>
    <s v="AMOMPY"/>
    <s v="Momentum Capital Investment S.A."/>
    <s v="20/04/2026"/>
    <s v="20/04/2026"/>
    <n v="33"/>
    <s v="No"/>
    <s v=""/>
    <m/>
    <m/>
    <s v="*NEU280800013"/>
    <s v="*NEU280800013"/>
    <n v="3.9504375788838609E-4"/>
  </r>
  <r>
    <x v="156"/>
    <s v="Pesos"/>
    <d v="2026-09-01T00:00:00"/>
    <s v="20/07/2026"/>
    <n v="0.96586419999999995"/>
    <m/>
    <n v="2500000"/>
    <n v="2414660.5"/>
    <n v="2500000"/>
    <n v="2414660.5"/>
    <n v="344"/>
    <s v="AMOMPY"/>
    <s v="Momentum Capital Investment S.A."/>
    <s v="15/07/2026"/>
    <s v="15/07/2026"/>
    <n v="30"/>
    <s v="No"/>
    <s v=""/>
    <m/>
    <m/>
    <s v="*MAV280801400"/>
    <s v="*MAV280801400"/>
    <n v="4.631671667346784E-5"/>
  </r>
  <r>
    <x v="132"/>
    <s v="Pesos"/>
    <d v="2026-09-01T00:00:00"/>
    <s v="20/07/2026"/>
    <n v="0.96586406000000002"/>
    <m/>
    <n v="1064203.17"/>
    <n v="1027875.59"/>
    <n v="1064203.17"/>
    <n v="1027875.59"/>
    <n v="1247"/>
    <s v="AMOMPY"/>
    <s v="Momentum Capital Investment S.A."/>
    <s v="13/07/2026"/>
    <s v="13/07/2026"/>
    <n v="30"/>
    <s v="No"/>
    <s v=""/>
    <m/>
    <m/>
    <s v="*MAV280801373"/>
    <s v="*MAV280801373"/>
    <n v="1.9716155740156264E-5"/>
  </r>
  <r>
    <x v="153"/>
    <s v="Pesos"/>
    <d v="2026-09-01T00:00:00"/>
    <s v="20/07/2026"/>
    <n v="0.96586404999999997"/>
    <m/>
    <n v="1768326.86"/>
    <n v="1707963.34"/>
    <n v="1768326.86"/>
    <n v="1707963.34"/>
    <n v="11347809"/>
    <s v="AMOMPY"/>
    <s v="Momentum Capital Investment S.A."/>
    <s v="20/07/2026"/>
    <s v="20/07/2026"/>
    <n v="30"/>
    <s v="No"/>
    <s v=""/>
    <m/>
    <m/>
    <s v="*MAV280801436"/>
    <s v="*MAV280801436"/>
    <n v="3.2761232524178792E-5"/>
  </r>
  <r>
    <x v="0"/>
    <s v="Pesos"/>
    <d v="2026-09-02T00:00:00"/>
    <s v="20/07/2026"/>
    <n v="0.97188202000000001"/>
    <m/>
    <n v="10000000"/>
    <n v="9718820.1600000001"/>
    <n v="10000000"/>
    <n v="9718820.1600000001"/>
    <n v="4539"/>
    <s v="AMOMPY"/>
    <s v="Momentum Capital Investment S.A."/>
    <s v="17/07/2026"/>
    <s v="17/07/2026"/>
    <n v="24"/>
    <s v="No"/>
    <s v=""/>
    <m/>
    <m/>
    <s v="*INP310800079"/>
    <s v="*INP310800079"/>
    <n v="1.8642117173453884E-4"/>
  </r>
  <r>
    <x v="170"/>
    <s v="Pesos"/>
    <d v="2026-09-02T00:00:00"/>
    <s v="20/07/2026"/>
    <n v="0.96509785000000003"/>
    <m/>
    <n v="25000000"/>
    <n v="24127446.219999999"/>
    <n v="25000000"/>
    <n v="24127446.219999999"/>
    <n v="718979"/>
    <s v="AMOMPY"/>
    <s v="Momentum Capital Investment S.A."/>
    <s v="17/04/2026"/>
    <s v="17/04/2026"/>
    <n v="30"/>
    <s v="No"/>
    <s v=""/>
    <m/>
    <m/>
    <s v="*CVA310800024"/>
    <s v="*CVA310800024"/>
    <n v="4.6279967333961547E-4"/>
  </r>
  <r>
    <x v="137"/>
    <s v="Pesos"/>
    <d v="2026-09-02T00:00:00"/>
    <s v="20/07/2026"/>
    <n v="0.96174119000000002"/>
    <m/>
    <n v="1000000"/>
    <n v="961741.19"/>
    <n v="1000000"/>
    <n v="961741.19"/>
    <n v="458"/>
    <s v="AMOMPY"/>
    <s v="Momentum Capital Investment S.A."/>
    <s v="06/07/2026"/>
    <s v="06/07/2026"/>
    <n v="33"/>
    <s v="No"/>
    <s v=""/>
    <m/>
    <m/>
    <s v="*MAV310801442"/>
    <s v="*MAV310801442"/>
    <n v="1.8447601313076434E-5"/>
  </r>
  <r>
    <x v="137"/>
    <s v="Pesos"/>
    <d v="2026-09-02T00:00:00"/>
    <s v="20/07/2026"/>
    <n v="0.96174117000000003"/>
    <m/>
    <n v="2000000"/>
    <n v="1923482.34"/>
    <n v="2000000"/>
    <n v="1923482.34"/>
    <n v="457"/>
    <s v="AMOMPY"/>
    <s v="Momentum Capital Investment S.A."/>
    <s v="06/07/2026"/>
    <s v="06/07/2026"/>
    <n v="33"/>
    <s v="No"/>
    <s v=""/>
    <m/>
    <m/>
    <s v="*MAV300801419"/>
    <s v="*MAV300801419"/>
    <n v="3.6895201858894425E-5"/>
  </r>
  <r>
    <x v="137"/>
    <s v="Pesos"/>
    <d v="2026-09-02T00:00:00"/>
    <s v="20/07/2026"/>
    <n v="0.96174117000000003"/>
    <m/>
    <n v="2000000"/>
    <n v="1923482.34"/>
    <n v="2000000"/>
    <n v="1923482.34"/>
    <n v="456"/>
    <s v="AMOMPY"/>
    <s v="Momentum Capital Investment S.A."/>
    <s v="06/07/2026"/>
    <s v="06/07/2026"/>
    <n v="33"/>
    <s v="No"/>
    <s v=""/>
    <m/>
    <m/>
    <s v="*MAV290801294"/>
    <s v="*MAV290801294"/>
    <n v="3.6895201858894425E-5"/>
  </r>
  <r>
    <x v="53"/>
    <s v="Pesos"/>
    <d v="2026-09-02T00:00:00"/>
    <s v="20/07/2026"/>
    <n v="0.95619858999999996"/>
    <m/>
    <n v="750000000"/>
    <n v="717148941.75"/>
    <n v="750000000"/>
    <n v="717148941.75"/>
    <n v="156378"/>
    <s v="AMOMPY"/>
    <s v="Momentum Capital Investment S.A."/>
    <s v="20/07/2026"/>
    <s v="20/07/2026"/>
    <n v="38"/>
    <s v="No"/>
    <s v=""/>
    <m/>
    <m/>
    <s v="#MAV010960065"/>
    <s v="#MAV010960065"/>
    <n v="1.3755964595317662E-2"/>
  </r>
  <r>
    <x v="141"/>
    <s v="Pesos"/>
    <d v="2026-09-02T00:00:00"/>
    <s v="20/07/2026"/>
    <n v="0.96174115999999998"/>
    <m/>
    <n v="3812810.4"/>
    <n v="3666936.7"/>
    <n v="3812810.4"/>
    <n v="3666936.7"/>
    <n v="286"/>
    <s v="AMOMPY"/>
    <s v="Momentum Capital Investment S.A."/>
    <s v="27/05/2026"/>
    <s v="27/05/2026"/>
    <n v="33"/>
    <s v="No"/>
    <s v=""/>
    <m/>
    <m/>
    <s v="*MAV310801202"/>
    <s v="*MAV310801202"/>
    <n v="7.03372040058804E-5"/>
  </r>
  <r>
    <x v="84"/>
    <s v="Pesos"/>
    <d v="2026-09-02T00:00:00"/>
    <s v="20/07/2026"/>
    <n v="0.96285748999999998"/>
    <m/>
    <n v="13000000"/>
    <n v="12517147.42"/>
    <n v="13000000"/>
    <n v="12517147.42"/>
    <n v="546"/>
    <s v="AMOMPY"/>
    <s v="Momentum Capital Investment S.A."/>
    <s v="04/06/2026"/>
    <s v="04/06/2026"/>
    <n v="32"/>
    <s v="No"/>
    <s v=""/>
    <m/>
    <m/>
    <s v="*MAV290801216"/>
    <s v="*MAV290801216"/>
    <n v="2.400971774757441E-4"/>
  </r>
  <r>
    <x v="157"/>
    <s v="Pesos"/>
    <d v="2026-09-02T00:00:00"/>
    <s v="20/07/2026"/>
    <n v="0.96285746999999999"/>
    <m/>
    <n v="1000000"/>
    <n v="962857.47"/>
    <n v="1000000"/>
    <n v="962857.47"/>
    <n v="67277956"/>
    <s v="AMOMPY"/>
    <s v="Momentum Capital Investment S.A."/>
    <s v="04/06/2026"/>
    <s v="04/06/2026"/>
    <n v="32"/>
    <s v="No"/>
    <s v=""/>
    <m/>
    <m/>
    <s v="*MAV300801351"/>
    <s v="*MAV300801351"/>
    <n v="1.8469013194576239E-5"/>
  </r>
  <r>
    <x v="171"/>
    <s v="Pesos"/>
    <d v="2026-09-02T00:00:00"/>
    <s v="20/07/2026"/>
    <n v="0.95399906000000001"/>
    <m/>
    <n v="9972570.8200000003"/>
    <n v="9513823.1899999995"/>
    <n v="9972570.8200000003"/>
    <n v="9513823.1899999995"/>
    <n v="1179207"/>
    <s v="AMOMPY"/>
    <s v="Momentum Capital Investment S.A."/>
    <s v="16/04/2026"/>
    <s v="16/04/2026"/>
    <n v="40"/>
    <s v="No"/>
    <s v=""/>
    <m/>
    <m/>
    <s v="*MAV310801101"/>
    <s v="*MAV310801101"/>
    <n v="1.8248903030993301E-4"/>
  </r>
  <r>
    <x v="171"/>
    <s v="Pesos"/>
    <d v="2026-09-02T00:00:00"/>
    <s v="20/07/2026"/>
    <n v="0.95399906000000001"/>
    <m/>
    <n v="9972350.7799999993"/>
    <n v="9513613.2699999996"/>
    <n v="9972350.7799999993"/>
    <n v="9513613.2699999996"/>
    <n v="1179206"/>
    <s v="AMOMPY"/>
    <s v="Momentum Capital Investment S.A."/>
    <s v="16/04/2026"/>
    <s v="16/04/2026"/>
    <n v="40"/>
    <s v="No"/>
    <s v=""/>
    <m/>
    <m/>
    <s v="*MAV300801317"/>
    <s v="*MAV300801317"/>
    <n v="1.824850037375995E-4"/>
  </r>
  <r>
    <x v="171"/>
    <s v="Pesos"/>
    <d v="2026-09-02T00:00:00"/>
    <s v="20/07/2026"/>
    <n v="0.95399906000000001"/>
    <m/>
    <n v="9973200"/>
    <n v="9514423.4199999999"/>
    <n v="9973200"/>
    <n v="9514423.4199999999"/>
    <n v="1179205"/>
    <s v="AMOMPY"/>
    <s v="Momentum Capital Investment S.A."/>
    <s v="16/04/2026"/>
    <s v="16/04/2026"/>
    <n v="40"/>
    <s v="No"/>
    <s v=""/>
    <m/>
    <m/>
    <s v="*MAV290801169"/>
    <s v="*MAV290801169"/>
    <n v="1.825005435983845E-4"/>
  </r>
  <r>
    <x v="100"/>
    <s v="Pesos"/>
    <d v="2026-09-02T00:00:00"/>
    <s v="20/07/2026"/>
    <n v="0.96509785000000003"/>
    <m/>
    <n v="10000000"/>
    <n v="9650978.4900000002"/>
    <n v="10000000"/>
    <n v="9650978.4900000002"/>
    <n v="3463103"/>
    <s v="AMOMPY"/>
    <s v="Momentum Capital Investment S.A."/>
    <s v="17/04/2026"/>
    <s v="17/04/2026"/>
    <n v="30"/>
    <s v="No"/>
    <s v=""/>
    <m/>
    <m/>
    <s v="*MAV300801320"/>
    <s v="*MAV300801320"/>
    <n v="1.8511986937420913E-4"/>
  </r>
  <r>
    <x v="174"/>
    <s v="Pesos"/>
    <d v="2026-09-02T00:00:00"/>
    <s v="20/07/2026"/>
    <n v="0.95951629999999999"/>
    <m/>
    <n v="19999999"/>
    <n v="19190325.030000001"/>
    <n v="19999999"/>
    <n v="19190325.030000001"/>
    <n v="43"/>
    <s v="AMOMPY"/>
    <s v="Momentum Capital Investment S.A."/>
    <s v="20/04/2026"/>
    <s v="20/04/2026"/>
    <n v="35"/>
    <s v="No"/>
    <s v=""/>
    <m/>
    <m/>
    <s v="*MAV310801103"/>
    <s v="*MAV310801103"/>
    <n v="3.6809847483166614E-4"/>
  </r>
  <r>
    <x v="175"/>
    <s v="Pesos"/>
    <d v="2026-09-02T00:00:00"/>
    <s v="20/07/2026"/>
    <n v="0.96509792000000005"/>
    <m/>
    <n v="50000000"/>
    <n v="48254895.920000002"/>
    <n v="50000000"/>
    <n v="48254895.920000002"/>
    <n v="5491"/>
    <s v="AMOMPY"/>
    <s v="Momentum Capital Investment S.A."/>
    <s v="04/05/2026"/>
    <s v="04/05/2026"/>
    <n v="30"/>
    <s v="No"/>
    <s v=""/>
    <m/>
    <m/>
    <s v="*MAV310801112"/>
    <s v="*MAV310801112"/>
    <n v="9.2559941343071603E-4"/>
  </r>
  <r>
    <x v="175"/>
    <s v="Pesos"/>
    <d v="2026-09-02T00:00:00"/>
    <s v="20/07/2026"/>
    <n v="0.96509792000000005"/>
    <m/>
    <n v="50000000"/>
    <n v="48254895.920000002"/>
    <n v="50000000"/>
    <n v="48254895.920000002"/>
    <n v="5490"/>
    <s v="AMOMPY"/>
    <s v="Momentum Capital Investment S.A."/>
    <s v="04/05/2026"/>
    <s v="04/05/2026"/>
    <n v="30"/>
    <s v="No"/>
    <s v=""/>
    <m/>
    <m/>
    <s v="*MAV310801113"/>
    <s v="*MAV310801113"/>
    <n v="9.2559941343071603E-4"/>
  </r>
  <r>
    <x v="7"/>
    <s v="Pesos"/>
    <d v="2026-09-02T00:00:00"/>
    <s v="20/07/2026"/>
    <n v="0.96509794000000004"/>
    <m/>
    <n v="10000000"/>
    <n v="9650979.3900000006"/>
    <n v="10000000"/>
    <n v="9650979.3900000006"/>
    <n v="578"/>
    <s v="AMOMPY"/>
    <s v="Momentum Capital Investment S.A."/>
    <s v="02/06/2026"/>
    <s v="02/06/2026"/>
    <n v="30"/>
    <s v="No"/>
    <s v=""/>
    <m/>
    <m/>
    <s v="*MAV300801345"/>
    <s v="*MAV300801345"/>
    <n v="1.8511988663752422E-4"/>
  </r>
  <r>
    <x v="7"/>
    <s v="Pesos"/>
    <d v="2026-09-02T00:00:00"/>
    <s v="20/07/2026"/>
    <n v="0.96509789999999995"/>
    <m/>
    <n v="10000000"/>
    <n v="9650978.9700000007"/>
    <n v="10000000"/>
    <n v="9650978.9700000007"/>
    <n v="503"/>
    <s v="AMOMPY"/>
    <s v="Momentum Capital Investment S.A."/>
    <s v="14/05/2026"/>
    <s v="14/05/2026"/>
    <n v="30"/>
    <s v="No"/>
    <s v=""/>
    <m/>
    <m/>
    <s v="*MAV290801184"/>
    <s v="*MAV290801184"/>
    <n v="1.8511987858131051E-4"/>
  </r>
  <r>
    <x v="7"/>
    <s v="Pesos"/>
    <d v="2026-09-02T00:00:00"/>
    <s v="20/07/2026"/>
    <n v="0.96509787000000002"/>
    <m/>
    <n v="10000000"/>
    <n v="9650978.6699999999"/>
    <n v="10000000"/>
    <n v="9650978.6699999999"/>
    <n v="493"/>
    <s v="AMOMPY"/>
    <s v="Momentum Capital Investment S.A."/>
    <s v="13/05/2026"/>
    <s v="13/05/2026"/>
    <n v="30"/>
    <s v="No"/>
    <s v=""/>
    <m/>
    <m/>
    <s v="*MAV310801141"/>
    <s v="*MAV310801141"/>
    <n v="1.8511987282687214E-4"/>
  </r>
  <r>
    <x v="8"/>
    <s v="Pesos"/>
    <d v="2026-09-02T00:00:00"/>
    <s v="20/07/2026"/>
    <n v="0.95619825999999997"/>
    <m/>
    <n v="15000000"/>
    <n v="14342973.960000001"/>
    <n v="15000000"/>
    <n v="14342973.960000001"/>
    <n v="70219552"/>
    <s v="AMOMPY"/>
    <s v="Momentum Capital Investment S.A."/>
    <s v="02/07/2026"/>
    <s v="02/07/2026"/>
    <n v="38"/>
    <s v="No"/>
    <s v=""/>
    <m/>
    <m/>
    <s v="*MAV310801408"/>
    <s v="*MAV310801408"/>
    <n v="2.7511919839672992E-4"/>
  </r>
  <r>
    <x v="8"/>
    <s v="Pesos"/>
    <d v="2026-09-02T00:00:00"/>
    <s v="20/07/2026"/>
    <n v="0.95619825999999997"/>
    <m/>
    <n v="25000000"/>
    <n v="23904956.600000001"/>
    <n v="25000000"/>
    <n v="23904956.600000001"/>
    <n v="70219551"/>
    <s v="AMOMPY"/>
    <s v="Momentum Capital Investment S.A."/>
    <s v="02/07/2026"/>
    <s v="02/07/2026"/>
    <n v="38"/>
    <s v="No"/>
    <s v=""/>
    <m/>
    <m/>
    <s v="*MAV310801407"/>
    <s v="*MAV310801407"/>
    <n v="4.5853199732788323E-4"/>
  </r>
  <r>
    <x v="142"/>
    <s v="Pesos"/>
    <d v="2026-09-02T00:00:00"/>
    <s v="20/07/2026"/>
    <n v="0.95399898000000005"/>
    <m/>
    <n v="2000000"/>
    <n v="1907997.97"/>
    <n v="2000000"/>
    <n v="1907997.97"/>
    <n v="39"/>
    <s v="AMOMPY"/>
    <s v="Momentum Capital Investment S.A."/>
    <s v="30/03/2026"/>
    <s v="30/03/2026"/>
    <n v="40"/>
    <s v="No"/>
    <s v=""/>
    <m/>
    <m/>
    <s v="*MAV300801312"/>
    <s v="*MAV300801312"/>
    <n v="3.6598189016651327E-5"/>
  </r>
  <r>
    <x v="143"/>
    <s v="Pesos"/>
    <d v="2026-09-02T00:00:00"/>
    <s v="20/07/2026"/>
    <n v="0.96174115999999998"/>
    <m/>
    <n v="2200000"/>
    <n v="2115830.54"/>
    <n v="2200000"/>
    <n v="2115830.54"/>
    <n v="6200"/>
    <s v="AMOMPY"/>
    <s v="Momentum Capital Investment S.A."/>
    <s v="03/06/2026"/>
    <s v="03/06/2026"/>
    <n v="33"/>
    <s v="No"/>
    <s v=""/>
    <m/>
    <m/>
    <s v="*MAV310801249"/>
    <s v="*MAV310801249"/>
    <n v="4.0584721392614186E-5"/>
  </r>
  <r>
    <x v="131"/>
    <s v="Pesos"/>
    <d v="2026-09-02T00:00:00"/>
    <s v="20/07/2026"/>
    <n v="0.96174115999999998"/>
    <m/>
    <n v="50000000"/>
    <n v="48087057.840000004"/>
    <n v="50000000"/>
    <n v="48087057.840000004"/>
    <n v="2834"/>
    <s v="AMOMPY"/>
    <s v="Momentum Capital Investment S.A."/>
    <s v="03/06/2026"/>
    <s v="03/06/2026"/>
    <n v="33"/>
    <s v="No"/>
    <s v=""/>
    <m/>
    <m/>
    <s v="*MAV310801247"/>
    <s v="*MAV310801247"/>
    <n v="9.2238003381259627E-4"/>
  </r>
  <r>
    <x v="9"/>
    <s v="Pesos"/>
    <d v="2026-09-02T00:00:00"/>
    <s v="20/07/2026"/>
    <n v="0.95951639"/>
    <m/>
    <n v="10000000"/>
    <n v="9595163.8900000006"/>
    <n v="10000000"/>
    <n v="9595163.8900000006"/>
    <n v="162"/>
    <s v="AMOMPY"/>
    <s v="Momentum Capital Investment S.A."/>
    <s v="23/04/2026"/>
    <s v="23/04/2026"/>
    <n v="35"/>
    <s v="No"/>
    <s v=""/>
    <m/>
    <m/>
    <s v="*MAV310801104"/>
    <s v="*MAV310801104"/>
    <n v="1.840492637903422E-4"/>
  </r>
  <r>
    <x v="10"/>
    <s v="Pesos"/>
    <d v="2026-09-02T00:00:00"/>
    <s v="20/07/2026"/>
    <n v="0.96174126999999998"/>
    <m/>
    <n v="2500000"/>
    <n v="2404353.17"/>
    <n v="2500000"/>
    <n v="2404353.17"/>
    <n v="1199"/>
    <s v="AMOMPY"/>
    <s v="Momentum Capital Investment S.A."/>
    <s v="19/05/2026"/>
    <s v="19/05/2026"/>
    <n v="33"/>
    <s v="No"/>
    <s v=""/>
    <m/>
    <m/>
    <s v="*MAV310801175"/>
    <s v="*MAV310801175"/>
    <n v="4.6119007023076019E-5"/>
  </r>
  <r>
    <x v="57"/>
    <s v="Pesos"/>
    <d v="2026-09-02T00:00:00"/>
    <s v="20/07/2026"/>
    <n v="0.96847808999999996"/>
    <m/>
    <n v="200000000"/>
    <n v="193695618.24000001"/>
    <n v="200000000"/>
    <n v="193695618.24000001"/>
    <n v="90003878"/>
    <s v="AMOMPY"/>
    <s v="Momentum Capital Investment S.A."/>
    <s v="26/06/2026"/>
    <s v="26/06/2026"/>
    <n v="27"/>
    <s v="No"/>
    <s v=""/>
    <m/>
    <m/>
    <s v="*BIF310800004"/>
    <s v="*BIF310800004"/>
    <n v="3.7153649844001964E-3"/>
  </r>
  <r>
    <x v="43"/>
    <s v="Pesos"/>
    <d v="2026-09-02T00:00:00"/>
    <s v="20/07/2026"/>
    <n v="0.96847804999999998"/>
    <m/>
    <n v="6250000"/>
    <n v="6052987.79"/>
    <n v="6250000"/>
    <n v="6052987.79"/>
    <n v="1382"/>
    <s v="AMOMPY"/>
    <s v="Momentum Capital Investment S.A."/>
    <s v="25/06/2026"/>
    <s v="25/06/2026"/>
    <n v="27"/>
    <s v="No"/>
    <s v=""/>
    <m/>
    <m/>
    <s v="*MIL290800030"/>
    <s v="*MIL290800030"/>
    <n v="1.1610515039169699E-4"/>
  </r>
  <r>
    <x v="43"/>
    <s v="Pesos"/>
    <d v="2026-09-02T00:00:00"/>
    <s v="20/07/2026"/>
    <n v="0.96847804999999998"/>
    <m/>
    <n v="6250000"/>
    <n v="6052987.79"/>
    <n v="6250000"/>
    <n v="6052987.79"/>
    <n v="1379"/>
    <s v="AMOMPY"/>
    <s v="Momentum Capital Investment S.A."/>
    <s v="25/06/2026"/>
    <s v="25/06/2026"/>
    <n v="27"/>
    <s v="No"/>
    <s v=""/>
    <m/>
    <m/>
    <s v="*MIL290800031"/>
    <s v="*MIL290800031"/>
    <n v="1.1610515039169699E-4"/>
  </r>
  <r>
    <x v="43"/>
    <s v="Pesos"/>
    <d v="2026-09-02T00:00:00"/>
    <s v="20/07/2026"/>
    <n v="0.96847804999999998"/>
    <m/>
    <n v="6250000"/>
    <n v="6052987.79"/>
    <n v="6250000"/>
    <n v="6052987.79"/>
    <n v="1381"/>
    <s v="AMOMPY"/>
    <s v="Momentum Capital Investment S.A."/>
    <s v="25/06/2026"/>
    <s v="25/06/2026"/>
    <n v="27"/>
    <s v="No"/>
    <s v=""/>
    <m/>
    <m/>
    <s v="*MIL290800032"/>
    <s v="*MIL290800032"/>
    <n v="1.1610515039169699E-4"/>
  </r>
  <r>
    <x v="43"/>
    <s v="Pesos"/>
    <d v="2026-09-02T00:00:00"/>
    <s v="20/07/2026"/>
    <n v="0.96847804999999998"/>
    <m/>
    <n v="6250000"/>
    <n v="6052987.79"/>
    <n v="6250000"/>
    <n v="6052987.79"/>
    <n v="1380"/>
    <s v="AMOMPY"/>
    <s v="Momentum Capital Investment S.A."/>
    <s v="25/06/2026"/>
    <s v="25/06/2026"/>
    <n v="27"/>
    <s v="No"/>
    <s v=""/>
    <m/>
    <m/>
    <s v="*MIL290800033"/>
    <s v="*MIL290800033"/>
    <n v="1.1610515039169699E-4"/>
  </r>
  <r>
    <x v="43"/>
    <s v="Pesos"/>
    <d v="2026-09-02T00:00:00"/>
    <s v="20/07/2026"/>
    <n v="0.96961010000000003"/>
    <m/>
    <n v="10000000"/>
    <n v="9696101.0299999993"/>
    <n v="10000000"/>
    <n v="9696101.0299999993"/>
    <n v="68035343"/>
    <s v="AMOMPY"/>
    <s v="Momentum Capital Investment S.A."/>
    <s v="07/07/2026"/>
    <s v="07/07/2026"/>
    <n v="26"/>
    <s v="No"/>
    <s v=""/>
    <m/>
    <m/>
    <s v="*MIL310800022"/>
    <s v="*MIL310800022"/>
    <n v="1.8598538562411969E-4"/>
  </r>
  <r>
    <x v="43"/>
    <s v="Pesos"/>
    <d v="2026-09-02T00:00:00"/>
    <s v="20/07/2026"/>
    <n v="0.96961010000000003"/>
    <m/>
    <n v="25000000"/>
    <n v="24240252.579999998"/>
    <n v="25000000"/>
    <n v="24240252.579999998"/>
    <n v="2844"/>
    <s v="AMOMPY"/>
    <s v="Momentum Capital Investment S.A."/>
    <s v="07/07/2026"/>
    <s v="07/07/2026"/>
    <n v="26"/>
    <s v="No"/>
    <s v=""/>
    <m/>
    <m/>
    <s v="*MIL290800034"/>
    <s v="*MIL290800034"/>
    <n v="4.6496346415620657E-4"/>
  </r>
  <r>
    <x v="43"/>
    <s v="Pesos"/>
    <d v="2026-09-02T00:00:00"/>
    <s v="20/07/2026"/>
    <n v="0.96961010000000003"/>
    <m/>
    <n v="12500000"/>
    <n v="12120126.289999999"/>
    <n v="12500000"/>
    <n v="12120126.289999999"/>
    <n v="189"/>
    <s v="AMOMPY"/>
    <s v="Momentum Capital Investment S.A."/>
    <s v="07/07/2026"/>
    <s v="07/07/2026"/>
    <n v="26"/>
    <s v="No"/>
    <s v=""/>
    <m/>
    <m/>
    <s v="*MIL290800035"/>
    <s v="*MIL290800035"/>
    <n v="2.3248173207810328E-4"/>
  </r>
  <r>
    <x v="176"/>
    <s v="Pesos"/>
    <d v="2026-09-02T00:00:00"/>
    <s v="20/07/2026"/>
    <n v="0.95840778000000004"/>
    <m/>
    <n v="5000000"/>
    <n v="4792038.91"/>
    <n v="5000000"/>
    <n v="4792038.91"/>
    <n v="67542727"/>
    <s v="AMOMPY"/>
    <s v="Momentum Capital Investment S.A."/>
    <s v="11/06/2026"/>
    <s v="11/06/2026"/>
    <n v="36"/>
    <s v="No"/>
    <s v=""/>
    <m/>
    <m/>
    <s v="*MAV310801293"/>
    <s v="*MAV310801293"/>
    <n v="9.1918308384430713E-5"/>
  </r>
  <r>
    <x v="76"/>
    <s v="Pesos"/>
    <d v="2026-09-02T00:00:00"/>
    <s v="20/07/2026"/>
    <n v="0.96174137999999998"/>
    <m/>
    <n v="145500000"/>
    <n v="139933371.40000001"/>
    <n v="145500000"/>
    <n v="139933371.40000001"/>
    <n v="70390800"/>
    <s v="AMOMPY"/>
    <s v="Momentum Capital Investment S.A."/>
    <s v="16/07/2026"/>
    <s v="16/07/2026"/>
    <n v="33"/>
    <s v="No"/>
    <s v=""/>
    <m/>
    <m/>
    <s v="*MAV310801540"/>
    <s v="*MAV310801540"/>
    <n v="2.6841265330248077E-3"/>
  </r>
  <r>
    <x v="127"/>
    <s v="Pesos"/>
    <d v="2026-09-02T00:00:00"/>
    <s v="20/07/2026"/>
    <n v="0.95619832000000005"/>
    <m/>
    <n v="40000000"/>
    <n v="38247932.759999998"/>
    <n v="40000000"/>
    <n v="38247932.759999998"/>
    <n v="70379073"/>
    <s v="AMOMPY"/>
    <s v="Momentum Capital Investment S.A."/>
    <s v="22/06/2026"/>
    <s v="22/06/2026"/>
    <n v="38"/>
    <s v="No"/>
    <s v=""/>
    <m/>
    <m/>
    <s v="*MAV310801326"/>
    <s v="*MAV310801326"/>
    <n v="7.3365123792382776E-4"/>
  </r>
  <r>
    <x v="139"/>
    <s v="Pesos"/>
    <d v="2026-09-02T00:00:00"/>
    <s v="20/07/2026"/>
    <n v="0.96509783999999998"/>
    <m/>
    <n v="2200000"/>
    <n v="2123215.2400000002"/>
    <n v="2200000"/>
    <n v="2123215.2400000002"/>
    <n v="9791"/>
    <s v="AMOMPY"/>
    <s v="Momentum Capital Investment S.A."/>
    <s v="13/07/2026"/>
    <s v="13/07/2026"/>
    <n v="30"/>
    <s v="No"/>
    <s v=""/>
    <m/>
    <m/>
    <s v="*MAV300801432"/>
    <s v="*MAV300801432"/>
    <n v="4.0726370729081388E-5"/>
  </r>
  <r>
    <x v="1"/>
    <s v="Pesos"/>
    <d v="2026-09-02T00:00:00"/>
    <s v="20/07/2026"/>
    <n v="0.96734869000000001"/>
    <m/>
    <n v="10000000"/>
    <n v="9673486.9399999995"/>
    <n v="10000000"/>
    <n v="9673486.9399999995"/>
    <n v="360561"/>
    <s v="AMOMPY"/>
    <s v="Momentum Capital Investment S.A."/>
    <s v="21/04/2026"/>
    <s v="21/04/2026"/>
    <n v="28"/>
    <s v="No"/>
    <s v=""/>
    <m/>
    <m/>
    <s v="*MOV310800090"/>
    <s v="*MOV310800090"/>
    <n v="1.8555161433438423E-4"/>
  </r>
  <r>
    <x v="13"/>
    <s v="Pesos"/>
    <d v="2026-09-02T00:00:00"/>
    <s v="20/07/2026"/>
    <n v="0.96285746000000005"/>
    <m/>
    <n v="15000000"/>
    <n v="14442861.93"/>
    <n v="15000000"/>
    <n v="14442861.93"/>
    <n v="179"/>
    <s v="AMOMPY"/>
    <s v="Momentum Capital Investment S.A."/>
    <s v="17/04/2026"/>
    <s v="17/04/2026"/>
    <n v="32"/>
    <s v="No"/>
    <s v=""/>
    <m/>
    <m/>
    <s v="*NEU290800019"/>
    <s v="*NEU290800019"/>
    <n v="2.7703519561686826E-4"/>
  </r>
  <r>
    <x v="13"/>
    <s v="Pesos"/>
    <d v="2026-09-02T00:00:00"/>
    <s v="20/07/2026"/>
    <n v="0.96509783000000005"/>
    <m/>
    <n v="6000000"/>
    <n v="5790587"/>
    <n v="6000000"/>
    <n v="5790587"/>
    <n v="10926495"/>
    <s v="AMOMPY"/>
    <s v="Momentum Capital Investment S.A."/>
    <s v="20/04/2026"/>
    <s v="20/04/2026"/>
    <n v="30"/>
    <s v="No"/>
    <s v=""/>
    <m/>
    <m/>
    <s v="*NEU310800017"/>
    <s v="*NEU310800017"/>
    <n v="1.1107191982146812E-4"/>
  </r>
  <r>
    <x v="167"/>
    <s v="Pesos"/>
    <d v="2026-09-02T00:00:00"/>
    <s v="20/07/2026"/>
    <n v="0.96509798000000002"/>
    <m/>
    <n v="830000"/>
    <n v="801031.33"/>
    <n v="830000"/>
    <n v="801031.33"/>
    <n v="63"/>
    <s v="AMOMPY"/>
    <s v="Momentum Capital Investment S.A."/>
    <s v="15/07/2026"/>
    <s v="15/07/2026"/>
    <n v="30"/>
    <s v="No"/>
    <s v=""/>
    <m/>
    <m/>
    <s v="*MAV310801512"/>
    <s v="*MAV310801512"/>
    <n v="1.5364951370257277E-5"/>
  </r>
  <r>
    <x v="124"/>
    <s v="Pesos"/>
    <d v="2026-09-02T00:00:00"/>
    <s v="20/07/2026"/>
    <n v="0.96509798000000002"/>
    <m/>
    <n v="2500000"/>
    <n v="2412744.94"/>
    <n v="2500000"/>
    <n v="2412744.94"/>
    <n v="381"/>
    <s v="AMOMPY"/>
    <s v="Momentum Capital Investment S.A."/>
    <s v="15/07/2026"/>
    <s v="15/07/2026"/>
    <n v="30"/>
    <s v="No"/>
    <s v=""/>
    <m/>
    <m/>
    <s v="*MAV310801513"/>
    <s v="*MAV310801513"/>
    <n v="4.6279973433666209E-5"/>
  </r>
  <r>
    <x v="0"/>
    <s v="Pesos"/>
    <d v="2026-09-03T00:00:00"/>
    <s v="20/07/2026"/>
    <n v="0.97126148999999995"/>
    <m/>
    <n v="10000000"/>
    <n v="9712614.9000000004"/>
    <n v="10000000"/>
    <n v="9712614.9000000004"/>
    <n v="4540"/>
    <s v="AMOMPY"/>
    <s v="Momentum Capital Investment S.A."/>
    <s v="17/07/2026"/>
    <s v="17/07/2026"/>
    <n v="24"/>
    <s v="No"/>
    <s v=""/>
    <m/>
    <m/>
    <s v="*INP010900047"/>
    <s v="*INP010900047"/>
    <n v="1.8630214578066036E-4"/>
  </r>
  <r>
    <x v="114"/>
    <s v="Dolar 3500"/>
    <d v="2026-09-03T00:00:00"/>
    <s v="20/07/2026"/>
    <n v="0.99144365000000001"/>
    <s v="1 US3 = 1480,1749803655 $"/>
    <n v="70000"/>
    <n v="69401.06"/>
    <n v="103612248.63"/>
    <n v="102725712.62"/>
    <n v="153854"/>
    <s v="AMOMPY"/>
    <s v="Momentum Capital Investment S.A."/>
    <s v="18/06/2026"/>
    <s v="18/06/2026"/>
    <n v="7"/>
    <s v="No"/>
    <s v=""/>
    <m/>
    <m/>
    <s v="#UMV010960024"/>
    <s v="#UMV010960024"/>
    <n v="1.9704292700777688E-3"/>
  </r>
  <r>
    <x v="115"/>
    <s v="Dolar 3500"/>
    <d v="2026-09-03T00:00:00"/>
    <s v="20/07/2026"/>
    <n v="0.99144361999999997"/>
    <s v="1 US3 = 1480,1749803655 $"/>
    <n v="100000"/>
    <n v="99144.36"/>
    <n v="148017498.03999999"/>
    <n v="146751001.12"/>
    <n v="147170"/>
    <s v="AMOMPY"/>
    <s v="Momentum Capital Investment S.A."/>
    <s v="23/04/2026"/>
    <s v="23/04/2026"/>
    <n v="7"/>
    <s v="No"/>
    <s v=""/>
    <m/>
    <m/>
    <s v="#UMV010960009"/>
    <s v="#UMV010960009"/>
    <n v="2.8148986329228488E-3"/>
  </r>
  <r>
    <x v="115"/>
    <s v="Dolar 3500"/>
    <d v="2026-09-03T00:00:00"/>
    <s v="20/07/2026"/>
    <n v="0.98902623000000001"/>
    <s v="1 US3 = 1480,1749803655 $"/>
    <n v="25000"/>
    <n v="24725.66"/>
    <n v="37004374.509999998"/>
    <n v="36598303.310000002"/>
    <n v="150612"/>
    <s v="AMOMPY"/>
    <s v="Momentum Capital Investment S.A."/>
    <s v="19/05/2026"/>
    <s v="19/05/2026"/>
    <n v="9"/>
    <s v="No"/>
    <s v=""/>
    <m/>
    <m/>
    <s v="#UMV010960013"/>
    <s v="#UMV010960013"/>
    <n v="7.0200893464688328E-4"/>
  </r>
  <r>
    <x v="177"/>
    <s v="Pesos"/>
    <d v="2026-09-03T00:00:00"/>
    <s v="20/07/2026"/>
    <n v="0.95750274999999996"/>
    <m/>
    <n v="2067824.35"/>
    <n v="1979947.5"/>
    <n v="2067824.35"/>
    <n v="1979947.5"/>
    <n v="2201"/>
    <s v="AMOMPY"/>
    <s v="Momentum Capital Investment S.A."/>
    <s v="27/05/2026"/>
    <s v="27/05/2026"/>
    <n v="36"/>
    <s v="No"/>
    <s v=""/>
    <m/>
    <m/>
    <s v="*MAV010901183"/>
    <s v="*MAV010901183"/>
    <n v="3.7978286134154668E-5"/>
  </r>
  <r>
    <x v="178"/>
    <s v="Pesos"/>
    <d v="2026-09-03T00:00:00"/>
    <s v="20/07/2026"/>
    <n v="0.96090573999999995"/>
    <m/>
    <n v="15230335.939999999"/>
    <n v="14634917.26"/>
    <n v="15230335.939999999"/>
    <n v="14634917.26"/>
    <n v="30690"/>
    <s v="AMOMPY"/>
    <s v="Momentum Capital Investment S.A."/>
    <s v="27/05/2026"/>
    <s v="27/05/2026"/>
    <n v="33"/>
    <s v="No"/>
    <s v=""/>
    <m/>
    <m/>
    <s v="*MAV010901182"/>
    <s v="*MAV010901182"/>
    <n v="2.8071909747604863E-4"/>
  </r>
  <r>
    <x v="119"/>
    <s v="Pesos"/>
    <d v="2026-09-03T00:00:00"/>
    <s v="20/07/2026"/>
    <n v="0.97534907000000004"/>
    <m/>
    <n v="248941.88"/>
    <n v="242805.23"/>
    <n v="248941.88"/>
    <n v="242805.23"/>
    <n v="40013131"/>
    <s v="AMOMPY"/>
    <s v="Momentum Capital Investment S.A."/>
    <s v="24/06/2026"/>
    <s v="24/06/2026"/>
    <n v="20.5"/>
    <s v="No"/>
    <s v=""/>
    <m/>
    <m/>
    <s v="*MAV010901282"/>
    <s v="*MAV010901282"/>
    <n v="4.6573590965463654E-6"/>
  </r>
  <r>
    <x v="119"/>
    <s v="Pesos"/>
    <d v="2026-09-03T00:00:00"/>
    <s v="20/07/2026"/>
    <n v="0.97534911999999996"/>
    <m/>
    <n v="1236587.72"/>
    <n v="1206104.74"/>
    <n v="1236587.72"/>
    <n v="1206104.74"/>
    <n v="40013042"/>
    <s v="AMOMPY"/>
    <s v="Momentum Capital Investment S.A."/>
    <s v="24/06/2026"/>
    <s v="24/06/2026"/>
    <n v="20.5"/>
    <s v="No"/>
    <s v=""/>
    <m/>
    <m/>
    <s v="*MAV010901283"/>
    <s v="*MAV010901283"/>
    <n v="2.3134851264228076E-5"/>
  </r>
  <r>
    <x v="171"/>
    <s v="Pesos"/>
    <d v="2026-09-03T00:00:00"/>
    <s v="20/07/2026"/>
    <n v="0.95300269000000004"/>
    <m/>
    <n v="9972890.5500000007"/>
    <n v="9504191.4800000004"/>
    <n v="9972890.5500000007"/>
    <n v="9504191.4800000004"/>
    <n v="1179208"/>
    <s v="AMOMPY"/>
    <s v="Momentum Capital Investment S.A."/>
    <s v="16/04/2026"/>
    <s v="16/04/2026"/>
    <n v="40"/>
    <s v="No"/>
    <s v=""/>
    <m/>
    <m/>
    <s v="*MAV010901130"/>
    <s v="*MAV010901130"/>
    <n v="1.8230428003835199E-4"/>
  </r>
  <r>
    <x v="179"/>
    <s v="Pesos"/>
    <d v="2026-09-03T00:00:00"/>
    <s v="20/07/2026"/>
    <n v="0.95300271999999997"/>
    <m/>
    <n v="12166667"/>
    <n v="11594866.75"/>
    <n v="12166667"/>
    <n v="11594866.75"/>
    <n v="90020550"/>
    <s v="AMOMPY"/>
    <s v="Momentum Capital Investment S.A."/>
    <s v="12/05/2026"/>
    <s v="12/05/2026"/>
    <n v="40"/>
    <s v="No"/>
    <s v=""/>
    <m/>
    <m/>
    <s v="*MAV010901143"/>
    <s v="*MAV010901143"/>
    <n v="2.2240648659567789E-4"/>
  </r>
  <r>
    <x v="178"/>
    <s v="Pesos"/>
    <d v="2026-09-03T00:00:00"/>
    <s v="20/07/2026"/>
    <n v="0.96090573999999995"/>
    <m/>
    <n v="16005575.67"/>
    <n v="15379849.57"/>
    <n v="16005575.67"/>
    <n v="15379849.57"/>
    <n v="30712"/>
    <s v="AMOMPY"/>
    <s v="Momentum Capital Investment S.A."/>
    <s v="27/05/2026"/>
    <s v="27/05/2026"/>
    <n v="33"/>
    <s v="No"/>
    <s v=""/>
    <m/>
    <m/>
    <s v="*MAV010901181"/>
    <s v="*MAV010901181"/>
    <n v="2.9500798767124662E-4"/>
  </r>
  <r>
    <x v="178"/>
    <s v="Pesos"/>
    <d v="2026-09-03T00:00:00"/>
    <s v="20/07/2026"/>
    <n v="0.96090573999999995"/>
    <m/>
    <n v="12080215.710000001"/>
    <n v="11607948.65"/>
    <n v="12080215.710000001"/>
    <n v="11607948.65"/>
    <n v="30702"/>
    <s v="AMOMPY"/>
    <s v="Momentum Capital Investment S.A."/>
    <s v="27/05/2026"/>
    <s v="27/05/2026"/>
    <n v="33"/>
    <s v="No"/>
    <s v=""/>
    <m/>
    <m/>
    <s v="*MAV010901180"/>
    <s v="*MAV010901180"/>
    <n v="2.226574165528502E-4"/>
  </r>
  <r>
    <x v="8"/>
    <s v="Pesos"/>
    <d v="2026-09-03T00:00:00"/>
    <s v="20/07/2026"/>
    <n v="0.95524750000000003"/>
    <m/>
    <n v="43500000"/>
    <n v="41553266.280000001"/>
    <n v="43500000"/>
    <n v="41553266.280000001"/>
    <n v="155472"/>
    <s v="AMOMPY"/>
    <s v="Momentum Capital Investment S.A."/>
    <s v="02/07/2026"/>
    <s v="02/07/2026"/>
    <n v="38"/>
    <s v="No"/>
    <s v=""/>
    <m/>
    <m/>
    <s v="#MAV020960040"/>
    <s v="#MAV020960040"/>
    <n v="7.970523645655052E-4"/>
  </r>
  <r>
    <x v="143"/>
    <s v="Pesos"/>
    <d v="2026-09-03T00:00:00"/>
    <s v="20/07/2026"/>
    <n v="0.96090573999999995"/>
    <m/>
    <n v="2200000"/>
    <n v="2113992.63"/>
    <n v="2200000"/>
    <n v="2113992.63"/>
    <n v="6201"/>
    <s v="AMOMPY"/>
    <s v="Momentum Capital Investment S.A."/>
    <s v="03/06/2026"/>
    <s v="03/06/2026"/>
    <n v="33"/>
    <s v="No"/>
    <s v=""/>
    <m/>
    <m/>
    <s v="*MAV010901221"/>
    <s v="*MAV010901221"/>
    <n v="4.054946759327414E-5"/>
  </r>
  <r>
    <x v="126"/>
    <s v="Pesos"/>
    <d v="2026-09-03T00:00:00"/>
    <s v="20/07/2026"/>
    <n v="0.96778478000000001"/>
    <m/>
    <n v="25088884.329999998"/>
    <n v="24280640.510000002"/>
    <n v="25088884.329999998"/>
    <n v="24280640.510000002"/>
    <n v="288"/>
    <s v="AMOMPY"/>
    <s v="Momentum Capital Investment S.A."/>
    <s v="01/07/2026"/>
    <s v="01/07/2026"/>
    <n v="27"/>
    <s v="No"/>
    <s v=""/>
    <m/>
    <m/>
    <s v="*NIO010900019"/>
    <s v="*NIO010900019"/>
    <n v="4.6573816366814126E-4"/>
  </r>
  <r>
    <x v="29"/>
    <s v="Pesos"/>
    <d v="2026-09-03T00:00:00"/>
    <s v="20/07/2026"/>
    <n v="0.95412377000000004"/>
    <m/>
    <n v="20000000"/>
    <n v="19082475.460000001"/>
    <n v="20000000"/>
    <n v="19082475.460000001"/>
    <n v="4318"/>
    <s v="AMOMPY"/>
    <s v="Momentum Capital Investment S.A."/>
    <s v="17/06/2026"/>
    <s v="17/06/2026"/>
    <n v="39"/>
    <s v="No"/>
    <s v=""/>
    <m/>
    <m/>
    <s v="*MAV010901262"/>
    <s v="*MAV010901262"/>
    <n v="3.660297624900987E-4"/>
  </r>
  <r>
    <x v="75"/>
    <s v="Dolar 3500"/>
    <d v="2026-09-03T00:00:00"/>
    <s v="20/07/2026"/>
    <n v="0.98782113000000005"/>
    <s v="1 US3 = 1480,1749803655 $"/>
    <n v="40000"/>
    <n v="39512.85"/>
    <n v="59206999.210000001"/>
    <n v="58485931.969999999"/>
    <n v="151967"/>
    <s v="AMOMPY"/>
    <s v="Momentum Capital Investment S.A."/>
    <s v="01/06/2026"/>
    <s v="01/06/2026"/>
    <n v="10"/>
    <s v="No"/>
    <s v=""/>
    <m/>
    <m/>
    <s v="#UMV010960019"/>
    <s v="#UMV010960019"/>
    <n v="1.1218456343813985E-3"/>
  </r>
  <r>
    <x v="43"/>
    <s v="Pesos"/>
    <d v="2026-09-03T00:00:00"/>
    <s v="20/07/2026"/>
    <n v="0.96894082000000004"/>
    <m/>
    <n v="2500000"/>
    <n v="2422352.06"/>
    <n v="2500000"/>
    <n v="2422352.06"/>
    <n v="3837"/>
    <s v="AMOMPY"/>
    <s v="Momentum Capital Investment S.A."/>
    <s v="07/07/2026"/>
    <s v="07/07/2026"/>
    <n v="26"/>
    <s v="No"/>
    <s v=""/>
    <m/>
    <m/>
    <s v="*MIL010900032"/>
    <s v="*MIL010900032"/>
    <n v="4.6464252033116532E-5"/>
  </r>
  <r>
    <x v="64"/>
    <s v="Pesos"/>
    <d v="2026-09-03T00:00:00"/>
    <s v="20/07/2026"/>
    <n v="0.96090564999999994"/>
    <m/>
    <n v="12500000"/>
    <n v="12011320.640000001"/>
    <n v="12500000"/>
    <n v="12011320.640000001"/>
    <n v="1357"/>
    <s v="AMOMPY"/>
    <s v="Momentum Capital Investment S.A."/>
    <s v="21/05/2026"/>
    <s v="21/05/2026"/>
    <n v="33"/>
    <s v="No"/>
    <s v=""/>
    <m/>
    <m/>
    <s v="*MAV010901169"/>
    <s v="*MAV010901169"/>
    <n v="2.303946807251191E-4"/>
  </r>
  <r>
    <x v="50"/>
    <s v="Pesos"/>
    <d v="2026-09-03T00:00:00"/>
    <s v="20/07/2026"/>
    <n v="0.964333"/>
    <m/>
    <n v="2700000"/>
    <n v="2603699.1"/>
    <n v="2700000"/>
    <n v="2603699.1"/>
    <n v="6275"/>
    <s v="AMOMPY"/>
    <s v="Momentum Capital Investment S.A."/>
    <s v="17/06/2026"/>
    <s v="17/06/2026"/>
    <n v="30"/>
    <s v="No"/>
    <s v=""/>
    <m/>
    <m/>
    <s v="*MAV010901263"/>
    <s v="*MAV010901263"/>
    <n v="4.9942753243225379E-5"/>
  </r>
  <r>
    <x v="180"/>
    <s v="Pesos"/>
    <d v="2026-09-03T00:00:00"/>
    <s v="20/07/2026"/>
    <n v="0.96090562000000002"/>
    <m/>
    <n v="25000000"/>
    <n v="24022640.600000001"/>
    <n v="25000000"/>
    <n v="24022640.600000001"/>
    <n v="40"/>
    <s v="AMOMPY"/>
    <s v="Momentum Capital Investment S.A."/>
    <s v="03/07/2026"/>
    <s v="03/07/2026"/>
    <n v="33"/>
    <s v="No"/>
    <s v=""/>
    <m/>
    <m/>
    <s v="*MAV010901339"/>
    <s v="*MAV010901339"/>
    <n v="4.6078934840684463E-4"/>
  </r>
  <r>
    <x v="0"/>
    <s v="Pesos"/>
    <d v="2026-09-04T00:00:00"/>
    <s v="20/07/2026"/>
    <n v="0.97064154000000002"/>
    <m/>
    <n v="10000000"/>
    <n v="9706415.4299999997"/>
    <n v="10000000"/>
    <n v="9706415.4299999997"/>
    <n v="4541"/>
    <s v="AMOMPY"/>
    <s v="Momentum Capital Investment S.A."/>
    <s v="17/07/2026"/>
    <s v="17/07/2026"/>
    <n v="24"/>
    <s v="No"/>
    <s v=""/>
    <m/>
    <m/>
    <s v="*INP020900049"/>
    <s v="*INP020900049"/>
    <n v="1.8618323088744217E-4"/>
  </r>
  <r>
    <x v="148"/>
    <s v="Pesos"/>
    <d v="2026-09-04T00:00:00"/>
    <s v="20/07/2026"/>
    <n v="0.95659934999999996"/>
    <m/>
    <n v="6000000"/>
    <n v="5739596.0999999996"/>
    <n v="6000000"/>
    <n v="5739596.0999999996"/>
    <n v="160"/>
    <s v="AMOMPY"/>
    <s v="Momentum Capital Investment S.A."/>
    <s v="11/06/2026"/>
    <s v="11/06/2026"/>
    <n v="36"/>
    <s v="No"/>
    <s v=""/>
    <m/>
    <m/>
    <s v="*MAV020901218"/>
    <s v="*MAV020901218"/>
    <n v="1.1009383985195475E-4"/>
  </r>
  <r>
    <x v="177"/>
    <s v="Pesos"/>
    <d v="2026-09-04T00:00:00"/>
    <s v="20/07/2026"/>
    <n v="0.95659932000000003"/>
    <m/>
    <n v="2067824.35"/>
    <n v="1978079.36"/>
    <n v="2067824.35"/>
    <n v="1978079.36"/>
    <n v="2202"/>
    <s v="AMOMPY"/>
    <s v="Momentum Capital Investment S.A."/>
    <s v="27/05/2026"/>
    <s v="27/05/2026"/>
    <n v="36"/>
    <s v="No"/>
    <s v=""/>
    <m/>
    <m/>
    <s v="*MAV020901170"/>
    <s v="*MAV020901170"/>
    <n v="3.7942452479242778E-5"/>
  </r>
  <r>
    <x v="0"/>
    <s v="Pesos"/>
    <d v="2026-09-04T00:00:00"/>
    <s v="20/07/2026"/>
    <n v="0.96356918999999996"/>
    <m/>
    <n v="5000000"/>
    <n v="4817845.93"/>
    <n v="5000000"/>
    <n v="4817845.93"/>
    <n v="58"/>
    <s v="AMOMPY"/>
    <s v="Momentum Capital Investment S.A."/>
    <s v="30/04/2026"/>
    <s v="30/04/2026"/>
    <n v="30"/>
    <s v="No"/>
    <s v=""/>
    <m/>
    <m/>
    <s v="*INP020900036"/>
    <s v="*INP020900036"/>
    <n v="9.2413324737051103E-5"/>
  </r>
  <r>
    <x v="179"/>
    <s v="Pesos"/>
    <d v="2026-09-04T00:00:00"/>
    <s v="20/07/2026"/>
    <n v="0.95200841999999997"/>
    <m/>
    <n v="15166667"/>
    <n v="14438794.66"/>
    <n v="15166667"/>
    <n v="14438794.66"/>
    <n v="90020551"/>
    <s v="AMOMPY"/>
    <s v="Momentum Capital Investment S.A."/>
    <s v="12/05/2026"/>
    <s v="12/05/2026"/>
    <n v="40"/>
    <s v="No"/>
    <s v=""/>
    <m/>
    <m/>
    <s v="*MAV020901153"/>
    <s v="*MAV020901153"/>
    <n v="2.7695717943520442E-4"/>
  </r>
  <r>
    <x v="63"/>
    <s v="Pesos"/>
    <d v="2026-09-04T00:00:00"/>
    <s v="20/07/2026"/>
    <n v="0.97064154000000002"/>
    <m/>
    <n v="30000000"/>
    <n v="29119246.300000001"/>
    <n v="30000000"/>
    <n v="29119246.300000001"/>
    <n v="68395887"/>
    <s v="AMOMPY"/>
    <s v="Momentum Capital Investment S.A."/>
    <s v="17/07/2026"/>
    <s v="17/07/2026"/>
    <n v="24"/>
    <s v="No"/>
    <s v=""/>
    <m/>
    <m/>
    <s v="*PRO020900020"/>
    <s v="*PRO020900020"/>
    <n v="5.5854969285414112E-4"/>
  </r>
  <r>
    <x v="178"/>
    <s v="Pesos"/>
    <d v="2026-09-04T00:00:00"/>
    <s v="20/07/2026"/>
    <n v="0.96007162999999995"/>
    <m/>
    <n v="16005575.68"/>
    <n v="15366499.130000001"/>
    <n v="16005575.68"/>
    <n v="15366499.130000001"/>
    <n v="30713"/>
    <s v="AMOMPY"/>
    <s v="Momentum Capital Investment S.A."/>
    <s v="27/05/2026"/>
    <s v="27/05/2026"/>
    <n v="33"/>
    <s v="No"/>
    <s v=""/>
    <m/>
    <m/>
    <s v="*MAV020901169"/>
    <s v="*MAV020901169"/>
    <n v="2.9475190672448575E-4"/>
  </r>
  <r>
    <x v="7"/>
    <s v="Pesos"/>
    <d v="2026-09-04T00:00:00"/>
    <s v="20/07/2026"/>
    <n v="0.96356934999999999"/>
    <m/>
    <n v="5000000"/>
    <n v="4817846.76"/>
    <n v="5000000"/>
    <n v="4817846.76"/>
    <n v="786"/>
    <s v="AMOMPY"/>
    <s v="Momentum Capital Investment S.A."/>
    <s v="14/07/2026"/>
    <s v="14/07/2026"/>
    <n v="30"/>
    <s v="No"/>
    <s v=""/>
    <m/>
    <m/>
    <s v="*MAV020901336"/>
    <s v="*MAV020901336"/>
    <n v="9.2413340657663886E-5"/>
  </r>
  <r>
    <x v="43"/>
    <s v="Pesos"/>
    <d v="2026-09-04T00:00:00"/>
    <s v="20/07/2026"/>
    <n v="0.96945559999999997"/>
    <m/>
    <n v="5000000"/>
    <n v="4847278.0199999996"/>
    <n v="5000000"/>
    <n v="4847278.0199999996"/>
    <n v="68370641"/>
    <s v="AMOMPY"/>
    <s v="Momentum Capital Investment S.A."/>
    <s v="20/07/2026"/>
    <s v="20/07/2026"/>
    <n v="25"/>
    <s v="No"/>
    <s v=""/>
    <m/>
    <m/>
    <s v="*MIL020900030"/>
    <s v="*MIL020900030"/>
    <n v="9.2977875229196058E-5"/>
  </r>
  <r>
    <x v="43"/>
    <s v="Pesos"/>
    <d v="2026-09-04T00:00:00"/>
    <s v="20/07/2026"/>
    <n v="0.96945559999999997"/>
    <m/>
    <n v="5000000"/>
    <n v="4847278.0199999996"/>
    <n v="5000000"/>
    <n v="4847278.0199999996"/>
    <n v="68370642"/>
    <s v="AMOMPY"/>
    <s v="Momentum Capital Investment S.A."/>
    <s v="20/07/2026"/>
    <s v="20/07/2026"/>
    <n v="25"/>
    <s v="No"/>
    <s v=""/>
    <m/>
    <m/>
    <s v="*MIL020900031"/>
    <s v="*MIL020900031"/>
    <n v="9.2977875229196058E-5"/>
  </r>
  <r>
    <x v="8"/>
    <s v="Pesos"/>
    <d v="2026-09-04T00:00:00"/>
    <s v="20/07/2026"/>
    <n v="0.95429838"/>
    <m/>
    <n v="42000000"/>
    <n v="40080531.960000001"/>
    <n v="42000000"/>
    <n v="40080531.960000001"/>
    <n v="155473"/>
    <s v="AMOMPY"/>
    <s v="Momentum Capital Investment S.A."/>
    <s v="02/07/2026"/>
    <s v="02/07/2026"/>
    <n v="38"/>
    <s v="No"/>
    <s v=""/>
    <m/>
    <m/>
    <s v="#MAV030960028"/>
    <s v="#MAV030960028"/>
    <n v="7.6880316835977261E-4"/>
  </r>
  <r>
    <x v="126"/>
    <s v="Pesos"/>
    <d v="2026-09-04T00:00:00"/>
    <s v="20/07/2026"/>
    <n v="0.96650349000000002"/>
    <m/>
    <n v="25000000"/>
    <n v="24162587.170000002"/>
    <n v="25000000"/>
    <n v="24162587.170000002"/>
    <n v="318"/>
    <s v="AMOMPY"/>
    <s v="Momentum Capital Investment S.A."/>
    <s v="06/07/2026"/>
    <s v="06/07/2026"/>
    <n v="27.5"/>
    <s v="No"/>
    <s v=""/>
    <m/>
    <m/>
    <s v="*NIO020900030"/>
    <s v="*NIO020900030"/>
    <n v="4.6347372810830314E-4"/>
  </r>
  <r>
    <x v="181"/>
    <s v="Pesos"/>
    <d v="2026-09-04T00:00:00"/>
    <s v="20/07/2026"/>
    <n v="0.96123479999999994"/>
    <m/>
    <n v="1200000"/>
    <n v="1153481.76"/>
    <n v="1200000"/>
    <n v="1153481.76"/>
    <n v="10333908"/>
    <s v="AMOMPY"/>
    <s v="Momentum Capital Investment S.A."/>
    <s v="14/07/2026"/>
    <s v="14/07/2026"/>
    <n v="32"/>
    <s v="No"/>
    <s v=""/>
    <m/>
    <m/>
    <s v="*MAV020901332"/>
    <s v="*MAV020901332"/>
    <n v="2.2125465615531888E-5"/>
  </r>
  <r>
    <x v="43"/>
    <s v="Pesos"/>
    <d v="2026-09-04T00:00:00"/>
    <s v="20/07/2026"/>
    <n v="0.96474073000000005"/>
    <m/>
    <n v="10000000"/>
    <n v="9647407.2899999991"/>
    <n v="10000000"/>
    <n v="9647407.2899999991"/>
    <n v="66613066"/>
    <s v="AMOMPY"/>
    <s v="Momentum Capital Investment S.A."/>
    <s v="30/04/2026"/>
    <s v="30/04/2026"/>
    <n v="29"/>
    <s v="No"/>
    <s v=""/>
    <m/>
    <m/>
    <s v="*MIL020900026"/>
    <s v="*MIL020900026"/>
    <n v="1.8505136853999896E-4"/>
  </r>
  <r>
    <x v="64"/>
    <s v="Pesos"/>
    <d v="2026-09-04T00:00:00"/>
    <s v="20/07/2026"/>
    <n v="0.95775394999999997"/>
    <m/>
    <n v="16600000"/>
    <n v="15898715.65"/>
    <n v="16600000"/>
    <n v="15898715.65"/>
    <n v="29088027"/>
    <s v="AMOMPY"/>
    <s v="Momentum Capital Investment S.A."/>
    <s v="14/04/2026"/>
    <s v="14/04/2026"/>
    <n v="35"/>
    <s v="No"/>
    <s v=""/>
    <m/>
    <m/>
    <s v="*MAV020901140"/>
    <s v="*MAV020901140"/>
    <n v="3.0496059724879714E-4"/>
  </r>
  <r>
    <x v="13"/>
    <s v="Pesos"/>
    <d v="2026-09-04T00:00:00"/>
    <s v="20/07/2026"/>
    <n v="0.96827260999999998"/>
    <m/>
    <n v="10000000"/>
    <n v="9682726.0600000005"/>
    <n v="10000000"/>
    <n v="9682726.0600000005"/>
    <n v="9825610"/>
    <s v="AMOMPY"/>
    <s v="Momentum Capital Investment S.A."/>
    <s v="22/06/2026"/>
    <s v="22/06/2026"/>
    <n v="26"/>
    <s v="No"/>
    <s v=""/>
    <m/>
    <m/>
    <s v="*NEU020900019"/>
    <s v="*NEU020900019"/>
    <n v="1.8572883415611578E-4"/>
  </r>
  <r>
    <x v="166"/>
    <s v="Pesos"/>
    <d v="2026-09-04T00:00:00"/>
    <s v="20/07/2026"/>
    <n v="0.96356927999999997"/>
    <m/>
    <n v="5578790"/>
    <n v="5375550.6799999997"/>
    <n v="5578790"/>
    <n v="5375550.6799999997"/>
    <n v="22"/>
    <s v="AMOMPY"/>
    <s v="Momentum Capital Investment S.A."/>
    <s v="13/07/2026"/>
    <s v="13/07/2026"/>
    <n v="30"/>
    <s v="No"/>
    <s v=""/>
    <m/>
    <m/>
    <s v="*MAV020901330"/>
    <s v="*MAV020901330"/>
    <n v="1.0311091675596938E-4"/>
  </r>
  <r>
    <x v="168"/>
    <s v="Pesos"/>
    <d v="2026-09-04T00:00:00"/>
    <s v="20/07/2026"/>
    <n v="0.96356927999999997"/>
    <m/>
    <n v="1579236"/>
    <n v="1521703.29"/>
    <n v="1579236"/>
    <n v="1521703.29"/>
    <n v="1555"/>
    <s v="AMOMPY"/>
    <s v="Momentum Capital Investment S.A."/>
    <s v="20/07/2026"/>
    <s v="20/07/2026"/>
    <n v="30"/>
    <s v="No"/>
    <s v=""/>
    <m/>
    <m/>
    <s v="*MAV020901363"/>
    <s v="*MAV020901363"/>
    <n v="2.9188492603417281E-5"/>
  </r>
  <r>
    <x v="0"/>
    <s v="Pesos"/>
    <d v="2026-09-07T00:00:00"/>
    <s v="20/07/2026"/>
    <n v="0.96878666000000002"/>
    <m/>
    <n v="10000000"/>
    <n v="9687866.5500000007"/>
    <n v="10000000"/>
    <n v="9687866.5500000007"/>
    <n v="4542"/>
    <s v="AMOMPY"/>
    <s v="Momentum Capital Investment S.A."/>
    <s v="17/07/2026"/>
    <s v="17/07/2026"/>
    <n v="24"/>
    <s v="No"/>
    <s v=""/>
    <m/>
    <m/>
    <s v="*INP030900048"/>
    <s v="*INP030900048"/>
    <n v="1.858274362655605E-4"/>
  </r>
  <r>
    <x v="177"/>
    <s v="Pesos"/>
    <d v="2026-09-07T00:00:00"/>
    <s v="20/07/2026"/>
    <n v="0.95389935000000003"/>
    <m/>
    <n v="2067824.35"/>
    <n v="1972496.31"/>
    <n v="2067824.35"/>
    <n v="1972496.31"/>
    <n v="2203"/>
    <s v="AMOMPY"/>
    <s v="Momentum Capital Investment S.A."/>
    <s v="27/05/2026"/>
    <s v="27/05/2026"/>
    <n v="36"/>
    <s v="No"/>
    <s v=""/>
    <m/>
    <m/>
    <s v="*MAV030900819"/>
    <s v="*MAV030900819"/>
    <n v="3.7835361422332789E-5"/>
  </r>
  <r>
    <x v="19"/>
    <s v="Pesos"/>
    <d v="2026-09-07T00:00:00"/>
    <s v="20/07/2026"/>
    <n v="0.95512233999999996"/>
    <m/>
    <n v="30000000"/>
    <n v="28653670.280000001"/>
    <n v="30000000"/>
    <n v="28653670.280000001"/>
    <n v="451"/>
    <s v="AMOMPY"/>
    <s v="Momentum Capital Investment S.A."/>
    <s v="28/05/2026"/>
    <s v="28/05/2026"/>
    <n v="35"/>
    <s v="No"/>
    <s v=""/>
    <m/>
    <m/>
    <s v="*MAV030900826"/>
    <s v="*MAV030900826"/>
    <n v="5.4961926449441899E-4"/>
  </r>
  <r>
    <x v="85"/>
    <s v="Pesos"/>
    <d v="2026-09-07T00:00:00"/>
    <s v="20/07/2026"/>
    <n v="0.95146248"/>
    <m/>
    <n v="4957711.8099999996"/>
    <n v="4717076.7699999996"/>
    <n v="4957711.8099999996"/>
    <n v="4717076.7699999996"/>
    <n v="598"/>
    <s v="AMOMPY"/>
    <s v="Momentum Capital Investment S.A."/>
    <s v="24/04/2026"/>
    <s v="24/04/2026"/>
    <n v="38"/>
    <s v="No"/>
    <s v=""/>
    <m/>
    <m/>
    <s v="*MAV030900796"/>
    <s v="*MAV030900796"/>
    <n v="9.0480425005124655E-5"/>
  </r>
  <r>
    <x v="130"/>
    <s v="Pesos"/>
    <d v="2026-09-07T00:00:00"/>
    <s v="20/07/2026"/>
    <n v="0.95757819"/>
    <m/>
    <n v="175000000"/>
    <n v="167576183.11000001"/>
    <n v="175000000"/>
    <n v="167576183.11000001"/>
    <n v="70389146"/>
    <s v="AMOMPY"/>
    <s v="Momentum Capital Investment S.A."/>
    <s v="03/07/2026"/>
    <s v="03/07/2026"/>
    <n v="33"/>
    <s v="No"/>
    <s v=""/>
    <m/>
    <m/>
    <s v="*MAV030900962"/>
    <s v="*MAV030900962"/>
    <n v="3.21435605308781E-3"/>
  </r>
  <r>
    <x v="178"/>
    <s v="Pesos"/>
    <d v="2026-09-07T00:00:00"/>
    <s v="20/07/2026"/>
    <n v="0.95757809999999999"/>
    <m/>
    <n v="16005575.68"/>
    <n v="15326588.68"/>
    <n v="16005575.68"/>
    <n v="15326588.68"/>
    <n v="30714"/>
    <s v="AMOMPY"/>
    <s v="Momentum Capital Investment S.A."/>
    <s v="27/05/2026"/>
    <s v="27/05/2026"/>
    <n v="33"/>
    <s v="No"/>
    <s v=""/>
    <m/>
    <m/>
    <s v="*MAV030900818"/>
    <s v="*MAV030900818"/>
    <n v="2.9398636597664123E-4"/>
  </r>
  <r>
    <x v="7"/>
    <s v="Pesos"/>
    <d v="2026-09-07T00:00:00"/>
    <s v="20/07/2026"/>
    <n v="0.96128546000000004"/>
    <m/>
    <n v="5000000"/>
    <n v="4806427.28"/>
    <n v="5000000"/>
    <n v="4806427.28"/>
    <n v="778"/>
    <s v="AMOMPY"/>
    <s v="Momentum Capital Investment S.A."/>
    <s v="14/07/2026"/>
    <s v="14/07/2026"/>
    <n v="30"/>
    <s v="No"/>
    <s v=""/>
    <m/>
    <m/>
    <s v="*MAV030901019"/>
    <s v="*MAV030901019"/>
    <n v="9.2194298345206997E-5"/>
  </r>
  <r>
    <x v="56"/>
    <s v="Pesos"/>
    <d v="2026-09-07T00:00:00"/>
    <s v="20/07/2026"/>
    <n v="0.95389935000000003"/>
    <m/>
    <n v="2333401.2200000002"/>
    <n v="2225829.91"/>
    <n v="2333401.2200000002"/>
    <n v="2225829.91"/>
    <n v="2665"/>
    <s v="AMOMPY"/>
    <s v="Momentum Capital Investment S.A."/>
    <s v="27/05/2026"/>
    <s v="27/05/2026"/>
    <n v="36"/>
    <s v="No"/>
    <s v=""/>
    <m/>
    <m/>
    <s v="*MAV030900820"/>
    <s v="*MAV030900820"/>
    <n v="4.2694670039452932E-5"/>
  </r>
  <r>
    <x v="126"/>
    <s v="Pesos"/>
    <d v="2026-09-07T00:00:00"/>
    <s v="20/07/2026"/>
    <n v="0.96439673999999997"/>
    <m/>
    <n v="30000000"/>
    <n v="28931902.170000002"/>
    <n v="30000000"/>
    <n v="28931902.170000002"/>
    <n v="488"/>
    <s v="AMOMPY"/>
    <s v="Momentum Capital Investment S.A."/>
    <s v="06/07/2026"/>
    <s v="06/07/2026"/>
    <n v="27.5"/>
    <s v="No"/>
    <s v=""/>
    <m/>
    <m/>
    <s v="*NIO030900019"/>
    <s v="*NIO030900019"/>
    <n v="5.5495615869493025E-4"/>
  </r>
  <r>
    <x v="126"/>
    <s v="Pesos"/>
    <d v="2026-09-07T00:00:00"/>
    <s v="20/07/2026"/>
    <n v="0.96439673999999997"/>
    <m/>
    <n v="25000000"/>
    <n v="24109918.469999999"/>
    <n v="25000000"/>
    <n v="24109918.469999999"/>
    <n v="319"/>
    <s v="AMOMPY"/>
    <s v="Momentum Capital Investment S.A."/>
    <s v="06/07/2026"/>
    <s v="06/07/2026"/>
    <n v="27.5"/>
    <s v="No"/>
    <s v=""/>
    <m/>
    <m/>
    <s v="*NIO030900018"/>
    <s v="*NIO030900018"/>
    <n v="4.6246346548320117E-4"/>
  </r>
  <r>
    <x v="43"/>
    <s v="Pesos"/>
    <d v="2026-09-07T00:00:00"/>
    <s v="20/07/2026"/>
    <n v="0.9662731"/>
    <m/>
    <n v="35000000"/>
    <n v="33819558.509999998"/>
    <n v="35000000"/>
    <n v="33819558.509999998"/>
    <n v="12165"/>
    <s v="AMOMPY"/>
    <s v="Momentum Capital Investment S.A."/>
    <s v="07/07/2026"/>
    <s v="07/07/2026"/>
    <n v="26"/>
    <s v="No"/>
    <s v=""/>
    <m/>
    <m/>
    <s v="*MIL030900020"/>
    <s v="*MIL030900020"/>
    <n v="6.4870854910221878E-4"/>
  </r>
  <r>
    <x v="43"/>
    <s v="Pesos"/>
    <d v="2026-09-07T00:00:00"/>
    <s v="20/07/2026"/>
    <n v="0.9662731"/>
    <m/>
    <n v="25000000"/>
    <n v="24156827.510000002"/>
    <n v="25000000"/>
    <n v="24156827.510000002"/>
    <n v="2845"/>
    <s v="AMOMPY"/>
    <s v="Momentum Capital Investment S.A."/>
    <s v="07/07/2026"/>
    <s v="07/07/2026"/>
    <n v="26"/>
    <s v="No"/>
    <s v=""/>
    <m/>
    <m/>
    <s v="*MIL030900021"/>
    <s v="*MIL030900021"/>
    <n v="4.6336324941353193E-4"/>
  </r>
  <r>
    <x v="11"/>
    <s v="Pesos"/>
    <d v="2026-09-07T00:00:00"/>
    <s v="20/07/2026"/>
    <n v="0.95634876000000002"/>
    <m/>
    <n v="100000000"/>
    <n v="95634876.180000007"/>
    <n v="100000000"/>
    <n v="95634876.180000007"/>
    <n v="769"/>
    <s v="AMOMPY"/>
    <s v="Momentum Capital Investment S.A."/>
    <s v="20/07/2026"/>
    <s v="20/07/2026"/>
    <n v="34"/>
    <s v="No"/>
    <s v=""/>
    <m/>
    <m/>
    <s v="*MAV030901045"/>
    <s v="*MAV030901045"/>
    <n v="1.8344166660825565E-3"/>
  </r>
  <r>
    <x v="168"/>
    <s v="Pesos"/>
    <d v="2026-09-07T00:00:00"/>
    <s v="20/07/2026"/>
    <n v="0.96128539000000002"/>
    <m/>
    <n v="1579236"/>
    <n v="1518096.49"/>
    <n v="1579236"/>
    <n v="1518096.49"/>
    <n v="1556"/>
    <s v="AMOMPY"/>
    <s v="Momentum Capital Investment S.A."/>
    <s v="20/07/2026"/>
    <s v="20/07/2026"/>
    <n v="30"/>
    <s v="No"/>
    <s v=""/>
    <m/>
    <m/>
    <s v="*MAV030901047"/>
    <s v="*MAV030901047"/>
    <n v="2.9119308909188685E-5"/>
  </r>
  <r>
    <x v="103"/>
    <s v="Pesos"/>
    <d v="2026-09-07T00:00:00"/>
    <s v="20/07/2026"/>
    <n v="0.96128539000000002"/>
    <m/>
    <n v="2870567.11"/>
    <n v="2759434.21"/>
    <n v="2870567.11"/>
    <n v="2759434.21"/>
    <n v="100"/>
    <s v="AMOMPY"/>
    <s v="Momentum Capital Investment S.A."/>
    <s v="20/07/2026"/>
    <s v="20/07/2026"/>
    <n v="30"/>
    <s v="No"/>
    <s v=""/>
    <m/>
    <m/>
    <s v="*MAV030901046"/>
    <s v="*MAV030901046"/>
    <n v="5.2929980211977857E-5"/>
  </r>
  <r>
    <x v="0"/>
    <s v="Pesos"/>
    <d v="2026-09-08T00:00:00"/>
    <s v="20/07/2026"/>
    <n v="0.96179183999999995"/>
    <m/>
    <n v="11923076.92"/>
    <n v="11467518.119999999"/>
    <n v="11923076.92"/>
    <n v="11467518.119999999"/>
    <n v="90021986"/>
    <s v="AMOMPY"/>
    <s v="Momentum Capital Investment S.A."/>
    <s v="30/04/2026"/>
    <s v="30/04/2026"/>
    <n v="29"/>
    <s v="No"/>
    <s v=""/>
    <m/>
    <m/>
    <s v="*NEU040900012"/>
    <s v="*NEU040900012"/>
    <n v="2.1996375379143302E-4"/>
  </r>
  <r>
    <x v="170"/>
    <s v="Pesos"/>
    <d v="2026-09-08T00:00:00"/>
    <s v="20/07/2026"/>
    <n v="0.96052636999999996"/>
    <m/>
    <n v="24000000"/>
    <n v="23052632.850000001"/>
    <n v="24000000"/>
    <n v="23052632.850000001"/>
    <n v="718980"/>
    <s v="AMOMPY"/>
    <s v="Momentum Capital Investment S.A."/>
    <s v="17/04/2026"/>
    <s v="17/04/2026"/>
    <n v="30"/>
    <s v="No"/>
    <s v=""/>
    <m/>
    <m/>
    <s v="*CVA040900007"/>
    <s v="*CVA040900007"/>
    <n v="4.421831823939339E-4"/>
  </r>
  <r>
    <x v="177"/>
    <s v="Pesos"/>
    <d v="2026-09-08T00:00:00"/>
    <s v="20/07/2026"/>
    <n v="0.95300269999999998"/>
    <m/>
    <n v="2067824.35"/>
    <n v="1970642.19"/>
    <n v="2067824.35"/>
    <n v="1970642.19"/>
    <n v="2204"/>
    <s v="AMOMPY"/>
    <s v="Momentum Capital Investment S.A."/>
    <s v="27/05/2026"/>
    <s v="27/05/2026"/>
    <n v="36"/>
    <s v="No"/>
    <s v=""/>
    <m/>
    <m/>
    <s v="*MAV040900923"/>
    <s v="*MAV040900923"/>
    <n v="3.7799796691506808E-5"/>
  </r>
  <r>
    <x v="182"/>
    <s v="Pesos"/>
    <d v="2026-09-08T00:00:00"/>
    <s v="20/07/2026"/>
    <n v="0.95052095000000003"/>
    <m/>
    <n v="7162509.1500000004"/>
    <n v="6808114.9800000004"/>
    <n v="7162509.1500000004"/>
    <n v="6808114.9800000004"/>
    <n v="65964541"/>
    <s v="AMOMPY"/>
    <s v="Momentum Capital Investment S.A."/>
    <s v="22/04/2026"/>
    <s v="22/04/2026"/>
    <n v="38"/>
    <s v="No"/>
    <s v=""/>
    <m/>
    <m/>
    <s v="*MAV040900869"/>
    <s v="*MAV040900869"/>
    <n v="1.3058959328197576E-4"/>
  </r>
  <r>
    <x v="21"/>
    <s v="Pesos"/>
    <d v="2026-09-08T00:00:00"/>
    <s v="20/07/2026"/>
    <n v="0.95674972999999996"/>
    <m/>
    <n v="10000000"/>
    <n v="9567497.3000000007"/>
    <n v="10000000"/>
    <n v="9567497.3000000007"/>
    <n v="29692615"/>
    <s v="AMOMPY"/>
    <s v="Momentum Capital Investment S.A."/>
    <s v="16/07/2026"/>
    <s v="16/07/2026"/>
    <n v="33"/>
    <s v="No"/>
    <s v=""/>
    <m/>
    <m/>
    <s v="*MAV040901246"/>
    <s v="*MAV040901246"/>
    <n v="1.8351857816793234E-4"/>
  </r>
  <r>
    <x v="179"/>
    <s v="Pesos"/>
    <d v="2026-09-08T00:00:00"/>
    <s v="20/07/2026"/>
    <n v="0.94805200999999995"/>
    <m/>
    <n v="12166667"/>
    <n v="11534633.08"/>
    <n v="12166667"/>
    <n v="11534633.08"/>
    <n v="90020552"/>
    <s v="AMOMPY"/>
    <s v="Momentum Capital Investment S.A."/>
    <s v="12/05/2026"/>
    <s v="12/05/2026"/>
    <n v="40"/>
    <s v="No"/>
    <s v=""/>
    <m/>
    <m/>
    <s v="*MAV040900876"/>
    <s v="*MAV040900876"/>
    <n v="2.2125111679209965E-4"/>
  </r>
  <r>
    <x v="63"/>
    <s v="Pesos"/>
    <d v="2026-09-08T00:00:00"/>
    <s v="20/07/2026"/>
    <n v="0.96816986000000005"/>
    <m/>
    <n v="4000000"/>
    <n v="3872679.46"/>
    <n v="4000000"/>
    <n v="3872679.46"/>
    <n v="16821011"/>
    <s v="AMOMPY"/>
    <s v="Momentum Capital Investment S.A."/>
    <s v="17/07/2026"/>
    <s v="17/07/2026"/>
    <n v="24"/>
    <s v="No"/>
    <s v=""/>
    <m/>
    <m/>
    <s v="*PRO040900013"/>
    <s v="*PRO040900013"/>
    <n v="7.4283650772428858E-5"/>
  </r>
  <r>
    <x v="74"/>
    <s v="Pesos"/>
    <d v="2026-09-08T00:00:00"/>
    <s v="20/07/2026"/>
    <n v="0.96881231000000001"/>
    <m/>
    <n v="35146141.060000002"/>
    <n v="34050014.109999999"/>
    <n v="35146141.060000002"/>
    <n v="34050014.109999999"/>
    <n v="86"/>
    <s v="AMOMPY"/>
    <s v="Momentum Capital Investment S.A."/>
    <s v="17/07/2026"/>
    <s v="17/07/2026"/>
    <n v="23.5"/>
    <s v="No"/>
    <s v=""/>
    <m/>
    <m/>
    <s v="%INC060900033"/>
    <s v="%INC060900033"/>
    <n v="6.5312902425018022E-4"/>
  </r>
  <r>
    <x v="74"/>
    <s v="Pesos"/>
    <d v="2026-09-08T00:00:00"/>
    <s v="20/07/2026"/>
    <n v="0.97074473999999999"/>
    <m/>
    <n v="8778036.6500000004"/>
    <n v="8521232.9299999997"/>
    <n v="8778036.6500000004"/>
    <n v="8521232.9299999997"/>
    <n v="5"/>
    <s v="AMOMPY"/>
    <s v="Momentum Capital Investment S.A."/>
    <s v="20/07/2026"/>
    <s v="20/07/2026"/>
    <n v="22"/>
    <s v="No"/>
    <s v=""/>
    <m/>
    <m/>
    <s v="%INC070900025"/>
    <s v="%INC070900025"/>
    <n v="1.6344969875783127E-4"/>
  </r>
  <r>
    <x v="74"/>
    <s v="Pesos"/>
    <d v="2026-09-08T00:00:00"/>
    <s v="20/07/2026"/>
    <n v="0.97074473999999999"/>
    <m/>
    <n v="65327733.979999997"/>
    <n v="63416554.32"/>
    <n v="65327733.979999997"/>
    <n v="63416554.32"/>
    <n v="57"/>
    <s v="AMOMPY"/>
    <s v="Momentum Capital Investment S.A."/>
    <s v="20/07/2026"/>
    <s v="20/07/2026"/>
    <n v="22"/>
    <s v="No"/>
    <s v=""/>
    <m/>
    <m/>
    <s v="%INC070900026"/>
    <s v="%INC070900026"/>
    <n v="1.2164221756420927E-3"/>
  </r>
  <r>
    <x v="178"/>
    <s v="Pesos"/>
    <d v="2026-09-08T00:00:00"/>
    <s v="20/07/2026"/>
    <n v="0.95674974999999995"/>
    <m/>
    <n v="16005575.68"/>
    <n v="15313330.470000001"/>
    <n v="16005575.68"/>
    <n v="15313330.470000001"/>
    <n v="30715"/>
    <s v="AMOMPY"/>
    <s v="Momentum Capital Investment S.A."/>
    <s v="27/05/2026"/>
    <s v="27/05/2026"/>
    <n v="33"/>
    <s v="No"/>
    <s v=""/>
    <m/>
    <m/>
    <s v="*MAV040900921"/>
    <s v="*MAV040900921"/>
    <n v="2.9373205413604612E-4"/>
  </r>
  <r>
    <x v="43"/>
    <s v="Pesos"/>
    <d v="2026-09-08T00:00:00"/>
    <s v="20/07/2026"/>
    <n v="0.96688748999999996"/>
    <m/>
    <n v="5000000"/>
    <n v="4834437.4400000004"/>
    <n v="5000000"/>
    <n v="4834437.4400000004"/>
    <n v="68370667"/>
    <s v="AMOMPY"/>
    <s v="Momentum Capital Investment S.A."/>
    <s v="20/07/2026"/>
    <s v="20/07/2026"/>
    <n v="25"/>
    <s v="No"/>
    <s v=""/>
    <m/>
    <m/>
    <s v="*MIL040900025"/>
    <s v="*MIL040900025"/>
    <n v="9.273157414223872E-5"/>
  </r>
  <r>
    <x v="43"/>
    <s v="Pesos"/>
    <d v="2026-09-08T00:00:00"/>
    <s v="20/07/2026"/>
    <n v="0.96688748999999996"/>
    <m/>
    <n v="5000000"/>
    <n v="4834437.4400000004"/>
    <n v="5000000"/>
    <n v="4834437.4400000004"/>
    <n v="68370666"/>
    <s v="AMOMPY"/>
    <s v="Momentum Capital Investment S.A."/>
    <s v="20/07/2026"/>
    <s v="20/07/2026"/>
    <n v="25"/>
    <s v="No"/>
    <s v=""/>
    <m/>
    <m/>
    <s v="*MIL040900024"/>
    <s v="*MIL040900024"/>
    <n v="9.273157414223872E-5"/>
  </r>
  <r>
    <x v="56"/>
    <s v="Pesos"/>
    <d v="2026-09-08T00:00:00"/>
    <s v="20/07/2026"/>
    <n v="0.95300269000000004"/>
    <m/>
    <n v="2333401.2200000002"/>
    <n v="2223737.65"/>
    <n v="2333401.2200000002"/>
    <n v="2223737.65"/>
    <n v="2664"/>
    <s v="AMOMPY"/>
    <s v="Momentum Capital Investment S.A."/>
    <s v="27/05/2026"/>
    <s v="27/05/2026"/>
    <n v="36"/>
    <s v="No"/>
    <s v=""/>
    <m/>
    <m/>
    <s v="*MAV040900922"/>
    <s v="*MAV040900922"/>
    <n v="4.2654537435458606E-5"/>
  </r>
  <r>
    <x v="126"/>
    <s v="Pesos"/>
    <d v="2026-09-08T00:00:00"/>
    <s v="20/07/2026"/>
    <n v="0.96369645999999998"/>
    <m/>
    <n v="25000000"/>
    <n v="24092411.559999999"/>
    <n v="25000000"/>
    <n v="24092411.559999999"/>
    <n v="320"/>
    <s v="AMOMPY"/>
    <s v="Momentum Capital Investment S.A."/>
    <s v="06/07/2026"/>
    <s v="06/07/2026"/>
    <n v="27.5"/>
    <s v="No"/>
    <s v=""/>
    <m/>
    <m/>
    <s v="*NIO040900021"/>
    <s v="*NIO040900021"/>
    <n v="4.6212765736843806E-4"/>
  </r>
  <r>
    <x v="126"/>
    <s v="Pesos"/>
    <d v="2026-09-08T00:00:00"/>
    <s v="20/07/2026"/>
    <n v="0.96369645999999998"/>
    <m/>
    <n v="30000000"/>
    <n v="28910893.879999999"/>
    <n v="30000000"/>
    <n v="28910893.879999999"/>
    <n v="489"/>
    <s v="AMOMPY"/>
    <s v="Momentum Capital Investment S.A."/>
    <s v="06/07/2026"/>
    <s v="06/07/2026"/>
    <n v="27.5"/>
    <s v="No"/>
    <s v=""/>
    <m/>
    <m/>
    <s v="*NIO040900020"/>
    <s v="*NIO040900020"/>
    <n v="5.5455318899557738E-4"/>
  </r>
  <r>
    <x v="43"/>
    <s v="Pesos"/>
    <d v="2026-09-08T00:00:00"/>
    <s v="20/07/2026"/>
    <n v="0.96052636999999996"/>
    <m/>
    <n v="60000000"/>
    <n v="57631582.130000003"/>
    <n v="60000000"/>
    <n v="57631582.130000003"/>
    <n v="61"/>
    <s v="AMOMPY"/>
    <s v="Momentum Capital Investment S.A."/>
    <s v="05/05/2026"/>
    <s v="05/05/2026"/>
    <n v="30"/>
    <s v="No"/>
    <s v=""/>
    <m/>
    <m/>
    <s v="*MIL040900020"/>
    <s v="*MIL040900020"/>
    <n v="1.1054579560807419E-3"/>
  </r>
  <r>
    <x v="43"/>
    <s v="Pesos"/>
    <d v="2026-09-08T00:00:00"/>
    <s v="20/07/2026"/>
    <n v="0.96179183999999995"/>
    <m/>
    <n v="10000000"/>
    <n v="9617918.4299999997"/>
    <n v="10000000"/>
    <n v="9617918.4299999997"/>
    <n v="66613291"/>
    <s v="AMOMPY"/>
    <s v="Momentum Capital Investment S.A."/>
    <s v="30/04/2026"/>
    <s v="30/04/2026"/>
    <n v="29"/>
    <s v="No"/>
    <s v=""/>
    <m/>
    <m/>
    <s v="*MIL040900019"/>
    <s v="*MIL040900019"/>
    <n v="1.8448572911630213E-4"/>
  </r>
  <r>
    <x v="43"/>
    <s v="Pesos"/>
    <d v="2026-09-08T00:00:00"/>
    <s v="20/07/2026"/>
    <n v="0.96688752"/>
    <m/>
    <n v="5000000"/>
    <n v="4834437.62"/>
    <n v="5000000"/>
    <n v="4834437.62"/>
    <n v="8745"/>
    <s v="AMOMPY"/>
    <s v="Momentum Capital Investment S.A."/>
    <s v="17/07/2026"/>
    <s v="17/07/2026"/>
    <n v="25"/>
    <s v="No"/>
    <s v=""/>
    <m/>
    <m/>
    <s v="*MIL040900026"/>
    <s v="*MIL040900026"/>
    <n v="9.2731577594901721E-5"/>
  </r>
  <r>
    <x v="127"/>
    <s v="Pesos"/>
    <d v="2026-09-08T00:00:00"/>
    <s v="20/07/2026"/>
    <n v="0.95052097000000002"/>
    <m/>
    <n v="60000000"/>
    <n v="57031258.32"/>
    <n v="60000000"/>
    <n v="57031258.32"/>
    <n v="70379068"/>
    <s v="AMOMPY"/>
    <s v="Momentum Capital Investment S.A."/>
    <s v="22/06/2026"/>
    <s v="22/06/2026"/>
    <n v="38"/>
    <s v="No"/>
    <s v=""/>
    <m/>
    <m/>
    <s v="*MAV040901072"/>
    <s v="*MAV040901072"/>
    <n v="1.0939428682163789E-3"/>
  </r>
  <r>
    <x v="1"/>
    <s v="Pesos"/>
    <d v="2026-09-08T00:00:00"/>
    <s v="20/07/2026"/>
    <n v="0.96306075000000002"/>
    <m/>
    <n v="10000000"/>
    <n v="9630607.4600000009"/>
    <n v="10000000"/>
    <n v="9630607.4600000009"/>
    <n v="360562"/>
    <s v="AMOMPY"/>
    <s v="Momentum Capital Investment S.A."/>
    <s v="21/04/2026"/>
    <s v="21/04/2026"/>
    <n v="28"/>
    <s v="No"/>
    <s v=""/>
    <m/>
    <m/>
    <s v="*MOV040900048"/>
    <s v="*MOV040900048"/>
    <n v="1.8472912325281579E-4"/>
  </r>
  <r>
    <x v="98"/>
    <s v="Pesos"/>
    <d v="2026-09-08T00:00:00"/>
    <s v="20/07/2026"/>
    <n v="0.95674970999999998"/>
    <m/>
    <n v="25000000"/>
    <n v="23918742.66"/>
    <n v="25000000"/>
    <n v="23918742.66"/>
    <n v="475880"/>
    <s v="AMOMPY"/>
    <s v="Momentum Capital Investment S.A."/>
    <s v="26/05/2026"/>
    <s v="26/05/2026"/>
    <n v="33"/>
    <s v="No"/>
    <s v=""/>
    <m/>
    <m/>
    <s v="*MAV040900920"/>
    <s v="*MAV040900920"/>
    <n v="4.5879643410276874E-4"/>
  </r>
  <r>
    <x v="146"/>
    <s v="Pesos"/>
    <d v="2026-09-08T00:00:00"/>
    <s v="20/07/2026"/>
    <n v="0.95424847999999995"/>
    <m/>
    <n v="30000000"/>
    <n v="28627454.27"/>
    <n v="30000000"/>
    <n v="28627454.27"/>
    <n v="306"/>
    <s v="AMOMPY"/>
    <s v="Momentum Capital Investment S.A."/>
    <s v="11/06/2026"/>
    <s v="11/06/2026"/>
    <n v="35"/>
    <s v="No"/>
    <s v=""/>
    <m/>
    <m/>
    <s v="*MAV040901049"/>
    <s v="*MAV040901049"/>
    <n v="5.4911640311598557E-4"/>
  </r>
  <r>
    <x v="156"/>
    <s v="Pesos"/>
    <d v="2026-09-08T00:00:00"/>
    <s v="20/07/2026"/>
    <n v="0.96052654999999998"/>
    <m/>
    <n v="2500000"/>
    <n v="2401316.38"/>
    <n v="2500000"/>
    <n v="2401316.38"/>
    <n v="345"/>
    <s v="AMOMPY"/>
    <s v="Momentum Capital Investment S.A."/>
    <s v="15/07/2026"/>
    <s v="15/07/2026"/>
    <n v="30"/>
    <s v="No"/>
    <s v=""/>
    <m/>
    <m/>
    <s v="*MAV040901239"/>
    <s v="*MAV040901239"/>
    <n v="4.606075695354168E-5"/>
  </r>
  <r>
    <x v="168"/>
    <s v="Pesos"/>
    <d v="2026-09-08T00:00:00"/>
    <s v="20/07/2026"/>
    <n v="0.9605264"/>
    <m/>
    <n v="1579236"/>
    <n v="1516897.87"/>
    <n v="1579236"/>
    <n v="1516897.87"/>
    <n v="1557"/>
    <s v="AMOMPY"/>
    <s v="Momentum Capital Investment S.A."/>
    <s v="20/07/2026"/>
    <s v="20/07/2026"/>
    <n v="30"/>
    <s v="No"/>
    <s v=""/>
    <m/>
    <m/>
    <s v="*MAV040901295"/>
    <s v="*MAV040901295"/>
    <n v="2.9096317626174305E-5"/>
  </r>
  <r>
    <x v="86"/>
    <s v="Pesos"/>
    <d v="2026-09-09T00:00:00"/>
    <s v="20/07/2026"/>
    <n v="0.94958122"/>
    <m/>
    <n v="7133529.1399999997"/>
    <n v="6773865.3300000001"/>
    <n v="7133529.1399999997"/>
    <n v="6773865.3300000001"/>
    <n v="90000168"/>
    <s v="AMOMPY"/>
    <s v="Momentum Capital Investment S.A."/>
    <s v="22/04/2026"/>
    <s v="22/04/2026"/>
    <n v="38"/>
    <s v="No"/>
    <s v=""/>
    <m/>
    <m/>
    <s v="*MAV050901228"/>
    <s v="*MAV050901228"/>
    <n v="1.2993263494964893E-4"/>
  </r>
  <r>
    <x v="179"/>
    <s v="Pesos"/>
    <d v="2026-09-09T00:00:00"/>
    <s v="20/07/2026"/>
    <n v="0.94706800000000002"/>
    <m/>
    <n v="15166667"/>
    <n v="14363864.98"/>
    <n v="15166667"/>
    <n v="14363864.98"/>
    <n v="90020553"/>
    <s v="AMOMPY"/>
    <s v="Momentum Capital Investment S.A."/>
    <s v="12/05/2026"/>
    <s v="11/05/2026"/>
    <n v="40"/>
    <s v="No"/>
    <s v=""/>
    <m/>
    <m/>
    <s v="*MAV070900746"/>
    <s v="*MAV070900746"/>
    <n v="2.7551991868612869E-4"/>
  </r>
  <r>
    <x v="63"/>
    <s v="Pesos"/>
    <d v="2026-09-09T00:00:00"/>
    <s v="20/07/2026"/>
    <n v="0.96364552999999997"/>
    <m/>
    <n v="10000000"/>
    <n v="9636455.3200000003"/>
    <n v="10000000"/>
    <n v="9636455.3200000003"/>
    <n v="67936427"/>
    <s v="AMOMPY"/>
    <s v="Momentum Capital Investment S.A."/>
    <s v="29/06/2026"/>
    <s v="29/06/2026"/>
    <n v="27"/>
    <s v="No"/>
    <s v=""/>
    <m/>
    <m/>
    <s v="*PRO070900009"/>
    <s v="*PRO070900009"/>
    <n v="1.8484129375246413E-4"/>
  </r>
  <r>
    <x v="63"/>
    <s v="Pesos"/>
    <d v="2026-09-09T00:00:00"/>
    <s v="20/07/2026"/>
    <n v="0.96755382999999995"/>
    <m/>
    <n v="3000000"/>
    <n v="2902661.49"/>
    <n v="3000000"/>
    <n v="2902661.49"/>
    <n v="918075"/>
    <s v="AMOMPY"/>
    <s v="Momentum Capital Investment S.A."/>
    <s v="13/07/2026"/>
    <s v="13/07/2026"/>
    <n v="24"/>
    <s v="No"/>
    <s v=""/>
    <m/>
    <m/>
    <s v="*PRO070900026"/>
    <s v="*PRO070900026"/>
    <n v="5.5677288724984746E-5"/>
  </r>
  <r>
    <x v="63"/>
    <s v="Pesos"/>
    <d v="2026-09-09T00:00:00"/>
    <s v="20/07/2026"/>
    <n v="0.96624772000000003"/>
    <m/>
    <n v="25000000"/>
    <n v="24156193.010000002"/>
    <n v="25000000"/>
    <n v="24156193.010000002"/>
    <n v="6532"/>
    <s v="AMOMPY"/>
    <s v="Momentum Capital Investment S.A."/>
    <s v="16/07/2026"/>
    <s v="16/07/2026"/>
    <n v="25"/>
    <s v="No"/>
    <s v=""/>
    <m/>
    <m/>
    <s v="*PRO070900027"/>
    <s v="*PRO070900027"/>
    <n v="4.633510787764054E-4"/>
  </r>
  <r>
    <x v="63"/>
    <s v="Pesos"/>
    <d v="2026-09-09T00:00:00"/>
    <s v="20/07/2026"/>
    <n v="0.96624772000000003"/>
    <m/>
    <n v="25000000"/>
    <n v="24156193.010000002"/>
    <n v="25000000"/>
    <n v="24156193.010000002"/>
    <n v="6533"/>
    <s v="AMOMPY"/>
    <s v="Momentum Capital Investment S.A."/>
    <s v="16/07/2026"/>
    <s v="16/07/2026"/>
    <n v="25"/>
    <s v="No"/>
    <s v=""/>
    <m/>
    <m/>
    <s v="*PRO070900028"/>
    <s v="*PRO070900028"/>
    <n v="4.633510787764054E-4"/>
  </r>
  <r>
    <x v="183"/>
    <s v="Pesos"/>
    <d v="2026-09-09T00:00:00"/>
    <s v="20/07/2026"/>
    <n v="0.96755385999999999"/>
    <m/>
    <n v="70954077.530000001"/>
    <n v="68651891.25"/>
    <n v="70954077.530000001"/>
    <n v="68651891.25"/>
    <n v="923848"/>
    <s v="AMOMPY"/>
    <s v="Momentum Capital Investment S.A."/>
    <s v="17/07/2026"/>
    <s v="17/07/2026"/>
    <n v="24"/>
    <s v="No"/>
    <s v=""/>
    <m/>
    <m/>
    <s v="*MAV070901021"/>
    <s v="*MAV070901021"/>
    <n v="1.3168435877938022E-3"/>
  </r>
  <r>
    <x v="178"/>
    <s v="Pesos"/>
    <d v="2026-09-09T00:00:00"/>
    <s v="20/07/2026"/>
    <n v="0.95592283"/>
    <m/>
    <n v="16005575.68"/>
    <n v="15300095.16"/>
    <n v="16005575.68"/>
    <n v="15300095.16"/>
    <n v="30716"/>
    <s v="AMOMPY"/>
    <s v="Momentum Capital Investment S.A."/>
    <s v="27/05/2026"/>
    <s v="27/05/2026"/>
    <n v="33"/>
    <s v="No"/>
    <s v=""/>
    <m/>
    <m/>
    <s v="*MAV070900791"/>
    <s v="*MAV070900791"/>
    <n v="2.9347818155091228E-4"/>
  </r>
  <r>
    <x v="7"/>
    <s v="Pesos"/>
    <d v="2026-09-09T00:00:00"/>
    <s v="20/07/2026"/>
    <n v="0.95976868999999998"/>
    <m/>
    <n v="5000000"/>
    <n v="4798843.4400000004"/>
    <n v="5000000"/>
    <n v="4798843.4400000004"/>
    <n v="682"/>
    <s v="AMOMPY"/>
    <s v="Momentum Capital Investment S.A."/>
    <s v="26/06/2026"/>
    <s v="26/06/2026"/>
    <n v="30"/>
    <s v="No"/>
    <s v=""/>
    <m/>
    <m/>
    <s v="*MAV070900898"/>
    <s v="*MAV070900898"/>
    <n v="9.2048829212557949E-5"/>
  </r>
  <r>
    <x v="43"/>
    <s v="Pesos"/>
    <d v="2026-09-09T00:00:00"/>
    <s v="20/07/2026"/>
    <n v="0.96624752000000003"/>
    <m/>
    <n v="5000000"/>
    <n v="4831237.62"/>
    <n v="5000000"/>
    <n v="4831237.62"/>
    <n v="68370685"/>
    <s v="AMOMPY"/>
    <s v="Momentum Capital Investment S.A."/>
    <s v="20/07/2026"/>
    <s v="20/07/2026"/>
    <n v="25"/>
    <s v="No"/>
    <s v=""/>
    <m/>
    <m/>
    <s v="*MIL060900039"/>
    <s v="*MIL060900039"/>
    <n v="9.2670196919086186E-5"/>
  </r>
  <r>
    <x v="43"/>
    <s v="Pesos"/>
    <d v="2026-09-09T00:00:00"/>
    <s v="20/07/2026"/>
    <n v="0.96624752000000003"/>
    <m/>
    <n v="5000000"/>
    <n v="4831237.62"/>
    <n v="5000000"/>
    <n v="4831237.62"/>
    <n v="68370686"/>
    <s v="AMOMPY"/>
    <s v="Momentum Capital Investment S.A."/>
    <s v="20/07/2026"/>
    <s v="20/07/2026"/>
    <n v="25"/>
    <s v="No"/>
    <s v=""/>
    <m/>
    <m/>
    <s v="*MIL060900038"/>
    <s v="*MIL060900038"/>
    <n v="9.2670196919086186E-5"/>
  </r>
  <r>
    <x v="56"/>
    <s v="Pesos"/>
    <d v="2026-09-09T00:00:00"/>
    <s v="20/07/2026"/>
    <n v="0.95210771000000005"/>
    <m/>
    <n v="2333401.2200000002"/>
    <n v="2221649.2999999998"/>
    <n v="2333401.2200000002"/>
    <n v="2221649.2999999998"/>
    <n v="2663"/>
    <s v="AMOMPY"/>
    <s v="Momentum Capital Investment S.A."/>
    <s v="27/05/2026"/>
    <s v="27/05/2026"/>
    <n v="36"/>
    <s v="No"/>
    <s v=""/>
    <m/>
    <m/>
    <s v="*MAV050901245"/>
    <s v="*MAV050901245"/>
    <n v="4.2614479830977545E-5"/>
  </r>
  <r>
    <x v="126"/>
    <s v="Pesos"/>
    <d v="2026-09-09T00:00:00"/>
    <s v="20/07/2026"/>
    <n v="0.9629972"/>
    <m/>
    <n v="25000000"/>
    <n v="24074930.07"/>
    <n v="25000000"/>
    <n v="24074930.07"/>
    <n v="321"/>
    <s v="AMOMPY"/>
    <s v="Momentum Capital Investment S.A."/>
    <s v="06/07/2026"/>
    <s v="06/07/2026"/>
    <n v="27.5"/>
    <s v="No"/>
    <s v=""/>
    <m/>
    <m/>
    <s v="*NIO070900020"/>
    <s v="*NIO070900020"/>
    <n v="4.6179233684641853E-4"/>
  </r>
  <r>
    <x v="43"/>
    <s v="Pesos"/>
    <d v="2026-09-09T00:00:00"/>
    <s v="20/07/2026"/>
    <n v="0.96105750999999995"/>
    <m/>
    <n v="10000000"/>
    <n v="9610575.1300000008"/>
    <n v="10000000"/>
    <n v="9610575.1300000008"/>
    <n v="66613416"/>
    <s v="AMOMPY"/>
    <s v="Momentum Capital Investment S.A."/>
    <s v="30/04/2026"/>
    <s v="30/04/2026"/>
    <n v="29"/>
    <s v="No"/>
    <s v=""/>
    <m/>
    <m/>
    <s v="*MIL070900021"/>
    <s v="*MIL070900021"/>
    <n v="1.8434487389232832E-4"/>
  </r>
  <r>
    <x v="139"/>
    <s v="Pesos"/>
    <d v="2026-09-09T00:00:00"/>
    <s v="20/07/2026"/>
    <n v="0.95976863000000001"/>
    <m/>
    <n v="2200000"/>
    <n v="2111490.98"/>
    <n v="2200000"/>
    <n v="2111490.98"/>
    <n v="9790"/>
    <s v="AMOMPY"/>
    <s v="Momentum Capital Investment S.A."/>
    <s v="13/07/2026"/>
    <s v="13/07/2026"/>
    <n v="30"/>
    <s v="No"/>
    <s v=""/>
    <m/>
    <m/>
    <s v="*MAV060901037"/>
    <s v="*MAV060901037"/>
    <n v="4.0501482290882284E-5"/>
  </r>
  <r>
    <x v="50"/>
    <s v="Pesos"/>
    <d v="2026-09-09T00:00:00"/>
    <s v="20/07/2026"/>
    <n v="0.95976877000000005"/>
    <m/>
    <n v="2700000"/>
    <n v="2591375.69"/>
    <n v="2700000"/>
    <n v="2591375.69"/>
    <n v="6276"/>
    <s v="AMOMPY"/>
    <s v="Momentum Capital Investment S.A."/>
    <s v="17/06/2026"/>
    <s v="17/06/2026"/>
    <n v="30"/>
    <s v="No"/>
    <s v=""/>
    <m/>
    <m/>
    <s v="*MAV060901016"/>
    <s v="*MAV060901016"/>
    <n v="4.9706372232552874E-5"/>
  </r>
  <r>
    <x v="98"/>
    <s v="Pesos"/>
    <d v="2026-09-09T00:00:00"/>
    <s v="20/07/2026"/>
    <n v="0.95720130000000003"/>
    <m/>
    <n v="25000000"/>
    <n v="23930032.620000001"/>
    <n v="25000000"/>
    <n v="23930032.620000001"/>
    <n v="475878"/>
    <s v="AMOMPY"/>
    <s v="Momentum Capital Investment S.A."/>
    <s v="08/05/2026"/>
    <s v="08/05/2026"/>
    <n v="32"/>
    <s v="No"/>
    <s v=""/>
    <m/>
    <m/>
    <s v="*MAV050901234"/>
    <s v="*MAV050901234"/>
    <n v="4.5901299203237201E-4"/>
  </r>
  <r>
    <x v="184"/>
    <s v="Pesos"/>
    <d v="2026-09-09T00:00:00"/>
    <s v="20/07/2026"/>
    <n v="0.95720139000000004"/>
    <m/>
    <n v="1006039"/>
    <n v="962981.93"/>
    <n v="1006039"/>
    <n v="962981.93"/>
    <n v="10343827"/>
    <s v="AMOMPY"/>
    <s v="Momentum Capital Investment S.A."/>
    <s v="14/07/2026"/>
    <s v="14/07/2026"/>
    <n v="32"/>
    <s v="No"/>
    <s v=""/>
    <m/>
    <m/>
    <s v="*MAV050901355"/>
    <s v="*MAV050901355"/>
    <n v="1.8471400519236242E-5"/>
  </r>
  <r>
    <x v="185"/>
    <s v="Pesos"/>
    <d v="2026-09-09T00:00:00"/>
    <s v="20/07/2026"/>
    <n v="0.95720139999999998"/>
    <m/>
    <n v="3214858.48"/>
    <n v="3077267.04"/>
    <n v="3214858.48"/>
    <n v="3077267.04"/>
    <n v="90000521"/>
    <s v="AMOMPY"/>
    <s v="Momentum Capital Investment S.A."/>
    <s v="14/07/2026"/>
    <s v="14/07/2026"/>
    <n v="32"/>
    <s v="No"/>
    <s v=""/>
    <m/>
    <m/>
    <s v="*MAV060901039"/>
    <s v="*MAV060901039"/>
    <n v="5.9026478306279925E-5"/>
  </r>
  <r>
    <x v="168"/>
    <s v="Pesos"/>
    <d v="2026-09-09T00:00:00"/>
    <s v="20/07/2026"/>
    <n v="0.95976861000000002"/>
    <m/>
    <n v="1579236"/>
    <n v="1515701.14"/>
    <n v="1579236"/>
    <n v="1515701.14"/>
    <n v="1558"/>
    <s v="AMOMPY"/>
    <s v="Momentum Capital Investment S.A."/>
    <s v="20/07/2026"/>
    <s v="20/07/2026"/>
    <n v="30"/>
    <s v="No"/>
    <s v=""/>
    <m/>
    <m/>
    <s v="*MAV050901378"/>
    <s v="*MAV050901378"/>
    <n v="2.9073362596121573E-5"/>
  </r>
  <r>
    <x v="168"/>
    <s v="Pesos"/>
    <d v="2026-09-09T00:00:00"/>
    <s v="20/07/2026"/>
    <n v="0.95976861000000002"/>
    <m/>
    <n v="1579236"/>
    <n v="1515701.14"/>
    <n v="1579236"/>
    <n v="1515701.14"/>
    <n v="1559"/>
    <s v="AMOMPY"/>
    <s v="Momentum Capital Investment S.A."/>
    <s v="20/07/2026"/>
    <s v="20/07/2026"/>
    <n v="30"/>
    <s v="No"/>
    <s v=""/>
    <m/>
    <m/>
    <s v="*MAV060901050"/>
    <s v="*MAV060901050"/>
    <n v="2.9073362596121573E-5"/>
  </r>
  <r>
    <x v="168"/>
    <s v="Pesos"/>
    <d v="2026-09-09T00:00:00"/>
    <s v="20/07/2026"/>
    <n v="0.95976861000000002"/>
    <m/>
    <n v="1579236"/>
    <n v="1515701.14"/>
    <n v="1579236"/>
    <n v="1515701.14"/>
    <n v="1560"/>
    <s v="AMOMPY"/>
    <s v="Momentum Capital Investment S.A."/>
    <s v="20/07/2026"/>
    <s v="20/07/2026"/>
    <n v="30"/>
    <s v="No"/>
    <s v=""/>
    <m/>
    <m/>
    <s v="*MAV070901035"/>
    <s v="*MAV070901035"/>
    <n v="2.9073362596121573E-5"/>
  </r>
  <r>
    <x v="178"/>
    <s v="Pesos"/>
    <d v="2026-09-10T00:00:00"/>
    <s v="20/07/2026"/>
    <n v="0.95509748000000005"/>
    <m/>
    <n v="16005575.68"/>
    <n v="15286885.050000001"/>
    <n v="16005575.68"/>
    <n v="15286885.050000001"/>
    <n v="30717"/>
    <s v="AMOMPY"/>
    <s v="Momentum Capital Investment S.A."/>
    <s v="27/05/2026"/>
    <s v="27/05/2026"/>
    <n v="33"/>
    <s v="No"/>
    <s v=""/>
    <m/>
    <m/>
    <s v="*MAV080901149"/>
    <s v="*MAV080901149"/>
    <n v="2.9322479233860052E-4"/>
  </r>
  <r>
    <x v="55"/>
    <s v="Pesos"/>
    <d v="2026-09-10T00:00:00"/>
    <s v="20/07/2026"/>
    <n v="0.95250531000000005"/>
    <m/>
    <n v="4250000"/>
    <n v="4048147.59"/>
    <n v="4250000"/>
    <n v="4048147.59"/>
    <n v="6839"/>
    <s v="AMOMPY"/>
    <s v="Momentum Capital Investment S.A."/>
    <s v="20/04/2026"/>
    <s v="20/04/2026"/>
    <n v="35"/>
    <s v="No"/>
    <s v=""/>
    <m/>
    <m/>
    <s v="*MAV080901113"/>
    <s v="*MAV080901113"/>
    <n v="7.7649385898519345E-5"/>
  </r>
  <r>
    <x v="63"/>
    <s v="Pesos"/>
    <d v="2026-09-10T00:00:00"/>
    <s v="20/07/2026"/>
    <n v="0.96295923999999999"/>
    <m/>
    <n v="20000000"/>
    <n v="19259184.789999999"/>
    <n v="20000000"/>
    <n v="19259184.789999999"/>
    <n v="9508918"/>
    <s v="AMOMPY"/>
    <s v="Momentum Capital Investment S.A."/>
    <s v="13/07/2026"/>
    <s v="13/07/2026"/>
    <n v="27"/>
    <s v="No"/>
    <s v=""/>
    <m/>
    <m/>
    <s v="*PRO080900011"/>
    <s v="*PRO080900011"/>
    <n v="3.6941930564582111E-4"/>
  </r>
  <r>
    <x v="74"/>
    <s v="Pesos"/>
    <d v="2026-09-10T00:00:00"/>
    <s v="20/07/2026"/>
    <n v="0.9676053"/>
    <m/>
    <n v="28908355.27"/>
    <n v="27971877.899999999"/>
    <n v="28908355.27"/>
    <n v="27971877.899999999"/>
    <n v="87"/>
    <s v="AMOMPY"/>
    <s v="Momentum Capital Investment S.A."/>
    <s v="17/07/2026"/>
    <s v="17/07/2026"/>
    <n v="23.5"/>
    <s v="No"/>
    <s v=""/>
    <m/>
    <m/>
    <s v="%INC090900036"/>
    <s v="%INC090900036"/>
    <n v="5.3654149041620415E-4"/>
  </r>
  <r>
    <x v="7"/>
    <s v="Pesos"/>
    <d v="2026-09-10T00:00:00"/>
    <s v="20/07/2026"/>
    <n v="0.95901216"/>
    <m/>
    <n v="10000000"/>
    <n v="9590121.5999999996"/>
    <n v="10000000"/>
    <n v="9590121.5999999996"/>
    <n v="637"/>
    <s v="AMOMPY"/>
    <s v="Momentum Capital Investment S.A."/>
    <s v="16/06/2026"/>
    <s v="16/06/2026"/>
    <n v="30"/>
    <s v="No"/>
    <s v=""/>
    <m/>
    <m/>
    <s v="*MAV080901212"/>
    <s v="*MAV080901212"/>
    <n v="1.8395254530038658E-4"/>
  </r>
  <r>
    <x v="7"/>
    <s v="Pesos"/>
    <d v="2026-09-10T00:00:00"/>
    <s v="20/07/2026"/>
    <n v="0.95901210999999997"/>
    <m/>
    <n v="5000000"/>
    <n v="4795060.57"/>
    <n v="5000000"/>
    <n v="4795060.57"/>
    <n v="779"/>
    <s v="AMOMPY"/>
    <s v="Momentum Capital Investment S.A."/>
    <s v="14/07/2026"/>
    <s v="14/07/2026"/>
    <n v="30"/>
    <s v="No"/>
    <s v=""/>
    <m/>
    <m/>
    <s v="*MAV080901317"/>
    <s v="*MAV080901317"/>
    <n v="9.1976268238457218E-5"/>
  </r>
  <r>
    <x v="43"/>
    <s v="Pesos"/>
    <d v="2026-09-10T00:00:00"/>
    <s v="20/07/2026"/>
    <n v="0.96560864000000002"/>
    <m/>
    <n v="5000000"/>
    <n v="4828043.21"/>
    <n v="5000000"/>
    <n v="4828043.21"/>
    <n v="68370730"/>
    <s v="AMOMPY"/>
    <s v="Momentum Capital Investment S.A."/>
    <s v="20/07/2026"/>
    <s v="20/07/2026"/>
    <n v="25"/>
    <s v="No"/>
    <s v=""/>
    <m/>
    <m/>
    <s v="*MIL080900034"/>
    <s v="*MIL080900034"/>
    <n v="9.2608923467638708E-5"/>
  </r>
  <r>
    <x v="43"/>
    <s v="Pesos"/>
    <d v="2026-09-10T00:00:00"/>
    <s v="20/07/2026"/>
    <n v="0.96560864000000002"/>
    <m/>
    <n v="5000000"/>
    <n v="4828043.21"/>
    <n v="5000000"/>
    <n v="4828043.21"/>
    <n v="68370729"/>
    <s v="AMOMPY"/>
    <s v="Momentum Capital Investment S.A."/>
    <s v="20/07/2026"/>
    <s v="20/07/2026"/>
    <n v="25"/>
    <s v="No"/>
    <s v=""/>
    <m/>
    <m/>
    <s v="*MIL080900033"/>
    <s v="*MIL080900033"/>
    <n v="9.2608923467638708E-5"/>
  </r>
  <r>
    <x v="8"/>
    <s v="Pesos"/>
    <d v="2026-09-10T00:00:00"/>
    <s v="20/07/2026"/>
    <n v="0.94864351999999996"/>
    <m/>
    <n v="25000000"/>
    <n v="23716087.98"/>
    <n v="25000000"/>
    <n v="23716087.98"/>
    <n v="70219553"/>
    <s v="AMOMPY"/>
    <s v="Momentum Capital Investment S.A."/>
    <s v="02/07/2026"/>
    <s v="02/07/2026"/>
    <n v="38"/>
    <s v="No"/>
    <s v=""/>
    <m/>
    <m/>
    <s v="*MAV080901266"/>
    <s v="*MAV080901266"/>
    <n v="4.5490922122289919E-4"/>
  </r>
  <r>
    <x v="56"/>
    <s v="Pesos"/>
    <d v="2026-09-10T00:00:00"/>
    <s v="20/07/2026"/>
    <n v="0.95121458000000003"/>
    <m/>
    <n v="2333401.2200000002"/>
    <n v="2219565.27"/>
    <n v="2333401.2200000002"/>
    <n v="2219565.27"/>
    <n v="2662"/>
    <s v="AMOMPY"/>
    <s v="Momentum Capital Investment S.A."/>
    <s v="27/05/2026"/>
    <s v="27/05/2026"/>
    <n v="36"/>
    <s v="No"/>
    <s v=""/>
    <m/>
    <m/>
    <s v="*MAV080901150"/>
    <s v="*MAV080901150"/>
    <n v="4.2574505090408838E-5"/>
  </r>
  <r>
    <x v="7"/>
    <s v="Pesos"/>
    <d v="2026-09-10T00:00:00"/>
    <s v="20/07/2026"/>
    <n v="0.95901214999999995"/>
    <m/>
    <n v="10000000"/>
    <n v="9590121.5"/>
    <n v="10000000"/>
    <n v="9590121.5"/>
    <n v="672"/>
    <s v="AMOMPY"/>
    <s v="Momentum Capital Investment S.A."/>
    <s v="23/06/2026"/>
    <s v="23/06/2026"/>
    <n v="30"/>
    <s v="No"/>
    <s v=""/>
    <m/>
    <m/>
    <s v="*MAV080901237"/>
    <s v="*MAV080901237"/>
    <n v="1.8395254338224047E-4"/>
  </r>
  <r>
    <x v="135"/>
    <s v="Pesos"/>
    <d v="2026-09-10T00:00:00"/>
    <s v="20/07/2026"/>
    <n v="0.95639872000000004"/>
    <m/>
    <n v="50000000"/>
    <n v="47819936.189999998"/>
    <n v="50000000"/>
    <n v="47819936.189999998"/>
    <n v="4774"/>
    <s v="AMOMPY"/>
    <s v="Momentum Capital Investment S.A."/>
    <s v="04/06/2026"/>
    <s v="04/06/2026"/>
    <n v="32"/>
    <s v="No"/>
    <s v=""/>
    <m/>
    <m/>
    <s v="*MAV080901170"/>
    <s v="*MAV080901170"/>
    <n v="9.1725625024948279E-4"/>
  </r>
  <r>
    <x v="126"/>
    <s v="Pesos"/>
    <d v="2026-09-10T00:00:00"/>
    <s v="20/07/2026"/>
    <n v="0.96229916000000004"/>
    <m/>
    <n v="25000000"/>
    <n v="24057478.91"/>
    <n v="25000000"/>
    <n v="24057478.91"/>
    <n v="322"/>
    <s v="AMOMPY"/>
    <s v="Momentum Capital Investment S.A."/>
    <s v="06/07/2026"/>
    <s v="06/07/2026"/>
    <n v="27.5"/>
    <s v="No"/>
    <s v=""/>
    <m/>
    <m/>
    <s v="*NIO080900020"/>
    <s v="*NIO080900020"/>
    <n v="4.614575980981169E-4"/>
  </r>
  <r>
    <x v="9"/>
    <s v="Pesos"/>
    <d v="2026-09-10T00:00:00"/>
    <s v="20/07/2026"/>
    <n v="0.95509739000000005"/>
    <m/>
    <n v="10000000"/>
    <n v="9550973.9299999997"/>
    <n v="10000000"/>
    <n v="9550973.9299999997"/>
    <n v="326"/>
    <s v="AMOMPY"/>
    <s v="Momentum Capital Investment S.A."/>
    <s v="14/05/2026"/>
    <s v="14/05/2026"/>
    <n v="33"/>
    <s v="No"/>
    <s v=""/>
    <m/>
    <m/>
    <s v="*MAV080901141"/>
    <s v="*MAV080901141"/>
    <n v="1.8320163578751036E-4"/>
  </r>
  <r>
    <x v="29"/>
    <s v="Pesos"/>
    <d v="2026-09-10T00:00:00"/>
    <s v="20/07/2026"/>
    <n v="0.94736310999999995"/>
    <m/>
    <n v="20000000"/>
    <n v="18947262.18"/>
    <n v="20000000"/>
    <n v="18947262.18"/>
    <n v="4319"/>
    <s v="AMOMPY"/>
    <s v="Momentum Capital Investment S.A."/>
    <s v="17/06/2026"/>
    <s v="17/06/2026"/>
    <n v="39"/>
    <s v="No"/>
    <s v=""/>
    <m/>
    <m/>
    <s v="*MAV080901222"/>
    <s v="*MAV080901222"/>
    <n v="3.6343617420708736E-4"/>
  </r>
  <r>
    <x v="43"/>
    <s v="Pesos"/>
    <d v="2026-09-10T00:00:00"/>
    <s v="20/07/2026"/>
    <n v="0.96428197999999998"/>
    <m/>
    <n v="10000000"/>
    <n v="9642819.7699999996"/>
    <n v="10000000"/>
    <n v="9642819.7699999996"/>
    <n v="68035372"/>
    <s v="AMOMPY"/>
    <s v="Momentum Capital Investment S.A."/>
    <s v="07/07/2026"/>
    <s v="07/07/2026"/>
    <n v="26"/>
    <s v="No"/>
    <s v=""/>
    <m/>
    <m/>
    <s v="*MIL080900031"/>
    <s v="*MIL080900031"/>
    <n v="1.8496337320314982E-4"/>
  </r>
  <r>
    <x v="43"/>
    <s v="Pesos"/>
    <d v="2026-09-10T00:00:00"/>
    <s v="20/07/2026"/>
    <n v="0.96032413999999999"/>
    <m/>
    <n v="5500000"/>
    <n v="5281782.79"/>
    <n v="5500000"/>
    <n v="5281782.79"/>
    <n v="66554093"/>
    <s v="AMOMPY"/>
    <s v="Momentum Capital Investment S.A."/>
    <s v="28/04/2026"/>
    <s v="28/04/2026"/>
    <n v="29"/>
    <s v="No"/>
    <s v=""/>
    <m/>
    <m/>
    <s v="*MIL080900027"/>
    <s v="*MIL080900027"/>
    <n v="1.0131231161284516E-4"/>
  </r>
  <r>
    <x v="64"/>
    <s v="Pesos"/>
    <d v="2026-09-10T00:00:00"/>
    <s v="20/07/2026"/>
    <n v="0.95509739000000005"/>
    <m/>
    <n v="12500000"/>
    <n v="11938717.32"/>
    <n v="12500000"/>
    <n v="11938717.32"/>
    <n v="1358"/>
    <s v="AMOMPY"/>
    <s v="Momentum Capital Investment S.A."/>
    <s v="21/05/2026"/>
    <s v="21/05/2026"/>
    <n v="33"/>
    <s v="No"/>
    <s v=""/>
    <m/>
    <m/>
    <s v="*MAV080901145"/>
    <s v="*MAV080901145"/>
    <n v="2.290020429601028E-4"/>
  </r>
  <r>
    <x v="127"/>
    <s v="Pesos"/>
    <d v="2026-09-10T00:00:00"/>
    <s v="20/07/2026"/>
    <n v="0.94864333000000001"/>
    <m/>
    <n v="60000000"/>
    <n v="56918599.689999998"/>
    <n v="60000000"/>
    <n v="56918599.689999998"/>
    <n v="70379069"/>
    <s v="AMOMPY"/>
    <s v="Momentum Capital Investment S.A."/>
    <s v="22/06/2026"/>
    <s v="22/06/2026"/>
    <n v="38"/>
    <s v="No"/>
    <s v=""/>
    <m/>
    <m/>
    <s v="*MAV080901234"/>
    <s v="*MAV080901234"/>
    <n v="1.0917819110770497E-3"/>
  </r>
  <r>
    <x v="13"/>
    <s v="Pesos"/>
    <d v="2026-09-10T00:00:00"/>
    <s v="20/07/2026"/>
    <n v="0.95901214999999995"/>
    <m/>
    <n v="10000000"/>
    <n v="9590121.5299999993"/>
    <n v="10000000"/>
    <n v="9590121.5299999993"/>
    <n v="3435967"/>
    <s v="AMOMPY"/>
    <s v="Momentum Capital Investment S.A."/>
    <s v="11/05/2026"/>
    <s v="11/05/2026"/>
    <n v="30"/>
    <s v="No"/>
    <s v=""/>
    <m/>
    <m/>
    <s v="*NEU080900027"/>
    <s v="*NEU080900027"/>
    <n v="1.8395254395768429E-4"/>
  </r>
  <r>
    <x v="168"/>
    <s v="Pesos"/>
    <d v="2026-09-10T00:00:00"/>
    <s v="20/07/2026"/>
    <n v="0.95901228999999999"/>
    <m/>
    <n v="1579236"/>
    <n v="1514506.74"/>
    <n v="1579236"/>
    <n v="1514506.74"/>
    <n v="1561"/>
    <s v="AMOMPY"/>
    <s v="Momentum Capital Investment S.A."/>
    <s v="20/07/2026"/>
    <s v="20/07/2026"/>
    <n v="30"/>
    <s v="No"/>
    <s v=""/>
    <m/>
    <m/>
    <s v="*MAV080901343"/>
    <s v="*MAV080901343"/>
    <n v="2.9050452258873422E-5"/>
  </r>
  <r>
    <x v="103"/>
    <s v="Pesos"/>
    <d v="2026-09-10T00:00:00"/>
    <s v="20/07/2026"/>
    <n v="0.95901228999999999"/>
    <m/>
    <n v="2870567.11"/>
    <n v="2752909.15"/>
    <n v="2870567.11"/>
    <n v="2752909.15"/>
    <n v="101"/>
    <s v="AMOMPY"/>
    <s v="Momentum Capital Investment S.A."/>
    <s v="20/07/2026"/>
    <s v="20/07/2026"/>
    <n v="30"/>
    <s v="No"/>
    <s v=""/>
    <m/>
    <m/>
    <s v="*MAV080901342"/>
    <s v="*MAV080901342"/>
    <n v="5.2804820026810058E-5"/>
  </r>
  <r>
    <x v="137"/>
    <s v="Pesos"/>
    <d v="2026-09-11T00:00:00"/>
    <s v="20/07/2026"/>
    <n v="0.95427342000000004"/>
    <m/>
    <n v="1070000"/>
    <n v="1021072.56"/>
    <n v="1070000"/>
    <n v="1021072.56"/>
    <n v="475"/>
    <s v="AMOMPY"/>
    <s v="Momentum Capital Investment S.A."/>
    <s v="16/07/2026"/>
    <s v="16/07/2026"/>
    <n v="33"/>
    <s v="No"/>
    <s v=""/>
    <m/>
    <m/>
    <s v="*MAV090901327"/>
    <s v="*MAV090901327"/>
    <n v="1.9585663684220824E-5"/>
  </r>
  <r>
    <x v="157"/>
    <s v="Pesos"/>
    <d v="2026-09-11T00:00:00"/>
    <s v="20/07/2026"/>
    <n v="0.95559757000000001"/>
    <m/>
    <n v="1000000"/>
    <n v="955597.57"/>
    <n v="1000000"/>
    <n v="955597.57"/>
    <n v="67381670"/>
    <s v="AMOMPY"/>
    <s v="Momentum Capital Investment S.A."/>
    <s v="04/06/2026"/>
    <s v="04/06/2026"/>
    <n v="32"/>
    <s v="No"/>
    <s v=""/>
    <m/>
    <m/>
    <s v="*MAV090901171"/>
    <s v="*MAV090901171"/>
    <n v="1.8329757704465845E-5"/>
  </r>
  <r>
    <x v="178"/>
    <s v="Pesos"/>
    <d v="2026-09-11T00:00:00"/>
    <s v="20/07/2026"/>
    <n v="0.95427342000000004"/>
    <m/>
    <n v="16005575.68"/>
    <n v="15273695.380000001"/>
    <n v="16005575.68"/>
    <n v="15273695.380000001"/>
    <n v="30718"/>
    <s v="AMOMPY"/>
    <s v="Momentum Capital Investment S.A."/>
    <s v="27/05/2026"/>
    <s v="27/05/2026"/>
    <n v="33"/>
    <s v="No"/>
    <s v=""/>
    <m/>
    <m/>
    <s v="*MAV090901145"/>
    <s v="*MAV090901145"/>
    <n v="2.9297179519535552E-4"/>
  </r>
  <r>
    <x v="178"/>
    <s v="Pesos"/>
    <d v="2026-09-11T00:00:00"/>
    <s v="20/07/2026"/>
    <n v="0.95559757999999995"/>
    <m/>
    <n v="15355310.449999999"/>
    <n v="14673497.529999999"/>
    <n v="15355310.449999999"/>
    <n v="14673497.529999999"/>
    <n v="30742"/>
    <s v="AMOMPY"/>
    <s v="Momentum Capital Investment S.A."/>
    <s v="04/06/2026"/>
    <s v="04/06/2026"/>
    <n v="32"/>
    <s v="No"/>
    <s v=""/>
    <m/>
    <m/>
    <s v="*MAV090901172"/>
    <s v="*MAV090901172"/>
    <n v="2.814591234278443E-4"/>
  </r>
  <r>
    <x v="69"/>
    <s v="Pesos"/>
    <d v="2026-09-11T00:00:00"/>
    <s v="20/07/2026"/>
    <n v="0.96362009999999998"/>
    <m/>
    <n v="100046704.59999999"/>
    <n v="96407015.75"/>
    <n v="100046704.59999999"/>
    <n v="96407015.75"/>
    <n v="568280"/>
    <s v="AMOMPY"/>
    <s v="Momentum Capital Investment S.A."/>
    <s v="24/04/2026"/>
    <s v="24/04/2026"/>
    <n v="26"/>
    <s v="No"/>
    <s v=""/>
    <m/>
    <m/>
    <s v="*MAV090901127"/>
    <s v="*MAV090901127"/>
    <n v="1.8492274312795947E-3"/>
  </r>
  <r>
    <x v="85"/>
    <s v="Pesos"/>
    <d v="2026-09-11T00:00:00"/>
    <s v="20/07/2026"/>
    <n v="0.94770741000000003"/>
    <m/>
    <n v="4957711.8099999996"/>
    <n v="4698460.2300000004"/>
    <n v="4957711.8099999996"/>
    <n v="4698460.2300000004"/>
    <n v="600"/>
    <s v="AMOMPY"/>
    <s v="Momentum Capital Investment S.A."/>
    <s v="24/04/2026"/>
    <s v="24/04/2026"/>
    <n v="38"/>
    <s v="No"/>
    <s v=""/>
    <m/>
    <m/>
    <s v="*MAV090901126"/>
    <s v="*MAV090901126"/>
    <n v="9.0123332565578718E-5"/>
  </r>
  <r>
    <x v="63"/>
    <s v="Pesos"/>
    <d v="2026-09-11T00:00:00"/>
    <s v="20/07/2026"/>
    <n v="0.96227373000000005"/>
    <m/>
    <n v="10000000"/>
    <n v="9622737.3300000001"/>
    <n v="10000000"/>
    <n v="9622737.3300000001"/>
    <n v="67936460"/>
    <s v="AMOMPY"/>
    <s v="Momentum Capital Investment S.A."/>
    <s v="29/06/2026"/>
    <s v="29/06/2026"/>
    <n v="27"/>
    <s v="No"/>
    <s v=""/>
    <m/>
    <m/>
    <s v="*PRO090900019"/>
    <s v="*PRO090900019"/>
    <n v="1.8457816265964199E-4"/>
  </r>
  <r>
    <x v="63"/>
    <s v="Pesos"/>
    <d v="2026-09-11T00:00:00"/>
    <s v="20/07/2026"/>
    <n v="0.96632439999999997"/>
    <m/>
    <n v="15000000"/>
    <n v="14494866.02"/>
    <n v="15000000"/>
    <n v="14494866.02"/>
    <n v="68398930"/>
    <s v="AMOMPY"/>
    <s v="Momentum Capital Investment S.A."/>
    <s v="17/07/2026"/>
    <s v="17/07/2026"/>
    <n v="24"/>
    <s v="No"/>
    <s v=""/>
    <m/>
    <m/>
    <s v="*PRO090900025"/>
    <s v="*PRO090900025"/>
    <n v="2.7803271005104709E-4"/>
  </r>
  <r>
    <x v="74"/>
    <s v="Pesos"/>
    <d v="2026-09-11T00:00:00"/>
    <s v="20/07/2026"/>
    <n v="0.96700282999999998"/>
    <m/>
    <n v="27798498.34"/>
    <n v="26881226.460000001"/>
    <n v="27798498.34"/>
    <n v="26881226.460000001"/>
    <n v="88"/>
    <s v="AMOMPY"/>
    <s v="Momentum Capital Investment S.A."/>
    <s v="17/07/2026"/>
    <s v="17/07/2026"/>
    <n v="23.5"/>
    <s v="No"/>
    <s v=""/>
    <m/>
    <m/>
    <s v="%INC100900030"/>
    <s v="%INC100900030"/>
    <n v="5.1562120214545561E-4"/>
  </r>
  <r>
    <x v="7"/>
    <s v="Pesos"/>
    <d v="2026-09-11T00:00:00"/>
    <s v="20/07/2026"/>
    <n v="0.95825678000000003"/>
    <m/>
    <n v="10000000"/>
    <n v="9582567.75"/>
    <n v="10000000"/>
    <n v="9582567.75"/>
    <n v="504"/>
    <s v="AMOMPY"/>
    <s v="Momentum Capital Investment S.A."/>
    <s v="14/05/2026"/>
    <s v="14/05/2026"/>
    <n v="30"/>
    <s v="No"/>
    <s v=""/>
    <m/>
    <m/>
    <s v="*MAV090901138"/>
    <s v="*MAV090901138"/>
    <n v="1.8380765141975868E-4"/>
  </r>
  <r>
    <x v="7"/>
    <s v="Pesos"/>
    <d v="2026-09-11T00:00:00"/>
    <s v="20/07/2026"/>
    <n v="0.95825696999999999"/>
    <m/>
    <n v="5000000"/>
    <n v="4791284.84"/>
    <n v="5000000"/>
    <n v="4791284.84"/>
    <n v="787"/>
    <s v="AMOMPY"/>
    <s v="Momentum Capital Investment S.A."/>
    <s v="14/07/2026"/>
    <s v="14/07/2026"/>
    <n v="30"/>
    <s v="No"/>
    <s v=""/>
    <m/>
    <m/>
    <s v="*MAV090901318"/>
    <s v="*MAV090901318"/>
    <n v="9.1903844219989398E-5"/>
  </r>
  <r>
    <x v="8"/>
    <s v="Pesos"/>
    <d v="2026-09-11T00:00:00"/>
    <s v="20/07/2026"/>
    <n v="0.94770757999999999"/>
    <m/>
    <n v="25000000"/>
    <n v="23692689.469999999"/>
    <n v="25000000"/>
    <n v="23692689.469999999"/>
    <n v="70219555"/>
    <s v="AMOMPY"/>
    <s v="Momentum Capital Investment S.A."/>
    <s v="07/07/2026"/>
    <s v="07/07/2026"/>
    <n v="38"/>
    <s v="No"/>
    <s v=""/>
    <m/>
    <m/>
    <s v="*MAV090901282"/>
    <s v="*MAV090901282"/>
    <n v="4.5446040361137513E-4"/>
  </r>
  <r>
    <x v="8"/>
    <s v="Pesos"/>
    <d v="2026-09-11T00:00:00"/>
    <s v="20/07/2026"/>
    <n v="0.94770757999999999"/>
    <m/>
    <n v="25000000"/>
    <n v="23692689.469999999"/>
    <n v="25000000"/>
    <n v="23692689.469999999"/>
    <n v="70219554"/>
    <s v="AMOMPY"/>
    <s v="Momentum Capital Investment S.A."/>
    <s v="07/07/2026"/>
    <s v="07/07/2026"/>
    <n v="38"/>
    <s v="No"/>
    <s v=""/>
    <m/>
    <m/>
    <s v="*MAV090901283"/>
    <s v="*MAV090901283"/>
    <n v="4.5446040361137513E-4"/>
  </r>
  <r>
    <x v="56"/>
    <s v="Pesos"/>
    <d v="2026-09-11T00:00:00"/>
    <s v="20/07/2026"/>
    <n v="0.95032296000000005"/>
    <m/>
    <n v="2333401.2200000002"/>
    <n v="2217484.75"/>
    <n v="2333401.2200000002"/>
    <n v="2217484.75"/>
    <n v="2661"/>
    <s v="AMOMPY"/>
    <s v="Momentum Capital Investment S.A."/>
    <s v="27/05/2026"/>
    <s v="27/05/2026"/>
    <n v="36"/>
    <s v="No"/>
    <s v=""/>
    <m/>
    <m/>
    <s v="*MAV090901146"/>
    <s v="*MAV090901146"/>
    <n v="4.2534597676768919E-5"/>
  </r>
  <r>
    <x v="7"/>
    <s v="Pesos"/>
    <d v="2026-09-11T00:00:00"/>
    <s v="20/07/2026"/>
    <n v="0.95427346999999996"/>
    <m/>
    <n v="10000000"/>
    <n v="9542734.7300000004"/>
    <n v="10000000"/>
    <n v="9542734.7300000004"/>
    <n v="666"/>
    <s v="AMOMPY"/>
    <s v="Momentum Capital Investment S.A."/>
    <s v="22/06/2026"/>
    <s v="22/06/2026"/>
    <n v="33"/>
    <s v="No"/>
    <s v=""/>
    <m/>
    <m/>
    <s v="*MAV090901242"/>
    <s v="*MAV090901242"/>
    <n v="1.8304359589245431E-4"/>
  </r>
  <r>
    <x v="186"/>
    <s v="Pesos"/>
    <d v="2026-09-11T00:00:00"/>
    <s v="20/07/2026"/>
    <n v="0.95559766000000002"/>
    <m/>
    <n v="475000000"/>
    <n v="453908890.16000003"/>
    <n v="475000000"/>
    <n v="453908890.16000003"/>
    <n v="928"/>
    <s v="AMOMPY"/>
    <s v="Momentum Capital Investment S.A."/>
    <s v="14/07/2026"/>
    <s v="14/07/2026"/>
    <n v="32"/>
    <s v="No"/>
    <s v=""/>
    <m/>
    <m/>
    <s v="*MAV090901315"/>
    <s v="*MAV090901315"/>
    <n v="8.7066357614699694E-3"/>
  </r>
  <r>
    <x v="126"/>
    <s v="Pesos"/>
    <d v="2026-09-11T00:00:00"/>
    <s v="20/07/2026"/>
    <n v="0.96160192"/>
    <m/>
    <n v="25000000"/>
    <n v="24040048.010000002"/>
    <n v="25000000"/>
    <n v="24040048.010000002"/>
    <n v="323"/>
    <s v="AMOMPY"/>
    <s v="Momentum Capital Investment S.A."/>
    <s v="06/07/2026"/>
    <s v="06/07/2026"/>
    <n v="27.5"/>
    <s v="No"/>
    <s v=""/>
    <m/>
    <m/>
    <s v="*NIO090900014"/>
    <s v="*NIO090900014"/>
    <n v="4.6112324796621909E-4"/>
  </r>
  <r>
    <x v="181"/>
    <s v="Pesos"/>
    <d v="2026-09-11T00:00:00"/>
    <s v="20/07/2026"/>
    <n v="0.95559766000000002"/>
    <m/>
    <n v="1274298"/>
    <n v="1217716.19"/>
    <n v="1274298"/>
    <n v="1217716.19"/>
    <n v="10333909"/>
    <s v="AMOMPY"/>
    <s v="Momentum Capital Investment S.A."/>
    <s v="14/07/2026"/>
    <s v="14/07/2026"/>
    <n v="32"/>
    <s v="No"/>
    <s v=""/>
    <m/>
    <m/>
    <s v="*MAV090901312"/>
    <s v="*MAV090901312"/>
    <n v="2.3357575841790071E-5"/>
  </r>
  <r>
    <x v="43"/>
    <s v="Pesos"/>
    <d v="2026-09-11T00:00:00"/>
    <s v="20/07/2026"/>
    <n v="0.96362022000000003"/>
    <m/>
    <n v="10000000"/>
    <n v="9636202.2100000009"/>
    <n v="10000000"/>
    <n v="9636202.2100000009"/>
    <n v="68035375"/>
    <s v="AMOMPY"/>
    <s v="Momentum Capital Investment S.A."/>
    <s v="07/07/2026"/>
    <s v="07/07/2026"/>
    <n v="26"/>
    <s v="No"/>
    <s v=""/>
    <m/>
    <m/>
    <s v="*MIL090900032"/>
    <s v="*MIL090900032"/>
    <n v="1.8483643873282174E-4"/>
  </r>
  <r>
    <x v="43"/>
    <s v="Pesos"/>
    <d v="2026-09-11T00:00:00"/>
    <s v="20/07/2026"/>
    <n v="0.96362022000000003"/>
    <m/>
    <n v="7000000"/>
    <n v="6745341.54"/>
    <n v="7000000"/>
    <n v="6745341.54"/>
    <n v="68156951"/>
    <s v="AMOMPY"/>
    <s v="Momentum Capital Investment S.A."/>
    <s v="07/07/2026"/>
    <s v="07/07/2026"/>
    <n v="26"/>
    <s v="No"/>
    <s v=""/>
    <m/>
    <m/>
    <s v="*MIL090900033"/>
    <s v="*MIL090900033"/>
    <n v="1.2938550697870498E-4"/>
  </r>
  <r>
    <x v="187"/>
    <s v="Pesos"/>
    <d v="2026-09-11T00:00:00"/>
    <s v="20/07/2026"/>
    <n v="0.95559766999999995"/>
    <m/>
    <n v="1099546.98"/>
    <n v="1050724.54"/>
    <n v="1099546.98"/>
    <n v="1050724.54"/>
    <n v="30001147"/>
    <s v="AMOMPY"/>
    <s v="Momentum Capital Investment S.A."/>
    <s v="14/07/2026"/>
    <s v="14/07/2026"/>
    <n v="32"/>
    <s v="No"/>
    <s v=""/>
    <m/>
    <m/>
    <s v="*MAV090901311"/>
    <s v="*MAV090901311"/>
    <n v="2.0154431987867377E-5"/>
  </r>
  <r>
    <x v="168"/>
    <s v="Pesos"/>
    <d v="2026-09-11T00:00:00"/>
    <s v="20/07/2026"/>
    <n v="0.95825689000000003"/>
    <m/>
    <n v="1579236"/>
    <n v="1513313.78"/>
    <n v="1579236"/>
    <n v="1513313.78"/>
    <n v="1562"/>
    <s v="AMOMPY"/>
    <s v="Momentum Capital Investment S.A."/>
    <s v="20/07/2026"/>
    <s v="20/07/2026"/>
    <n v="30"/>
    <s v="No"/>
    <s v=""/>
    <m/>
    <m/>
    <s v="*MAV090901339"/>
    <s v="*MAV090901339"/>
    <n v="2.9027569542929388E-5"/>
  </r>
  <r>
    <x v="137"/>
    <s v="Pesos"/>
    <d v="2026-09-14T00:00:00"/>
    <s v="20/07/2026"/>
    <n v="0.95180991000000004"/>
    <m/>
    <n v="1070000"/>
    <n v="1018436.6"/>
    <n v="1070000"/>
    <n v="1018436.6"/>
    <n v="476"/>
    <s v="AMOMPY"/>
    <s v="Momentum Capital Investment S.A."/>
    <s v="16/07/2026"/>
    <s v="16/07/2026"/>
    <n v="33"/>
    <s v="No"/>
    <s v=""/>
    <m/>
    <m/>
    <s v="*MAV100901479"/>
    <s v="*MAV100901479"/>
    <n v="1.9535102119776216E-5"/>
  </r>
  <r>
    <x v="188"/>
    <s v="Pesos"/>
    <d v="2026-09-14T00:00:00"/>
    <s v="20/07/2026"/>
    <n v="0.95180986999999995"/>
    <m/>
    <n v="1524900"/>
    <n v="1451414.86"/>
    <n v="1524900"/>
    <n v="1451414.86"/>
    <n v="179"/>
    <s v="AMOMPY"/>
    <s v="Momentum Capital Investment S.A."/>
    <s v="27/05/2026"/>
    <s v="27/05/2026"/>
    <n v="33"/>
    <s v="No"/>
    <s v=""/>
    <m/>
    <m/>
    <s v="*MAV100901187"/>
    <s v="*MAV100901187"/>
    <n v="2.7840257811100567E-5"/>
  </r>
  <r>
    <x v="178"/>
    <s v="Pesos"/>
    <d v="2026-09-14T00:00:00"/>
    <s v="20/07/2026"/>
    <n v="0.95180986999999995"/>
    <m/>
    <n v="16005575.68"/>
    <n v="15234264.960000001"/>
    <n v="16005575.68"/>
    <n v="15234264.960000001"/>
    <n v="30719"/>
    <s v="AMOMPY"/>
    <s v="Momentum Capital Investment S.A."/>
    <s v="27/05/2026"/>
    <s v="27/05/2026"/>
    <n v="33"/>
    <s v="No"/>
    <s v=""/>
    <m/>
    <m/>
    <s v="*MAV100901186"/>
    <s v="*MAV100901186"/>
    <n v="2.9221546212432722E-4"/>
  </r>
  <r>
    <x v="178"/>
    <s v="Pesos"/>
    <d v="2026-09-14T00:00:00"/>
    <s v="20/07/2026"/>
    <n v="0.95320172000000003"/>
    <m/>
    <n v="15355310.449999999"/>
    <n v="14636708.359999999"/>
    <n v="15355310.449999999"/>
    <n v="14636708.359999999"/>
    <n v="30743"/>
    <s v="AMOMPY"/>
    <s v="Momentum Capital Investment S.A."/>
    <s v="04/06/2026"/>
    <s v="04/06/2026"/>
    <n v="32"/>
    <s v="No"/>
    <s v=""/>
    <m/>
    <m/>
    <s v="*MAV100901257"/>
    <s v="*MAV100901257"/>
    <n v="2.8075345339119022E-4"/>
  </r>
  <r>
    <x v="63"/>
    <s v="Pesos"/>
    <d v="2026-09-14T00:00:00"/>
    <s v="20/07/2026"/>
    <n v="0.96022324999999997"/>
    <m/>
    <n v="10000000"/>
    <n v="9602232.5199999996"/>
    <n v="10000000"/>
    <n v="9602232.5199999996"/>
    <n v="67936475"/>
    <s v="AMOMPY"/>
    <s v="Momentum Capital Investment S.A."/>
    <s v="29/06/2026"/>
    <s v="29/06/2026"/>
    <n v="27"/>
    <s v="No"/>
    <s v=""/>
    <m/>
    <m/>
    <s v="*PRO100900022"/>
    <s v="*PRO100900022"/>
    <n v="1.841848504423703E-4"/>
  </r>
  <r>
    <x v="7"/>
    <s v="Pesos"/>
    <d v="2026-09-14T00:00:00"/>
    <s v="20/07/2026"/>
    <n v="0.95599809000000002"/>
    <m/>
    <n v="10000000"/>
    <n v="9559980.8599999994"/>
    <n v="10000000"/>
    <n v="9559980.8599999994"/>
    <n v="701"/>
    <s v="AMOMPY"/>
    <s v="Momentum Capital Investment S.A."/>
    <s v="29/06/2026"/>
    <s v="29/06/2026"/>
    <n v="30"/>
    <s v="No"/>
    <s v=""/>
    <m/>
    <m/>
    <s v="*MAV100901375"/>
    <s v="*MAV100901375"/>
    <n v="1.8337440186576764E-4"/>
  </r>
  <r>
    <x v="7"/>
    <s v="Pesos"/>
    <d v="2026-09-14T00:00:00"/>
    <s v="20/07/2026"/>
    <n v="0.95599794000000005"/>
    <m/>
    <n v="10000000"/>
    <n v="9559979.4100000001"/>
    <n v="10000000"/>
    <n v="9559979.4100000001"/>
    <n v="723"/>
    <s v="AMOMPY"/>
    <s v="Momentum Capital Investment S.A."/>
    <s v="30/06/2026"/>
    <s v="30/06/2026"/>
    <n v="30"/>
    <s v="No"/>
    <s v=""/>
    <m/>
    <m/>
    <s v="*MAV100901379"/>
    <s v="*MAV100901379"/>
    <n v="1.8337437405264892E-4"/>
  </r>
  <r>
    <x v="8"/>
    <s v="Pesos"/>
    <d v="2026-09-14T00:00:00"/>
    <s v="20/07/2026"/>
    <n v="0.94491046000000001"/>
    <m/>
    <n v="3200000"/>
    <n v="3023713.46"/>
    <n v="3200000"/>
    <n v="3023713.46"/>
    <n v="155475"/>
    <s v="AMOMPY"/>
    <s v="Momentum Capital Investment S.A."/>
    <s v="07/07/2026"/>
    <s v="07/07/2026"/>
    <n v="38"/>
    <s v="No"/>
    <s v=""/>
    <m/>
    <m/>
    <s v="#MAV110960027"/>
    <s v="#MAV110960027"/>
    <n v="5.7999242389798125E-5"/>
  </r>
  <r>
    <x v="8"/>
    <s v="Pesos"/>
    <d v="2026-09-14T00:00:00"/>
    <s v="20/07/2026"/>
    <n v="0.94491044999999996"/>
    <m/>
    <n v="42000000"/>
    <n v="39686239.060000002"/>
    <n v="42000000"/>
    <n v="39686239.060000002"/>
    <n v="155474"/>
    <s v="AMOMPY"/>
    <s v="Momentum Capital Investment S.A."/>
    <s v="07/07/2026"/>
    <s v="07/07/2026"/>
    <n v="38"/>
    <s v="No"/>
    <s v=""/>
    <m/>
    <m/>
    <s v="#MAV110960028"/>
    <s v="#MAV110960028"/>
    <n v="7.6124005440000072E-4"/>
  </r>
  <r>
    <x v="8"/>
    <s v="Pesos"/>
    <d v="2026-09-14T00:00:00"/>
    <s v="20/07/2026"/>
    <n v="0.94491044999999996"/>
    <m/>
    <n v="30000000"/>
    <n v="28347313.609999999"/>
    <n v="30000000"/>
    <n v="28347313.609999999"/>
    <n v="70219556"/>
    <s v="AMOMPY"/>
    <s v="Momentum Capital Investment S.A."/>
    <s v="07/07/2026"/>
    <s v="07/07/2026"/>
    <n v="38"/>
    <s v="No"/>
    <s v=""/>
    <m/>
    <m/>
    <s v="*MAV100901425"/>
    <s v="*MAV100901425"/>
    <n v="5.4374289591779422E-4"/>
  </r>
  <r>
    <x v="56"/>
    <s v="Pesos"/>
    <d v="2026-09-14T00:00:00"/>
    <s v="20/07/2026"/>
    <n v="0.94765825999999997"/>
    <m/>
    <n v="2333401.2200000002"/>
    <n v="2211266.9500000002"/>
    <n v="2333401.2200000002"/>
    <n v="2211266.9500000002"/>
    <n v="2660"/>
    <s v="AMOMPY"/>
    <s v="Momentum Capital Investment S.A."/>
    <s v="27/05/2026"/>
    <s v="27/05/2026"/>
    <n v="36"/>
    <s v="No"/>
    <s v=""/>
    <m/>
    <m/>
    <s v="*MAV100901188"/>
    <s v="*MAV100901188"/>
    <n v="4.2415331187367081E-5"/>
  </r>
  <r>
    <x v="56"/>
    <s v="Pesos"/>
    <d v="2026-09-14T00:00:00"/>
    <s v="20/07/2026"/>
    <n v="0.94628245"/>
    <m/>
    <n v="2687954.26"/>
    <n v="2543563.9500000002"/>
    <n v="2687954.26"/>
    <n v="2543563.9500000002"/>
    <n v="2817"/>
    <s v="AMOMPY"/>
    <s v="Momentum Capital Investment S.A."/>
    <s v="02/07/2026"/>
    <s v="02/07/2026"/>
    <n v="37"/>
    <s v="No"/>
    <s v=""/>
    <m/>
    <m/>
    <s v="*MAV100901398"/>
    <s v="*MAV100901398"/>
    <n v="4.8789273197203802E-5"/>
  </r>
  <r>
    <x v="189"/>
    <s v="Pesos"/>
    <d v="2026-09-14T00:00:00"/>
    <s v="20/07/2026"/>
    <n v="0.95042196000000001"/>
    <m/>
    <n v="440000000"/>
    <n v="418185660.55000001"/>
    <n v="440000000"/>
    <n v="418185660.55000001"/>
    <n v="178"/>
    <s v="AMOMPY"/>
    <s v="Momentum Capital Investment S.A."/>
    <s v="10/06/2026"/>
    <s v="10/06/2026"/>
    <n v="34"/>
    <s v="No"/>
    <s v=""/>
    <m/>
    <m/>
    <s v="*MAV100901303"/>
    <s v="*MAV100901303"/>
    <n v="8.0214120190400875E-3"/>
  </r>
  <r>
    <x v="126"/>
    <s v="Pesos"/>
    <d v="2026-09-14T00:00:00"/>
    <s v="20/07/2026"/>
    <n v="0.95951646999999995"/>
    <m/>
    <n v="25000000"/>
    <n v="23987911.629999999"/>
    <n v="25000000"/>
    <n v="23987911.629999999"/>
    <n v="324"/>
    <s v="AMOMPY"/>
    <s v="Momentum Capital Investment S.A."/>
    <s v="06/07/2026"/>
    <s v="06/07/2026"/>
    <n v="27.5"/>
    <s v="No"/>
    <s v=""/>
    <m/>
    <m/>
    <s v="*NIO100900043"/>
    <s v="*NIO100900043"/>
    <n v="4.6012319601653905E-4"/>
  </r>
  <r>
    <x v="43"/>
    <s v="Pesos"/>
    <d v="2026-09-14T00:00:00"/>
    <s v="20/07/2026"/>
    <n v="0.96022322999999998"/>
    <m/>
    <n v="12500000"/>
    <n v="12002790.33"/>
    <n v="12500000"/>
    <n v="12002790.33"/>
    <n v="67924258"/>
    <s v="AMOMPY"/>
    <s v="Momentum Capital Investment S.A."/>
    <s v="25/06/2026"/>
    <s v="25/06/2026"/>
    <n v="27"/>
    <s v="No"/>
    <s v=""/>
    <m/>
    <m/>
    <s v="*MIL100900041"/>
    <s v="*MIL100900041"/>
    <n v="2.3023105691489531E-4"/>
  </r>
  <r>
    <x v="43"/>
    <s v="Pesos"/>
    <d v="2026-09-14T00:00:00"/>
    <s v="20/07/2026"/>
    <n v="0.96163980999999998"/>
    <m/>
    <n v="10000000"/>
    <n v="9616398.1199999992"/>
    <n v="10000000"/>
    <n v="9616398.1199999992"/>
    <n v="68035377"/>
    <s v="AMOMPY"/>
    <s v="Momentum Capital Investment S.A."/>
    <s v="07/07/2026"/>
    <s v="07/07/2026"/>
    <n v="26"/>
    <s v="No"/>
    <s v=""/>
    <m/>
    <m/>
    <s v="*MIL100900043"/>
    <s v="*MIL100900043"/>
    <n v="1.8445656734903675E-4"/>
  </r>
  <r>
    <x v="48"/>
    <s v="Pesos"/>
    <d v="2026-09-14T00:00:00"/>
    <s v="20/07/2026"/>
    <n v="0.94903813999999997"/>
    <m/>
    <n v="115000000"/>
    <n v="109139386.39"/>
    <n v="115000000"/>
    <n v="109139386.39"/>
    <n v="8427"/>
    <s v="AMOMPY"/>
    <s v="Momentum Capital Investment S.A."/>
    <s v="11/06/2026"/>
    <s v="11/06/2026"/>
    <n v="35"/>
    <s v="No"/>
    <s v=""/>
    <m/>
    <m/>
    <s v="*MAV100901310"/>
    <s v="*MAV100901310"/>
    <n v="2.0934529045974629E-3"/>
  </r>
  <r>
    <x v="1"/>
    <s v="Pesos"/>
    <d v="2026-09-14T00:00:00"/>
    <s v="20/07/2026"/>
    <n v="0.95881055000000004"/>
    <m/>
    <n v="10000000"/>
    <n v="9588105.5"/>
    <n v="10000000"/>
    <n v="9588105.5"/>
    <n v="360563"/>
    <s v="AMOMPY"/>
    <s v="Momentum Capital Investment S.A."/>
    <s v="21/04/2026"/>
    <s v="21/04/2026"/>
    <n v="28"/>
    <s v="No"/>
    <s v=""/>
    <m/>
    <m/>
    <s v="*MOV100900072"/>
    <s v="*MOV100900072"/>
    <n v="1.8391387355647668E-4"/>
  </r>
  <r>
    <x v="123"/>
    <s v="Pesos"/>
    <d v="2026-09-14T00:00:00"/>
    <s v="20/07/2026"/>
    <n v="0.96306071999999998"/>
    <m/>
    <n v="9600000"/>
    <n v="9245382.9100000001"/>
    <n v="9600000"/>
    <n v="9245382.9100000001"/>
    <n v="33949"/>
    <s v="AMOMPY"/>
    <s v="Momentum Capital Investment S.A."/>
    <s v="12/06/2026"/>
    <s v="12/06/2026"/>
    <n v="25"/>
    <s v="No"/>
    <s v=""/>
    <m/>
    <m/>
    <s v="*MAV100901306"/>
    <s v="*MAV100901306"/>
    <n v="1.7733995349664751E-4"/>
  </r>
  <r>
    <x v="168"/>
    <s v="Pesos"/>
    <d v="2026-09-14T00:00:00"/>
    <s v="20/07/2026"/>
    <n v="0.95599807999999997"/>
    <m/>
    <n v="1579236"/>
    <n v="1509746.59"/>
    <n v="1579236"/>
    <n v="1509746.59"/>
    <n v="1563"/>
    <s v="AMOMPY"/>
    <s v="Momentum Capital Investment S.A."/>
    <s v="20/07/2026"/>
    <s v="20/07/2026"/>
    <n v="30"/>
    <s v="No"/>
    <s v=""/>
    <m/>
    <m/>
    <s v="*MAV100901508"/>
    <s v="*MAV100901508"/>
    <n v="2.8959145626378623E-5"/>
  </r>
  <r>
    <x v="103"/>
    <s v="Pesos"/>
    <d v="2026-09-14T00:00:00"/>
    <s v="20/07/2026"/>
    <n v="0.95599809000000002"/>
    <m/>
    <n v="2870567.11"/>
    <n v="2744256.66"/>
    <n v="2870567.11"/>
    <n v="2744256.66"/>
    <n v="102"/>
    <s v="AMOMPY"/>
    <s v="Momentum Capital Investment S.A."/>
    <s v="20/07/2026"/>
    <s v="20/07/2026"/>
    <n v="30"/>
    <s v="No"/>
    <s v=""/>
    <m/>
    <m/>
    <s v="*MAV100901507"/>
    <s v="*MAV100901507"/>
    <n v="5.26388526256578E-5"/>
  </r>
  <r>
    <x v="190"/>
    <s v="Pesos"/>
    <d v="2026-09-15T00:00:00"/>
    <s v="20/07/2026"/>
    <n v="0.95932603000000005"/>
    <m/>
    <n v="500000000"/>
    <n v="479663014.89999998"/>
    <n v="500000000"/>
    <n v="479663014.89999998"/>
    <n v="60855163"/>
    <s v="AMOMPY"/>
    <s v="Momentum Capital Investment S.A."/>
    <s v="17/07/2026"/>
    <s v="17/07/2026"/>
    <n v="27.15"/>
    <s v="No"/>
    <s v=""/>
    <m/>
    <m/>
    <s v="*MAV110901240"/>
    <s v="*MAV110901240"/>
    <n v="9.2006375057134045E-3"/>
  </r>
  <r>
    <x v="190"/>
    <s v="Pesos"/>
    <d v="2026-09-15T00:00:00"/>
    <s v="20/07/2026"/>
    <n v="0.95932603000000005"/>
    <m/>
    <n v="1000000000"/>
    <n v="959326029.79999995"/>
    <n v="1000000000"/>
    <n v="959326029.79999995"/>
    <n v="60855162"/>
    <s v="AMOMPY"/>
    <s v="Momentum Capital Investment S.A."/>
    <s v="17/07/2026"/>
    <s v="17/07/2026"/>
    <n v="27.15"/>
    <s v="No"/>
    <s v=""/>
    <m/>
    <m/>
    <s v="*MAV110901239"/>
    <s v="*MAV110901239"/>
    <n v="1.8401275011426809E-2"/>
  </r>
  <r>
    <x v="137"/>
    <s v="Pesos"/>
    <d v="2026-09-15T00:00:00"/>
    <s v="20/07/2026"/>
    <n v="0.95099146000000001"/>
    <m/>
    <n v="1070000"/>
    <n v="1017560.86"/>
    <n v="1070000"/>
    <n v="1017560.86"/>
    <n v="478"/>
    <s v="AMOMPY"/>
    <s v="Momentum Capital Investment S.A."/>
    <s v="16/07/2026"/>
    <s v="16/07/2026"/>
    <n v="33"/>
    <s v="No"/>
    <s v=""/>
    <m/>
    <m/>
    <s v="*MAV110901229"/>
    <s v="*MAV110901229"/>
    <n v="1.9518304146951621E-5"/>
  </r>
  <r>
    <x v="137"/>
    <s v="Pesos"/>
    <d v="2026-09-15T00:00:00"/>
    <s v="20/07/2026"/>
    <n v="0.95099146000000001"/>
    <m/>
    <n v="1070000"/>
    <n v="1017560.86"/>
    <n v="1070000"/>
    <n v="1017560.86"/>
    <n v="477"/>
    <s v="AMOMPY"/>
    <s v="Momentum Capital Investment S.A."/>
    <s v="16/07/2026"/>
    <s v="16/07/2026"/>
    <n v="33"/>
    <s v="No"/>
    <s v=""/>
    <m/>
    <m/>
    <s v="*MAV110901230"/>
    <s v="*MAV110901230"/>
    <n v="1.9518304146951621E-5"/>
  </r>
  <r>
    <x v="157"/>
    <s v="Pesos"/>
    <d v="2026-09-15T00:00:00"/>
    <s v="20/07/2026"/>
    <n v="0.95240592000000002"/>
    <m/>
    <n v="1000000"/>
    <n v="952405.92"/>
    <n v="1000000"/>
    <n v="952405.92"/>
    <n v="67381897"/>
    <s v="AMOMPY"/>
    <s v="Momentum Capital Investment S.A."/>
    <s v="04/06/2026"/>
    <s v="04/06/2026"/>
    <n v="32"/>
    <s v="No"/>
    <s v=""/>
    <m/>
    <m/>
    <s v="*MAV110901014"/>
    <s v="*MAV110901014"/>
    <n v="1.826853719385126E-5"/>
  </r>
  <r>
    <x v="178"/>
    <s v="Pesos"/>
    <d v="2026-09-15T00:00:00"/>
    <s v="20/07/2026"/>
    <n v="0.95099146999999995"/>
    <m/>
    <n v="16005575.68"/>
    <n v="15221165.880000001"/>
    <n v="16005575.68"/>
    <n v="15221165.880000001"/>
    <n v="30720"/>
    <s v="AMOMPY"/>
    <s v="Momentum Capital Investment S.A."/>
    <s v="27/05/2026"/>
    <s v="27/05/2026"/>
    <n v="33"/>
    <s v="No"/>
    <s v=""/>
    <m/>
    <m/>
    <s v="*MAV110900995"/>
    <s v="*MAV110900995"/>
    <n v="2.9196420262965158E-4"/>
  </r>
  <r>
    <x v="178"/>
    <s v="Pesos"/>
    <d v="2026-09-15T00:00:00"/>
    <s v="20/07/2026"/>
    <n v="0.95240592999999996"/>
    <m/>
    <n v="15355310.449999999"/>
    <n v="14624488.699999999"/>
    <n v="15355310.449999999"/>
    <n v="14624488.699999999"/>
    <n v="30744"/>
    <s v="AMOMPY"/>
    <s v="Momentum Capital Investment S.A."/>
    <s v="04/06/2026"/>
    <s v="04/06/2026"/>
    <n v="32"/>
    <s v="No"/>
    <s v=""/>
    <m/>
    <m/>
    <s v="*MAV110901015"/>
    <s v="*MAV110901015"/>
    <n v="2.8051906245711643E-4"/>
  </r>
  <r>
    <x v="149"/>
    <s v="Pesos"/>
    <d v="2026-09-15T00:00:00"/>
    <s v="20/07/2026"/>
    <n v="0.95954158000000001"/>
    <m/>
    <n v="150000000"/>
    <n v="143931236.46000001"/>
    <n v="150000000"/>
    <n v="143931236.46000001"/>
    <n v="67980"/>
    <s v="AMOMPY"/>
    <s v="Momentum Capital Investment S.A."/>
    <s v="12/05/2026"/>
    <s v="12/05/2026"/>
    <n v="27"/>
    <s v="No"/>
    <s v=""/>
    <m/>
    <m/>
    <s v="*MAV110900982"/>
    <s v="*MAV110900982"/>
    <n v="2.7608114265254783E-3"/>
  </r>
  <r>
    <x v="171"/>
    <s v="Pesos"/>
    <d v="2026-09-15T00:00:00"/>
    <s v="20/07/2026"/>
    <n v="0.94120685000000004"/>
    <m/>
    <n v="9975100.8000000007"/>
    <n v="9388633.25"/>
    <n v="9975100.8000000007"/>
    <n v="9388633.25"/>
    <n v="1179209"/>
    <s v="AMOMPY"/>
    <s v="Momentum Capital Investment S.A."/>
    <s v="16/04/2026"/>
    <s v="16/04/2026"/>
    <n v="40"/>
    <s v="No"/>
    <s v=""/>
    <m/>
    <m/>
    <s v="*MAV110900971"/>
    <s v="*MAV110900971"/>
    <n v="1.8008770433414949E-4"/>
  </r>
  <r>
    <x v="6"/>
    <s v="Pesos"/>
    <d v="2026-09-15T00:00:00"/>
    <s v="20/07/2026"/>
    <n v="0.95667449000000004"/>
    <m/>
    <n v="42000000"/>
    <n v="40180328.5"/>
    <n v="42000000"/>
    <n v="40180328.5"/>
    <n v="7579"/>
    <s v="AMOMPY"/>
    <s v="Momentum Capital Investment S.A."/>
    <s v="20/04/2026"/>
    <s v="20/04/2026"/>
    <n v="29"/>
    <s v="No"/>
    <s v=""/>
    <m/>
    <m/>
    <s v="*ACI110900205"/>
    <s v="*ACI110900205"/>
    <n v="7.7071741181891412E-4"/>
  </r>
  <r>
    <x v="63"/>
    <s v="Pesos"/>
    <d v="2026-09-15T00:00:00"/>
    <s v="20/07/2026"/>
    <n v="0.95954163999999997"/>
    <m/>
    <n v="20000000"/>
    <n v="19190832.760000002"/>
    <n v="20000000"/>
    <n v="19190832.760000002"/>
    <n v="67970034"/>
    <s v="AMOMPY"/>
    <s v="Momentum Capital Investment S.A."/>
    <s v="29/06/2026"/>
    <s v="29/06/2026"/>
    <n v="27"/>
    <s v="No"/>
    <s v=""/>
    <m/>
    <m/>
    <s v="*PRO110900012"/>
    <s v="*PRO110900012"/>
    <n v="3.681082138349573E-4"/>
  </r>
  <r>
    <x v="63"/>
    <s v="Pesos"/>
    <d v="2026-09-15T00:00:00"/>
    <s v="20/07/2026"/>
    <n v="0.95954163999999997"/>
    <m/>
    <n v="10000000"/>
    <n v="9595416.3800000008"/>
    <n v="10000000"/>
    <n v="9595416.3800000008"/>
    <n v="67936487"/>
    <s v="AMOMPY"/>
    <s v="Momentum Capital Investment S.A."/>
    <s v="29/06/2026"/>
    <s v="29/06/2026"/>
    <n v="27"/>
    <s v="No"/>
    <s v=""/>
    <m/>
    <m/>
    <s v="*PRO110900013"/>
    <s v="*PRO110900013"/>
    <n v="1.8405410691747865E-4"/>
  </r>
  <r>
    <x v="74"/>
    <s v="Pesos"/>
    <d v="2026-09-15T00:00:00"/>
    <s v="20/07/2026"/>
    <n v="0.96460060000000003"/>
    <m/>
    <n v="32857753.120000001"/>
    <n v="31694608.370000001"/>
    <n v="32857753.120000001"/>
    <n v="31694608.370000001"/>
    <n v="89"/>
    <s v="AMOMPY"/>
    <s v="Momentum Capital Investment S.A."/>
    <s v="17/07/2026"/>
    <s v="17/07/2026"/>
    <n v="23.5"/>
    <s v="No"/>
    <s v=""/>
    <m/>
    <m/>
    <s v="%INC120900036"/>
    <s v="%INC120900036"/>
    <n v="6.0794890045611481E-4"/>
  </r>
  <r>
    <x v="7"/>
    <s v="Pesos"/>
    <d v="2026-09-15T00:00:00"/>
    <s v="20/07/2026"/>
    <n v="0.95524732999999995"/>
    <m/>
    <n v="10000000"/>
    <n v="9552473.2899999991"/>
    <n v="10000000"/>
    <n v="9552473.2899999991"/>
    <n v="638"/>
    <s v="AMOMPY"/>
    <s v="Momentum Capital Investment S.A."/>
    <s v="16/06/2026"/>
    <s v="16/06/2026"/>
    <n v="30"/>
    <s v="No"/>
    <s v=""/>
    <m/>
    <m/>
    <s v="*MAV110901070"/>
    <s v="*MAV110901070"/>
    <n v="1.8323039570316372E-4"/>
  </r>
  <r>
    <x v="8"/>
    <s v="Pesos"/>
    <d v="2026-09-15T00:00:00"/>
    <s v="20/07/2026"/>
    <n v="0.94398201999999998"/>
    <m/>
    <n v="25000000"/>
    <n v="23599550.489999998"/>
    <n v="25000000"/>
    <n v="23599550.489999998"/>
    <n v="155476"/>
    <s v="AMOMPY"/>
    <s v="Momentum Capital Investment S.A."/>
    <s v="07/07/2026"/>
    <s v="07/07/2026"/>
    <n v="38"/>
    <s v="No"/>
    <s v=""/>
    <m/>
    <m/>
    <s v="#MAV140960024"/>
    <s v="#MAV140960024"/>
    <n v="4.5267386188100939E-4"/>
  </r>
  <r>
    <x v="56"/>
    <s v="Pesos"/>
    <d v="2026-09-15T00:00:00"/>
    <s v="20/07/2026"/>
    <n v="0.94537554000000001"/>
    <m/>
    <n v="2687954.26"/>
    <n v="2541126.21"/>
    <n v="2687954.26"/>
    <n v="2541126.21"/>
    <n v="2818"/>
    <s v="AMOMPY"/>
    <s v="Momentum Capital Investment S.A."/>
    <s v="02/07/2026"/>
    <s v="02/07/2026"/>
    <n v="37"/>
    <s v="No"/>
    <s v=""/>
    <m/>
    <m/>
    <s v="*MAV110901140"/>
    <s v="*MAV110901140"/>
    <n v="4.874251378199674E-5"/>
  </r>
  <r>
    <x v="191"/>
    <s v="Pesos"/>
    <d v="2026-09-15T00:00:00"/>
    <s v="20/07/2026"/>
    <n v="0.95240599999999997"/>
    <m/>
    <n v="3580581.29"/>
    <n v="3410167.09"/>
    <n v="3580581.29"/>
    <n v="3410167.09"/>
    <n v="10030703"/>
    <s v="AMOMPY"/>
    <s v="Momentum Capital Investment S.A."/>
    <s v="14/07/2026"/>
    <s v="14/07/2026"/>
    <n v="32"/>
    <s v="No"/>
    <s v=""/>
    <m/>
    <m/>
    <s v="*MAV110901206"/>
    <s v="*MAV110901206"/>
    <n v="6.541198769628869E-5"/>
  </r>
  <r>
    <x v="189"/>
    <s v="Pesos"/>
    <d v="2026-09-15T00:00:00"/>
    <s v="20/07/2026"/>
    <n v="0.94958127000000003"/>
    <m/>
    <n v="42000000"/>
    <n v="39882413.359999999"/>
    <n v="42000000"/>
    <n v="39882413.359999999"/>
    <n v="179"/>
    <s v="AMOMPY"/>
    <s v="Momentum Capital Investment S.A."/>
    <s v="11/06/2026"/>
    <s v="11/06/2026"/>
    <n v="34"/>
    <s v="No"/>
    <s v=""/>
    <m/>
    <m/>
    <s v="*MAV110901057"/>
    <s v="*MAV110901057"/>
    <n v="7.6500296412238846E-4"/>
  </r>
  <r>
    <x v="126"/>
    <s v="Pesos"/>
    <d v="2026-09-15T00:00:00"/>
    <s v="20/07/2026"/>
    <n v="0.95882325000000002"/>
    <m/>
    <n v="25000000"/>
    <n v="23970581.34"/>
    <n v="25000000"/>
    <n v="23970581.34"/>
    <n v="325"/>
    <s v="AMOMPY"/>
    <s v="Momentum Capital Investment S.A."/>
    <s v="06/07/2026"/>
    <s v="06/07/2026"/>
    <n v="27.5"/>
    <s v="No"/>
    <s v=""/>
    <m/>
    <m/>
    <s v="*NIO110900024"/>
    <s v="*NIO110900024"/>
    <n v="4.5979077573145174E-4"/>
  </r>
  <r>
    <x v="43"/>
    <s v="Pesos"/>
    <d v="2026-09-15T00:00:00"/>
    <s v="20/07/2026"/>
    <n v="0.96242596000000002"/>
    <m/>
    <n v="5000000"/>
    <n v="4812129.82"/>
    <n v="5000000"/>
    <n v="4812129.82"/>
    <n v="8742"/>
    <s v="AMOMPY"/>
    <s v="Momentum Capital Investment S.A."/>
    <s v="17/07/2026"/>
    <s v="17/07/2026"/>
    <n v="25"/>
    <s v="No"/>
    <s v=""/>
    <m/>
    <m/>
    <s v="*MIL110900035"/>
    <s v="*MIL110900035"/>
    <n v="9.2303681394914858E-5"/>
  </r>
  <r>
    <x v="127"/>
    <s v="Pesos"/>
    <d v="2026-09-15T00:00:00"/>
    <s v="20/07/2026"/>
    <n v="0.94398194999999996"/>
    <m/>
    <n v="60000000"/>
    <n v="56638917.25"/>
    <n v="60000000"/>
    <n v="56638917.25"/>
    <n v="70379071"/>
    <s v="AMOMPY"/>
    <s v="Momentum Capital Investment S.A."/>
    <s v="22/06/2026"/>
    <s v="22/06/2026"/>
    <n v="38"/>
    <s v="No"/>
    <s v=""/>
    <m/>
    <m/>
    <s v="*MAV110901103"/>
    <s v="*MAV110901103"/>
    <n v="1.0864171932080059E-3"/>
  </r>
  <r>
    <x v="50"/>
    <s v="Pesos"/>
    <d v="2026-09-15T00:00:00"/>
    <s v="20/07/2026"/>
    <n v="0.95524737000000004"/>
    <m/>
    <n v="2700000"/>
    <n v="2579167.91"/>
    <n v="2700000"/>
    <n v="2579167.91"/>
    <n v="6277"/>
    <s v="AMOMPY"/>
    <s v="Momentum Capital Investment S.A."/>
    <s v="17/06/2026"/>
    <s v="17/06/2026"/>
    <n v="30"/>
    <s v="No"/>
    <s v=""/>
    <m/>
    <m/>
    <s v="*MAV110901080"/>
    <s v="*MAV110901080"/>
    <n v="4.947220917423804E-5"/>
  </r>
  <r>
    <x v="192"/>
    <s v="Pesos"/>
    <d v="2026-09-15T00:00:00"/>
    <s v="20/07/2026"/>
    <n v="0.95810583999999999"/>
    <m/>
    <n v="500000000"/>
    <n v="479052920.39999998"/>
    <n v="500000000"/>
    <n v="479052920.39999998"/>
    <n v="156966"/>
    <s v="AMOMPY"/>
    <s v="Momentum Capital Investment S.A."/>
    <s v="15/07/2026"/>
    <s v="15/07/2026"/>
    <n v="28"/>
    <s v="No"/>
    <s v=""/>
    <m/>
    <m/>
    <s v="#MAV140960029"/>
    <s v="#MAV140960029"/>
    <n v="9.1889350017379835E-3"/>
  </r>
  <r>
    <x v="113"/>
    <s v="Pesos"/>
    <d v="2026-09-15T00:00:00"/>
    <s v="20/07/2026"/>
    <n v="0.95099138999999999"/>
    <m/>
    <n v="19470985"/>
    <n v="18516739.059999999"/>
    <n v="19470985"/>
    <n v="18516739.059999999"/>
    <n v="1064"/>
    <s v="AMOMPY"/>
    <s v="Momentum Capital Investment S.A."/>
    <s v="16/06/2026"/>
    <s v="16/06/2026"/>
    <n v="33"/>
    <s v="No"/>
    <s v=""/>
    <m/>
    <m/>
    <s v="*MAV110901072"/>
    <s v="*MAV110901072"/>
    <n v="3.551781116883948E-4"/>
  </r>
  <r>
    <x v="156"/>
    <s v="Pesos"/>
    <d v="2026-09-15T00:00:00"/>
    <s v="20/07/2026"/>
    <n v="0.95524732000000001"/>
    <m/>
    <n v="2500000"/>
    <n v="2388118.2999999998"/>
    <n v="2500000"/>
    <n v="2388118.2999999998"/>
    <n v="346"/>
    <s v="AMOMPY"/>
    <s v="Momentum Capital Investment S.A."/>
    <s v="15/07/2026"/>
    <s v="15/07/2026"/>
    <n v="30"/>
    <s v="No"/>
    <s v=""/>
    <m/>
    <m/>
    <s v="*MAV110901220"/>
    <s v="*MAV110901220"/>
    <n v="4.5807598494208054E-5"/>
  </r>
  <r>
    <x v="168"/>
    <s v="Pesos"/>
    <d v="2026-09-15T00:00:00"/>
    <s v="20/07/2026"/>
    <n v="0.95524741999999996"/>
    <m/>
    <n v="1579238.43"/>
    <n v="1508563.44"/>
    <n v="1579238.43"/>
    <n v="1508563.44"/>
    <n v="1564"/>
    <s v="AMOMPY"/>
    <s v="Momentum Capital Investment S.A."/>
    <s v="20/07/2026"/>
    <s v="20/07/2026"/>
    <n v="30"/>
    <s v="No"/>
    <s v=""/>
    <m/>
    <m/>
    <s v="*MAV110901294"/>
    <s v="*MAV110901294"/>
    <n v="2.8936451080568885E-5"/>
  </r>
  <r>
    <x v="137"/>
    <s v="Pesos"/>
    <d v="2026-09-16T00:00:00"/>
    <s v="20/07/2026"/>
    <n v="0.95017441999999996"/>
    <m/>
    <n v="1070000"/>
    <n v="1016686.63"/>
    <n v="1070000"/>
    <n v="1016686.63"/>
    <n v="479"/>
    <s v="AMOMPY"/>
    <s v="Momentum Capital Investment S.A."/>
    <s v="16/07/2026"/>
    <s v="16/07/2026"/>
    <n v="33"/>
    <s v="No"/>
    <s v=""/>
    <m/>
    <m/>
    <s v="*MAV120901576"/>
    <s v="*MAV120901576"/>
    <n v="1.9501535138133427E-5"/>
  </r>
  <r>
    <x v="137"/>
    <s v="Pesos"/>
    <d v="2026-09-16T00:00:00"/>
    <s v="20/07/2026"/>
    <n v="0.95017441999999996"/>
    <m/>
    <n v="1070000"/>
    <n v="1016686.63"/>
    <n v="1070000"/>
    <n v="1016686.63"/>
    <n v="480"/>
    <s v="AMOMPY"/>
    <s v="Momentum Capital Investment S.A."/>
    <s v="16/07/2026"/>
    <s v="16/07/2026"/>
    <n v="33"/>
    <s v="No"/>
    <s v=""/>
    <m/>
    <m/>
    <s v="*MAV130901106"/>
    <s v="*MAV130901106"/>
    <n v="1.9501535138133427E-5"/>
  </r>
  <r>
    <x v="137"/>
    <s v="Pesos"/>
    <d v="2026-09-16T00:00:00"/>
    <s v="20/07/2026"/>
    <n v="0.95017441999999996"/>
    <m/>
    <n v="1200000"/>
    <n v="1140209.31"/>
    <n v="1200000"/>
    <n v="1140209.31"/>
    <n v="481"/>
    <s v="AMOMPY"/>
    <s v="Momentum Capital Investment S.A."/>
    <s v="16/07/2026"/>
    <s v="16/07/2026"/>
    <n v="33"/>
    <s v="No"/>
    <s v=""/>
    <m/>
    <m/>
    <s v="*MAV140901231"/>
    <s v="*MAV140901231"/>
    <n v="2.1870880630929387E-5"/>
  </r>
  <r>
    <x v="193"/>
    <s v="Pesos"/>
    <d v="2026-09-16T00:00:00"/>
    <s v="20/07/2026"/>
    <n v="0.95017446000000005"/>
    <m/>
    <n v="3424300"/>
    <n v="3253682.41"/>
    <n v="3424300"/>
    <n v="3253682.41"/>
    <n v="1391"/>
    <s v="AMOMPY"/>
    <s v="Momentum Capital Investment S.A."/>
    <s v="27/05/2026"/>
    <s v="27/05/2026"/>
    <n v="33"/>
    <s v="No"/>
    <s v=""/>
    <m/>
    <m/>
    <s v="*MAV140900870"/>
    <s v="*MAV140900870"/>
    <n v="6.2410382879670264E-5"/>
  </r>
  <r>
    <x v="84"/>
    <s v="Pesos"/>
    <d v="2026-09-16T00:00:00"/>
    <s v="20/07/2026"/>
    <n v="0.95161130000000005"/>
    <m/>
    <n v="13000000"/>
    <n v="12370946.939999999"/>
    <n v="13000000"/>
    <n v="12370946.939999999"/>
    <n v="547"/>
    <s v="AMOMPY"/>
    <s v="Momentum Capital Investment S.A."/>
    <s v="04/06/2026"/>
    <s v="04/06/2026"/>
    <n v="32"/>
    <s v="No"/>
    <s v=""/>
    <m/>
    <m/>
    <s v="*MAV120901482"/>
    <s v="*MAV120901482"/>
    <n v="2.3729283864232009E-4"/>
  </r>
  <r>
    <x v="178"/>
    <s v="Pesos"/>
    <d v="2026-09-16T00:00:00"/>
    <s v="20/07/2026"/>
    <n v="0.95161130000000005"/>
    <m/>
    <n v="15355310.449999999"/>
    <n v="14612286.99"/>
    <n v="15355310.449999999"/>
    <n v="14612286.99"/>
    <n v="30745"/>
    <s v="AMOMPY"/>
    <s v="Momentum Capital Investment S.A."/>
    <s v="04/06/2026"/>
    <s v="04/06/2026"/>
    <n v="32"/>
    <s v="No"/>
    <s v=""/>
    <m/>
    <m/>
    <s v="*MAV140900928"/>
    <s v="*MAV140900928"/>
    <n v="2.8028501583027109E-4"/>
  </r>
  <r>
    <x v="194"/>
    <s v="Pesos"/>
    <d v="2026-09-16T00:00:00"/>
    <s v="20/07/2026"/>
    <n v="0.95161130000000005"/>
    <m/>
    <n v="10000000"/>
    <n v="9516113.0299999993"/>
    <n v="10000000"/>
    <n v="9516113.0299999993"/>
    <n v="13795877"/>
    <s v="AMOMPY"/>
    <s v="Momentum Capital Investment S.A."/>
    <s v="04/06/2026"/>
    <s v="04/06/2026"/>
    <n v="32"/>
    <s v="No"/>
    <s v=""/>
    <m/>
    <m/>
    <s v="*MAV140900929"/>
    <s v="*MAV140900929"/>
    <n v="1.825329527870297E-4"/>
  </r>
  <r>
    <x v="194"/>
    <s v="Pesos"/>
    <d v="2026-09-16T00:00:00"/>
    <s v="20/07/2026"/>
    <n v="0.95017454999999995"/>
    <m/>
    <n v="40000000"/>
    <n v="38006982.079999998"/>
    <n v="40000000"/>
    <n v="38006982.079999998"/>
    <n v="13662782"/>
    <s v="AMOMPY"/>
    <s v="Momentum Capital Investment S.A."/>
    <s v="29/05/2026"/>
    <s v="29/05/2026"/>
    <n v="33"/>
    <s v="No"/>
    <s v=""/>
    <m/>
    <m/>
    <s v="*MAV140900894"/>
    <s v="*MAV140900894"/>
    <n v="7.2902945180613565E-4"/>
  </r>
  <r>
    <x v="195"/>
    <s v="Pesos"/>
    <d v="2026-09-16T00:00:00"/>
    <s v="20/07/2026"/>
    <n v="0.94874199999999997"/>
    <m/>
    <n v="22500000"/>
    <n v="21346695.02"/>
    <n v="22500000"/>
    <n v="21346695.02"/>
    <n v="90000088"/>
    <s v="AMOMPY"/>
    <s v="Momentum Capital Investment S.A."/>
    <s v="20/05/2026"/>
    <s v="20/05/2026"/>
    <n v="34"/>
    <s v="No"/>
    <s v=""/>
    <m/>
    <m/>
    <s v="*MAV120901461"/>
    <s v="*MAV120901461"/>
    <n v="4.094608021112148E-4"/>
  </r>
  <r>
    <x v="171"/>
    <s v="Pesos"/>
    <d v="2026-09-16T00:00:00"/>
    <s v="20/07/2026"/>
    <n v="0.94023699999999999"/>
    <m/>
    <n v="9974100"/>
    <n v="9378017.8900000006"/>
    <n v="9974100"/>
    <n v="9378017.8900000006"/>
    <n v="1179211"/>
    <s v="AMOMPY"/>
    <s v="Momentum Capital Investment S.A."/>
    <s v="16/04/2026"/>
    <s v="16/04/2026"/>
    <n v="40"/>
    <s v="No"/>
    <s v=""/>
    <m/>
    <m/>
    <s v="*MAV130901052"/>
    <s v="*MAV130901052"/>
    <n v="1.798840862182666E-4"/>
  </r>
  <r>
    <x v="171"/>
    <s v="Pesos"/>
    <d v="2026-09-16T00:00:00"/>
    <s v="20/07/2026"/>
    <n v="0.94023699999999999"/>
    <m/>
    <n v="9973400"/>
    <n v="9377359.7200000007"/>
    <n v="9973400"/>
    <n v="9377359.7200000007"/>
    <n v="1179210"/>
    <s v="AMOMPY"/>
    <s v="Momentum Capital Investment S.A."/>
    <s v="16/04/2026"/>
    <s v="16/04/2026"/>
    <n v="40"/>
    <s v="No"/>
    <s v=""/>
    <m/>
    <m/>
    <s v="*MAV120901447"/>
    <s v="*MAV120901447"/>
    <n v="1.7987146155595363E-4"/>
  </r>
  <r>
    <x v="171"/>
    <s v="Pesos"/>
    <d v="2026-09-16T00:00:00"/>
    <s v="20/07/2026"/>
    <n v="0.94023699999999999"/>
    <m/>
    <n v="9973360.4700000007"/>
    <n v="9377322.5500000007"/>
    <n v="9973360.4700000007"/>
    <n v="9377322.5500000007"/>
    <n v="1179212"/>
    <s v="AMOMPY"/>
    <s v="Momentum Capital Investment S.A."/>
    <s v="16/04/2026"/>
    <s v="16/04/2026"/>
    <n v="40"/>
    <s v="No"/>
    <s v=""/>
    <m/>
    <m/>
    <s v="*MAV140900802"/>
    <s v="*MAV140900802"/>
    <n v="1.7987074858104112E-4"/>
  </r>
  <r>
    <x v="63"/>
    <s v="Pesos"/>
    <d v="2026-09-16T00:00:00"/>
    <s v="20/07/2026"/>
    <n v="0.96179183000000001"/>
    <m/>
    <n v="32000000"/>
    <n v="30777338.699999999"/>
    <n v="32000000"/>
    <n v="30777338.699999999"/>
    <n v="5310"/>
    <s v="AMOMPY"/>
    <s v="Momentum Capital Investment S.A."/>
    <s v="16/07/2026"/>
    <s v="16/07/2026"/>
    <n v="25"/>
    <s v="No"/>
    <s v=""/>
    <m/>
    <m/>
    <s v="*PRO140900027"/>
    <s v="*PRO140900027"/>
    <n v="5.9035432787808348E-4"/>
  </r>
  <r>
    <x v="178"/>
    <s v="Pesos"/>
    <d v="2026-09-16T00:00:00"/>
    <s v="20/07/2026"/>
    <n v="0.95017446000000005"/>
    <m/>
    <n v="16005575.68"/>
    <n v="15208089.300000001"/>
    <n v="16005575.68"/>
    <n v="15208089.300000001"/>
    <n v="30721"/>
    <s v="AMOMPY"/>
    <s v="Momentum Capital Investment S.A."/>
    <s v="27/05/2026"/>
    <s v="27/05/2026"/>
    <n v="33"/>
    <s v="No"/>
    <s v=""/>
    <m/>
    <m/>
    <s v="*MAV140900871"/>
    <s v="*MAV140900871"/>
    <n v="2.9171337471785286E-4"/>
  </r>
  <r>
    <x v="7"/>
    <s v="Pesos"/>
    <d v="2026-09-16T00:00:00"/>
    <s v="20/07/2026"/>
    <n v="0.95449804999999999"/>
    <m/>
    <n v="10000000"/>
    <n v="9544980.5099999998"/>
    <n v="10000000"/>
    <n v="9544980.5099999998"/>
    <n v="579"/>
    <s v="AMOMPY"/>
    <s v="Momentum Capital Investment S.A."/>
    <s v="02/06/2026"/>
    <s v="02/06/2026"/>
    <n v="30"/>
    <s v="No"/>
    <s v=""/>
    <m/>
    <m/>
    <s v="*MAV140900905"/>
    <s v="*MAV140900905"/>
    <n v="1.8308667323437087E-4"/>
  </r>
  <r>
    <x v="7"/>
    <s v="Pesos"/>
    <d v="2026-09-16T00:00:00"/>
    <s v="20/07/2026"/>
    <n v="0.95449801999999995"/>
    <m/>
    <n v="7500000"/>
    <n v="7158735.1500000004"/>
    <n v="7500000"/>
    <n v="7158735.1500000004"/>
    <n v="512"/>
    <s v="AMOMPY"/>
    <s v="Momentum Capital Investment S.A."/>
    <s v="18/05/2026"/>
    <s v="18/05/2026"/>
    <n v="30"/>
    <s v="No"/>
    <s v=""/>
    <m/>
    <m/>
    <s v="*MAV120901457"/>
    <s v="*MAV120901457"/>
    <n v="1.3731500046608843E-4"/>
  </r>
  <r>
    <x v="191"/>
    <s v="Pesos"/>
    <d v="2026-09-16T00:00:00"/>
    <s v="20/07/2026"/>
    <n v="0.95161134000000003"/>
    <m/>
    <n v="2994166.19"/>
    <n v="2849282.51"/>
    <n v="2994166.19"/>
    <n v="2849282.51"/>
    <n v="10030705"/>
    <s v="AMOMPY"/>
    <s v="Momentum Capital Investment S.A."/>
    <s v="14/07/2026"/>
    <s v="14/07/2026"/>
    <n v="32"/>
    <s v="No"/>
    <s v=""/>
    <m/>
    <m/>
    <s v="*MAV120901566"/>
    <s v="*MAV120901566"/>
    <n v="5.4653401891627121E-5"/>
  </r>
  <r>
    <x v="43"/>
    <s v="Pesos"/>
    <d v="2026-09-16T00:00:00"/>
    <s v="20/07/2026"/>
    <n v="0.96179188999999998"/>
    <m/>
    <n v="10000000"/>
    <n v="9617918.9499999993"/>
    <n v="10000000"/>
    <n v="9617918.9499999993"/>
    <n v="187"/>
    <s v="AMOMPY"/>
    <s v="Momentum Capital Investment S.A."/>
    <s v="17/07/2026"/>
    <s v="17/07/2026"/>
    <n v="25"/>
    <s v="No"/>
    <s v=""/>
    <m/>
    <m/>
    <s v="*MIL140900031"/>
    <s v="*MIL140900031"/>
    <n v="1.8448573909066193E-4"/>
  </r>
  <r>
    <x v="44"/>
    <s v="Pesos"/>
    <d v="2026-09-16T00:00:00"/>
    <s v="20/07/2026"/>
    <n v="0.94164387999999999"/>
    <m/>
    <n v="12825509.390000001"/>
    <n v="12077062.449999999"/>
    <n v="12825509.390000001"/>
    <n v="12077062.449999999"/>
    <n v="53243196"/>
    <s v="AMOMPY"/>
    <s v="Momentum Capital Investment S.A."/>
    <s v="15/05/2026"/>
    <s v="15/05/2026"/>
    <n v="39"/>
    <s v="No"/>
    <s v=""/>
    <m/>
    <m/>
    <s v="*MAV130901057"/>
    <s v="*MAV130901057"/>
    <n v="2.3165570470234939E-4"/>
  </r>
  <r>
    <x v="139"/>
    <s v="Pesos"/>
    <d v="2026-09-16T00:00:00"/>
    <s v="20/07/2026"/>
    <n v="0.95449795999999998"/>
    <m/>
    <n v="2200000"/>
    <n v="2099895.5"/>
    <n v="2200000"/>
    <n v="2099895.5"/>
    <n v="9794"/>
    <s v="AMOMPY"/>
    <s v="Momentum Capital Investment S.A."/>
    <s v="13/07/2026"/>
    <s v="13/07/2026"/>
    <n v="30"/>
    <s v="No"/>
    <s v=""/>
    <m/>
    <m/>
    <s v="*MAV130901098"/>
    <s v="*MAV130901098"/>
    <n v="4.0279064041255526E-5"/>
  </r>
  <r>
    <x v="92"/>
    <s v="Pesos"/>
    <d v="2026-09-16T00:00:00"/>
    <s v="20/07/2026"/>
    <n v="0.96032430999999996"/>
    <m/>
    <n v="73000000"/>
    <n v="70103674.269999996"/>
    <n v="73000000"/>
    <n v="70103674.269999996"/>
    <n v="68343292"/>
    <s v="AMOMPY"/>
    <s v="Momentum Capital Investment S.A."/>
    <s v="15/07/2026"/>
    <s v="15/07/2026"/>
    <n v="26"/>
    <s v="No"/>
    <s v=""/>
    <m/>
    <m/>
    <s v="*FED140900034"/>
    <s v="*FED140900034"/>
    <n v="1.3446909074516552E-3"/>
  </r>
  <r>
    <x v="1"/>
    <s v="Pesos"/>
    <d v="2026-09-16T00:00:00"/>
    <s v="20/07/2026"/>
    <n v="0.95740221000000003"/>
    <m/>
    <n v="10000000"/>
    <n v="9574022.0700000003"/>
    <n v="10000000"/>
    <n v="9574022.0700000003"/>
    <n v="360564"/>
    <s v="AMOMPY"/>
    <s v="Momentum Capital Investment S.A."/>
    <s v="21/04/2026"/>
    <s v="21/04/2026"/>
    <n v="28"/>
    <s v="No"/>
    <s v=""/>
    <m/>
    <m/>
    <s v="*MOV130900059"/>
    <s v="*MOV130900059"/>
    <n v="1.836437327904764E-4"/>
  </r>
  <r>
    <x v="123"/>
    <s v="Pesos"/>
    <d v="2026-09-16T00:00:00"/>
    <s v="20/07/2026"/>
    <n v="0.96179192999999996"/>
    <m/>
    <n v="9600000"/>
    <n v="9233202.5099999998"/>
    <n v="9600000"/>
    <n v="9233202.5099999998"/>
    <n v="33950"/>
    <s v="AMOMPY"/>
    <s v="Momentum Capital Investment S.A."/>
    <s v="12/06/2026"/>
    <s v="12/06/2026"/>
    <n v="25"/>
    <s v="No"/>
    <s v=""/>
    <m/>
    <m/>
    <s v="*MAV120901494"/>
    <s v="*MAV120901494"/>
    <n v="1.7710631562674011E-4"/>
  </r>
  <r>
    <x v="123"/>
    <s v="Pesos"/>
    <d v="2026-09-16T00:00:00"/>
    <s v="20/07/2026"/>
    <n v="0.96179192999999996"/>
    <m/>
    <n v="9600000"/>
    <n v="9233202.5099999998"/>
    <n v="9600000"/>
    <n v="9233202.5099999998"/>
    <n v="33951"/>
    <s v="AMOMPY"/>
    <s v="Momentum Capital Investment S.A."/>
    <s v="12/06/2026"/>
    <s v="12/06/2026"/>
    <n v="25"/>
    <s v="No"/>
    <s v=""/>
    <m/>
    <m/>
    <s v="*MAV140900962"/>
    <s v="*MAV140900962"/>
    <n v="1.7710631562674011E-4"/>
  </r>
  <r>
    <x v="151"/>
    <s v="Pesos"/>
    <d v="2026-09-16T00:00:00"/>
    <s v="20/07/2026"/>
    <n v="0.95161134000000003"/>
    <m/>
    <n v="6428571.6600000001"/>
    <n v="6117501.71"/>
    <n v="6428571.6600000001"/>
    <n v="6117501.71"/>
    <n v="3486"/>
    <s v="AMOMPY"/>
    <s v="Momentum Capital Investment S.A."/>
    <s v="14/07/2026"/>
    <s v="14/07/2026"/>
    <n v="32"/>
    <s v="No"/>
    <s v=""/>
    <m/>
    <m/>
    <s v="*MAV140901200"/>
    <s v="*MAV140901200"/>
    <n v="1.1734262164454384E-4"/>
  </r>
  <r>
    <x v="13"/>
    <s v="Pesos"/>
    <d v="2026-09-16T00:00:00"/>
    <s v="20/07/2026"/>
    <n v="0.96032424999999999"/>
    <m/>
    <n v="9000000"/>
    <n v="8642918.2599999998"/>
    <n v="9000000"/>
    <n v="8642918.2599999998"/>
    <n v="3385281"/>
    <s v="AMOMPY"/>
    <s v="Momentum Capital Investment S.A."/>
    <s v="29/05/2026"/>
    <s v="29/05/2026"/>
    <n v="26"/>
    <s v="No"/>
    <s v=""/>
    <m/>
    <m/>
    <s v="*NEU120900021"/>
    <s v="*NEU120900021"/>
    <n v="1.6578380119290544E-4"/>
  </r>
  <r>
    <x v="13"/>
    <s v="Pesos"/>
    <d v="2026-09-16T00:00:00"/>
    <s v="20/07/2026"/>
    <n v="0.95740219000000004"/>
    <m/>
    <n v="10000000"/>
    <n v="9574021.9299999997"/>
    <n v="10000000"/>
    <n v="9574021.9299999997"/>
    <n v="3487822"/>
    <s v="AMOMPY"/>
    <s v="Momentum Capital Investment S.A."/>
    <s v="05/05/2026"/>
    <s v="05/05/2026"/>
    <n v="28"/>
    <s v="No"/>
    <s v=""/>
    <m/>
    <m/>
    <s v="*NEU120900015"/>
    <s v="*NEU120900015"/>
    <n v="1.8364373010507182E-4"/>
  </r>
  <r>
    <x v="187"/>
    <s v="Pesos"/>
    <d v="2026-09-16T00:00:00"/>
    <s v="20/07/2026"/>
    <n v="0.95161132999999998"/>
    <m/>
    <n v="1099546.98"/>
    <n v="1046341.37"/>
    <n v="1099546.98"/>
    <n v="1046341.37"/>
    <n v="30001148"/>
    <s v="AMOMPY"/>
    <s v="Momentum Capital Investment S.A."/>
    <s v="14/07/2026"/>
    <s v="14/07/2026"/>
    <n v="32"/>
    <s v="No"/>
    <s v=""/>
    <m/>
    <m/>
    <s v="*MAV140901199"/>
    <s v="*MAV140901199"/>
    <n v="2.007035638261287E-5"/>
  </r>
  <r>
    <x v="148"/>
    <s v="Pesos"/>
    <d v="2026-09-17T00:00:00"/>
    <s v="20/07/2026"/>
    <n v="0.94356717000000001"/>
    <m/>
    <n v="3345657.98"/>
    <n v="3156853.03"/>
    <n v="3345657.98"/>
    <n v="3156853.03"/>
    <n v="251"/>
    <s v="AMOMPY"/>
    <s v="Momentum Capital Investment S.A."/>
    <s v="02/07/2026"/>
    <s v="02/07/2026"/>
    <n v="37"/>
    <s v="No"/>
    <s v=""/>
    <m/>
    <m/>
    <s v="*MAV150901674"/>
    <s v="*MAV150901674"/>
    <n v="6.0553053884920249E-5"/>
  </r>
  <r>
    <x v="157"/>
    <s v="Pesos"/>
    <d v="2026-09-17T00:00:00"/>
    <s v="20/07/2026"/>
    <n v="0.95081799"/>
    <m/>
    <n v="1000000"/>
    <n v="950817.99"/>
    <n v="1000000"/>
    <n v="950817.99"/>
    <n v="67381734"/>
    <s v="AMOMPY"/>
    <s v="Momentum Capital Investment S.A."/>
    <s v="04/06/2026"/>
    <s v="04/06/2026"/>
    <n v="32"/>
    <s v="No"/>
    <s v=""/>
    <m/>
    <m/>
    <s v="*MAV150901538"/>
    <s v="*MAV150901538"/>
    <n v="1.8238078376180079E-5"/>
  </r>
  <r>
    <x v="178"/>
    <s v="Pesos"/>
    <d v="2026-09-17T00:00:00"/>
    <s v="20/07/2026"/>
    <n v="0.95081800000000005"/>
    <m/>
    <n v="15355310.449999999"/>
    <n v="14600105.6"/>
    <n v="15355310.449999999"/>
    <n v="14600105.6"/>
    <n v="30746"/>
    <s v="AMOMPY"/>
    <s v="Momentum Capital Investment S.A."/>
    <s v="04/06/2026"/>
    <s v="04/06/2026"/>
    <n v="32"/>
    <s v="No"/>
    <s v=""/>
    <m/>
    <m/>
    <s v="*MAV150901539"/>
    <s v="*MAV150901539"/>
    <n v="2.800513589707171E-4"/>
  </r>
  <r>
    <x v="194"/>
    <s v="Pesos"/>
    <d v="2026-09-17T00:00:00"/>
    <s v="20/07/2026"/>
    <n v="0.95081800000000005"/>
    <m/>
    <n v="10000000"/>
    <n v="9508180.0199999996"/>
    <n v="10000000"/>
    <n v="9508180.0199999996"/>
    <n v="13795878"/>
    <s v="AMOMPY"/>
    <s v="Momentum Capital Investment S.A."/>
    <s v="04/06/2026"/>
    <s v="04/06/2026"/>
    <n v="32"/>
    <s v="No"/>
    <s v=""/>
    <m/>
    <m/>
    <s v="*MAV150901540"/>
    <s v="*MAV150901540"/>
    <n v="1.8238078606357613E-4"/>
  </r>
  <r>
    <x v="194"/>
    <s v="Pesos"/>
    <d v="2026-09-17T00:00:00"/>
    <s v="20/07/2026"/>
    <n v="0.94935895000000003"/>
    <m/>
    <n v="40000000"/>
    <n v="37974358.039999999"/>
    <n v="40000000"/>
    <n v="37974358.039999999"/>
    <n v="13662783"/>
    <s v="AMOMPY"/>
    <s v="Momentum Capital Investment S.A."/>
    <s v="29/05/2026"/>
    <s v="29/05/2026"/>
    <n v="33"/>
    <s v="No"/>
    <s v=""/>
    <m/>
    <m/>
    <s v="*MAV150901522"/>
    <s v="*MAV150901522"/>
    <n v="7.2840367504893773E-4"/>
  </r>
  <r>
    <x v="171"/>
    <s v="Pesos"/>
    <d v="2026-09-17T00:00:00"/>
    <s v="20/07/2026"/>
    <n v="0.93926927999999998"/>
    <m/>
    <n v="9972899.9900000002"/>
    <n v="9367238.5899999999"/>
    <n v="9972899.9900000002"/>
    <n v="9367238.5899999999"/>
    <n v="1179213"/>
    <s v="AMOMPY"/>
    <s v="Momentum Capital Investment S.A."/>
    <s v="16/04/2026"/>
    <s v="16/04/2026"/>
    <n v="40"/>
    <s v="No"/>
    <s v=""/>
    <m/>
    <m/>
    <s v="*MAV150901457"/>
    <s v="*MAV150901457"/>
    <n v="1.7967732349363582E-4"/>
  </r>
  <r>
    <x v="178"/>
    <s v="Pesos"/>
    <d v="2026-09-17T00:00:00"/>
    <s v="20/07/2026"/>
    <n v="0.94935886000000003"/>
    <m/>
    <n v="16005575.68"/>
    <n v="15195035.140000001"/>
    <n v="16005575.68"/>
    <n v="15195035.140000001"/>
    <n v="30722"/>
    <s v="AMOMPY"/>
    <s v="Momentum Capital Investment S.A."/>
    <s v="27/05/2026"/>
    <s v="27/05/2026"/>
    <n v="33"/>
    <s v="No"/>
    <s v=""/>
    <m/>
    <m/>
    <s v="*MAV150901518"/>
    <s v="*MAV150901518"/>
    <n v="2.9146297685441402E-4"/>
  </r>
  <r>
    <x v="7"/>
    <s v="Pesos"/>
    <d v="2026-09-17T00:00:00"/>
    <s v="20/07/2026"/>
    <n v="0.95374976"/>
    <m/>
    <n v="10000000"/>
    <n v="9537497.6300000008"/>
    <n v="10000000"/>
    <n v="9537497.6300000008"/>
    <n v="639"/>
    <s v="AMOMPY"/>
    <s v="Momentum Capital Investment S.A."/>
    <s v="16/06/2026"/>
    <s v="16/06/2026"/>
    <n v="30"/>
    <s v="No"/>
    <s v=""/>
    <m/>
    <m/>
    <s v="*MAV150901591"/>
    <s v="*MAV150901591"/>
    <n v="1.8294314066204383E-4"/>
  </r>
  <r>
    <x v="7"/>
    <s v="Pesos"/>
    <d v="2026-09-17T00:00:00"/>
    <s v="20/07/2026"/>
    <n v="0.95374972000000002"/>
    <m/>
    <n v="5000000"/>
    <n v="4768748.6100000003"/>
    <n v="5000000"/>
    <n v="4768748.6100000003"/>
    <n v="780"/>
    <s v="AMOMPY"/>
    <s v="Momentum Capital Investment S.A."/>
    <s v="14/07/2026"/>
    <s v="14/07/2026"/>
    <n v="30"/>
    <s v="No"/>
    <s v=""/>
    <m/>
    <m/>
    <s v="*MAV150901738"/>
    <s v="*MAV150901738"/>
    <n v="9.1471566398822367E-5"/>
  </r>
  <r>
    <x v="142"/>
    <s v="Pesos"/>
    <d v="2026-09-17T00:00:00"/>
    <s v="20/07/2026"/>
    <n v="0.94645413"/>
    <m/>
    <n v="1500000"/>
    <n v="1419681.19"/>
    <n v="1500000"/>
    <n v="1419681.19"/>
    <n v="3"/>
    <s v="AMOMPY"/>
    <s v="Momentum Capital Investment S.A."/>
    <s v="23/04/2026"/>
    <s v="23/04/2026"/>
    <n v="35"/>
    <s v="No"/>
    <s v=""/>
    <m/>
    <m/>
    <s v="*MAV150901465"/>
    <s v="*MAV150901465"/>
    <n v="2.7231559651504492E-5"/>
  </r>
  <r>
    <x v="7"/>
    <s v="Pesos"/>
    <d v="2026-09-17T00:00:00"/>
    <s v="20/07/2026"/>
    <n v="0.94935888999999996"/>
    <m/>
    <n v="10000000"/>
    <n v="9493588.9100000001"/>
    <n v="10000000"/>
    <n v="9493588.9100000001"/>
    <n v="667"/>
    <s v="AMOMPY"/>
    <s v="Momentum Capital Investment S.A."/>
    <s v="22/06/2026"/>
    <s v="22/06/2026"/>
    <n v="33"/>
    <s v="No"/>
    <s v=""/>
    <m/>
    <m/>
    <s v="*MAV150901626"/>
    <s v="*MAV150901626"/>
    <n v="1.8210090725335773E-4"/>
  </r>
  <r>
    <x v="135"/>
    <s v="Pesos"/>
    <d v="2026-09-17T00:00:00"/>
    <s v="20/07/2026"/>
    <n v="0.95081800000000005"/>
    <m/>
    <n v="50000000"/>
    <n v="47540900.100000001"/>
    <n v="50000000"/>
    <n v="47540900.100000001"/>
    <n v="4775"/>
    <s v="AMOMPY"/>
    <s v="Momentum Capital Investment S.A."/>
    <s v="04/06/2026"/>
    <s v="04/06/2026"/>
    <n v="32"/>
    <s v="No"/>
    <s v=""/>
    <m/>
    <m/>
    <s v="*MAV150901542"/>
    <s v="*MAV150901542"/>
    <n v="9.1190393031788072E-4"/>
  </r>
  <r>
    <x v="9"/>
    <s v="Pesos"/>
    <d v="2026-09-17T00:00:00"/>
    <s v="20/07/2026"/>
    <n v="0.94935892"/>
    <m/>
    <n v="10000000"/>
    <n v="9493589.25"/>
    <n v="10000000"/>
    <n v="9493589.25"/>
    <n v="327"/>
    <s v="AMOMPY"/>
    <s v="Momentum Capital Investment S.A."/>
    <s v="14/05/2026"/>
    <s v="14/05/2026"/>
    <n v="33"/>
    <s v="No"/>
    <s v=""/>
    <m/>
    <m/>
    <s v="*MAV150901500"/>
    <s v="*MAV150901500"/>
    <n v="1.8210091377505455E-4"/>
  </r>
  <r>
    <x v="64"/>
    <s v="Pesos"/>
    <d v="2026-09-17T00:00:00"/>
    <s v="20/07/2026"/>
    <n v="0.94935892"/>
    <m/>
    <n v="12500000"/>
    <n v="11866986.449999999"/>
    <n v="12500000"/>
    <n v="11866986.449999999"/>
    <n v="1359"/>
    <s v="AMOMPY"/>
    <s v="Momentum Capital Investment S.A."/>
    <s v="21/05/2026"/>
    <s v="21/05/2026"/>
    <n v="33"/>
    <s v="No"/>
    <s v=""/>
    <m/>
    <m/>
    <s v="*MAV150901509"/>
    <s v="*MAV150901509"/>
    <n v="2.2762614006090377E-4"/>
  </r>
  <r>
    <x v="111"/>
    <s v="Pesos"/>
    <d v="2026-09-17T00:00:00"/>
    <s v="20/07/2026"/>
    <n v="0.95374974999999995"/>
    <m/>
    <n v="100000000"/>
    <n v="95374974.980000004"/>
    <n v="100000000"/>
    <n v="95374974.980000004"/>
    <n v="6601"/>
    <s v="AMOMPY"/>
    <s v="Momentum Capital Investment S.A."/>
    <s v="18/05/2026"/>
    <s v="18/05/2026"/>
    <n v="30"/>
    <s v="No"/>
    <s v=""/>
    <m/>
    <m/>
    <s v="*MAV150901503"/>
    <s v="*MAV150901503"/>
    <n v="1.8294313813009093E-3"/>
  </r>
  <r>
    <x v="44"/>
    <s v="Pesos"/>
    <d v="2026-09-17T00:00:00"/>
    <s v="20/07/2026"/>
    <n v="0.94069753"/>
    <m/>
    <n v="12825509.390000001"/>
    <n v="12064924.970000001"/>
    <n v="12825509.390000001"/>
    <n v="12064924.970000001"/>
    <n v="53243197"/>
    <s v="AMOMPY"/>
    <s v="Momentum Capital Investment S.A."/>
    <s v="15/05/2026"/>
    <s v="15/05/2026"/>
    <n v="39"/>
    <s v="No"/>
    <s v=""/>
    <m/>
    <m/>
    <s v="*MAV150901501"/>
    <s v="*MAV150901501"/>
    <n v="2.3142289010075643E-4"/>
  </r>
  <r>
    <x v="66"/>
    <s v="Pesos"/>
    <d v="2026-09-17T00:00:00"/>
    <s v="20/07/2026"/>
    <n v="0.95081797999999995"/>
    <m/>
    <n v="3243208.42"/>
    <n v="3083700.87"/>
    <n v="3243208.42"/>
    <n v="3083700.87"/>
    <n v="143911"/>
    <s v="AMOMPY"/>
    <s v="Momentum Capital Investment S.A."/>
    <s v="17/04/2026"/>
    <s v="17/04/2026"/>
    <n v="32"/>
    <s v="No"/>
    <s v=""/>
    <m/>
    <m/>
    <s v="*AFB150900012"/>
    <s v="*AFB150900012"/>
    <n v="5.9149888566743146E-5"/>
  </r>
  <r>
    <x v="48"/>
    <s v="Pesos"/>
    <d v="2026-09-17T00:00:00"/>
    <s v="20/07/2026"/>
    <n v="0.94500832000000001"/>
    <m/>
    <n v="85000000"/>
    <n v="80325707.290000007"/>
    <n v="85000000"/>
    <n v="80325707.290000007"/>
    <n v="8434"/>
    <s v="AMOMPY"/>
    <s v="Momentum Capital Investment S.A."/>
    <s v="22/06/2026"/>
    <s v="22/06/2026"/>
    <n v="36"/>
    <s v="No"/>
    <s v=""/>
    <m/>
    <m/>
    <s v="*MAV150901624"/>
    <s v="*MAV150901624"/>
    <n v="1.5407644371317794E-3"/>
  </r>
  <r>
    <x v="96"/>
    <s v="Pesos"/>
    <d v="2026-09-17T00:00:00"/>
    <s v="20/07/2026"/>
    <n v="0.95228166000000003"/>
    <m/>
    <n v="16500000"/>
    <n v="15712647.35"/>
    <n v="16500000"/>
    <n v="15712647.35"/>
    <n v="28674"/>
    <s v="AMOMPY"/>
    <s v="Momentum Capital Investment S.A."/>
    <s v="27/04/2026"/>
    <s v="27/04/2026"/>
    <n v="31"/>
    <s v="No"/>
    <s v=""/>
    <m/>
    <m/>
    <s v="*MAV150901468"/>
    <s v="*MAV150901468"/>
    <n v="3.0139153537321926E-4"/>
  </r>
  <r>
    <x v="151"/>
    <s v="Pesos"/>
    <d v="2026-09-17T00:00:00"/>
    <s v="20/07/2026"/>
    <n v="0.95081800999999999"/>
    <m/>
    <n v="6428571.6600000001"/>
    <n v="6112401.7400000002"/>
    <n v="6428571.6600000001"/>
    <n v="6112401.7400000002"/>
    <n v="3487"/>
    <s v="AMOMPY"/>
    <s v="Momentum Capital Investment S.A."/>
    <s v="14/07/2026"/>
    <s v="14/07/2026"/>
    <n v="32"/>
    <s v="No"/>
    <s v=""/>
    <m/>
    <m/>
    <s v="*MAV150901732"/>
    <s v="*MAV150901732"/>
    <n v="1.1724479676790665E-4"/>
  </r>
  <r>
    <x v="98"/>
    <s v="Pesos"/>
    <d v="2026-09-17T00:00:00"/>
    <s v="20/07/2026"/>
    <n v="0.95081806999999996"/>
    <m/>
    <n v="25000000"/>
    <n v="23770451.66"/>
    <n v="25000000"/>
    <n v="23770451.66"/>
    <n v="1215681"/>
    <s v="AMOMPY"/>
    <s v="Momentum Capital Investment S.A."/>
    <s v="15/05/2026"/>
    <s v="15/05/2026"/>
    <n v="32"/>
    <s v="No"/>
    <s v=""/>
    <m/>
    <m/>
    <s v="*MAV150901502"/>
    <s v="*MAV150901502"/>
    <n v="4.5595199604109288E-4"/>
  </r>
  <r>
    <x v="103"/>
    <s v="Pesos"/>
    <d v="2026-09-17T00:00:00"/>
    <s v="20/07/2026"/>
    <n v="0.95374990000000004"/>
    <m/>
    <n v="2870567.11"/>
    <n v="2737803.1"/>
    <n v="2870567.11"/>
    <n v="2737803.1"/>
    <n v="103"/>
    <s v="AMOMPY"/>
    <s v="Momentum Capital Investment S.A."/>
    <s v="20/07/2026"/>
    <s v="20/07/2026"/>
    <n v="30"/>
    <s v="No"/>
    <s v=""/>
    <m/>
    <m/>
    <s v="*MAV150901797"/>
    <s v="*MAV150901797"/>
    <n v="5.2515063914965254E-5"/>
  </r>
  <r>
    <x v="0"/>
    <s v="Pesos"/>
    <d v="2026-09-18T00:00:00"/>
    <s v="20/07/2026"/>
    <n v="0.95151200999999996"/>
    <m/>
    <n v="3000000"/>
    <n v="2854536.04"/>
    <n v="3000000"/>
    <n v="2854536.04"/>
    <n v="90003467"/>
    <s v="AMOMPY"/>
    <s v="Momentum Capital Investment S.A."/>
    <s v="22/04/2026"/>
    <s v="22/04/2026"/>
    <n v="31"/>
    <s v="No"/>
    <s v=""/>
    <m/>
    <m/>
    <s v="*INP160900050"/>
    <s v="*INP160900050"/>
    <n v="5.4754172273445012E-5"/>
  </r>
  <r>
    <x v="148"/>
    <s v="Pesos"/>
    <d v="2026-09-18T00:00:00"/>
    <s v="20/07/2026"/>
    <n v="0.94266545000000002"/>
    <m/>
    <n v="3345657.98"/>
    <n v="3153836.19"/>
    <n v="3345657.98"/>
    <n v="3153836.19"/>
    <n v="252"/>
    <s v="AMOMPY"/>
    <s v="Momentum Capital Investment S.A."/>
    <s v="02/07/2026"/>
    <s v="02/07/2026"/>
    <n v="37"/>
    <s v="No"/>
    <s v=""/>
    <m/>
    <m/>
    <s v="*MAV160901407"/>
    <s v="*MAV160901407"/>
    <n v="6.0495186485536698E-5"/>
  </r>
  <r>
    <x v="178"/>
    <s v="Pesos"/>
    <d v="2026-09-18T00:00:00"/>
    <s v="20/07/2026"/>
    <n v="0.95002618999999999"/>
    <m/>
    <n v="15355310.449999999"/>
    <n v="14587947.01"/>
    <n v="15355310.449999999"/>
    <n v="14587947.01"/>
    <n v="30747"/>
    <s v="AMOMPY"/>
    <s v="Momentum Capital Investment S.A."/>
    <s v="04/06/2026"/>
    <s v="04/06/2026"/>
    <n v="32"/>
    <s v="No"/>
    <s v=""/>
    <m/>
    <m/>
    <s v="*MAV160901281"/>
    <s v="*MAV160901281"/>
    <n v="2.798181394484783E-4"/>
  </r>
  <r>
    <x v="194"/>
    <s v="Pesos"/>
    <d v="2026-09-18T00:00:00"/>
    <s v="20/07/2026"/>
    <n v="0.95002618999999999"/>
    <m/>
    <n v="10000000"/>
    <n v="9500261.8499999996"/>
    <n v="10000000"/>
    <n v="9500261.8499999996"/>
    <n v="13795879"/>
    <s v="AMOMPY"/>
    <s v="Momentum Capital Investment S.A."/>
    <s v="04/06/2026"/>
    <s v="04/06/2026"/>
    <n v="32"/>
    <s v="No"/>
    <s v=""/>
    <m/>
    <m/>
    <s v="*MAV160901282"/>
    <s v="*MAV160901282"/>
    <n v="1.8222890399300666E-4"/>
  </r>
  <r>
    <x v="69"/>
    <s v="Pesos"/>
    <d v="2026-09-18T00:00:00"/>
    <s v="20/07/2026"/>
    <n v="0.95901216"/>
    <m/>
    <n v="215007207.40000001"/>
    <n v="206194525.78"/>
    <n v="215007207.40000001"/>
    <n v="206194525.78"/>
    <n v="568286"/>
    <s v="AMOMPY"/>
    <s v="Momentum Capital Investment S.A."/>
    <s v="24/04/2026"/>
    <s v="24/04/2026"/>
    <n v="26"/>
    <s v="No"/>
    <s v=""/>
    <m/>
    <m/>
    <s v="*MAV160901235"/>
    <s v="*MAV160901235"/>
    <n v="3.9551122943255667E-3"/>
  </r>
  <r>
    <x v="69"/>
    <s v="Pesos"/>
    <d v="2026-09-18T00:00:00"/>
    <s v="20/07/2026"/>
    <n v="0.95901216"/>
    <m/>
    <n v="29857329.09"/>
    <n v="28633541.579999998"/>
    <n v="29857329.09"/>
    <n v="28633541.579999998"/>
    <n v="568285"/>
    <s v="AMOMPY"/>
    <s v="Momentum Capital Investment S.A."/>
    <s v="24/04/2026"/>
    <s v="24/04/2026"/>
    <n v="26"/>
    <s v="No"/>
    <s v=""/>
    <m/>
    <m/>
    <s v="*MAV160901236"/>
    <s v="*MAV160901236"/>
    <n v="5.4923316661651636E-4"/>
  </r>
  <r>
    <x v="69"/>
    <s v="Pesos"/>
    <d v="2026-09-18T00:00:00"/>
    <s v="20/07/2026"/>
    <n v="0.95901216"/>
    <m/>
    <n v="92806889.260000005"/>
    <n v="89002935.069999993"/>
    <n v="92806889.260000005"/>
    <n v="89002935.069999993"/>
    <n v="568306"/>
    <s v="AMOMPY"/>
    <s v="Momentum Capital Investment S.A."/>
    <s v="24/04/2026"/>
    <s v="24/04/2026"/>
    <n v="26"/>
    <s v="No"/>
    <s v=""/>
    <m/>
    <m/>
    <s v="*MAV160901237"/>
    <s v="*MAV160901237"/>
    <n v="1.7072063450510929E-3"/>
  </r>
  <r>
    <x v="69"/>
    <s v="Pesos"/>
    <d v="2026-09-18T00:00:00"/>
    <s v="20/07/2026"/>
    <n v="0.95901216"/>
    <m/>
    <n v="20411147.440000001"/>
    <n v="19574538.539999999"/>
    <n v="20411147.440000001"/>
    <n v="19574538.539999999"/>
    <n v="568296"/>
    <s v="AMOMPY"/>
    <s v="Momentum Capital Investment S.A."/>
    <s v="24/04/2026"/>
    <s v="24/04/2026"/>
    <n v="26"/>
    <s v="No"/>
    <s v=""/>
    <m/>
    <m/>
    <s v="*MAV160901238"/>
    <s v="*MAV160901238"/>
    <n v="3.7546825136331043E-4"/>
  </r>
  <r>
    <x v="69"/>
    <s v="Pesos"/>
    <d v="2026-09-18T00:00:00"/>
    <s v="20/07/2026"/>
    <n v="0.95901216"/>
    <m/>
    <n v="68728608.280000001"/>
    <n v="65911570.890000001"/>
    <n v="68728608.280000001"/>
    <n v="65911570.890000001"/>
    <n v="568281"/>
    <s v="AMOMPY"/>
    <s v="Momentum Capital Investment S.A."/>
    <s v="24/04/2026"/>
    <s v="24/04/2026"/>
    <n v="26"/>
    <s v="No"/>
    <s v=""/>
    <m/>
    <m/>
    <s v="*MAV160901239"/>
    <s v="*MAV160901239"/>
    <n v="1.2642802391538358E-3"/>
  </r>
  <r>
    <x v="69"/>
    <s v="Pesos"/>
    <d v="2026-09-18T00:00:00"/>
    <s v="20/07/2026"/>
    <n v="0.95901216"/>
    <m/>
    <n v="6875275.0899999999"/>
    <n v="6593472.4000000004"/>
    <n v="6875275.0899999999"/>
    <n v="6593472.4000000004"/>
    <n v="568310"/>
    <s v="AMOMPY"/>
    <s v="Momentum Capital Investment S.A."/>
    <s v="24/04/2026"/>
    <s v="24/04/2026"/>
    <n v="26"/>
    <s v="No"/>
    <s v=""/>
    <m/>
    <m/>
    <s v="*MAV160901240"/>
    <s v="*MAV160901240"/>
    <n v="1.2647243496347833E-4"/>
  </r>
  <r>
    <x v="69"/>
    <s v="Pesos"/>
    <d v="2026-09-18T00:00:00"/>
    <s v="20/07/2026"/>
    <n v="0.95901216"/>
    <m/>
    <n v="6937722.3200000003"/>
    <n v="6653360.0499999998"/>
    <n v="6937722.3200000003"/>
    <n v="6653360.0499999998"/>
    <n v="568313"/>
    <s v="AMOMPY"/>
    <s v="Momentum Capital Investment S.A."/>
    <s v="24/04/2026"/>
    <s v="24/04/2026"/>
    <n v="26"/>
    <s v="No"/>
    <s v=""/>
    <m/>
    <m/>
    <s v="*MAV160901241"/>
    <s v="*MAV160901241"/>
    <n v="1.2762116759785477E-4"/>
  </r>
  <r>
    <x v="69"/>
    <s v="Pesos"/>
    <d v="2026-09-18T00:00:00"/>
    <s v="20/07/2026"/>
    <n v="0.95901216"/>
    <m/>
    <n v="3090146.07"/>
    <n v="2963487.65"/>
    <n v="3090146.07"/>
    <n v="2963487.65"/>
    <n v="568383"/>
    <s v="AMOMPY"/>
    <s v="Momentum Capital Investment S.A."/>
    <s v="24/04/2026"/>
    <s v="24/04/2026"/>
    <n v="26"/>
    <s v="No"/>
    <s v=""/>
    <m/>
    <m/>
    <s v="*MAV160901242"/>
    <s v="*MAV160901242"/>
    <n v="5.6844023352504846E-5"/>
  </r>
  <r>
    <x v="69"/>
    <s v="Pesos"/>
    <d v="2026-09-18T00:00:00"/>
    <s v="20/07/2026"/>
    <n v="0.95901216"/>
    <m/>
    <n v="7075968.3200000003"/>
    <n v="6785939.6399999997"/>
    <n v="7075968.3200000003"/>
    <n v="6785939.6399999997"/>
    <n v="568319"/>
    <s v="AMOMPY"/>
    <s v="Momentum Capital Investment S.A."/>
    <s v="24/04/2026"/>
    <s v="24/04/2026"/>
    <n v="26"/>
    <s v="No"/>
    <s v=""/>
    <m/>
    <m/>
    <s v="*MAV160901244"/>
    <s v="*MAV160901244"/>
    <n v="1.3016423785833841E-4"/>
  </r>
  <r>
    <x v="69"/>
    <s v="Pesos"/>
    <d v="2026-09-18T00:00:00"/>
    <s v="20/07/2026"/>
    <n v="0.95901216"/>
    <m/>
    <n v="11809132.970000001"/>
    <n v="11325102.08"/>
    <n v="11809132.970000001"/>
    <n v="11325102.08"/>
    <n v="568322"/>
    <s v="AMOMPY"/>
    <s v="Momentum Capital Investment S.A."/>
    <s v="24/04/2026"/>
    <s v="24/04/2026"/>
    <n v="26"/>
    <s v="No"/>
    <s v=""/>
    <m/>
    <m/>
    <s v="*MAV160901245"/>
    <s v="*MAV160901245"/>
    <n v="2.1723200604700386E-4"/>
  </r>
  <r>
    <x v="69"/>
    <s v="Pesos"/>
    <d v="2026-09-18T00:00:00"/>
    <s v="20/07/2026"/>
    <n v="0.95901216"/>
    <m/>
    <n v="31694713.280000001"/>
    <n v="30395615.350000001"/>
    <n v="31694713.280000001"/>
    <n v="30395615.350000001"/>
    <n v="568350"/>
    <s v="AMOMPY"/>
    <s v="Momentum Capital Investment S.A."/>
    <s v="24/04/2026"/>
    <s v="24/04/2026"/>
    <n v="26"/>
    <s v="No"/>
    <s v=""/>
    <m/>
    <m/>
    <s v="*MAV160901243"/>
    <s v="*MAV160901243"/>
    <n v="5.8303231625384195E-4"/>
  </r>
  <r>
    <x v="69"/>
    <s v="Pesos"/>
    <d v="2026-09-18T00:00:00"/>
    <s v="20/07/2026"/>
    <n v="0.95901216"/>
    <m/>
    <n v="20011620.16"/>
    <n v="19191387.02"/>
    <n v="20011620.16"/>
    <n v="19191387.02"/>
    <n v="568324"/>
    <s v="AMOMPY"/>
    <s v="Momentum Capital Investment S.A."/>
    <s v="24/04/2026"/>
    <s v="24/04/2026"/>
    <n v="26"/>
    <s v="No"/>
    <s v=""/>
    <m/>
    <m/>
    <s v="*MAV160901246"/>
    <s v="*MAV160901246"/>
    <n v="3.6811884535163777E-4"/>
  </r>
  <r>
    <x v="69"/>
    <s v="Pesos"/>
    <d v="2026-09-18T00:00:00"/>
    <s v="20/07/2026"/>
    <n v="0.95901216"/>
    <m/>
    <n v="34118781"/>
    <n v="32720325.77"/>
    <n v="34118781"/>
    <n v="32720325.77"/>
    <n v="568355"/>
    <s v="AMOMPY"/>
    <s v="Momentum Capital Investment S.A."/>
    <s v="24/04/2026"/>
    <s v="24/04/2026"/>
    <n v="26"/>
    <s v="No"/>
    <s v=""/>
    <m/>
    <m/>
    <s v="*MAV160901247"/>
    <s v="*MAV160901247"/>
    <n v="6.276236589585403E-4"/>
  </r>
  <r>
    <x v="7"/>
    <s v="Pesos"/>
    <d v="2026-09-18T00:00:00"/>
    <s v="20/07/2026"/>
    <n v="0.95300280000000004"/>
    <m/>
    <n v="5000000"/>
    <n v="4765014.0199999996"/>
    <n v="5000000"/>
    <n v="4765014.0199999996"/>
    <n v="683"/>
    <s v="AMOMPY"/>
    <s v="Momentum Capital Investment S.A."/>
    <s v="26/06/2026"/>
    <s v="26/06/2026"/>
    <n v="30"/>
    <s v="No"/>
    <s v=""/>
    <m/>
    <m/>
    <s v="*MAV160901376"/>
    <s v="*MAV160901376"/>
    <n v="9.139993150566798E-5"/>
  </r>
  <r>
    <x v="7"/>
    <s v="Pesos"/>
    <d v="2026-09-18T00:00:00"/>
    <s v="20/07/2026"/>
    <n v="0.95300262999999996"/>
    <m/>
    <n v="10000000"/>
    <n v="9530026.2699999996"/>
    <n v="10000000"/>
    <n v="9530026.2699999996"/>
    <n v="724"/>
    <s v="AMOMPY"/>
    <s v="Momentum Capital Investment S.A."/>
    <s v="30/06/2026"/>
    <s v="30/06/2026"/>
    <n v="30"/>
    <s v="No"/>
    <s v=""/>
    <m/>
    <m/>
    <s v="*MAV160901392"/>
    <s v="*MAV160901392"/>
    <n v="1.8279982906014967E-4"/>
  </r>
  <r>
    <x v="7"/>
    <s v="Pesos"/>
    <d v="2026-09-18T00:00:00"/>
    <s v="20/07/2026"/>
    <n v="0.95300262999999996"/>
    <m/>
    <n v="10000000"/>
    <n v="9530026.3200000003"/>
    <n v="10000000"/>
    <n v="9530026.3200000003"/>
    <n v="569"/>
    <s v="AMOMPY"/>
    <s v="Momentum Capital Investment S.A."/>
    <s v="01/06/2026"/>
    <s v="01/06/2026"/>
    <n v="30"/>
    <s v="No"/>
    <s v=""/>
    <m/>
    <m/>
    <s v="*MAV160901262"/>
    <s v="*MAV160901262"/>
    <n v="1.8279983001922274E-4"/>
  </r>
  <r>
    <x v="8"/>
    <s v="Pesos"/>
    <d v="2026-09-18T00:00:00"/>
    <s v="20/07/2026"/>
    <n v="0.94120705000000005"/>
    <m/>
    <n v="15000000"/>
    <n v="14118105.68"/>
    <n v="15000000"/>
    <n v="14118105.68"/>
    <n v="70219557"/>
    <s v="AMOMPY"/>
    <s v="Momentum Capital Investment S.A."/>
    <s v="17/07/2026"/>
    <s v="17/07/2026"/>
    <n v="38"/>
    <s v="No"/>
    <s v=""/>
    <m/>
    <m/>
    <s v="*MAV160901466"/>
    <s v="*MAV160901466"/>
    <n v="2.7080589621051779E-4"/>
  </r>
  <r>
    <x v="7"/>
    <s v="Pesos"/>
    <d v="2026-09-18T00:00:00"/>
    <s v="20/07/2026"/>
    <n v="0.95300264000000001"/>
    <m/>
    <n v="10000000"/>
    <n v="9530026.4199999999"/>
    <n v="10000000"/>
    <n v="9530026.4199999999"/>
    <n v="673"/>
    <s v="AMOMPY"/>
    <s v="Momentum Capital Investment S.A."/>
    <s v="23/06/2026"/>
    <s v="23/06/2026"/>
    <n v="30"/>
    <s v="No"/>
    <s v=""/>
    <m/>
    <m/>
    <s v="*MAV160901358"/>
    <s v="*MAV160901358"/>
    <n v="1.8279983193736886E-4"/>
  </r>
  <r>
    <x v="131"/>
    <s v="Pesos"/>
    <d v="2026-09-18T00:00:00"/>
    <s v="20/07/2026"/>
    <n v="0.94559590000000004"/>
    <m/>
    <n v="50000000"/>
    <n v="47279795.25"/>
    <n v="50000000"/>
    <n v="47279795.25"/>
    <n v="2873"/>
    <s v="AMOMPY"/>
    <s v="Momentum Capital Investment S.A."/>
    <s v="16/06/2026"/>
    <s v="16/06/2026"/>
    <n v="35"/>
    <s v="No"/>
    <s v=""/>
    <m/>
    <m/>
    <s v="*MAV160901325"/>
    <s v="*MAV160901325"/>
    <n v="9.0689555777046947E-4"/>
  </r>
  <r>
    <x v="10"/>
    <s v="Pesos"/>
    <d v="2026-09-18T00:00:00"/>
    <s v="20/07/2026"/>
    <n v="0.94854477999999998"/>
    <m/>
    <n v="2500000"/>
    <n v="2371361.96"/>
    <n v="2500000"/>
    <n v="2371361.96"/>
    <n v="1200"/>
    <s v="AMOMPY"/>
    <s v="Momentum Capital Investment S.A."/>
    <s v="19/05/2026"/>
    <s v="19/05/2026"/>
    <n v="33"/>
    <s v="No"/>
    <s v=""/>
    <m/>
    <m/>
    <s v="*MAV160901253"/>
    <s v="*MAV160901253"/>
    <n v="4.5486187408772113E-5"/>
  </r>
  <r>
    <x v="127"/>
    <s v="Pesos"/>
    <d v="2026-09-18T00:00:00"/>
    <s v="20/07/2026"/>
    <n v="0.94120700999999996"/>
    <m/>
    <n v="60000000"/>
    <n v="56472420.689999998"/>
    <n v="60000000"/>
    <n v="56472420.689999998"/>
    <n v="70379072"/>
    <s v="AMOMPY"/>
    <s v="Momentum Capital Investment S.A."/>
    <s v="22/06/2026"/>
    <s v="22/06/2026"/>
    <n v="38"/>
    <s v="No"/>
    <s v=""/>
    <m/>
    <m/>
    <s v="*MAV160901349"/>
    <s v="*MAV160901349"/>
    <n v="1.083223545903705E-3"/>
  </r>
  <r>
    <x v="50"/>
    <s v="Pesos"/>
    <d v="2026-09-18T00:00:00"/>
    <s v="20/07/2026"/>
    <n v="0.95300269999999998"/>
    <m/>
    <n v="2868835.67"/>
    <n v="2734008.14"/>
    <n v="2868835.67"/>
    <n v="2734008.14"/>
    <n v="6278"/>
    <s v="AMOMPY"/>
    <s v="Momentum Capital Investment S.A."/>
    <s v="17/06/2026"/>
    <s v="17/06/2026"/>
    <n v="30"/>
    <s v="No"/>
    <s v=""/>
    <m/>
    <m/>
    <s v="*MAV160901334"/>
    <s v="*MAV160901334"/>
    <n v="5.2442271036998702E-5"/>
  </r>
  <r>
    <x v="1"/>
    <s v="Pesos"/>
    <d v="2026-09-18T00:00:00"/>
    <s v="20/07/2026"/>
    <n v="0.95599800000000001"/>
    <m/>
    <n v="10000000"/>
    <n v="9559979.9600000009"/>
    <n v="10000000"/>
    <n v="9559979.9600000009"/>
    <n v="360565"/>
    <s v="AMOMPY"/>
    <s v="Momentum Capital Investment S.A."/>
    <s v="21/04/2026"/>
    <s v="21/04/2026"/>
    <n v="28"/>
    <s v="No"/>
    <s v=""/>
    <m/>
    <m/>
    <s v="*MOV160900067"/>
    <s v="*MOV160900067"/>
    <n v="1.833743846024526E-4"/>
  </r>
  <r>
    <x v="151"/>
    <s v="Pesos"/>
    <d v="2026-09-18T00:00:00"/>
    <s v="20/07/2026"/>
    <n v="0.95002626999999995"/>
    <m/>
    <n v="6428571.6799999997"/>
    <n v="6107311.9699999997"/>
    <n v="6428571.6799999997"/>
    <n v="6107311.9699999997"/>
    <n v="3488"/>
    <s v="AMOMPY"/>
    <s v="Momentum Capital Investment S.A."/>
    <s v="14/07/2026"/>
    <s v="14/07/2026"/>
    <n v="32"/>
    <s v="No"/>
    <s v=""/>
    <m/>
    <m/>
    <s v="*MAV160901441"/>
    <s v="*MAV160901441"/>
    <n v="1.1714716754217362E-4"/>
  </r>
  <r>
    <x v="196"/>
    <s v="Pesos"/>
    <d v="2026-09-18T00:00:00"/>
    <s v="20/07/2026"/>
    <n v="0.95002626999999995"/>
    <m/>
    <n v="1444027.42"/>
    <n v="1371863.98"/>
    <n v="1444027.42"/>
    <n v="1371863.98"/>
    <n v="68156242"/>
    <s v="AMOMPY"/>
    <s v="Momentum Capital Investment S.A."/>
    <s v="14/07/2026"/>
    <s v="14/07/2026"/>
    <n v="32"/>
    <s v="No"/>
    <s v=""/>
    <m/>
    <m/>
    <s v="*MAV160901440"/>
    <s v="*MAV160901440"/>
    <n v="2.63143556935627E-5"/>
  </r>
  <r>
    <x v="148"/>
    <s v="Pesos"/>
    <d v="2026-09-21T00:00:00"/>
    <s v="20/07/2026"/>
    <n v="0.93997085000000002"/>
    <m/>
    <n v="3345657.98"/>
    <n v="3144820.97"/>
    <n v="3345657.98"/>
    <n v="3144820.97"/>
    <n v="253"/>
    <s v="AMOMPY"/>
    <s v="Momentum Capital Investment S.A."/>
    <s v="02/07/2026"/>
    <s v="02/07/2026"/>
    <n v="37"/>
    <s v="No"/>
    <s v=""/>
    <m/>
    <m/>
    <s v="*MAV170901150"/>
    <s v="*MAV170901150"/>
    <n v="6.032226139296614E-5"/>
  </r>
  <r>
    <x v="178"/>
    <s v="Pesos"/>
    <d v="2026-09-21T00:00:00"/>
    <s v="20/07/2026"/>
    <n v="0.94765814000000004"/>
    <m/>
    <n v="15355310.449999999"/>
    <n v="14551584.93"/>
    <n v="15355310.449999999"/>
    <n v="14551584.93"/>
    <n v="30748"/>
    <s v="AMOMPY"/>
    <s v="Momentum Capital Investment S.A."/>
    <s v="04/06/2026"/>
    <s v="04/06/2026"/>
    <n v="32"/>
    <s v="No"/>
    <s v=""/>
    <m/>
    <m/>
    <s v="*MAV170901057"/>
    <s v="*MAV170901057"/>
    <n v="2.7912066162208492E-4"/>
  </r>
  <r>
    <x v="194"/>
    <s v="Pesos"/>
    <d v="2026-09-21T00:00:00"/>
    <s v="20/07/2026"/>
    <n v="0.94765814000000004"/>
    <m/>
    <n v="10000000"/>
    <n v="9476581.3900000006"/>
    <n v="10000000"/>
    <n v="9476581.3900000006"/>
    <n v="13795884"/>
    <s v="AMOMPY"/>
    <s v="Momentum Capital Investment S.A."/>
    <s v="04/06/2026"/>
    <s v="04/06/2026"/>
    <n v="32"/>
    <s v="No"/>
    <s v=""/>
    <m/>
    <m/>
    <s v="*MAV170901058"/>
    <s v="*MAV170901058"/>
    <n v="1.8177467816849949E-4"/>
  </r>
  <r>
    <x v="194"/>
    <s v="Pesos"/>
    <d v="2026-09-21T00:00:00"/>
    <s v="20/07/2026"/>
    <n v="0.94765814000000004"/>
    <m/>
    <n v="10000000"/>
    <n v="9476581.3900000006"/>
    <n v="10000000"/>
    <n v="9476581.3900000006"/>
    <n v="13795880"/>
    <s v="AMOMPY"/>
    <s v="Momentum Capital Investment S.A."/>
    <s v="04/06/2026"/>
    <s v="04/06/2026"/>
    <n v="32"/>
    <s v="No"/>
    <s v=""/>
    <m/>
    <m/>
    <s v="*MAV170901059"/>
    <s v="*MAV170901059"/>
    <n v="1.8177467816849949E-4"/>
  </r>
  <r>
    <x v="194"/>
    <s v="Pesos"/>
    <d v="2026-09-21T00:00:00"/>
    <s v="20/07/2026"/>
    <n v="0.94765814000000004"/>
    <m/>
    <n v="40000000"/>
    <n v="37906325.579999998"/>
    <n v="40000000"/>
    <n v="37906325.579999998"/>
    <n v="13662785"/>
    <s v="AMOMPY"/>
    <s v="Momentum Capital Investment S.A."/>
    <s v="04/06/2026"/>
    <s v="04/06/2026"/>
    <n v="32"/>
    <s v="No"/>
    <s v=""/>
    <m/>
    <m/>
    <s v="*MAV170901060"/>
    <s v="*MAV170901060"/>
    <n v="7.2709871305762718E-4"/>
  </r>
  <r>
    <x v="85"/>
    <s v="Pesos"/>
    <d v="2026-09-21T00:00:00"/>
    <s v="20/07/2026"/>
    <n v="0.93844822000000006"/>
    <m/>
    <n v="4463318.82"/>
    <n v="4188593.62"/>
    <n v="4463318.82"/>
    <n v="4188593.62"/>
    <n v="347"/>
    <s v="AMOMPY"/>
    <s v="Momentum Capital Investment S.A."/>
    <s v="17/04/2026"/>
    <s v="17/04/2026"/>
    <n v="38"/>
    <s v="No"/>
    <s v=""/>
    <m/>
    <m/>
    <s v="*MAV170901008"/>
    <s v="*MAV170901008"/>
    <n v="8.0343345972584985E-5"/>
  </r>
  <r>
    <x v="85"/>
    <s v="Pesos"/>
    <d v="2026-09-21T00:00:00"/>
    <s v="20/07/2026"/>
    <n v="0.93844813999999999"/>
    <m/>
    <n v="4500000"/>
    <n v="4223016.6100000003"/>
    <n v="4500000"/>
    <n v="4223016.6100000003"/>
    <n v="559"/>
    <s v="AMOMPY"/>
    <s v="Momentum Capital Investment S.A."/>
    <s v="22/04/2026"/>
    <s v="22/04/2026"/>
    <n v="38"/>
    <s v="No"/>
    <s v=""/>
    <m/>
    <m/>
    <s v="*MAV170901010"/>
    <s v="*MAV170901010"/>
    <n v="8.1003629219394887E-5"/>
  </r>
  <r>
    <x v="130"/>
    <s v="Pesos"/>
    <d v="2026-09-21T00:00:00"/>
    <s v="20/07/2026"/>
    <n v="0.94611060000000002"/>
    <m/>
    <n v="150000000"/>
    <n v="141916589.52000001"/>
    <n v="150000000"/>
    <n v="141916589.52000001"/>
    <n v="70389147"/>
    <s v="AMOMPY"/>
    <s v="Momentum Capital Investment S.A."/>
    <s v="03/07/2026"/>
    <s v="03/07/2026"/>
    <n v="33"/>
    <s v="No"/>
    <s v=""/>
    <m/>
    <m/>
    <s v="*MAV170901158"/>
    <s v="*MAV170901158"/>
    <n v="2.7221675544295671E-3"/>
  </r>
  <r>
    <x v="7"/>
    <s v="Pesos"/>
    <d v="2026-09-21T00:00:00"/>
    <s v="20/07/2026"/>
    <n v="0.95076863"/>
    <m/>
    <n v="10000000"/>
    <n v="9507686.2899999991"/>
    <n v="10000000"/>
    <n v="9507686.2899999991"/>
    <n v="702"/>
    <s v="AMOMPY"/>
    <s v="Momentum Capital Investment S.A."/>
    <s v="29/06/2026"/>
    <s v="29/06/2026"/>
    <n v="30"/>
    <s v="No"/>
    <s v=""/>
    <m/>
    <m/>
    <s v="*MAV170901139"/>
    <s v="*MAV170901139"/>
    <n v="1.8237131560074163E-4"/>
  </r>
  <r>
    <x v="7"/>
    <s v="Pesos"/>
    <d v="2026-09-21T00:00:00"/>
    <s v="20/07/2026"/>
    <n v="0.95076852999999995"/>
    <m/>
    <n v="10000000"/>
    <n v="9507685.3200000003"/>
    <n v="10000000"/>
    <n v="9507685.3200000003"/>
    <n v="739"/>
    <s v="AMOMPY"/>
    <s v="Momentum Capital Investment S.A."/>
    <s v="08/07/2026"/>
    <s v="08/07/2026"/>
    <n v="30"/>
    <s v="No"/>
    <s v=""/>
    <m/>
    <m/>
    <s v="*MAV170901153"/>
    <s v="*MAV170901153"/>
    <n v="1.823712969947243E-4"/>
  </r>
  <r>
    <x v="7"/>
    <s v="Pesos"/>
    <d v="2026-09-21T00:00:00"/>
    <s v="20/07/2026"/>
    <n v="0.95076846000000004"/>
    <m/>
    <n v="5000000"/>
    <n v="4753842.28"/>
    <n v="5000000"/>
    <n v="4753842.28"/>
    <n v="781"/>
    <s v="AMOMPY"/>
    <s v="Momentum Capital Investment S.A."/>
    <s v="14/07/2026"/>
    <s v="14/07/2026"/>
    <n v="30"/>
    <s v="No"/>
    <s v=""/>
    <m/>
    <m/>
    <s v="*MAV170901192"/>
    <s v="*MAV170901192"/>
    <n v="9.1185641208406889E-5"/>
  </r>
  <r>
    <x v="43"/>
    <s v="Pesos"/>
    <d v="2026-09-21T00:00:00"/>
    <s v="20/07/2026"/>
    <n v="0.95863447999999996"/>
    <m/>
    <n v="25000000"/>
    <n v="23965861.899999999"/>
    <n v="25000000"/>
    <n v="23965861.899999999"/>
    <n v="68393693"/>
    <s v="AMOMPY"/>
    <s v="Momentum Capital Investment S.A."/>
    <s v="17/07/2026"/>
    <s v="17/07/2026"/>
    <n v="25"/>
    <s v="No"/>
    <s v=""/>
    <m/>
    <m/>
    <s v="*MIL170900038"/>
    <s v="*MIL170900038"/>
    <n v="4.5970024997624208E-4"/>
  </r>
  <r>
    <x v="43"/>
    <s v="Pesos"/>
    <d v="2026-09-21T00:00:00"/>
    <s v="20/07/2026"/>
    <n v="0.95547238999999995"/>
    <m/>
    <n v="10000000"/>
    <n v="9554723.8900000006"/>
    <n v="10000000"/>
    <n v="9554723.8900000006"/>
    <n v="67205341"/>
    <s v="AMOMPY"/>
    <s v="Momentum Capital Investment S.A."/>
    <s v="04/06/2026"/>
    <s v="04/06/2026"/>
    <n v="27"/>
    <s v="No"/>
    <s v=""/>
    <m/>
    <m/>
    <s v="*MIL170900034"/>
    <s v="*MIL170900034"/>
    <n v="1.8327356549972327E-4"/>
  </r>
  <r>
    <x v="43"/>
    <s v="Pesos"/>
    <d v="2026-09-21T00:00:00"/>
    <s v="20/07/2026"/>
    <n v="0.95547238999999995"/>
    <m/>
    <n v="10000000"/>
    <n v="9554723.8900000006"/>
    <n v="10000000"/>
    <n v="9554723.8900000006"/>
    <n v="67280466"/>
    <s v="AMOMPY"/>
    <s v="Momentum Capital Investment S.A."/>
    <s v="04/06/2026"/>
    <s v="04/06/2026"/>
    <n v="27"/>
    <s v="No"/>
    <s v=""/>
    <m/>
    <m/>
    <s v="*MIL170900035"/>
    <s v="*MIL170900035"/>
    <n v="1.8327356549972327E-4"/>
  </r>
  <r>
    <x v="43"/>
    <s v="Pesos"/>
    <d v="2026-09-21T00:00:00"/>
    <s v="20/07/2026"/>
    <n v="0.95547238999999995"/>
    <m/>
    <n v="5000000"/>
    <n v="4777361.95"/>
    <n v="5000000"/>
    <n v="4777361.95"/>
    <n v="67193052"/>
    <s v="AMOMPY"/>
    <s v="Momentum Capital Investment S.A."/>
    <s v="04/06/2026"/>
    <s v="04/06/2026"/>
    <n v="27"/>
    <s v="No"/>
    <s v=""/>
    <m/>
    <m/>
    <s v="*MIL170900036"/>
    <s v="*MIL170900036"/>
    <n v="9.1636782845768938E-5"/>
  </r>
  <r>
    <x v="113"/>
    <s v="Pesos"/>
    <d v="2026-09-21T00:00:00"/>
    <s v="20/07/2026"/>
    <n v="0.94611065999999999"/>
    <m/>
    <n v="19470985"/>
    <n v="18421706.469999999"/>
    <n v="19470985"/>
    <n v="18421706.469999999"/>
    <n v="1065"/>
    <s v="AMOMPY"/>
    <s v="Momentum Capital Investment S.A."/>
    <s v="16/06/2026"/>
    <s v="16/06/2026"/>
    <n v="33"/>
    <s v="No"/>
    <s v=""/>
    <m/>
    <m/>
    <s v="*MAV170901091"/>
    <s v="*MAV170901091"/>
    <n v="3.5335524775130062E-4"/>
  </r>
  <r>
    <x v="103"/>
    <s v="Pesos"/>
    <d v="2026-09-21T00:00:00"/>
    <s v="20/07/2026"/>
    <n v="0.95076863"/>
    <m/>
    <n v="2870567.11"/>
    <n v="2729245.16"/>
    <n v="2870567.11"/>
    <n v="2729245.16"/>
    <n v="104"/>
    <s v="AMOMPY"/>
    <s v="Momentum Capital Investment S.A."/>
    <s v="20/07/2026"/>
    <s v="20/07/2026"/>
    <n v="30"/>
    <s v="No"/>
    <s v=""/>
    <m/>
    <m/>
    <s v="*MAV170901208"/>
    <s v="*MAV170901208"/>
    <n v="5.2350910120968734E-5"/>
  </r>
  <r>
    <x v="0"/>
    <s v="Pesos"/>
    <d v="2026-09-22T00:00:00"/>
    <s v="20/07/2026"/>
    <n v="0.95320172999999997"/>
    <m/>
    <n v="10000000"/>
    <n v="9532017.3399999999"/>
    <n v="10000000"/>
    <n v="9532017.3399999999"/>
    <n v="1406548"/>
    <s v="AMOMPY"/>
    <s v="Momentum Capital Investment S.A."/>
    <s v="05/06/2026"/>
    <s v="05/06/2026"/>
    <n v="28"/>
    <s v="No"/>
    <s v=""/>
    <m/>
    <m/>
    <s v="*INP180900068"/>
    <s v="*INP180900068"/>
    <n v="1.8283802069208593E-4"/>
  </r>
  <r>
    <x v="148"/>
    <s v="Pesos"/>
    <d v="2026-09-22T00:00:00"/>
    <s v="20/07/2026"/>
    <n v="0.93907598000000003"/>
    <m/>
    <n v="3345657.98"/>
    <n v="3141827.04"/>
    <n v="3345657.98"/>
    <n v="3141827.04"/>
    <n v="254"/>
    <s v="AMOMPY"/>
    <s v="Momentum Capital Investment S.A."/>
    <s v="02/07/2026"/>
    <s v="02/07/2026"/>
    <n v="37"/>
    <s v="No"/>
    <s v=""/>
    <m/>
    <m/>
    <s v="*MAV180901160"/>
    <s v="*MAV180901160"/>
    <n v="6.0264833440858507E-5"/>
  </r>
  <r>
    <x v="197"/>
    <s v="Pesos"/>
    <d v="2026-09-22T00:00:00"/>
    <s v="20/07/2026"/>
    <n v="0.94530203000000002"/>
    <m/>
    <n v="5134985.93"/>
    <n v="4854112.63"/>
    <n v="5134985.93"/>
    <n v="4854112.63"/>
    <n v="403"/>
    <s v="AMOMPY"/>
    <s v="Momentum Capital Investment S.A."/>
    <s v="02/06/2026"/>
    <s v="02/06/2026"/>
    <n v="33"/>
    <s v="No"/>
    <s v=""/>
    <m/>
    <m/>
    <s v="*MAV180901027"/>
    <s v="*MAV180901027"/>
    <n v="9.3108973035675962E-5"/>
  </r>
  <r>
    <x v="157"/>
    <s v="Pesos"/>
    <d v="2026-09-22T00:00:00"/>
    <s v="20/07/2026"/>
    <n v="0.94687155999999995"/>
    <m/>
    <n v="1000000"/>
    <n v="946871.56"/>
    <n v="1000000"/>
    <n v="946871.56"/>
    <n v="67381776"/>
    <s v="AMOMPY"/>
    <s v="Momentum Capital Investment S.A."/>
    <s v="04/06/2026"/>
    <s v="04/06/2026"/>
    <n v="32"/>
    <s v="No"/>
    <s v=""/>
    <m/>
    <m/>
    <s v="*MAV180901035"/>
    <s v="*MAV180901035"/>
    <n v="1.8162380082286726E-5"/>
  </r>
  <r>
    <x v="144"/>
    <s v="Pesos"/>
    <d v="2026-09-22T00:00:00"/>
    <s v="20/07/2026"/>
    <n v="0.94687146"/>
    <m/>
    <n v="10000000"/>
    <n v="9468714.5700000003"/>
    <n v="10000000"/>
    <n v="9468714.5700000003"/>
    <n v="67448929"/>
    <s v="AMOMPY"/>
    <s v="Momentum Capital Investment S.A."/>
    <s v="05/06/2026"/>
    <s v="05/06/2026"/>
    <n v="32"/>
    <s v="No"/>
    <s v=""/>
    <m/>
    <m/>
    <s v="*MAV180901040"/>
    <s v="*MAV180901040"/>
    <n v="1.8162378106596224E-4"/>
  </r>
  <r>
    <x v="178"/>
    <s v="Pesos"/>
    <d v="2026-09-22T00:00:00"/>
    <s v="20/07/2026"/>
    <n v="0.94687158000000005"/>
    <m/>
    <n v="15355310.449999999"/>
    <n v="14539507.029999999"/>
    <n v="15355310.449999999"/>
    <n v="14539507.029999999"/>
    <n v="30749"/>
    <s v="AMOMPY"/>
    <s v="Momentum Capital Investment S.A."/>
    <s v="04/06/2026"/>
    <s v="04/06/2026"/>
    <n v="32"/>
    <s v="No"/>
    <s v=""/>
    <m/>
    <m/>
    <s v="*MAV180901036"/>
    <s v="*MAV180901036"/>
    <n v="2.7888898985194973E-4"/>
  </r>
  <r>
    <x v="194"/>
    <s v="Pesos"/>
    <d v="2026-09-22T00:00:00"/>
    <s v="20/07/2026"/>
    <n v="0.94687158000000005"/>
    <m/>
    <n v="40000000"/>
    <n v="37874863.100000001"/>
    <n v="40000000"/>
    <n v="37874863.100000001"/>
    <n v="13662787"/>
    <s v="AMOMPY"/>
    <s v="Momentum Capital Investment S.A."/>
    <s v="04/06/2026"/>
    <s v="04/06/2026"/>
    <n v="32"/>
    <s v="No"/>
    <s v=""/>
    <m/>
    <m/>
    <s v="*MAV180901037"/>
    <s v="*MAV180901037"/>
    <n v="7.2649521671849186E-4"/>
  </r>
  <r>
    <x v="21"/>
    <s v="Pesos"/>
    <d v="2026-09-22T00:00:00"/>
    <s v="20/07/2026"/>
    <n v="0.94530208000000004"/>
    <m/>
    <n v="10000000"/>
    <n v="9453020.8200000003"/>
    <n v="10000000"/>
    <n v="9453020.8200000003"/>
    <n v="29692618"/>
    <s v="AMOMPY"/>
    <s v="Momentum Capital Investment S.A."/>
    <s v="16/07/2026"/>
    <s v="16/07/2026"/>
    <n v="33"/>
    <s v="No"/>
    <s v=""/>
    <m/>
    <m/>
    <s v="*MAV180901269"/>
    <s v="*MAV180901269"/>
    <n v="1.8132275200937468E-4"/>
  </r>
  <r>
    <x v="158"/>
    <s v="Pesos"/>
    <d v="2026-09-22T00:00:00"/>
    <s v="20/07/2026"/>
    <n v="0.94530203000000002"/>
    <m/>
    <n v="17106704.170000002"/>
    <n v="16171002.210000001"/>
    <n v="17106704.170000002"/>
    <n v="16171002.210000001"/>
    <n v="940"/>
    <s v="AMOMPY"/>
    <s v="Momentum Capital Investment S.A."/>
    <s v="02/06/2026"/>
    <s v="02/06/2026"/>
    <n v="33"/>
    <s v="No"/>
    <s v=""/>
    <m/>
    <m/>
    <s v="*MAV180901026"/>
    <s v="*MAV180901026"/>
    <n v="3.1018345133263761E-4"/>
  </r>
  <r>
    <x v="63"/>
    <s v="Pesos"/>
    <d v="2026-09-22T00:00:00"/>
    <s v="20/07/2026"/>
    <n v="0.95479765999999999"/>
    <m/>
    <n v="20000000"/>
    <n v="19095953.27"/>
    <n v="20000000"/>
    <n v="19095953.27"/>
    <n v="67970080"/>
    <s v="AMOMPY"/>
    <s v="Momentum Capital Investment S.A."/>
    <s v="29/06/2026"/>
    <s v="29/06/2026"/>
    <n v="27"/>
    <s v="No"/>
    <s v=""/>
    <m/>
    <m/>
    <s v="*PRO180900014"/>
    <s v="*PRO180900014"/>
    <n v="3.6628828657957164E-4"/>
  </r>
  <r>
    <x v="63"/>
    <s v="Pesos"/>
    <d v="2026-09-22T00:00:00"/>
    <s v="20/07/2026"/>
    <n v="0.95961733999999999"/>
    <m/>
    <n v="2500000"/>
    <n v="2399043.35"/>
    <n v="2500000"/>
    <n v="2399043.35"/>
    <n v="16821014"/>
    <s v="AMOMPY"/>
    <s v="Momentum Capital Investment S.A."/>
    <s v="17/07/2026"/>
    <s v="17/07/2026"/>
    <n v="24"/>
    <s v="No"/>
    <s v=""/>
    <m/>
    <m/>
    <s v="*PRO180900018"/>
    <s v="*PRO180900018"/>
    <n v="4.6017156916807622E-5"/>
  </r>
  <r>
    <x v="63"/>
    <s v="Pesos"/>
    <d v="2026-09-22T00:00:00"/>
    <s v="20/07/2026"/>
    <n v="0.95961733999999999"/>
    <m/>
    <n v="4000000"/>
    <n v="3838469.36"/>
    <n v="4000000"/>
    <n v="3838469.36"/>
    <n v="16821012"/>
    <s v="AMOMPY"/>
    <s v="Momentum Capital Investment S.A."/>
    <s v="17/07/2026"/>
    <s v="17/07/2026"/>
    <n v="24"/>
    <s v="No"/>
    <s v=""/>
    <m/>
    <m/>
    <s v="*PRO180900019"/>
    <s v="*PRO180900019"/>
    <n v="7.3627451066892189E-5"/>
  </r>
  <r>
    <x v="74"/>
    <s v="Pesos"/>
    <d v="2026-09-22T00:00:00"/>
    <s v="20/07/2026"/>
    <n v="0.96042534999999996"/>
    <m/>
    <n v="6005225.8799999999"/>
    <n v="5767571.1799999997"/>
    <n v="6005225.8799999999"/>
    <n v="5767571.1799999997"/>
    <n v="95"/>
    <s v="AMOMPY"/>
    <s v="Momentum Capital Investment S.A."/>
    <s v="17/07/2026"/>
    <s v="17/07/2026"/>
    <n v="23.5"/>
    <s v="No"/>
    <s v=""/>
    <m/>
    <m/>
    <s v="%INC200900023"/>
    <s v="%INC200900023"/>
    <n v="1.1063044276332784E-4"/>
  </r>
  <r>
    <x v="131"/>
    <s v="Pesos"/>
    <d v="2026-09-22T00:00:00"/>
    <s v="20/07/2026"/>
    <n v="0.94217883000000002"/>
    <m/>
    <n v="50000000"/>
    <n v="47108941.530000001"/>
    <n v="50000000"/>
    <n v="47108941.530000001"/>
    <n v="2885"/>
    <s v="AMOMPY"/>
    <s v="Momentum Capital Investment S.A."/>
    <s v="19/06/2026"/>
    <s v="19/06/2026"/>
    <n v="35"/>
    <s v="No"/>
    <s v=""/>
    <m/>
    <m/>
    <s v="*MAV180901091"/>
    <s v="*MAV180901091"/>
    <n v="9.0361833377071963E-4"/>
  </r>
  <r>
    <x v="43"/>
    <s v="Pesos"/>
    <d v="2026-09-22T00:00:00"/>
    <s v="20/07/2026"/>
    <n v="0.95479765999999999"/>
    <m/>
    <n v="5000000"/>
    <n v="4773988.28"/>
    <n v="5000000"/>
    <n v="4773988.28"/>
    <n v="67193053"/>
    <s v="AMOMPY"/>
    <s v="Momentum Capital Investment S.A."/>
    <s v="04/06/2026"/>
    <s v="04/06/2026"/>
    <n v="27"/>
    <s v="No"/>
    <s v=""/>
    <m/>
    <m/>
    <s v="*MIL180900029"/>
    <s v="*MIL180900029"/>
    <n v="9.1572070925588126E-5"/>
  </r>
  <r>
    <x v="43"/>
    <s v="Pesos"/>
    <d v="2026-09-22T00:00:00"/>
    <s v="20/07/2026"/>
    <n v="0.95800538999999996"/>
    <m/>
    <n v="5000000"/>
    <n v="4790026.95"/>
    <n v="5000000"/>
    <n v="4790026.95"/>
    <n v="8744"/>
    <s v="AMOMPY"/>
    <s v="Momentum Capital Investment S.A."/>
    <s v="17/07/2026"/>
    <s v="17/07/2026"/>
    <n v="25"/>
    <s v="No"/>
    <s v=""/>
    <m/>
    <m/>
    <s v="*MIL180900033"/>
    <s v="*MIL180900033"/>
    <n v="9.1879716051770143E-5"/>
  </r>
  <r>
    <x v="13"/>
    <s v="Pesos"/>
    <d v="2026-09-22T00:00:00"/>
    <s v="20/07/2026"/>
    <n v="0.95800536000000003"/>
    <m/>
    <n v="20000000"/>
    <n v="19160107.109999999"/>
    <n v="20000000"/>
    <n v="19160107.109999999"/>
    <n v="157021"/>
    <s v="AMOMPY"/>
    <s v="Momentum Capital Investment S.A."/>
    <s v="20/07/2026"/>
    <s v="20/07/2026"/>
    <n v="25"/>
    <s v="No"/>
    <s v=""/>
    <m/>
    <m/>
    <s v="#NEU200960001"/>
    <s v="#NEU200960001"/>
    <n v="3.6751885097187234E-4"/>
  </r>
  <r>
    <x v="64"/>
    <s v="Pesos"/>
    <d v="2026-09-22T00:00:00"/>
    <s v="20/07/2026"/>
    <n v="0.94530197999999999"/>
    <m/>
    <n v="12500000"/>
    <n v="11816274.789999999"/>
    <n v="12500000"/>
    <n v="11816274.789999999"/>
    <n v="1360"/>
    <s v="AMOMPY"/>
    <s v="Momentum Capital Investment S.A."/>
    <s v="21/05/2026"/>
    <s v="21/05/2026"/>
    <n v="33"/>
    <s v="No"/>
    <s v=""/>
    <m/>
    <m/>
    <s v="*MAV180901014"/>
    <s v="*MAV180901014"/>
    <n v="2.2665341632261375E-4"/>
  </r>
  <r>
    <x v="49"/>
    <s v="Pesos"/>
    <d v="2026-09-22T00:00:00"/>
    <s v="20/07/2026"/>
    <n v="0.95161123000000003"/>
    <m/>
    <n v="25000000"/>
    <n v="23790280.77"/>
    <n v="25000000"/>
    <n v="23790280.77"/>
    <n v="66410159"/>
    <s v="AMOMPY"/>
    <s v="Momentum Capital Investment S.A."/>
    <s v="22/04/2026"/>
    <s v="22/04/2026"/>
    <n v="29"/>
    <s v="No"/>
    <s v=""/>
    <m/>
    <m/>
    <s v="*FID180900021"/>
    <s v="*FID180900021"/>
    <n v="4.5633234734503684E-4"/>
  </r>
  <r>
    <x v="123"/>
    <s v="Pesos"/>
    <d v="2026-09-22T00:00:00"/>
    <s v="20/07/2026"/>
    <n v="0.95800527000000002"/>
    <m/>
    <n v="7250000"/>
    <n v="6945538.2199999997"/>
    <n v="7250000"/>
    <n v="6945538.2199999997"/>
    <n v="33954"/>
    <s v="AMOMPY"/>
    <s v="Momentum Capital Investment S.A."/>
    <s v="16/06/2026"/>
    <s v="16/06/2026"/>
    <n v="25"/>
    <s v="No"/>
    <s v=""/>
    <m/>
    <m/>
    <s v="*MAV180901069"/>
    <s v="*MAV180901069"/>
    <n v="1.3322557182696374E-4"/>
  </r>
  <r>
    <x v="156"/>
    <s v="Pesos"/>
    <d v="2026-09-22T00:00:00"/>
    <s v="20/07/2026"/>
    <n v="0.95002606000000001"/>
    <m/>
    <n v="2500000"/>
    <n v="2375065.14"/>
    <n v="2500000"/>
    <n v="2375065.14"/>
    <n v="347"/>
    <s v="AMOMPY"/>
    <s v="Momentum Capital Investment S.A."/>
    <s v="15/07/2026"/>
    <s v="15/07/2026"/>
    <n v="30"/>
    <s v="No"/>
    <s v=""/>
    <m/>
    <m/>
    <s v="*MAV180901257"/>
    <s v="*MAV180901257"/>
    <n v="4.5557219812230434E-5"/>
  </r>
  <r>
    <x v="169"/>
    <s v="Pesos"/>
    <d v="2026-09-22T00:00:00"/>
    <s v="20/07/2026"/>
    <n v="0.95002615999999995"/>
    <m/>
    <n v="5628480.1799999997"/>
    <n v="5347203.43"/>
    <n v="5628480.1799999997"/>
    <n v="5347203.43"/>
    <n v="68199746"/>
    <s v="AMOMPY"/>
    <s v="Momentum Capital Investment S.A."/>
    <s v="13/07/2026"/>
    <s v="13/07/2026"/>
    <n v="30"/>
    <s v="No"/>
    <s v=""/>
    <m/>
    <m/>
    <s v="*MAV180901224"/>
    <s v="*MAV180901224"/>
    <n v="1.0256717508018433E-4"/>
  </r>
  <r>
    <x v="124"/>
    <s v="Pesos"/>
    <d v="2026-09-22T00:00:00"/>
    <s v="20/07/2026"/>
    <n v="0.95002606000000001"/>
    <m/>
    <n v="2500000"/>
    <n v="2375065.14"/>
    <n v="2500000"/>
    <n v="2375065.14"/>
    <n v="382"/>
    <s v="AMOMPY"/>
    <s v="Momentum Capital Investment S.A."/>
    <s v="15/07/2026"/>
    <s v="15/07/2026"/>
    <n v="30"/>
    <s v="No"/>
    <s v=""/>
    <m/>
    <m/>
    <s v="*MAV180901250"/>
    <s v="*MAV180901250"/>
    <n v="4.5557219812230434E-5"/>
  </r>
  <r>
    <x v="0"/>
    <s v="Pesos"/>
    <d v="2026-09-23T00:00:00"/>
    <s v="20/07/2026"/>
    <n v="0.94768282999999998"/>
    <m/>
    <n v="3000000"/>
    <n v="2843048.48"/>
    <n v="3000000"/>
    <n v="2843048.48"/>
    <n v="90003468"/>
    <s v="AMOMPY"/>
    <s v="Momentum Capital Investment S.A."/>
    <s v="22/04/2026"/>
    <s v="22/04/2026"/>
    <n v="31"/>
    <s v="No"/>
    <s v=""/>
    <m/>
    <m/>
    <s v="*INP210900041"/>
    <s v="*INP210900041"/>
    <n v="5.4533824087110137E-5"/>
  </r>
  <r>
    <x v="148"/>
    <s v="Pesos"/>
    <d v="2026-09-23T00:00:00"/>
    <s v="20/07/2026"/>
    <n v="0.93818281000000003"/>
    <m/>
    <n v="3345657.98"/>
    <n v="3138838.81"/>
    <n v="3345657.98"/>
    <n v="3138838.81"/>
    <n v="255"/>
    <s v="AMOMPY"/>
    <s v="Momentum Capital Investment S.A."/>
    <s v="02/07/2026"/>
    <s v="02/07/2026"/>
    <n v="37"/>
    <s v="No"/>
    <s v=""/>
    <m/>
    <m/>
    <s v="*MAV190901258"/>
    <s v="*MAV190901258"/>
    <n v="6.0207514823079669E-5"/>
  </r>
  <r>
    <x v="198"/>
    <s v="Pesos"/>
    <d v="2026-09-23T00:00:00"/>
    <s v="20/07/2026"/>
    <n v="0.94449477000000004"/>
    <m/>
    <n v="6625114.5199999996"/>
    <n v="6257386"/>
    <n v="6625114.5199999996"/>
    <n v="6257386"/>
    <n v="90000979"/>
    <s v="AMOMPY"/>
    <s v="Momentum Capital Investment S.A."/>
    <s v="02/06/2026"/>
    <s v="02/06/2026"/>
    <n v="33"/>
    <s v="No"/>
    <s v=""/>
    <m/>
    <m/>
    <s v="*MAV200901305"/>
    <s v="*MAV200901305"/>
    <n v="1.2002580672459928E-4"/>
  </r>
  <r>
    <x v="144"/>
    <s v="Pesos"/>
    <d v="2026-09-23T00:00:00"/>
    <s v="20/07/2026"/>
    <n v="0.94608619999999999"/>
    <m/>
    <n v="10000000"/>
    <n v="9460862.0199999996"/>
    <n v="10000000"/>
    <n v="9460862.0199999996"/>
    <n v="67448971"/>
    <s v="AMOMPY"/>
    <s v="Momentum Capital Investment S.A."/>
    <s v="05/06/2026"/>
    <s v="05/06/2026"/>
    <n v="32"/>
    <s v="No"/>
    <s v=""/>
    <m/>
    <m/>
    <s v="*MAV210900809"/>
    <s v="*MAV210900809"/>
    <n v="1.8147315768287617E-4"/>
  </r>
  <r>
    <x v="178"/>
    <s v="Pesos"/>
    <d v="2026-09-23T00:00:00"/>
    <s v="20/07/2026"/>
    <n v="0.94608614999999996"/>
    <m/>
    <n v="15355310.449999999"/>
    <n v="14527446.6"/>
    <n v="15355310.449999999"/>
    <n v="14527446.6"/>
    <n v="30750"/>
    <s v="AMOMPY"/>
    <s v="Momentum Capital Investment S.A."/>
    <s v="04/06/2026"/>
    <s v="04/06/2026"/>
    <n v="32"/>
    <s v="No"/>
    <s v=""/>
    <m/>
    <m/>
    <s v="*MAV210900806"/>
    <s v="*MAV210900806"/>
    <n v="2.7865765318194161E-4"/>
  </r>
  <r>
    <x v="69"/>
    <s v="Pesos"/>
    <d v="2026-09-23T00:00:00"/>
    <s v="20/07/2026"/>
    <n v="0.95901221000000003"/>
    <m/>
    <n v="685765.71"/>
    <n v="657657.68999999994"/>
    <n v="685765.71"/>
    <n v="657657.68999999994"/>
    <n v="612096"/>
    <s v="AMOMPY"/>
    <s v="Momentum Capital Investment S.A."/>
    <s v="29/05/2026"/>
    <s v="29/05/2026"/>
    <n v="24"/>
    <s v="No"/>
    <s v=""/>
    <m/>
    <m/>
    <s v="*MAV210900782"/>
    <s v="*MAV210900782"/>
    <n v="1.2614835458590284E-5"/>
  </r>
  <r>
    <x v="69"/>
    <s v="Pesos"/>
    <d v="2026-09-23T00:00:00"/>
    <s v="20/07/2026"/>
    <n v="0.95901219000000004"/>
    <m/>
    <n v="535280.22"/>
    <n v="513340.26"/>
    <n v="535280.22"/>
    <n v="513340.26"/>
    <n v="612233"/>
    <s v="AMOMPY"/>
    <s v="Momentum Capital Investment S.A."/>
    <s v="29/05/2026"/>
    <s v="29/05/2026"/>
    <n v="24"/>
    <s v="No"/>
    <s v=""/>
    <m/>
    <m/>
    <s v="*MAV210900783"/>
    <s v="*MAV210900783"/>
    <n v="9.8466162756645572E-6"/>
  </r>
  <r>
    <x v="69"/>
    <s v="Pesos"/>
    <d v="2026-09-23T00:00:00"/>
    <s v="20/07/2026"/>
    <n v="0.95901219000000004"/>
    <m/>
    <n v="535280.22"/>
    <n v="513340.26"/>
    <n v="535280.22"/>
    <n v="513340.26"/>
    <n v="612235"/>
    <s v="AMOMPY"/>
    <s v="Momentum Capital Investment S.A."/>
    <s v="29/05/2026"/>
    <s v="29/05/2026"/>
    <n v="24"/>
    <s v="No"/>
    <s v=""/>
    <m/>
    <m/>
    <s v="*MAV210900784"/>
    <s v="*MAV210900784"/>
    <n v="9.8466162756645572E-6"/>
  </r>
  <r>
    <x v="69"/>
    <s v="Pesos"/>
    <d v="2026-09-23T00:00:00"/>
    <s v="20/07/2026"/>
    <n v="0.95901221000000003"/>
    <m/>
    <n v="689115.82"/>
    <n v="660870.49"/>
    <n v="689115.82"/>
    <n v="660870.49"/>
    <n v="612121"/>
    <s v="AMOMPY"/>
    <s v="Momentum Capital Investment S.A."/>
    <s v="29/05/2026"/>
    <s v="29/05/2026"/>
    <n v="24"/>
    <s v="No"/>
    <s v=""/>
    <m/>
    <m/>
    <s v="*MAV210900785"/>
    <s v="*MAV210900785"/>
    <n v="1.267646165710909E-5"/>
  </r>
  <r>
    <x v="69"/>
    <s v="Pesos"/>
    <d v="2026-09-23T00:00:00"/>
    <s v="20/07/2026"/>
    <n v="0.95901219999999998"/>
    <m/>
    <n v="2688265.68"/>
    <n v="2578079.59"/>
    <n v="2688265.68"/>
    <n v="2578079.59"/>
    <n v="612240"/>
    <s v="AMOMPY"/>
    <s v="Momentum Capital Investment S.A."/>
    <s v="29/05/2026"/>
    <s v="29/05/2026"/>
    <n v="24"/>
    <s v="No"/>
    <s v=""/>
    <m/>
    <m/>
    <s v="*MAV210900786"/>
    <s v="*MAV210900786"/>
    <n v="4.9451333606393166E-5"/>
  </r>
  <r>
    <x v="69"/>
    <s v="Pesos"/>
    <d v="2026-09-23T00:00:00"/>
    <s v="20/07/2026"/>
    <n v="0.96560853000000002"/>
    <m/>
    <n v="603640.62"/>
    <n v="582880.53"/>
    <n v="603640.62"/>
    <n v="582880.53"/>
    <n v="612100"/>
    <s v="AMOMPY"/>
    <s v="Momentum Capital Investment S.A."/>
    <s v="22/06/2026"/>
    <s v="22/06/2026"/>
    <n v="20"/>
    <s v="No"/>
    <s v=""/>
    <m/>
    <m/>
    <s v="*MAV210900845"/>
    <s v="*MAV210900845"/>
    <n v="1.11805002659756E-5"/>
  </r>
  <r>
    <x v="63"/>
    <s v="Pesos"/>
    <d v="2026-09-23T00:00:00"/>
    <s v="20/07/2026"/>
    <n v="0.95901216"/>
    <m/>
    <n v="10000000"/>
    <n v="9590121.6500000004"/>
    <n v="10000000"/>
    <n v="9590121.6500000004"/>
    <n v="90000402"/>
    <s v="AMOMPY"/>
    <s v="Momentum Capital Investment S.A."/>
    <s v="17/07/2026"/>
    <s v="17/07/2026"/>
    <n v="24"/>
    <s v="No"/>
    <s v=""/>
    <m/>
    <m/>
    <s v="*PRO190900006"/>
    <s v="*PRO190900006"/>
    <n v="1.8395254625945965E-4"/>
  </r>
  <r>
    <x v="7"/>
    <s v="Pesos"/>
    <d v="2026-09-23T00:00:00"/>
    <s v="20/07/2026"/>
    <n v="0.94928478999999999"/>
    <m/>
    <n v="10000000"/>
    <n v="9492847.9199999999"/>
    <n v="10000000"/>
    <n v="9492847.9199999999"/>
    <n v="580"/>
    <s v="AMOMPY"/>
    <s v="Momentum Capital Investment S.A."/>
    <s v="02/06/2026"/>
    <s v="02/06/2026"/>
    <n v="30"/>
    <s v="No"/>
    <s v=""/>
    <m/>
    <m/>
    <s v="*MAV210900798"/>
    <s v="*MAV210900798"/>
    <n v="1.8208669398242879E-4"/>
  </r>
  <r>
    <x v="7"/>
    <s v="Pesos"/>
    <d v="2026-09-23T00:00:00"/>
    <s v="20/07/2026"/>
    <n v="0.94928491000000004"/>
    <m/>
    <n v="7500000"/>
    <n v="7119636.8399999999"/>
    <n v="7500000"/>
    <n v="7119636.8399999999"/>
    <n v="513"/>
    <s v="AMOMPY"/>
    <s v="Momentum Capital Investment S.A."/>
    <s v="18/05/2026"/>
    <s v="18/05/2026"/>
    <n v="30"/>
    <s v="No"/>
    <s v=""/>
    <m/>
    <m/>
    <s v="*MAV190901194"/>
    <s v="*MAV190901194"/>
    <n v="1.3656503775013668E-4"/>
  </r>
  <r>
    <x v="10"/>
    <s v="Pesos"/>
    <d v="2026-09-23T00:00:00"/>
    <s v="20/07/2026"/>
    <n v="0.94449477999999998"/>
    <m/>
    <n v="2500000"/>
    <n v="2361236.9500000002"/>
    <n v="2500000"/>
    <n v="2361236.9500000002"/>
    <n v="1201"/>
    <s v="AMOMPY"/>
    <s v="Momentum Capital Investment S.A."/>
    <s v="19/05/2026"/>
    <s v="19/05/2026"/>
    <n v="33"/>
    <s v="No"/>
    <s v=""/>
    <m/>
    <m/>
    <s v="*MAV210900773"/>
    <s v="*MAV210900773"/>
    <n v="4.5291974922384891E-5"/>
  </r>
  <r>
    <x v="43"/>
    <s v="Pesos"/>
    <d v="2026-09-23T00:00:00"/>
    <s v="20/07/2026"/>
    <n v="0.95412370000000002"/>
    <m/>
    <n v="35000000"/>
    <n v="33394329.640000001"/>
    <n v="35000000"/>
    <n v="33394329.640000001"/>
    <n v="54027795"/>
    <s v="AMOMPY"/>
    <s v="Momentum Capital Investment S.A."/>
    <s v="25/06/2026"/>
    <s v="25/06/2026"/>
    <n v="27"/>
    <s v="No"/>
    <s v=""/>
    <m/>
    <m/>
    <s v="*MIL210900026"/>
    <s v="*MIL210900026"/>
    <n v="6.4055203803444394E-4"/>
  </r>
  <r>
    <x v="43"/>
    <s v="Pesos"/>
    <d v="2026-09-23T00:00:00"/>
    <s v="20/07/2026"/>
    <n v="0.95412372999999995"/>
    <m/>
    <n v="10000000"/>
    <n v="9541237.2799999993"/>
    <n v="10000000"/>
    <n v="9541237.2799999993"/>
    <n v="67280581"/>
    <s v="AMOMPY"/>
    <s v="Momentum Capital Investment S.A."/>
    <s v="04/06/2026"/>
    <s v="04/06/2026"/>
    <n v="27"/>
    <s v="No"/>
    <s v=""/>
    <m/>
    <m/>
    <s v="*MIL210900024"/>
    <s v="*MIL210900024"/>
    <n v="1.8301487261339179E-4"/>
  </r>
  <r>
    <x v="43"/>
    <s v="Pesos"/>
    <d v="2026-09-23T00:00:00"/>
    <s v="20/07/2026"/>
    <n v="0.95412372999999995"/>
    <m/>
    <n v="10000000"/>
    <n v="9541237.2799999993"/>
    <n v="10000000"/>
    <n v="9541237.2799999993"/>
    <n v="67280500"/>
    <s v="AMOMPY"/>
    <s v="Momentum Capital Investment S.A."/>
    <s v="04/06/2026"/>
    <s v="04/06/2026"/>
    <n v="27"/>
    <s v="No"/>
    <s v=""/>
    <m/>
    <m/>
    <s v="*MIL200900039"/>
    <s v="*MIL200900039"/>
    <n v="1.8301487261339179E-4"/>
  </r>
  <r>
    <x v="43"/>
    <s v="Pesos"/>
    <d v="2026-09-23T00:00:00"/>
    <s v="20/07/2026"/>
    <n v="0.95412372999999995"/>
    <m/>
    <n v="5000000"/>
    <n v="4770618.66"/>
    <n v="5000000"/>
    <n v="4770618.66"/>
    <n v="67193054"/>
    <s v="AMOMPY"/>
    <s v="Momentum Capital Investment S.A."/>
    <s v="04/06/2026"/>
    <s v="04/06/2026"/>
    <n v="27"/>
    <s v="No"/>
    <s v=""/>
    <m/>
    <m/>
    <s v="*MIL190900031"/>
    <s v="*MIL190900031"/>
    <n v="9.1507436690325126E-5"/>
  </r>
  <r>
    <x v="43"/>
    <s v="Pesos"/>
    <d v="2026-09-23T00:00:00"/>
    <s v="20/07/2026"/>
    <n v="0.95412372999999995"/>
    <m/>
    <n v="5000000"/>
    <n v="4770618.66"/>
    <n v="5000000"/>
    <n v="4770618.66"/>
    <n v="67193055"/>
    <s v="AMOMPY"/>
    <s v="Momentum Capital Investment S.A."/>
    <s v="04/06/2026"/>
    <s v="04/06/2026"/>
    <n v="27"/>
    <s v="No"/>
    <s v=""/>
    <m/>
    <m/>
    <s v="*MIL200900040"/>
    <s v="*MIL200900040"/>
    <n v="9.1507436690325126E-5"/>
  </r>
  <r>
    <x v="139"/>
    <s v="Pesos"/>
    <d v="2026-09-23T00:00:00"/>
    <s v="20/07/2026"/>
    <n v="0.94928484999999996"/>
    <m/>
    <n v="1961936.49"/>
    <n v="1862436.58"/>
    <n v="1961936.49"/>
    <n v="1862436.58"/>
    <n v="9795"/>
    <s v="AMOMPY"/>
    <s v="Momentum Capital Investment S.A."/>
    <s v="13/07/2026"/>
    <s v="13/07/2026"/>
    <n v="30"/>
    <s v="No"/>
    <s v=""/>
    <m/>
    <m/>
    <s v="*MAV200901354"/>
    <s v="*MAV200901354"/>
    <n v="3.5724254982496474E-5"/>
  </r>
  <r>
    <x v="1"/>
    <s v="Pesos"/>
    <d v="2026-09-23T00:00:00"/>
    <s v="20/07/2026"/>
    <n v="0.95250528000000001"/>
    <m/>
    <n v="10000000"/>
    <n v="9525052.7599999998"/>
    <n v="10000000"/>
    <n v="9525052.7599999998"/>
    <n v="360566"/>
    <s v="AMOMPY"/>
    <s v="Momentum Capital Investment S.A."/>
    <s v="21/04/2026"/>
    <s v="21/04/2026"/>
    <n v="28"/>
    <s v="No"/>
    <s v=""/>
    <m/>
    <m/>
    <s v="*MOV210900051"/>
    <s v="*MOV210900051"/>
    <n v="1.8270442987109486E-4"/>
  </r>
  <r>
    <x v="13"/>
    <s v="Pesos"/>
    <d v="2026-09-23T00:00:00"/>
    <s v="20/07/2026"/>
    <n v="0.94928480999999998"/>
    <m/>
    <n v="6000000"/>
    <n v="5695708.8899999997"/>
    <n v="6000000"/>
    <n v="5695708.8899999997"/>
    <n v="10926497"/>
    <s v="AMOMPY"/>
    <s v="Momentum Capital Investment S.A."/>
    <s v="20/04/2026"/>
    <s v="20/04/2026"/>
    <n v="30"/>
    <s v="No"/>
    <s v=""/>
    <m/>
    <m/>
    <s v="*NEU210900016"/>
    <s v="*NEU210900016"/>
    <n v="1.0925201903649892E-4"/>
  </r>
  <r>
    <x v="13"/>
    <s v="Pesos"/>
    <d v="2026-09-23T00:00:00"/>
    <s v="20/07/2026"/>
    <n v="0.95574769999999998"/>
    <m/>
    <n v="9000000"/>
    <n v="8601729.3300000001"/>
    <n v="9000000"/>
    <n v="8601729.3300000001"/>
    <n v="3487869"/>
    <s v="AMOMPY"/>
    <s v="Momentum Capital Investment S.A."/>
    <s v="29/05/2026"/>
    <s v="29/05/2026"/>
    <n v="26"/>
    <s v="No"/>
    <s v=""/>
    <m/>
    <m/>
    <s v="*NEU190900027"/>
    <s v="*NEU190900027"/>
    <n v="1.6499373733055574E-4"/>
  </r>
  <r>
    <x v="13"/>
    <s v="Pesos"/>
    <d v="2026-09-23T00:00:00"/>
    <s v="20/07/2026"/>
    <n v="0.95250526000000002"/>
    <m/>
    <n v="10000000"/>
    <n v="9525052.6300000008"/>
    <n v="10000000"/>
    <n v="9525052.6300000008"/>
    <n v="3487823"/>
    <s v="AMOMPY"/>
    <s v="Momentum Capital Investment S.A."/>
    <s v="05/05/2026"/>
    <s v="05/05/2026"/>
    <n v="28"/>
    <s v="No"/>
    <s v=""/>
    <m/>
    <m/>
    <s v="*NEU190900025"/>
    <s v="*NEU190900025"/>
    <n v="1.8270442737750495E-4"/>
  </r>
  <r>
    <x v="199"/>
    <s v="Pesos"/>
    <d v="2026-09-23T00:00:00"/>
    <s v="20/07/2026"/>
    <n v="0.94928486000000001"/>
    <m/>
    <n v="30000000"/>
    <n v="28478545.920000002"/>
    <n v="30000000"/>
    <n v="28478545.920000002"/>
    <n v="738"/>
    <s v="AMOMPY"/>
    <s v="Momentum Capital Investment S.A."/>
    <s v="06/07/2026"/>
    <s v="06/07/2026"/>
    <n v="30"/>
    <s v="No"/>
    <s v=""/>
    <m/>
    <m/>
    <s v="*MAV210900911"/>
    <s v="*MAV210900911"/>
    <n v="5.462601233792426E-4"/>
  </r>
  <r>
    <x v="167"/>
    <s v="Pesos"/>
    <d v="2026-09-23T00:00:00"/>
    <s v="20/07/2026"/>
    <n v="0.94928499"/>
    <m/>
    <n v="830000"/>
    <n v="787906.54"/>
    <n v="830000"/>
    <n v="787906.54"/>
    <n v="64"/>
    <s v="AMOMPY"/>
    <s v="Momentum Capital Investment S.A."/>
    <s v="15/07/2026"/>
    <s v="15/07/2026"/>
    <n v="30"/>
    <s v="No"/>
    <s v=""/>
    <m/>
    <m/>
    <s v="*MAV210900942"/>
    <s v="*MAV210900942"/>
    <n v="1.511319872021444E-5"/>
  </r>
  <r>
    <x v="157"/>
    <s v="Pesos"/>
    <d v="2026-09-24T00:00:00"/>
    <s v="20/07/2026"/>
    <n v="0.94530203000000002"/>
    <m/>
    <n v="1000000"/>
    <n v="945302.03"/>
    <n v="1000000"/>
    <n v="945302.03"/>
    <n v="67381805"/>
    <s v="AMOMPY"/>
    <s v="Momentum Capital Investment S.A."/>
    <s v="04/06/2026"/>
    <s v="04/06/2026"/>
    <n v="32"/>
    <s v="No"/>
    <s v=""/>
    <m/>
    <m/>
    <s v="*MAV220901282"/>
    <s v="*MAV220901282"/>
    <n v="1.8132274203501486E-5"/>
  </r>
  <r>
    <x v="178"/>
    <s v="Pesos"/>
    <d v="2026-09-24T00:00:00"/>
    <s v="20/07/2026"/>
    <n v="0.94530203000000002"/>
    <m/>
    <n v="15355310.449999999"/>
    <n v="14515406.17"/>
    <n v="15355310.449999999"/>
    <n v="14515406.17"/>
    <n v="30751"/>
    <s v="AMOMPY"/>
    <s v="Momentum Capital Investment S.A."/>
    <s v="04/06/2026"/>
    <s v="04/06/2026"/>
    <n v="32"/>
    <s v="No"/>
    <s v=""/>
    <m/>
    <m/>
    <s v="*MAV220901283"/>
    <s v="*MAV220901283"/>
    <n v="2.7842670014115731E-4"/>
  </r>
  <r>
    <x v="63"/>
    <s v="Pesos"/>
    <d v="2026-09-24T00:00:00"/>
    <s v="20/07/2026"/>
    <n v="0.95509736000000001"/>
    <m/>
    <n v="20000000"/>
    <n v="19101947.260000002"/>
    <n v="20000000"/>
    <n v="19101947.260000002"/>
    <n v="9508919"/>
    <s v="AMOMPY"/>
    <s v="Momentum Capital Investment S.A."/>
    <s v="17/07/2026"/>
    <s v="17/07/2026"/>
    <n v="26"/>
    <s v="No"/>
    <s v=""/>
    <m/>
    <m/>
    <s v="*PRO220900009"/>
    <s v="*PRO220900009"/>
    <n v="3.6640326006614408E-4"/>
  </r>
  <r>
    <x v="7"/>
    <s v="Pesos"/>
    <d v="2026-09-24T00:00:00"/>
    <s v="20/07/2026"/>
    <n v="0.94854477000000004"/>
    <m/>
    <n v="5000000"/>
    <n v="4742723.83"/>
    <n v="5000000"/>
    <n v="4742723.83"/>
    <n v="684"/>
    <s v="AMOMPY"/>
    <s v="Momentum Capital Investment S.A."/>
    <s v="26/06/2026"/>
    <s v="26/06/2026"/>
    <n v="30"/>
    <s v="No"/>
    <s v=""/>
    <m/>
    <m/>
    <s v="*MAV220901364"/>
    <s v="*MAV220901364"/>
    <n v="9.0972373091212732E-5"/>
  </r>
  <r>
    <x v="7"/>
    <s v="Pesos"/>
    <d v="2026-09-24T00:00:00"/>
    <s v="20/07/2026"/>
    <n v="0.94854479000000003"/>
    <m/>
    <n v="10000000"/>
    <n v="9485447.9000000004"/>
    <n v="10000000"/>
    <n v="9485447.9000000004"/>
    <n v="725"/>
    <s v="AMOMPY"/>
    <s v="Momentum Capital Investment S.A."/>
    <s v="30/06/2026"/>
    <s v="30/06/2026"/>
    <n v="30"/>
    <s v="No"/>
    <s v=""/>
    <m/>
    <m/>
    <s v="*MAV220901375"/>
    <s v="*MAV220901375"/>
    <n v="1.8194475078597613E-4"/>
  </r>
  <r>
    <x v="7"/>
    <s v="Pesos"/>
    <d v="2026-09-24T00:00:00"/>
    <s v="20/07/2026"/>
    <n v="0.94854483999999994"/>
    <m/>
    <n v="10000000"/>
    <n v="9485448.4199999999"/>
    <n v="10000000"/>
    <n v="9485448.4199999999"/>
    <n v="740"/>
    <s v="AMOMPY"/>
    <s v="Momentum Capital Investment S.A."/>
    <s v="08/07/2026"/>
    <s v="08/07/2026"/>
    <n v="30"/>
    <s v="No"/>
    <s v=""/>
    <m/>
    <m/>
    <s v="*MAV220901389"/>
    <s v="*MAV220901389"/>
    <n v="1.8194476076033596E-4"/>
  </r>
  <r>
    <x v="7"/>
    <s v="Pesos"/>
    <d v="2026-09-24T00:00:00"/>
    <s v="20/07/2026"/>
    <n v="0.94854477000000004"/>
    <m/>
    <n v="5000000"/>
    <n v="4742723.83"/>
    <n v="5000000"/>
    <n v="4742723.83"/>
    <n v="782"/>
    <s v="AMOMPY"/>
    <s v="Momentum Capital Investment S.A."/>
    <s v="14/07/2026"/>
    <s v="14/07/2026"/>
    <n v="30"/>
    <s v="No"/>
    <s v=""/>
    <m/>
    <m/>
    <s v="*MAV220901420"/>
    <s v="*MAV220901420"/>
    <n v="9.0972373091212732E-5"/>
  </r>
  <r>
    <x v="56"/>
    <s v="Pesos"/>
    <d v="2026-09-24T00:00:00"/>
    <s v="20/07/2026"/>
    <n v="0.93729161000000005"/>
    <m/>
    <n v="3076923.1"/>
    <n v="2883974.21"/>
    <n v="3076923.1"/>
    <n v="2883974.21"/>
    <n v="2781"/>
    <s v="AMOMPY"/>
    <s v="Momentum Capital Investment S.A."/>
    <s v="02/07/2026"/>
    <s v="02/07/2026"/>
    <n v="37"/>
    <s v="No"/>
    <s v=""/>
    <m/>
    <m/>
    <s v="*MAV220901385"/>
    <s v="*MAV220901385"/>
    <n v="5.5318839388874022E-5"/>
  </r>
  <r>
    <x v="42"/>
    <s v="Pesos"/>
    <d v="2026-09-24T00:00:00"/>
    <s v="20/07/2026"/>
    <n v="0.93729141000000005"/>
    <m/>
    <n v="50000000"/>
    <n v="46864570.600000001"/>
    <n v="50000000"/>
    <n v="46864570.600000001"/>
    <n v="67836059"/>
    <s v="AMOMPY"/>
    <s v="Momentum Capital Investment S.A."/>
    <s v="22/06/2026"/>
    <s v="22/06/2026"/>
    <n v="37"/>
    <s v="No"/>
    <s v=""/>
    <m/>
    <m/>
    <s v="*MAV220901329"/>
    <s v="*MAV220901329"/>
    <n v="8.9893094226038434E-4"/>
  </r>
  <r>
    <x v="57"/>
    <s v="Pesos"/>
    <d v="2026-09-24T00:00:00"/>
    <s v="20/07/2026"/>
    <n v="0.95674968000000005"/>
    <m/>
    <n v="50000000"/>
    <n v="47837484.200000003"/>
    <n v="50000000"/>
    <n v="47837484.200000003"/>
    <n v="4900"/>
    <s v="AMOMPY"/>
    <s v="Momentum Capital Investment S.A."/>
    <s v="25/06/2026"/>
    <s v="25/06/2026"/>
    <n v="25"/>
    <s v="No"/>
    <s v=""/>
    <m/>
    <m/>
    <s v="*BIF220900006"/>
    <s v="*BIF220900006"/>
    <n v="9.1759284672230095E-4"/>
  </r>
  <r>
    <x v="43"/>
    <s v="Pesos"/>
    <d v="2026-09-24T00:00:00"/>
    <s v="20/07/2026"/>
    <n v="0.95345075000000001"/>
    <m/>
    <n v="8000000"/>
    <n v="7627606.0300000003"/>
    <n v="8000000"/>
    <n v="7627606.0300000003"/>
    <n v="67280737"/>
    <s v="AMOMPY"/>
    <s v="Momentum Capital Investment S.A."/>
    <s v="04/06/2026"/>
    <s v="04/06/2026"/>
    <n v="27"/>
    <s v="No"/>
    <s v=""/>
    <m/>
    <m/>
    <s v="*MIL220900044"/>
    <s v="*MIL220900044"/>
    <n v="1.4630862905503481E-4"/>
  </r>
  <r>
    <x v="43"/>
    <s v="Pesos"/>
    <d v="2026-09-24T00:00:00"/>
    <s v="20/07/2026"/>
    <n v="0.95345075999999995"/>
    <m/>
    <n v="5000000"/>
    <n v="4767253.78"/>
    <n v="5000000"/>
    <n v="4767253.78"/>
    <n v="67193056"/>
    <s v="AMOMPY"/>
    <s v="Momentum Capital Investment S.A."/>
    <s v="04/06/2026"/>
    <s v="04/06/2026"/>
    <n v="27"/>
    <s v="No"/>
    <s v=""/>
    <m/>
    <m/>
    <s v="*MIL220900045"/>
    <s v="*MIL220900045"/>
    <n v="9.1442893375188195E-5"/>
  </r>
  <r>
    <x v="48"/>
    <s v="Pesos"/>
    <d v="2026-09-24T00:00:00"/>
    <s v="20/07/2026"/>
    <n v="0.94047935999999999"/>
    <m/>
    <n v="115000000"/>
    <n v="108155126.06999999"/>
    <n v="115000000"/>
    <n v="108155126.06999999"/>
    <n v="8428"/>
    <s v="AMOMPY"/>
    <s v="Momentum Capital Investment S.A."/>
    <s v="12/06/2026"/>
    <s v="12/06/2026"/>
    <n v="35"/>
    <s v="No"/>
    <s v=""/>
    <m/>
    <m/>
    <s v="*MAV220901299"/>
    <s v="*MAV220901299"/>
    <n v="2.0745733534662057E-3"/>
  </r>
  <r>
    <x v="103"/>
    <s v="Pesos"/>
    <d v="2026-09-24T00:00:00"/>
    <s v="20/07/2026"/>
    <n v="0.94854495000000005"/>
    <m/>
    <n v="2870567.11"/>
    <n v="2722861.93"/>
    <n v="2870567.11"/>
    <n v="2722861.93"/>
    <n v="105"/>
    <s v="AMOMPY"/>
    <s v="Momentum Capital Investment S.A."/>
    <s v="20/07/2026"/>
    <s v="20/07/2026"/>
    <n v="30"/>
    <s v="No"/>
    <s v=""/>
    <m/>
    <m/>
    <s v="*MAV220901438"/>
    <s v="*MAV220901438"/>
    <n v="5.222847044244184E-5"/>
  </r>
  <r>
    <x v="0"/>
    <s v="Pesos"/>
    <d v="2026-09-25T00:00:00"/>
    <s v="20/07/2026"/>
    <n v="0.95277891000000003"/>
    <m/>
    <n v="30000000"/>
    <n v="28583367.41"/>
    <n v="30000000"/>
    <n v="28583367.41"/>
    <n v="90000209"/>
    <s v="AMOMPY"/>
    <s v="Momentum Capital Investment S.A."/>
    <s v="03/07/2026"/>
    <s v="03/07/2026"/>
    <n v="27"/>
    <s v="No"/>
    <s v=""/>
    <m/>
    <m/>
    <s v="*INP230900073"/>
    <s v="*INP230900073"/>
    <n v="5.4827075272180265E-4"/>
  </r>
  <r>
    <x v="0"/>
    <s v="Pesos"/>
    <d v="2026-09-25T00:00:00"/>
    <s v="20/07/2026"/>
    <n v="0.95277891000000003"/>
    <m/>
    <n v="22000000"/>
    <n v="20961136.100000001"/>
    <n v="22000000"/>
    <n v="20961136.100000001"/>
    <n v="90000343"/>
    <s v="AMOMPY"/>
    <s v="Momentum Capital Investment S.A."/>
    <s v="03/07/2026"/>
    <s v="03/07/2026"/>
    <n v="27"/>
    <s v="No"/>
    <s v=""/>
    <m/>
    <m/>
    <s v="*INP230900071"/>
    <s v="*INP230900071"/>
    <n v="4.0206521864986764E-4"/>
  </r>
  <r>
    <x v="0"/>
    <s v="Pesos"/>
    <d v="2026-09-25T00:00:00"/>
    <s v="20/07/2026"/>
    <n v="0.95277891000000003"/>
    <m/>
    <n v="10000000"/>
    <n v="9527789.1400000006"/>
    <n v="10000000"/>
    <n v="9527789.1400000006"/>
    <n v="90000267"/>
    <s v="AMOMPY"/>
    <s v="Momentum Capital Investment S.A."/>
    <s v="03/07/2026"/>
    <s v="03/07/2026"/>
    <n v="27"/>
    <s v="No"/>
    <s v=""/>
    <m/>
    <m/>
    <s v="*INP230900072"/>
    <s v="*INP230900072"/>
    <n v="1.8275691763787244E-4"/>
  </r>
  <r>
    <x v="0"/>
    <s v="Pesos"/>
    <d v="2026-09-25T00:00:00"/>
    <s v="20/07/2026"/>
    <n v="0.95277891000000003"/>
    <m/>
    <n v="24600000"/>
    <n v="23438361.280000001"/>
    <n v="24600000"/>
    <n v="23438361.280000001"/>
    <n v="90000306"/>
    <s v="AMOMPY"/>
    <s v="Momentum Capital Investment S.A."/>
    <s v="03/07/2026"/>
    <s v="03/07/2026"/>
    <n v="27"/>
    <s v="No"/>
    <s v=""/>
    <m/>
    <m/>
    <s v="*INP230900070"/>
    <s v="*INP230900070"/>
    <n v="4.4958201730476772E-4"/>
  </r>
  <r>
    <x v="0"/>
    <s v="Pesos"/>
    <d v="2026-09-25T00:00:00"/>
    <s v="20/07/2026"/>
    <n v="0.95277891000000003"/>
    <m/>
    <n v="18000000"/>
    <n v="17150020.449999999"/>
    <n v="18000000"/>
    <n v="17150020.449999999"/>
    <n v="90000338"/>
    <s v="AMOMPY"/>
    <s v="Momentum Capital Investment S.A."/>
    <s v="03/07/2026"/>
    <s v="03/07/2026"/>
    <n v="27"/>
    <s v="No"/>
    <s v=""/>
    <m/>
    <m/>
    <s v="*INP230900069"/>
    <s v="*INP230900069"/>
    <n v="3.2896245170980744E-4"/>
  </r>
  <r>
    <x v="0"/>
    <s v="Pesos"/>
    <d v="2026-09-25T00:00:00"/>
    <s v="20/07/2026"/>
    <n v="0.94615965999999996"/>
    <m/>
    <n v="3000000"/>
    <n v="2838478.98"/>
    <n v="3000000"/>
    <n v="2838478.98"/>
    <n v="90003469"/>
    <s v="AMOMPY"/>
    <s v="Momentum Capital Investment S.A."/>
    <s v="22/04/2026"/>
    <s v="22/04/2026"/>
    <n v="31"/>
    <s v="No"/>
    <s v=""/>
    <m/>
    <m/>
    <s v="*INP230900060"/>
    <s v="*INP230900060"/>
    <n v="5.4446174400191662E-5"/>
  </r>
  <r>
    <x v="7"/>
    <s v="Pesos"/>
    <d v="2026-09-25T00:00:00"/>
    <s v="20/07/2026"/>
    <n v="0.94780580000000003"/>
    <m/>
    <n v="10000000"/>
    <n v="9478057.9900000002"/>
    <n v="10000000"/>
    <n v="9478057.9900000002"/>
    <n v="570"/>
    <s v="AMOMPY"/>
    <s v="Momentum Capital Investment S.A."/>
    <s v="01/06/2026"/>
    <s v="01/06/2026"/>
    <n v="30"/>
    <s v="No"/>
    <s v=""/>
    <m/>
    <m/>
    <s v="*MAV230901174"/>
    <s v="*MAV230901174"/>
    <n v="1.8180300151409613E-4"/>
  </r>
  <r>
    <x v="7"/>
    <s v="Pesos"/>
    <d v="2026-09-25T00:00:00"/>
    <s v="20/07/2026"/>
    <n v="0.94780584999999995"/>
    <m/>
    <n v="6500000"/>
    <n v="6160738"/>
    <n v="6500000"/>
    <n v="6160738"/>
    <n v="741"/>
    <s v="AMOMPY"/>
    <s v="Momentum Capital Investment S.A."/>
    <s v="08/07/2026"/>
    <s v="08/07/2026"/>
    <n v="30"/>
    <s v="No"/>
    <s v=""/>
    <m/>
    <m/>
    <s v="*MAV230901295"/>
    <s v="*MAV230901295"/>
    <n v="1.1817195686328033E-4"/>
  </r>
  <r>
    <x v="7"/>
    <s v="Pesos"/>
    <d v="2026-09-25T00:00:00"/>
    <s v="20/07/2026"/>
    <n v="0.94780576000000005"/>
    <m/>
    <n v="5000000"/>
    <n v="4739028.82"/>
    <n v="5000000"/>
    <n v="4739028.82"/>
    <n v="783"/>
    <s v="AMOMPY"/>
    <s v="Momentum Capital Investment S.A."/>
    <s v="14/07/2026"/>
    <s v="14/07/2026"/>
    <n v="30"/>
    <s v="No"/>
    <s v=""/>
    <m/>
    <m/>
    <s v="*MAV230901304"/>
    <s v="*MAV230901304"/>
    <n v="9.0901497400292357E-5"/>
  </r>
  <r>
    <x v="56"/>
    <s v="Pesos"/>
    <d v="2026-09-25T00:00:00"/>
    <s v="20/07/2026"/>
    <n v="0.93640184000000004"/>
    <m/>
    <n v="3076923.1"/>
    <n v="2881236.44"/>
    <n v="3076923.1"/>
    <n v="2881236.44"/>
    <n v="2782"/>
    <s v="AMOMPY"/>
    <s v="Momentum Capital Investment S.A."/>
    <s v="02/07/2026"/>
    <s v="02/07/2026"/>
    <n v="37"/>
    <s v="No"/>
    <s v=""/>
    <m/>
    <m/>
    <s v="*MAV230901281"/>
    <s v="*MAV230901281"/>
    <n v="5.5266324959865422E-5"/>
  </r>
  <r>
    <x v="186"/>
    <s v="Pesos"/>
    <d v="2026-09-25T00:00:00"/>
    <s v="20/07/2026"/>
    <n v="0.9445192"/>
    <m/>
    <n v="475000000"/>
    <n v="448646620.43000001"/>
    <n v="475000000"/>
    <n v="448646620.43000001"/>
    <n v="929"/>
    <s v="AMOMPY"/>
    <s v="Momentum Capital Investment S.A."/>
    <s v="14/07/2026"/>
    <s v="14/07/2026"/>
    <n v="32"/>
    <s v="No"/>
    <s v=""/>
    <m/>
    <m/>
    <s v="*MAV230901303"/>
    <s v="*MAV230901303"/>
    <n v="8.6056977388602584E-3"/>
  </r>
  <r>
    <x v="135"/>
    <s v="Pesos"/>
    <d v="2026-09-25T00:00:00"/>
    <s v="20/07/2026"/>
    <n v="0.94451936999999997"/>
    <m/>
    <n v="50000000"/>
    <n v="47225968.32"/>
    <n v="50000000"/>
    <n v="47225968.32"/>
    <n v="4898"/>
    <s v="AMOMPY"/>
    <s v="Momentum Capital Investment S.A."/>
    <s v="25/06/2026"/>
    <s v="25/06/2026"/>
    <n v="32"/>
    <s v="No"/>
    <s v=""/>
    <m/>
    <m/>
    <s v="*MAV230901245"/>
    <s v="*MAV230901245"/>
    <n v="9.058630786015707E-4"/>
  </r>
  <r>
    <x v="43"/>
    <s v="Pesos"/>
    <d v="2026-09-25T00:00:00"/>
    <s v="20/07/2026"/>
    <n v="0.95277886000000001"/>
    <m/>
    <n v="35000000"/>
    <n v="33347260.170000002"/>
    <n v="35000000"/>
    <n v="33347260.170000002"/>
    <n v="54027796"/>
    <s v="AMOMPY"/>
    <s v="Momentum Capital Investment S.A."/>
    <s v="25/06/2026"/>
    <s v="25/06/2026"/>
    <n v="27"/>
    <s v="No"/>
    <s v=""/>
    <m/>
    <m/>
    <s v="*MIL230900028"/>
    <s v="*MIL230900028"/>
    <n v="6.3964917682229417E-4"/>
  </r>
  <r>
    <x v="43"/>
    <s v="Pesos"/>
    <d v="2026-09-25T00:00:00"/>
    <s v="20/07/2026"/>
    <n v="0.95277873000000002"/>
    <m/>
    <n v="5000000"/>
    <n v="4763893.63"/>
    <n v="5000000"/>
    <n v="4763893.63"/>
    <n v="67193057"/>
    <s v="AMOMPY"/>
    <s v="Momentum Capital Investment S.A."/>
    <s v="04/06/2026"/>
    <s v="04/06/2026"/>
    <n v="27"/>
    <s v="No"/>
    <s v=""/>
    <m/>
    <m/>
    <s v="*MIL230900027"/>
    <s v="*MIL230900027"/>
    <n v="9.1378440788362684E-5"/>
  </r>
  <r>
    <x v="123"/>
    <s v="Pesos"/>
    <d v="2026-09-25T00:00:00"/>
    <s v="20/07/2026"/>
    <n v="0.95612317000000002"/>
    <m/>
    <n v="7250000"/>
    <n v="6931892.9500000002"/>
    <n v="7250000"/>
    <n v="6931892.9500000002"/>
    <n v="33955"/>
    <s v="AMOMPY"/>
    <s v="Momentum Capital Investment S.A."/>
    <s v="16/06/2026"/>
    <s v="16/06/2026"/>
    <n v="25"/>
    <s v="No"/>
    <s v=""/>
    <m/>
    <m/>
    <s v="*MAV230901200"/>
    <s v="*MAV230901200"/>
    <n v="1.3296383560999951E-4"/>
  </r>
  <r>
    <x v="12"/>
    <s v="Pesos"/>
    <d v="2026-09-25T00:00:00"/>
    <s v="20/07/2026"/>
    <n v="0.93963202999999995"/>
    <m/>
    <n v="6000000"/>
    <n v="5637792.1799999997"/>
    <n v="6000000"/>
    <n v="5637792.1799999997"/>
    <n v="40761880"/>
    <s v="AMOMPY"/>
    <s v="Momentum Capital Investment S.A."/>
    <s v="16/07/2026"/>
    <s v="16/07/2026"/>
    <n v="35"/>
    <s v="No"/>
    <s v=""/>
    <m/>
    <m/>
    <s v="*MAV230901313"/>
    <s v="*MAV230901313"/>
    <n v="1.0814109191124491E-4"/>
  </r>
  <r>
    <x v="148"/>
    <s v="Pesos"/>
    <d v="2026-09-28T00:00:00"/>
    <s v="20/07/2026"/>
    <n v="0.93374288000000005"/>
    <m/>
    <n v="3345657.98"/>
    <n v="3123984.31"/>
    <n v="3345657.98"/>
    <n v="3123984.31"/>
    <n v="258"/>
    <s v="AMOMPY"/>
    <s v="Momentum Capital Investment S.A."/>
    <s v="02/07/2026"/>
    <s v="02/07/2026"/>
    <n v="37"/>
    <s v="No"/>
    <s v=""/>
    <m/>
    <m/>
    <s v="*MAV240901066"/>
    <s v="*MAV240901066"/>
    <n v="5.99225838077978E-5"/>
  </r>
  <r>
    <x v="194"/>
    <s v="Pesos"/>
    <d v="2026-09-28T00:00:00"/>
    <s v="20/07/2026"/>
    <n v="0.94217870000000004"/>
    <m/>
    <n v="40000000"/>
    <n v="37687148.060000002"/>
    <n v="40000000"/>
    <n v="37687148.060000002"/>
    <n v="13662790"/>
    <s v="AMOMPY"/>
    <s v="Momentum Capital Investment S.A."/>
    <s v="12/06/2026"/>
    <s v="12/06/2026"/>
    <n v="32"/>
    <s v="No"/>
    <s v=""/>
    <m/>
    <m/>
    <s v="*MAV240900994"/>
    <s v="*MAV240900994"/>
    <n v="7.2289456796351017E-4"/>
  </r>
  <r>
    <x v="63"/>
    <s v="Pesos"/>
    <d v="2026-09-28T00:00:00"/>
    <s v="20/07/2026"/>
    <n v="0.95076855000000005"/>
    <m/>
    <n v="100000000"/>
    <n v="95076854.719999999"/>
    <n v="100000000"/>
    <n v="95076854.719999999"/>
    <n v="14032579"/>
    <s v="AMOMPY"/>
    <s v="Momentum Capital Investment S.A."/>
    <s v="01/07/2026"/>
    <s v="01/07/2026"/>
    <n v="27"/>
    <s v="No"/>
    <s v=""/>
    <m/>
    <m/>
    <s v="*PRO240900017"/>
    <s v="*PRO240900017"/>
    <n v="1.8237129991030639E-3"/>
  </r>
  <r>
    <x v="63"/>
    <s v="Pesos"/>
    <d v="2026-09-28T00:00:00"/>
    <s v="20/07/2026"/>
    <n v="0.95424852999999998"/>
    <m/>
    <n v="25000000"/>
    <n v="23856213.170000002"/>
    <n v="25000000"/>
    <n v="23856213.170000002"/>
    <n v="928"/>
    <s v="AMOMPY"/>
    <s v="Momentum Capital Investment S.A."/>
    <s v="02/07/2026"/>
    <s v="02/07/2026"/>
    <n v="25"/>
    <s v="No"/>
    <s v=""/>
    <m/>
    <m/>
    <s v="*PRO240900016"/>
    <s v="*PRO240900016"/>
    <n v="4.5759702711695589E-4"/>
  </r>
  <r>
    <x v="7"/>
    <s v="Pesos"/>
    <d v="2026-09-28T00:00:00"/>
    <s v="20/07/2026"/>
    <n v="0.94559599000000005"/>
    <m/>
    <n v="10000000"/>
    <n v="9455959.8499999996"/>
    <n v="10000000"/>
    <n v="9455959.8499999996"/>
    <n v="732"/>
    <s v="AMOMPY"/>
    <s v="Momentum Capital Investment S.A."/>
    <s v="01/07/2026"/>
    <s v="01/07/2026"/>
    <n v="30"/>
    <s v="No"/>
    <s v=""/>
    <m/>
    <m/>
    <s v="*MAV240901058"/>
    <s v="*MAV240901058"/>
    <n v="1.8137912689926284E-4"/>
  </r>
  <r>
    <x v="56"/>
    <s v="Pesos"/>
    <d v="2026-09-28T00:00:00"/>
    <s v="20/07/2026"/>
    <n v="0.93374287"/>
    <m/>
    <n v="3076923.1"/>
    <n v="2873055.01"/>
    <n v="3076923.1"/>
    <n v="2873055.01"/>
    <n v="2783"/>
    <s v="AMOMPY"/>
    <s v="Momentum Capital Investment S.A."/>
    <s v="02/07/2026"/>
    <s v="02/07/2026"/>
    <n v="37"/>
    <s v="No"/>
    <s v=""/>
    <m/>
    <m/>
    <s v="*MAV240901065"/>
    <s v="*MAV240901065"/>
    <n v="5.5109393177822437E-5"/>
  </r>
  <r>
    <x v="7"/>
    <s v="Pesos"/>
    <d v="2026-09-28T00:00:00"/>
    <s v="20/07/2026"/>
    <n v="0.94559594000000002"/>
    <m/>
    <n v="10000000"/>
    <n v="9455959.3699999992"/>
    <n v="10000000"/>
    <n v="9455959.3699999992"/>
    <n v="674"/>
    <s v="AMOMPY"/>
    <s v="Momentum Capital Investment S.A."/>
    <s v="23/06/2026"/>
    <s v="23/06/2026"/>
    <n v="30"/>
    <s v="No"/>
    <s v=""/>
    <m/>
    <m/>
    <s v="*MAV240901025"/>
    <s v="*MAV240901025"/>
    <n v="1.8137911769216145E-4"/>
  </r>
  <r>
    <x v="43"/>
    <s v="Pesos"/>
    <d v="2026-09-28T00:00:00"/>
    <s v="20/07/2026"/>
    <n v="0.95076846000000004"/>
    <m/>
    <n v="5000000"/>
    <n v="4753842.3099999996"/>
    <n v="5000000"/>
    <n v="4753842.3099999996"/>
    <n v="67193059"/>
    <s v="AMOMPY"/>
    <s v="Momentum Capital Investment S.A."/>
    <s v="04/06/2026"/>
    <s v="04/06/2026"/>
    <n v="27"/>
    <s v="No"/>
    <s v=""/>
    <m/>
    <m/>
    <s v="*MIL240900034"/>
    <s v="*MIL240900034"/>
    <n v="9.1185641783850715E-5"/>
  </r>
  <r>
    <x v="113"/>
    <s v="Pesos"/>
    <d v="2026-09-28T00:00:00"/>
    <s v="20/07/2026"/>
    <n v="0.94047935999999999"/>
    <m/>
    <n v="19470986.34"/>
    <n v="18312060.73"/>
    <n v="19470986.34"/>
    <n v="18312060.73"/>
    <n v="1067"/>
    <s v="AMOMPY"/>
    <s v="Momentum Capital Investment S.A."/>
    <s v="16/06/2026"/>
    <s v="16/06/2026"/>
    <n v="33"/>
    <s v="No"/>
    <s v=""/>
    <m/>
    <m/>
    <s v="*MAV240901000"/>
    <s v="*MAV240901000"/>
    <n v="3.5125208224458335E-4"/>
  </r>
  <r>
    <x v="103"/>
    <s v="Pesos"/>
    <d v="2026-09-28T00:00:00"/>
    <s v="20/07/2026"/>
    <n v="0.94559607000000001"/>
    <m/>
    <n v="2870567.11"/>
    <n v="2714396.99"/>
    <n v="2870567.11"/>
    <n v="2714396.99"/>
    <n v="106"/>
    <s v="AMOMPY"/>
    <s v="Momentum Capital Investment S.A."/>
    <s v="20/07/2026"/>
    <s v="20/07/2026"/>
    <n v="30"/>
    <s v="No"/>
    <s v=""/>
    <m/>
    <m/>
    <s v="*MAV240901116"/>
    <s v="*MAV240901116"/>
    <n v="5.2066100524336209E-5"/>
  </r>
  <r>
    <x v="170"/>
    <s v="Pesos"/>
    <d v="2026-09-29T00:00:00"/>
    <s v="20/07/2026"/>
    <n v="0.94834772000000001"/>
    <m/>
    <n v="12500000"/>
    <n v="11854346.460000001"/>
    <n v="12500000"/>
    <n v="11854346.460000001"/>
    <n v="90027594"/>
    <s v="AMOMPY"/>
    <s v="Momentum Capital Investment S.A."/>
    <s v="03/07/2026"/>
    <s v="03/07/2026"/>
    <n v="28"/>
    <s v="No"/>
    <s v=""/>
    <m/>
    <m/>
    <s v="*CVA250900020"/>
    <s v="*CVA250900020"/>
    <n v="2.2738368658324702E-4"/>
  </r>
  <r>
    <x v="157"/>
    <s v="Pesos"/>
    <d v="2026-09-29T00:00:00"/>
    <s v="20/07/2026"/>
    <n v="0.94140117000000001"/>
    <m/>
    <n v="1008513.5"/>
    <n v="949415.79"/>
    <n v="1008513.5"/>
    <n v="949415.79"/>
    <n v="67381841"/>
    <s v="AMOMPY"/>
    <s v="Momentum Capital Investment S.A."/>
    <s v="04/06/2026"/>
    <s v="04/06/2026"/>
    <n v="32"/>
    <s v="No"/>
    <s v=""/>
    <m/>
    <m/>
    <s v="*MAV250901157"/>
    <s v="*MAV250901157"/>
    <n v="1.8211182131296158E-5"/>
  </r>
  <r>
    <x v="194"/>
    <s v="Pesos"/>
    <d v="2026-09-29T00:00:00"/>
    <s v="20/07/2026"/>
    <n v="0.94140104000000002"/>
    <m/>
    <n v="40000000"/>
    <n v="37656041.479999997"/>
    <n v="40000000"/>
    <n v="37656041.479999997"/>
    <n v="13662791"/>
    <s v="AMOMPY"/>
    <s v="Momentum Capital Investment S.A."/>
    <s v="12/06/2026"/>
    <s v="12/06/2026"/>
    <n v="32"/>
    <s v="No"/>
    <s v=""/>
    <m/>
    <m/>
    <s v="*MAV250901177"/>
    <s v="*MAV250901177"/>
    <n v="7.2229789830641309E-4"/>
  </r>
  <r>
    <x v="182"/>
    <s v="Pesos"/>
    <d v="2026-09-29T00:00:00"/>
    <s v="20/07/2026"/>
    <n v="0.93116997999999995"/>
    <m/>
    <n v="6899161.7699999996"/>
    <n v="6424292.3399999999"/>
    <n v="6899161.7699999996"/>
    <n v="6424292.3399999999"/>
    <n v="65964605"/>
    <s v="AMOMPY"/>
    <s v="Momentum Capital Investment S.A."/>
    <s v="22/04/2026"/>
    <s v="22/04/2026"/>
    <n v="38"/>
    <s v="No"/>
    <s v=""/>
    <m/>
    <m/>
    <s v="*MAV250901124"/>
    <s v="*MAV250901124"/>
    <n v="1.2322731420806764E-4"/>
  </r>
  <r>
    <x v="63"/>
    <s v="Pesos"/>
    <d v="2026-09-29T00:00:00"/>
    <s v="20/07/2026"/>
    <n v="0.95010037000000003"/>
    <m/>
    <n v="20000000"/>
    <n v="19002007.309999999"/>
    <n v="20000000"/>
    <n v="19002007.309999999"/>
    <n v="67970141"/>
    <s v="AMOMPY"/>
    <s v="Momentum Capital Investment S.A."/>
    <s v="29/06/2026"/>
    <s v="29/06/2026"/>
    <n v="27"/>
    <s v="No"/>
    <s v=""/>
    <m/>
    <m/>
    <s v="*PRO250900016"/>
    <s v="*PRO250900016"/>
    <n v="3.6448626579365289E-4"/>
  </r>
  <r>
    <x v="63"/>
    <s v="Pesos"/>
    <d v="2026-09-29T00:00:00"/>
    <s v="20/07/2026"/>
    <n v="0.95539748999999996"/>
    <m/>
    <n v="4000000"/>
    <n v="3821589.97"/>
    <n v="4000000"/>
    <n v="3821589.97"/>
    <n v="16821013"/>
    <s v="AMOMPY"/>
    <s v="Momentum Capital Investment S.A."/>
    <s v="17/07/2026"/>
    <s v="17/07/2026"/>
    <n v="24"/>
    <s v="No"/>
    <s v=""/>
    <m/>
    <m/>
    <s v="*PRO250900021"/>
    <s v="*PRO250900021"/>
    <n v="7.330367970265653E-5"/>
  </r>
  <r>
    <x v="24"/>
    <s v="Pesos"/>
    <d v="2026-09-29T00:00:00"/>
    <s v="20/07/2026"/>
    <n v="0.94140122000000004"/>
    <m/>
    <n v="65000000"/>
    <n v="61191079.159999996"/>
    <n v="65000000"/>
    <n v="61191079.159999996"/>
    <n v="334"/>
    <s v="AMOMPY"/>
    <s v="Momentum Capital Investment S.A."/>
    <s v="26/06/2026"/>
    <s v="26/06/2026"/>
    <n v="32"/>
    <s v="No"/>
    <s v=""/>
    <m/>
    <m/>
    <s v="*MAV250901239"/>
    <s v="*MAV250901239"/>
    <n v="1.1737343102259975E-3"/>
  </r>
  <r>
    <x v="57"/>
    <s v="Pesos"/>
    <d v="2026-09-29T00:00:00"/>
    <s v="20/07/2026"/>
    <n v="0.95362519999999995"/>
    <m/>
    <n v="50000000"/>
    <n v="47681259.920000002"/>
    <n v="50000000"/>
    <n v="47681259.920000002"/>
    <n v="4899"/>
    <s v="AMOMPY"/>
    <s v="Momentum Capital Investment S.A."/>
    <s v="25/06/2026"/>
    <s v="25/06/2026"/>
    <n v="25"/>
    <s v="No"/>
    <s v=""/>
    <m/>
    <m/>
    <s v="*BIF250900004"/>
    <s v="*BIF250900004"/>
    <n v="9.1459623675817702E-4"/>
  </r>
  <r>
    <x v="43"/>
    <s v="Pesos"/>
    <d v="2026-09-29T00:00:00"/>
    <s v="20/07/2026"/>
    <n v="0.95010033999999999"/>
    <m/>
    <n v="30000000"/>
    <n v="28503010.280000001"/>
    <n v="30000000"/>
    <n v="28503010.280000001"/>
    <n v="54027797"/>
    <s v="AMOMPY"/>
    <s v="Momentum Capital Investment S.A."/>
    <s v="25/06/2026"/>
    <s v="25/06/2026"/>
    <n v="27"/>
    <s v="No"/>
    <s v=""/>
    <m/>
    <m/>
    <s v="*MIL250900032"/>
    <s v="*MIL250900032"/>
    <n v="5.4672938555117847E-4"/>
  </r>
  <r>
    <x v="43"/>
    <s v="Pesos"/>
    <d v="2026-09-29T00:00:00"/>
    <s v="20/07/2026"/>
    <n v="0.95010035999999998"/>
    <m/>
    <n v="5000000"/>
    <n v="4750501.79"/>
    <n v="5000000"/>
    <n v="4750501.79"/>
    <n v="67193060"/>
    <s v="AMOMPY"/>
    <s v="Momentum Capital Investment S.A."/>
    <s v="04/06/2026"/>
    <s v="04/06/2026"/>
    <n v="27"/>
    <s v="No"/>
    <s v=""/>
    <m/>
    <m/>
    <s v="*MIL250900029"/>
    <s v="*MIL250900029"/>
    <n v="9.1121565729108427E-5"/>
  </r>
  <r>
    <x v="43"/>
    <s v="Pesos"/>
    <d v="2026-09-29T00:00:00"/>
    <s v="20/07/2026"/>
    <n v="0.95362524000000004"/>
    <m/>
    <n v="5000000"/>
    <n v="4768126.2"/>
    <n v="5000000"/>
    <n v="4768126.2"/>
    <n v="8743"/>
    <s v="AMOMPY"/>
    <s v="Momentum Capital Investment S.A."/>
    <s v="17/07/2026"/>
    <s v="17/07/2026"/>
    <n v="25"/>
    <s v="No"/>
    <s v=""/>
    <m/>
    <m/>
    <s v="*MIL250900034"/>
    <s v="*MIL250900034"/>
    <n v="9.1459627665561622E-5"/>
  </r>
  <r>
    <x v="64"/>
    <s v="Pesos"/>
    <d v="2026-09-29T00:00:00"/>
    <s v="20/07/2026"/>
    <n v="0.93968026999999998"/>
    <m/>
    <n v="12500000"/>
    <n v="11746003.359999999"/>
    <n v="12500000"/>
    <n v="11746003.359999999"/>
    <n v="1361"/>
    <s v="AMOMPY"/>
    <s v="Momentum Capital Investment S.A."/>
    <s v="21/05/2026"/>
    <s v="21/05/2026"/>
    <n v="33"/>
    <s v="No"/>
    <s v=""/>
    <m/>
    <m/>
    <s v="*MAV250901137"/>
    <s v="*MAV250901137"/>
    <n v="2.2530550761513731E-4"/>
  </r>
  <r>
    <x v="1"/>
    <s v="Pesos"/>
    <d v="2026-09-29T00:00:00"/>
    <s v="20/07/2026"/>
    <n v="0.94834764000000005"/>
    <m/>
    <n v="10000000"/>
    <n v="9483476.3699999992"/>
    <n v="10000000"/>
    <n v="9483476.3699999992"/>
    <n v="360567"/>
    <s v="AMOMPY"/>
    <s v="Momentum Capital Investment S.A."/>
    <s v="21/04/2026"/>
    <s v="21/04/2026"/>
    <n v="28"/>
    <s v="No"/>
    <s v=""/>
    <m/>
    <m/>
    <s v="*MOV250900071"/>
    <s v="*MOV250900071"/>
    <n v="1.8190693395979155E-4"/>
  </r>
  <r>
    <x v="200"/>
    <s v="Pesos"/>
    <d v="2026-09-29T00:00:00"/>
    <s v="20/07/2026"/>
    <n v="0.93968048999999998"/>
    <m/>
    <n v="9828483.25"/>
    <n v="9235633.9900000002"/>
    <n v="9828483.25"/>
    <n v="9235633.9900000002"/>
    <n v="33"/>
    <s v="AMOMPY"/>
    <s v="Momentum Capital Investment S.A."/>
    <s v="14/07/2026"/>
    <s v="14/07/2026"/>
    <n v="33"/>
    <s v="No"/>
    <s v=""/>
    <m/>
    <m/>
    <s v="*MAV250901315"/>
    <s v="*MAV250901315"/>
    <n v="1.7715295496600013E-4"/>
  </r>
  <r>
    <x v="201"/>
    <s v="Pesos"/>
    <d v="2026-09-30T00:00:00"/>
    <s v="20/07/2026"/>
    <n v="0.94062484000000002"/>
    <m/>
    <n v="30000000"/>
    <n v="28218745.260000002"/>
    <n v="30000000"/>
    <n v="28218745.260000002"/>
    <n v="29635892"/>
    <s v="AMOMPY"/>
    <s v="Momentum Capital Investment S.A."/>
    <s v="14/07/2026"/>
    <s v="14/07/2026"/>
    <n v="32"/>
    <s v="No"/>
    <s v=""/>
    <m/>
    <m/>
    <s v="*MAV280900977"/>
    <s v="*MAV280900977"/>
    <n v="5.4127676710170381E-4"/>
  </r>
  <r>
    <x v="194"/>
    <s v="Pesos"/>
    <d v="2026-09-30T00:00:00"/>
    <s v="20/07/2026"/>
    <n v="0.94062484000000002"/>
    <m/>
    <n v="40000000"/>
    <n v="37624993.539999999"/>
    <n v="40000000"/>
    <n v="37624993.539999999"/>
    <n v="13662792"/>
    <s v="AMOMPY"/>
    <s v="Momentum Capital Investment S.A."/>
    <s v="12/06/2026"/>
    <s v="12/06/2026"/>
    <n v="32"/>
    <s v="No"/>
    <s v=""/>
    <m/>
    <m/>
    <s v="*MAV280900860"/>
    <s v="*MAV280900860"/>
    <n v="7.2170235345020049E-4"/>
  </r>
  <r>
    <x v="86"/>
    <s v="Pesos"/>
    <d v="2026-09-30T00:00:00"/>
    <s v="20/07/2026"/>
    <n v="0.93026825000000002"/>
    <m/>
    <n v="4500591.28"/>
    <n v="4186757.19"/>
    <n v="4500591.28"/>
    <n v="4186757.19"/>
    <n v="90000179"/>
    <s v="AMOMPY"/>
    <s v="Momentum Capital Investment S.A."/>
    <s v="22/04/2026"/>
    <s v="22/04/2026"/>
    <n v="38"/>
    <s v="No"/>
    <s v=""/>
    <m/>
    <m/>
    <s v="*MAV260901222"/>
    <s v="*MAV260901222"/>
    <n v="8.030812056180749E-5"/>
  </r>
  <r>
    <x v="7"/>
    <s v="Pesos"/>
    <d v="2026-09-30T00:00:00"/>
    <s v="20/07/2026"/>
    <n v="0.94412832000000002"/>
    <m/>
    <n v="10000000"/>
    <n v="9441283.1699999999"/>
    <n v="10000000"/>
    <n v="9441283.1699999999"/>
    <n v="581"/>
    <s v="AMOMPY"/>
    <s v="Momentum Capital Investment S.A."/>
    <s v="02/06/2026"/>
    <s v="02/06/2026"/>
    <n v="30"/>
    <s v="No"/>
    <s v=""/>
    <m/>
    <m/>
    <s v="*MAV280900830"/>
    <s v="*MAV280900830"/>
    <n v="1.8109760673141019E-4"/>
  </r>
  <r>
    <x v="7"/>
    <s v="Pesos"/>
    <d v="2026-09-30T00:00:00"/>
    <s v="20/07/2026"/>
    <n v="0.94412830000000003"/>
    <m/>
    <n v="10000000"/>
    <n v="9441283"/>
    <n v="10000000"/>
    <n v="9441283"/>
    <n v="514"/>
    <s v="AMOMPY"/>
    <s v="Momentum Capital Investment S.A."/>
    <s v="18/05/2026"/>
    <s v="18/05/2026"/>
    <n v="30"/>
    <s v="No"/>
    <s v=""/>
    <m/>
    <m/>
    <s v="*MAV260901228"/>
    <s v="*MAV260901228"/>
    <n v="1.8109760347056179E-4"/>
  </r>
  <r>
    <x v="29"/>
    <s v="Pesos"/>
    <d v="2026-09-30T00:00:00"/>
    <s v="20/07/2026"/>
    <n v="0.93197854999999996"/>
    <m/>
    <n v="30000000"/>
    <n v="27959356.440000001"/>
    <n v="30000000"/>
    <n v="27959356.440000001"/>
    <n v="4355"/>
    <s v="AMOMPY"/>
    <s v="Momentum Capital Investment S.A."/>
    <s v="30/06/2026"/>
    <s v="30/06/2026"/>
    <n v="37"/>
    <s v="No"/>
    <s v=""/>
    <m/>
    <m/>
    <s v="*MAV280900916"/>
    <s v="*MAV280900916"/>
    <n v="5.3630131051714248E-4"/>
  </r>
  <r>
    <x v="10"/>
    <s v="Pesos"/>
    <d v="2026-09-30T00:00:00"/>
    <s v="20/07/2026"/>
    <n v="0.93888265000000004"/>
    <m/>
    <n v="2500000"/>
    <n v="2347206.62"/>
    <n v="2500000"/>
    <n v="2347206.62"/>
    <n v="1202"/>
    <s v="AMOMPY"/>
    <s v="Momentum Capital Investment S.A."/>
    <s v="19/05/2026"/>
    <s v="19/05/2026"/>
    <n v="33"/>
    <s v="No"/>
    <s v=""/>
    <m/>
    <m/>
    <s v="*MAV280900819"/>
    <s v="*MAV280900819"/>
    <n v="4.5022852691973925E-5"/>
  </r>
  <r>
    <x v="13"/>
    <s v="Pesos"/>
    <d v="2026-09-30T00:00:00"/>
    <s v="20/07/2026"/>
    <n v="0.94588996999999997"/>
    <m/>
    <n v="10000000"/>
    <n v="9458899.6999999993"/>
    <n v="10000000"/>
    <n v="9458899.6999999993"/>
    <n v="3487824"/>
    <s v="AMOMPY"/>
    <s v="Momentum Capital Investment S.A."/>
    <s v="05/05/2026"/>
    <s v="05/05/2026"/>
    <n v="29"/>
    <s v="No"/>
    <s v=""/>
    <m/>
    <m/>
    <s v="*NEU260900020"/>
    <s v="*NEU260900020"/>
    <n v="1.8143551751794918E-4"/>
  </r>
  <r>
    <x v="66"/>
    <s v="Pesos"/>
    <d v="2026-09-30T00:00:00"/>
    <s v="20/07/2026"/>
    <n v="0.94412841000000003"/>
    <m/>
    <n v="50000000"/>
    <n v="47206420.259999998"/>
    <n v="50000000"/>
    <n v="47206420.259999998"/>
    <n v="787"/>
    <s v="AMOMPY"/>
    <s v="Momentum Capital Investment S.A."/>
    <s v="22/04/2026"/>
    <s v="22/04/2026"/>
    <n v="30"/>
    <s v="No"/>
    <s v=""/>
    <m/>
    <m/>
    <s v="*AFB280900003"/>
    <s v="*AFB280900003"/>
    <n v="9.0548811824729485E-4"/>
  </r>
  <r>
    <x v="49"/>
    <s v="Pesos"/>
    <d v="2026-09-30T00:00:00"/>
    <s v="20/07/2026"/>
    <n v="0.94765812999999999"/>
    <m/>
    <n v="35000000"/>
    <n v="33168034.379999999"/>
    <n v="35000000"/>
    <n v="33168034.379999999"/>
    <n v="3329633"/>
    <s v="AMOMPY"/>
    <s v="Momentum Capital Investment S.A."/>
    <s v="30/04/2026"/>
    <s v="30/04/2026"/>
    <n v="28"/>
    <s v="No"/>
    <s v=""/>
    <m/>
    <m/>
    <s v="*FID260900031"/>
    <s v="*FID260900031"/>
    <n v="6.3621136428673947E-4"/>
  </r>
  <r>
    <x v="12"/>
    <s v="Pesos"/>
    <d v="2026-09-30T00:00:00"/>
    <s v="20/07/2026"/>
    <n v="0.93541779000000003"/>
    <m/>
    <n v="6000000"/>
    <n v="5612506.7199999997"/>
    <n v="6000000"/>
    <n v="5612506.7199999997"/>
    <n v="40761910"/>
    <s v="AMOMPY"/>
    <s v="Momentum Capital Investment S.A."/>
    <s v="16/07/2026"/>
    <s v="16/07/2026"/>
    <n v="35"/>
    <s v="No"/>
    <s v=""/>
    <m/>
    <m/>
    <s v="*MAV280900986"/>
    <s v="*MAV280900986"/>
    <n v="1.0765607984152402E-4"/>
  </r>
  <r>
    <x v="167"/>
    <s v="Pesos"/>
    <d v="2026-09-30T00:00:00"/>
    <s v="20/07/2026"/>
    <n v="0.94412852000000003"/>
    <m/>
    <n v="830000"/>
    <n v="783626.67"/>
    <n v="830000"/>
    <n v="783626.67"/>
    <n v="90"/>
    <s v="AMOMPY"/>
    <s v="Momentum Capital Investment S.A."/>
    <s v="15/07/2026"/>
    <s v="15/07/2026"/>
    <n v="30"/>
    <s v="No"/>
    <s v=""/>
    <m/>
    <m/>
    <s v="*MAV280900981"/>
    <s v="*MAV280900981"/>
    <n v="1.5031104559901106E-5"/>
  </r>
  <r>
    <x v="124"/>
    <s v="Pesos"/>
    <d v="2026-09-30T00:00:00"/>
    <s v="20/07/2026"/>
    <n v="0.94412852000000003"/>
    <m/>
    <n v="2500000"/>
    <n v="2360321.2999999998"/>
    <n v="2500000"/>
    <n v="2360321.2999999998"/>
    <n v="383"/>
    <s v="AMOMPY"/>
    <s v="Momentum Capital Investment S.A."/>
    <s v="15/07/2026"/>
    <s v="15/07/2026"/>
    <n v="30"/>
    <s v="No"/>
    <s v=""/>
    <m/>
    <m/>
    <s v="*MAV280900982"/>
    <s v="*MAV280900982"/>
    <n v="4.5274411417444099E-5"/>
  </r>
  <r>
    <x v="103"/>
    <s v="Pesos"/>
    <d v="2026-09-30T00:00:00"/>
    <s v="20/07/2026"/>
    <n v="0.94412837000000005"/>
    <m/>
    <n v="2870567.11"/>
    <n v="2710183.85"/>
    <n v="2870567.11"/>
    <n v="2710183.85"/>
    <n v="107"/>
    <s v="AMOMPY"/>
    <s v="Momentum Capital Investment S.A."/>
    <s v="20/07/2026"/>
    <s v="20/07/2026"/>
    <n v="30"/>
    <s v="No"/>
    <s v=""/>
    <m/>
    <m/>
    <s v="*MAV260901324"/>
    <s v="*MAV260901324"/>
    <n v="5.1985286342928241E-5"/>
  </r>
  <r>
    <x v="201"/>
    <s v="Pesos"/>
    <d v="2026-10-01T00:00:00"/>
    <s v="20/07/2026"/>
    <n v="0.93984972"/>
    <m/>
    <n v="30000000"/>
    <n v="28195491.530000001"/>
    <n v="30000000"/>
    <n v="28195491.530000001"/>
    <n v="29635891"/>
    <s v="AMOMPY"/>
    <s v="Momentum Capital Investment S.A."/>
    <s v="14/07/2026"/>
    <s v="14/07/2026"/>
    <n v="32"/>
    <s v="No"/>
    <s v=""/>
    <m/>
    <m/>
    <s v="*MAV290901307"/>
    <s v="*MAV290901307"/>
    <n v="5.4083072658213122E-4"/>
  </r>
  <r>
    <x v="63"/>
    <s v="Pesos"/>
    <d v="2026-10-01T00:00:00"/>
    <s v="20/07/2026"/>
    <n v="0.95238115000000001"/>
    <m/>
    <n v="32000000"/>
    <n v="30476196.690000001"/>
    <n v="32000000"/>
    <n v="30476196.690000001"/>
    <n v="5311"/>
    <s v="AMOMPY"/>
    <s v="Momentum Capital Investment S.A."/>
    <s v="16/07/2026"/>
    <s v="16/07/2026"/>
    <n v="25"/>
    <s v="No"/>
    <s v=""/>
    <m/>
    <m/>
    <s v="*PRO290900004"/>
    <s v="*PRO290900004"/>
    <n v="5.8457798409988011E-4"/>
  </r>
  <r>
    <x v="7"/>
    <s v="Pesos"/>
    <d v="2026-10-01T00:00:00"/>
    <s v="20/07/2026"/>
    <n v="0.94339631000000002"/>
    <m/>
    <n v="5000000"/>
    <n v="4716981.57"/>
    <n v="5000000"/>
    <n v="4716981.57"/>
    <n v="784"/>
    <s v="AMOMPY"/>
    <s v="Momentum Capital Investment S.A."/>
    <s v="14/07/2026"/>
    <s v="14/07/2026"/>
    <n v="30"/>
    <s v="No"/>
    <s v=""/>
    <m/>
    <m/>
    <s v="*MAV290901311"/>
    <s v="*MAV290901311"/>
    <n v="9.0478598930019156E-5"/>
  </r>
  <r>
    <x v="202"/>
    <s v="Pesos"/>
    <d v="2026-10-01T00:00:00"/>
    <s v="20/07/2026"/>
    <n v="0.93808647999999994"/>
    <m/>
    <n v="15000000"/>
    <n v="14071297.23"/>
    <n v="15000000"/>
    <n v="14071297.23"/>
    <n v="2338"/>
    <s v="AMOMPY"/>
    <s v="Momentum Capital Investment S.A."/>
    <s v="08/07/2026"/>
    <s v="08/07/2026"/>
    <n v="33"/>
    <s v="No"/>
    <s v=""/>
    <m/>
    <m/>
    <s v="*MAV290901291"/>
    <s v="*MAV290901291"/>
    <n v="2.6990804174336844E-4"/>
  </r>
  <r>
    <x v="202"/>
    <s v="Pesos"/>
    <d v="2026-10-01T00:00:00"/>
    <s v="20/07/2026"/>
    <n v="0.93808647999999994"/>
    <m/>
    <n v="15000000"/>
    <n v="14071297.23"/>
    <n v="15000000"/>
    <n v="14071297.23"/>
    <n v="2327"/>
    <s v="AMOMPY"/>
    <s v="Momentum Capital Investment S.A."/>
    <s v="08/07/2026"/>
    <s v="08/07/2026"/>
    <n v="33"/>
    <s v="No"/>
    <s v=""/>
    <m/>
    <m/>
    <s v="*MAV290901292"/>
    <s v="*MAV290901292"/>
    <n v="2.6990804174336844E-4"/>
  </r>
  <r>
    <x v="7"/>
    <s v="Pesos"/>
    <d v="2026-10-01T00:00:00"/>
    <s v="20/07/2026"/>
    <n v="0.94339634000000006"/>
    <m/>
    <n v="10000000"/>
    <n v="9433963.4399999995"/>
    <n v="10000000"/>
    <n v="9433963.4399999995"/>
    <n v="675"/>
    <s v="AMOMPY"/>
    <s v="Momentum Capital Investment S.A."/>
    <s v="23/06/2026"/>
    <s v="23/06/2026"/>
    <n v="30"/>
    <s v="No"/>
    <s v=""/>
    <m/>
    <m/>
    <s v="*MAV290901239"/>
    <s v="*MAV290901239"/>
    <n v="1.8095720361447666E-4"/>
  </r>
  <r>
    <x v="43"/>
    <s v="Pesos"/>
    <d v="2026-10-01T00:00:00"/>
    <s v="20/07/2026"/>
    <n v="0.95238098999999998"/>
    <m/>
    <n v="10000000"/>
    <n v="9523809.9199999999"/>
    <n v="10000000"/>
    <n v="9523809.9199999999"/>
    <n v="188"/>
    <s v="AMOMPY"/>
    <s v="Momentum Capital Investment S.A."/>
    <s v="17/07/2026"/>
    <s v="17/07/2026"/>
    <n v="25"/>
    <s v="No"/>
    <s v=""/>
    <m/>
    <m/>
    <s v="*MIL290900039"/>
    <s v="*MIL290900039"/>
    <n v="1.8268059038386656E-4"/>
  </r>
  <r>
    <x v="203"/>
    <s v="Pesos"/>
    <d v="2026-10-02T00:00:00"/>
    <s v="20/07/2026"/>
    <n v="0.93729145999999997"/>
    <m/>
    <n v="3772034.12"/>
    <n v="3535495.35"/>
    <n v="3772034.12"/>
    <n v="3535495.35"/>
    <n v="638"/>
    <s v="AMOMPY"/>
    <s v="Momentum Capital Investment S.A."/>
    <s v="02/06/2026"/>
    <s v="02/06/2026"/>
    <n v="33"/>
    <s v="No"/>
    <s v=""/>
    <m/>
    <m/>
    <s v="*MAV300901921"/>
    <s v="*MAV300901921"/>
    <n v="6.7815966851784358E-5"/>
  </r>
  <r>
    <x v="201"/>
    <s v="Pesos"/>
    <d v="2026-10-02T00:00:00"/>
    <s v="20/07/2026"/>
    <n v="0.93907587000000003"/>
    <m/>
    <n v="33683512.119999997"/>
    <n v="31631373.379999999"/>
    <n v="33683512.119999997"/>
    <n v="31631373.379999999"/>
    <n v="29635893"/>
    <s v="AMOMPY"/>
    <s v="Momentum Capital Investment S.A."/>
    <s v="14/07/2026"/>
    <s v="14/07/2026"/>
    <n v="32"/>
    <s v="No"/>
    <s v=""/>
    <m/>
    <m/>
    <s v="*MAV300902138"/>
    <s v="*MAV300902138"/>
    <n v="6.0673596094943066E-4"/>
  </r>
  <r>
    <x v="7"/>
    <s v="Pesos"/>
    <d v="2026-10-02T00:00:00"/>
    <s v="20/07/2026"/>
    <n v="0.94266534000000002"/>
    <m/>
    <n v="10000000"/>
    <n v="9426653.3800000008"/>
    <n v="10000000"/>
    <n v="9426653.3800000008"/>
    <n v="571"/>
    <s v="AMOMPY"/>
    <s v="Momentum Capital Investment S.A."/>
    <s v="01/06/2026"/>
    <s v="01/06/2026"/>
    <n v="30"/>
    <s v="No"/>
    <s v=""/>
    <m/>
    <m/>
    <s v="*MAV300901898"/>
    <s v="*MAV300901898"/>
    <n v="1.8081698598227289E-4"/>
  </r>
  <r>
    <x v="7"/>
    <s v="Pesos"/>
    <d v="2026-10-02T00:00:00"/>
    <s v="20/07/2026"/>
    <n v="0.94266530999999998"/>
    <m/>
    <n v="5000000"/>
    <n v="4713326.55"/>
    <n v="5000000"/>
    <n v="4713326.55"/>
    <n v="785"/>
    <s v="AMOMPY"/>
    <s v="Momentum Capital Investment S.A."/>
    <s v="14/07/2026"/>
    <s v="14/07/2026"/>
    <n v="30"/>
    <s v="No"/>
    <s v=""/>
    <m/>
    <m/>
    <s v="*MAV300902141"/>
    <s v="*MAV300902141"/>
    <n v="9.0408490305731866E-5"/>
  </r>
  <r>
    <x v="43"/>
    <s v="Pesos"/>
    <d v="2026-10-02T00:00:00"/>
    <s v="20/07/2026"/>
    <n v="0.94992732999999996"/>
    <m/>
    <n v="10000000"/>
    <n v="9499273.3200000003"/>
    <n v="10000000"/>
    <n v="9499273.3200000003"/>
    <n v="9621091"/>
    <s v="AMOMPY"/>
    <s v="Momentum Capital Investment S.A."/>
    <s v="17/07/2026"/>
    <s v="17/07/2026"/>
    <n v="26"/>
    <s v="No"/>
    <s v=""/>
    <m/>
    <m/>
    <s v="*MIL300900039"/>
    <s v="*MIL300900039"/>
    <n v="1.8220994254317417E-4"/>
  </r>
  <r>
    <x v="96"/>
    <s v="Pesos"/>
    <d v="2026-10-02T00:00:00"/>
    <s v="20/07/2026"/>
    <n v="0.94086723999999999"/>
    <m/>
    <n v="16500000"/>
    <n v="15524309.390000001"/>
    <n v="16500000"/>
    <n v="15524309.390000001"/>
    <n v="28675"/>
    <s v="AMOMPY"/>
    <s v="Momentum Capital Investment S.A."/>
    <s v="27/04/2026"/>
    <s v="27/04/2026"/>
    <n v="31"/>
    <s v="No"/>
    <s v=""/>
    <m/>
    <m/>
    <s v="*MAV300901858"/>
    <s v="*MAV300901858"/>
    <n v="2.9777893810243157E-4"/>
  </r>
  <r>
    <x v="43"/>
    <s v="Pesos"/>
    <d v="2026-10-02T00:00:00"/>
    <s v="20/07/2026"/>
    <n v="0.94810123000000002"/>
    <m/>
    <n v="24500000"/>
    <n v="23228480.25"/>
    <n v="24500000"/>
    <n v="23228480.25"/>
    <n v="34218"/>
    <s v="AMOMPY"/>
    <s v="Momentum Capital Investment S.A."/>
    <s v="07/07/2026"/>
    <s v="07/07/2026"/>
    <n v="27"/>
    <s v="No"/>
    <s v=""/>
    <m/>
    <m/>
    <s v="*MIL300900038"/>
    <s v="*MIL300900038"/>
    <n v="4.4555619247281075E-4"/>
  </r>
  <r>
    <x v="13"/>
    <s v="Pesos"/>
    <d v="2026-10-02T00:00:00"/>
    <s v="20/07/2026"/>
    <n v="0.94447044000000002"/>
    <m/>
    <n v="10000000"/>
    <n v="9444704.3599999994"/>
    <n v="10000000"/>
    <n v="9444704.3599999994"/>
    <n v="3487825"/>
    <s v="AMOMPY"/>
    <s v="Momentum Capital Investment S.A."/>
    <s v="05/05/2026"/>
    <s v="05/05/2026"/>
    <n v="29"/>
    <s v="No"/>
    <s v=""/>
    <m/>
    <m/>
    <s v="*NEU300900061"/>
    <s v="*NEU300900061"/>
    <n v="1.8116323015462688E-4"/>
  </r>
  <r>
    <x v="111"/>
    <s v="Pesos"/>
    <d v="2026-10-02T00:00:00"/>
    <s v="20/07/2026"/>
    <n v="0.94266536000000001"/>
    <m/>
    <n v="100000000"/>
    <n v="94266536.489999995"/>
    <n v="100000000"/>
    <n v="94266536.489999995"/>
    <n v="6676"/>
    <s v="AMOMPY"/>
    <s v="Momentum Capital Investment S.A."/>
    <s v="16/06/2026"/>
    <s v="16/06/2026"/>
    <n v="30"/>
    <s v="No"/>
    <s v=""/>
    <m/>
    <m/>
    <s v="*MAV300901974"/>
    <s v="*MAV300901974"/>
    <n v="1.8081699114208592E-3"/>
  </r>
  <r>
    <x v="1"/>
    <s v="Pesos"/>
    <d v="2026-10-02T00:00:00"/>
    <s v="20/07/2026"/>
    <n v="0.94628228000000003"/>
    <m/>
    <n v="15000000"/>
    <n v="14194234.27"/>
    <n v="15000000"/>
    <n v="14194234.27"/>
    <n v="360568"/>
    <s v="AMOMPY"/>
    <s v="Momentum Capital Investment S.A."/>
    <s v="21/04/2026"/>
    <s v="21/04/2026"/>
    <n v="28"/>
    <s v="No"/>
    <s v=""/>
    <m/>
    <m/>
    <s v="*MOV300900114"/>
    <s v="*MOV300900114"/>
    <n v="2.7226615380523169E-4"/>
  </r>
  <r>
    <x v="13"/>
    <s v="Pesos"/>
    <d v="2026-10-02T00:00:00"/>
    <s v="20/07/2026"/>
    <n v="0.93729145999999997"/>
    <m/>
    <n v="21387500"/>
    <n v="20046321.09"/>
    <n v="21387500"/>
    <n v="20046321.09"/>
    <n v="3233105"/>
    <s v="AMOMPY"/>
    <s v="Momentum Capital Investment S.A."/>
    <s v="20/04/2026"/>
    <s v="20/04/2026"/>
    <n v="33"/>
    <s v="No"/>
    <s v=""/>
    <m/>
    <m/>
    <s v="*NEU300900058"/>
    <s v="*NEU300900058"/>
    <n v="3.8451773003736679E-4"/>
  </r>
  <r>
    <x v="13"/>
    <s v="Pesos"/>
    <d v="2026-10-02T00:00:00"/>
    <s v="20/07/2026"/>
    <n v="0.94992719000000003"/>
    <m/>
    <n v="9000000"/>
    <n v="8549344.75"/>
    <n v="9000000"/>
    <n v="8549344.75"/>
    <n v="3487870"/>
    <s v="AMOMPY"/>
    <s v="Momentum Capital Investment S.A."/>
    <s v="29/05/2026"/>
    <s v="29/05/2026"/>
    <n v="26"/>
    <s v="No"/>
    <s v=""/>
    <m/>
    <m/>
    <s v="*NEU300900063"/>
    <s v="*NEU300900063"/>
    <n v="1.639889245422078E-4"/>
  </r>
  <r>
    <x v="13"/>
    <s v="Pesos"/>
    <d v="2026-10-02T00:00:00"/>
    <s v="20/07/2026"/>
    <n v="0.94992719000000003"/>
    <m/>
    <n v="9000000"/>
    <n v="8549344.75"/>
    <n v="9000000"/>
    <n v="8549344.75"/>
    <n v="3385280"/>
    <s v="AMOMPY"/>
    <s v="Momentum Capital Investment S.A."/>
    <s v="29/05/2026"/>
    <s v="29/05/2026"/>
    <n v="26"/>
    <s v="No"/>
    <s v=""/>
    <m/>
    <m/>
    <s v="*NEU300900064"/>
    <s v="*NEU300900064"/>
    <n v="1.639889245422078E-4"/>
  </r>
  <r>
    <x v="115"/>
    <s v="Dolar 3500"/>
    <d v="2026-10-05T00:00:00"/>
    <s v="20/07/2026"/>
    <n v="0.98544799000000005"/>
    <s v="1 US3 = 1480,1749803655 $"/>
    <n v="50000"/>
    <n v="49272.4"/>
    <n v="74008749.019999996"/>
    <n v="72931773.700000003"/>
    <n v="150093"/>
    <s v="AMOMPY"/>
    <s v="Momentum Capital Investment S.A."/>
    <s v="15/05/2026"/>
    <s v="15/05/2026"/>
    <n v="7"/>
    <s v="No"/>
    <s v=""/>
    <m/>
    <m/>
    <s v="#UMV011060013"/>
    <s v="#UMV011060013"/>
    <n v="1.3989379869163278E-3"/>
  </r>
  <r>
    <x v="115"/>
    <s v="Dolar 3500"/>
    <d v="2026-10-05T00:00:00"/>
    <s v="20/07/2026"/>
    <n v="0.98136787999999997"/>
    <s v="1 US3 = 1480,1749803655 $"/>
    <n v="25000"/>
    <n v="24534.2"/>
    <n v="37004374.509999998"/>
    <n v="36314909"/>
    <n v="150614"/>
    <s v="AMOMPY"/>
    <s v="Momentum Capital Investment S.A."/>
    <s v="19/05/2026"/>
    <s v="19/05/2026"/>
    <n v="9"/>
    <s v="No"/>
    <s v=""/>
    <m/>
    <m/>
    <s v="#UMV011060014"/>
    <s v="#UMV011060014"/>
    <n v="6.9657301768748334E-4"/>
  </r>
  <r>
    <x v="204"/>
    <s v="Pesos"/>
    <d v="2026-10-05T00:00:00"/>
    <s v="20/07/2026"/>
    <n v="0.92218294000000001"/>
    <m/>
    <n v="7203888"/>
    <n v="6643302.6399999997"/>
    <n v="7203888"/>
    <n v="6643302.6399999997"/>
    <n v="66329827"/>
    <s v="AMOMPY"/>
    <s v="Momentum Capital Investment S.A."/>
    <s v="17/04/2026"/>
    <s v="17/04/2026"/>
    <n v="40"/>
    <s v="No"/>
    <s v=""/>
    <m/>
    <m/>
    <s v="*MAV011000998"/>
    <s v="*MAV011000998"/>
    <n v="1.2742825177824416E-4"/>
  </r>
  <r>
    <x v="160"/>
    <s v="Pesos"/>
    <d v="2026-10-05T00:00:00"/>
    <s v="20/07/2026"/>
    <n v="0.92578503000000001"/>
    <m/>
    <n v="6500236.5700000003"/>
    <n v="6017821.6799999997"/>
    <n v="6500236.5700000003"/>
    <n v="6017821.6799999997"/>
    <n v="90000580"/>
    <s v="AMOMPY"/>
    <s v="Momentum Capital Investment S.A."/>
    <s v="24/04/2026"/>
    <s v="24/04/2026"/>
    <n v="38"/>
    <s v="No"/>
    <s v=""/>
    <m/>
    <m/>
    <s v="*MAV011001000"/>
    <s v="*MAV011001000"/>
    <n v="1.1543061301744583E-4"/>
  </r>
  <r>
    <x v="7"/>
    <s v="Pesos"/>
    <d v="2026-10-05T00:00:00"/>
    <s v="20/07/2026"/>
    <n v="0.94047932000000001"/>
    <m/>
    <n v="5000000"/>
    <n v="4702396.62"/>
    <n v="5000000"/>
    <n v="4702396.62"/>
    <n v="788"/>
    <s v="AMOMPY"/>
    <s v="Momentum Capital Investment S.A."/>
    <s v="14/07/2026"/>
    <s v="14/07/2026"/>
    <n v="30"/>
    <s v="No"/>
    <s v=""/>
    <m/>
    <m/>
    <s v="*MAV011001109"/>
    <s v="*MAV011001109"/>
    <n v="9.0198838277601691E-5"/>
  </r>
  <r>
    <x v="43"/>
    <s v="Pesos"/>
    <d v="2026-10-05T00:00:00"/>
    <s v="20/07/2026"/>
    <n v="0.94990260999999998"/>
    <m/>
    <n v="8650000"/>
    <n v="8216657.5899999999"/>
    <n v="8650000"/>
    <n v="8216657.5899999999"/>
    <n v="34383"/>
    <s v="AMOMPY"/>
    <s v="Momentum Capital Investment S.A."/>
    <s v="20/07/2026"/>
    <s v="20/07/2026"/>
    <n v="25"/>
    <s v="No"/>
    <s v=""/>
    <m/>
    <m/>
    <s v="*MIL011000030"/>
    <s v="*MIL011000030"/>
    <n v="1.5760749869347227E-4"/>
  </r>
  <r>
    <x v="1"/>
    <s v="Pesos"/>
    <d v="2026-10-06T00:00:00"/>
    <s v="20/07/2026"/>
    <n v="0.94354258999999996"/>
    <m/>
    <n v="2500000"/>
    <n v="2358856.4700000002"/>
    <n v="2500000"/>
    <n v="2358856.4700000002"/>
    <n v="90031811"/>
    <s v="AMOMPY"/>
    <s v="Momentum Capital Investment S.A."/>
    <s v="22/04/2026"/>
    <s v="22/04/2026"/>
    <n v="28"/>
    <s v="No"/>
    <s v=""/>
    <m/>
    <m/>
    <s v="*MOV021000044"/>
    <s v="*MOV021000044"/>
    <n v="4.5246313837645711E-5"/>
  </r>
  <r>
    <x v="63"/>
    <s v="Pesos"/>
    <d v="2026-10-06T00:00:00"/>
    <s v="20/07/2026"/>
    <n v="0.95121460000000002"/>
    <m/>
    <n v="2500000"/>
    <n v="2378036.4900000002"/>
    <n v="2500000"/>
    <n v="2378036.4900000002"/>
    <n v="16821015"/>
    <s v="AMOMPY"/>
    <s v="Momentum Capital Investment S.A."/>
    <s v="17/07/2026"/>
    <s v="17/07/2026"/>
    <n v="24"/>
    <s v="No"/>
    <s v=""/>
    <m/>
    <m/>
    <s v="*PRO021000009"/>
    <s v="*PRO021000009"/>
    <n v="4.5614214646944344E-5"/>
  </r>
  <r>
    <x v="43"/>
    <s v="Pesos"/>
    <d v="2026-10-06T00:00:00"/>
    <s v="20/07/2026"/>
    <n v="0.94928495999999996"/>
    <m/>
    <n v="25000000"/>
    <n v="23732124.02"/>
    <n v="25000000"/>
    <n v="23732124.02"/>
    <n v="68393694"/>
    <s v="AMOMPY"/>
    <s v="Momentum Capital Investment S.A."/>
    <s v="17/07/2026"/>
    <s v="17/07/2026"/>
    <n v="25"/>
    <s v="No"/>
    <s v=""/>
    <m/>
    <m/>
    <s v="*MIL021000029"/>
    <s v="*MIL021000029"/>
    <n v="4.5521681590183821E-4"/>
  </r>
  <r>
    <x v="43"/>
    <s v="Pesos"/>
    <d v="2026-10-06T00:00:00"/>
    <s v="20/07/2026"/>
    <n v="0.94544890999999998"/>
    <m/>
    <n v="10000000"/>
    <n v="9454489.0700000003"/>
    <n v="10000000"/>
    <n v="9454489.0700000003"/>
    <n v="2009"/>
    <s v="AMOMPY"/>
    <s v="Momentum Capital Investment S.A."/>
    <s v="07/07/2026"/>
    <s v="07/07/2026"/>
    <n v="27"/>
    <s v="No"/>
    <s v=""/>
    <m/>
    <m/>
    <s v="*MIL021000028"/>
    <s v="*MIL021000028"/>
    <n v="1.8135091518977037E-4"/>
  </r>
  <r>
    <x v="64"/>
    <s v="Pesos"/>
    <d v="2026-10-06T00:00:00"/>
    <s v="20/07/2026"/>
    <n v="0.93412503000000002"/>
    <m/>
    <n v="12500000"/>
    <n v="11676562.82"/>
    <n v="12500000"/>
    <n v="11676562.82"/>
    <n v="1362"/>
    <s v="AMOMPY"/>
    <s v="Momentum Capital Investment S.A."/>
    <s v="21/05/2026"/>
    <s v="21/05/2026"/>
    <n v="33"/>
    <s v="No"/>
    <s v=""/>
    <m/>
    <m/>
    <s v="*MAV021000917"/>
    <s v="*MAV021000917"/>
    <n v="2.23973536591951E-4"/>
  </r>
  <r>
    <x v="48"/>
    <s v="Pesos"/>
    <d v="2026-10-06T00:00:00"/>
    <s v="20/07/2026"/>
    <n v="0.92856433999999999"/>
    <m/>
    <n v="100000000"/>
    <n v="92856433.689999998"/>
    <n v="100000000"/>
    <n v="92856433.689999998"/>
    <n v="8439"/>
    <s v="AMOMPY"/>
    <s v="Momentum Capital Investment S.A."/>
    <s v="02/07/2026"/>
    <s v="02/07/2026"/>
    <n v="36"/>
    <s v="No"/>
    <s v=""/>
    <m/>
    <m/>
    <s v="*MAV021000989"/>
    <s v="*MAV021000989"/>
    <n v="1.781122079285425E-3"/>
  </r>
  <r>
    <x v="1"/>
    <s v="Pesos"/>
    <d v="2026-10-06T00:00:00"/>
    <s v="20/07/2026"/>
    <n v="0.94354265999999998"/>
    <m/>
    <n v="25000000"/>
    <n v="23588566.550000001"/>
    <n v="25000000"/>
    <n v="23588566.550000001"/>
    <n v="360569"/>
    <s v="AMOMPY"/>
    <s v="Momentum Capital Investment S.A."/>
    <s v="21/04/2026"/>
    <s v="21/04/2026"/>
    <n v="28"/>
    <s v="No"/>
    <s v=""/>
    <m/>
    <m/>
    <s v="*MOV021000043"/>
    <s v="*MOV021000043"/>
    <n v="4.524631738621603E-4"/>
  </r>
  <r>
    <x v="123"/>
    <s v="Pesos"/>
    <d v="2026-10-06T00:00:00"/>
    <s v="20/07/2026"/>
    <n v="0.95509736000000001"/>
    <m/>
    <n v="13000000"/>
    <n v="12416265.74"/>
    <n v="13000000"/>
    <n v="12416265.74"/>
    <n v="34113"/>
    <s v="AMOMPY"/>
    <s v="Momentum Capital Investment S.A."/>
    <s v="30/06/2026"/>
    <s v="30/06/2026"/>
    <n v="22"/>
    <s v="No"/>
    <s v=""/>
    <m/>
    <m/>
    <s v="*MAV021000966"/>
    <s v="*MAV021000966"/>
    <n v="2.3816211944580431E-4"/>
  </r>
  <r>
    <x v="12"/>
    <s v="Pesos"/>
    <d v="2026-10-06T00:00:00"/>
    <s v="20/07/2026"/>
    <n v="0.93041059000000004"/>
    <m/>
    <n v="6000000"/>
    <n v="5582463.54"/>
    <n v="6000000"/>
    <n v="5582463.54"/>
    <n v="40761920"/>
    <s v="AMOMPY"/>
    <s v="Momentum Capital Investment S.A."/>
    <s v="20/07/2026"/>
    <s v="20/07/2026"/>
    <n v="35"/>
    <s v="No"/>
    <s v=""/>
    <m/>
    <m/>
    <s v="*MAV021001042"/>
    <s v="*MAV021001042"/>
    <n v="1.0707980775025902E-4"/>
  </r>
  <r>
    <x v="199"/>
    <s v="Pesos"/>
    <d v="2026-10-06T00:00:00"/>
    <s v="20/07/2026"/>
    <n v="0.93975301"/>
    <m/>
    <n v="15000000"/>
    <n v="14096295.140000001"/>
    <n v="15000000"/>
    <n v="14096295.140000001"/>
    <n v="728"/>
    <s v="AMOMPY"/>
    <s v="Momentum Capital Investment S.A."/>
    <s v="06/07/2026"/>
    <s v="06/07/2026"/>
    <n v="30"/>
    <s v="No"/>
    <s v=""/>
    <m/>
    <m/>
    <s v="*MAV021000994"/>
    <s v="*MAV021000994"/>
    <n v="2.7038753818392345E-4"/>
  </r>
  <r>
    <x v="205"/>
    <s v="Pesos"/>
    <d v="2026-10-06T00:00:00"/>
    <s v="20/07/2026"/>
    <n v="0.93599370000000004"/>
    <m/>
    <n v="1588021.51"/>
    <n v="1486378.12"/>
    <n v="1588021.51"/>
    <n v="1486378.12"/>
    <n v="535"/>
    <s v="AMOMPY"/>
    <s v="Momentum Capital Investment S.A."/>
    <s v="14/07/2026"/>
    <s v="14/07/2026"/>
    <n v="32"/>
    <s v="No"/>
    <s v=""/>
    <m/>
    <m/>
    <s v="*MAV021001028"/>
    <s v="*MAV021001028"/>
    <n v="2.851090422594886E-5"/>
  </r>
  <r>
    <x v="124"/>
    <s v="Pesos"/>
    <d v="2026-10-06T00:00:00"/>
    <s v="20/07/2026"/>
    <n v="0.9397529"/>
    <m/>
    <n v="2584602.4700000002"/>
    <n v="2428887.67"/>
    <n v="2584602.4700000002"/>
    <n v="2428887.67"/>
    <n v="384"/>
    <s v="AMOMPY"/>
    <s v="Momentum Capital Investment S.A."/>
    <s v="15/07/2026"/>
    <s v="15/07/2026"/>
    <n v="30"/>
    <s v="No"/>
    <s v=""/>
    <m/>
    <m/>
    <s v="*MAV021001033"/>
    <s v="*MAV021001033"/>
    <n v="4.6589614582699908E-5"/>
  </r>
  <r>
    <x v="178"/>
    <s v="Pesos"/>
    <d v="2026-10-07T00:00:00"/>
    <s v="20/07/2026"/>
    <n v="0.93522616999999997"/>
    <m/>
    <n v="14479899.689999999"/>
    <n v="13541981.119999999"/>
    <n v="14479899.689999999"/>
    <n v="13541981.119999999"/>
    <n v="9933008"/>
    <s v="AMOMPY"/>
    <s v="Momentum Capital Investment S.A."/>
    <s v="12/06/2026"/>
    <s v="12/06/2026"/>
    <n v="32"/>
    <s v="No"/>
    <s v=""/>
    <m/>
    <m/>
    <s v="*MAV051000919"/>
    <s v="*MAV051000919"/>
    <n v="2.5975498532091395E-4"/>
  </r>
  <r>
    <x v="204"/>
    <s v="Pesos"/>
    <d v="2026-10-07T00:00:00"/>
    <s v="20/07/2026"/>
    <n v="0.92032283999999998"/>
    <m/>
    <n v="7203888"/>
    <n v="6629902.6399999997"/>
    <n v="7203888"/>
    <n v="6629902.6399999997"/>
    <n v="66329877"/>
    <s v="AMOMPY"/>
    <s v="Momentum Capital Investment S.A."/>
    <s v="17/04/2026"/>
    <s v="17/04/2026"/>
    <n v="40"/>
    <s v="No"/>
    <s v=""/>
    <m/>
    <m/>
    <s v="*MAV051000897"/>
    <s v="*MAV051000897"/>
    <n v="1.2717122019826655E-4"/>
  </r>
  <r>
    <x v="204"/>
    <s v="Pesos"/>
    <d v="2026-10-07T00:00:00"/>
    <s v="20/07/2026"/>
    <n v="0.92032283999999998"/>
    <m/>
    <n v="7900000"/>
    <n v="7270550.4100000001"/>
    <n v="7900000"/>
    <n v="7270550.4100000001"/>
    <n v="877"/>
    <s v="AMOMPY"/>
    <s v="Momentum Capital Investment S.A."/>
    <s v="17/04/2026"/>
    <s v="17/04/2026"/>
    <n v="40"/>
    <s v="No"/>
    <s v=""/>
    <m/>
    <m/>
    <s v="*MAV051000898"/>
    <s v="*MAV051000898"/>
    <n v="1.3945978053649176E-4"/>
  </r>
  <r>
    <x v="63"/>
    <s v="Pesos"/>
    <d v="2026-10-07T00:00:00"/>
    <s v="20/07/2026"/>
    <n v="0.95061996999999998"/>
    <m/>
    <n v="6250000"/>
    <n v="5941374.7999999998"/>
    <n v="6250000"/>
    <n v="5941374.7999999998"/>
    <n v="50459992"/>
    <s v="AMOMPY"/>
    <s v="Momentum Capital Investment S.A."/>
    <s v="17/07/2026"/>
    <s v="17/07/2026"/>
    <n v="24"/>
    <s v="No"/>
    <s v=""/>
    <m/>
    <m/>
    <s v="*PRO051000011"/>
    <s v="*PRO051000011"/>
    <n v="1.1396425015544904E-4"/>
  </r>
  <r>
    <x v="206"/>
    <s v="Pesos"/>
    <d v="2026-10-07T00:00:00"/>
    <s v="20/07/2026"/>
    <n v="0.93522618000000002"/>
    <m/>
    <n v="3216984.09"/>
    <n v="3008607.74"/>
    <n v="3216984.09"/>
    <n v="3008607.74"/>
    <n v="98"/>
    <s v="AMOMPY"/>
    <s v="Momentum Capital Investment S.A."/>
    <s v="14/07/2026"/>
    <s v="14/07/2026"/>
    <n v="32"/>
    <s v="No"/>
    <s v=""/>
    <m/>
    <m/>
    <s v="*MAV031001194"/>
    <s v="*MAV031001194"/>
    <n v="5.7709492607835517E-5"/>
  </r>
  <r>
    <x v="43"/>
    <s v="Pesos"/>
    <d v="2026-10-07T00:00:00"/>
    <s v="20/07/2026"/>
    <n v="0.94866804999999998"/>
    <m/>
    <n v="8650000"/>
    <n v="8205978.5999999996"/>
    <n v="8650000"/>
    <n v="8205978.5999999996"/>
    <n v="34384"/>
    <s v="AMOMPY"/>
    <s v="Momentum Capital Investment S.A."/>
    <s v="20/07/2026"/>
    <s v="20/07/2026"/>
    <n v="25"/>
    <s v="No"/>
    <s v=""/>
    <m/>
    <m/>
    <s v="*MIL051000025"/>
    <s v="*MIL051000025"/>
    <n v="1.574026600612137E-4"/>
  </r>
  <r>
    <x v="43"/>
    <s v="Pesos"/>
    <d v="2026-10-07T00:00:00"/>
    <s v="20/07/2026"/>
    <n v="0.94478819000000003"/>
    <m/>
    <n v="15000000"/>
    <n v="14171822.92"/>
    <n v="15000000"/>
    <n v="14171822.92"/>
    <n v="11338649"/>
    <s v="AMOMPY"/>
    <s v="Momentum Capital Investment S.A."/>
    <s v="16/07/2026"/>
    <s v="16/07/2026"/>
    <n v="27"/>
    <s v="No"/>
    <s v=""/>
    <m/>
    <m/>
    <s v="*MIL051000024"/>
    <s v="*MIL051000024"/>
    <n v="2.7183627136493835E-4"/>
  </r>
  <r>
    <x v="43"/>
    <s v="Pesos"/>
    <d v="2026-10-07T00:00:00"/>
    <s v="20/07/2026"/>
    <n v="0.94478830000000003"/>
    <m/>
    <n v="1650000"/>
    <n v="1558900.7"/>
    <n v="1650000"/>
    <n v="1558900.7"/>
    <n v="583"/>
    <s v="AMOMPY"/>
    <s v="Momentum Capital Investment S.A."/>
    <s v="07/07/2026"/>
    <s v="07/07/2026"/>
    <n v="27"/>
    <s v="No"/>
    <s v=""/>
    <m/>
    <m/>
    <s v="*MIL051000023"/>
    <s v="*MIL051000023"/>
    <n v="2.9901993279788478E-5"/>
  </r>
  <r>
    <x v="1"/>
    <s v="Pesos"/>
    <d v="2026-10-07T00:00:00"/>
    <s v="20/07/2026"/>
    <n v="0.94286020999999998"/>
    <m/>
    <n v="2500000"/>
    <n v="2357150.5299999998"/>
    <n v="2500000"/>
    <n v="2357150.5299999998"/>
    <n v="90031812"/>
    <s v="AMOMPY"/>
    <s v="Momentum Capital Investment S.A."/>
    <s v="22/04/2026"/>
    <s v="22/04/2026"/>
    <n v="28"/>
    <s v="No"/>
    <s v=""/>
    <m/>
    <m/>
    <s v="*MOV051000047"/>
    <s v="*MOV051000047"/>
    <n v="4.5213591415739213E-5"/>
  </r>
  <r>
    <x v="98"/>
    <s v="Pesos"/>
    <d v="2026-10-07T00:00:00"/>
    <s v="20/07/2026"/>
    <n v="0.93333690999999996"/>
    <m/>
    <n v="25000000"/>
    <n v="23333422.719999999"/>
    <n v="25000000"/>
    <n v="23333422.719999999"/>
    <n v="1233892"/>
    <s v="AMOMPY"/>
    <s v="Momentum Capital Investment S.A."/>
    <s v="01/06/2026"/>
    <s v="01/06/2026"/>
    <n v="33"/>
    <s v="No"/>
    <s v=""/>
    <m/>
    <m/>
    <s v="*MAV031001149"/>
    <s v="*MAV031001149"/>
    <n v="4.4756914238854587E-4"/>
  </r>
  <r>
    <x v="0"/>
    <s v="Pesos"/>
    <d v="2026-10-08T00:00:00"/>
    <s v="20/07/2026"/>
    <n v="0.94217879999999998"/>
    <m/>
    <n v="8000000"/>
    <n v="7537430.3799999999"/>
    <n v="8000000"/>
    <n v="7537430.3799999999"/>
    <n v="90000138"/>
    <s v="AMOMPY"/>
    <s v="Momentum Capital Investment S.A."/>
    <s v="08/07/2026"/>
    <s v="08/07/2026"/>
    <n v="28"/>
    <s v="No"/>
    <s v=""/>
    <m/>
    <m/>
    <s v="*INP061000046"/>
    <s v="*INP061000046"/>
    <n v="1.4457892832406421E-4"/>
  </r>
  <r>
    <x v="178"/>
    <s v="Pesos"/>
    <d v="2026-10-08T00:00:00"/>
    <s v="20/07/2026"/>
    <n v="0.93445993000000005"/>
    <m/>
    <n v="14479899.68"/>
    <n v="13530886.07"/>
    <n v="14479899.68"/>
    <n v="13530886.07"/>
    <n v="9933007"/>
    <s v="AMOMPY"/>
    <s v="Momentum Capital Investment S.A."/>
    <s v="12/06/2026"/>
    <s v="12/06/2026"/>
    <n v="32"/>
    <s v="No"/>
    <s v=""/>
    <m/>
    <m/>
    <s v="*MAV061001220"/>
    <s v="*MAV061001220"/>
    <n v="2.595421660499117E-4"/>
  </r>
  <r>
    <x v="204"/>
    <s v="Pesos"/>
    <d v="2026-10-08T00:00:00"/>
    <s v="20/07/2026"/>
    <n v="0.91939552000000002"/>
    <m/>
    <n v="7900000"/>
    <n v="7263224.5800000001"/>
    <n v="7900000"/>
    <n v="7263224.5800000001"/>
    <n v="15"/>
    <s v="AMOMPY"/>
    <s v="Momentum Capital Investment S.A."/>
    <s v="17/04/2026"/>
    <s v="17/04/2026"/>
    <n v="40"/>
    <s v="No"/>
    <s v=""/>
    <m/>
    <m/>
    <s v="*MAV061001203"/>
    <s v="*MAV061001203"/>
    <n v="1.3931926041264495E-4"/>
  </r>
  <r>
    <x v="204"/>
    <s v="Pesos"/>
    <d v="2026-10-08T00:00:00"/>
    <s v="20/07/2026"/>
    <n v="0.91939552000000002"/>
    <m/>
    <n v="7203888"/>
    <n v="6623222.3399999999"/>
    <n v="7203888"/>
    <n v="6623222.3399999999"/>
    <n v="876"/>
    <s v="AMOMPY"/>
    <s v="Momentum Capital Investment S.A."/>
    <s v="17/04/2026"/>
    <s v="17/04/2026"/>
    <n v="40"/>
    <s v="No"/>
    <s v=""/>
    <m/>
    <m/>
    <s v="*MAV061001204"/>
    <s v="*MAV061001204"/>
    <n v="1.2704308228306328E-4"/>
  </r>
  <r>
    <x v="207"/>
    <s v="Pesos"/>
    <d v="2026-10-08T00:00:00"/>
    <s v="20/07/2026"/>
    <n v="0.92125197000000003"/>
    <m/>
    <n v="3750000"/>
    <n v="3454694.9"/>
    <n v="3750000"/>
    <n v="3454694.9"/>
    <n v="66919994"/>
    <s v="AMOMPY"/>
    <s v="Momentum Capital Investment S.A."/>
    <s v="13/05/2026"/>
    <s v="13/05/2026"/>
    <n v="39"/>
    <s v="No"/>
    <s v=""/>
    <m/>
    <m/>
    <s v="*MAV061001207"/>
    <s v="*MAV061001207"/>
    <n v="6.626609615578435E-5"/>
  </r>
  <r>
    <x v="63"/>
    <s v="Pesos"/>
    <d v="2026-10-08T00:00:00"/>
    <s v="20/07/2026"/>
    <n v="0.94412834000000001"/>
    <m/>
    <n v="20000000"/>
    <n v="18882566.699999999"/>
    <n v="20000000"/>
    <n v="18882566.699999999"/>
    <n v="9508920"/>
    <s v="AMOMPY"/>
    <s v="Momentum Capital Investment S.A."/>
    <s v="13/07/2026"/>
    <s v="13/07/2026"/>
    <n v="27"/>
    <s v="No"/>
    <s v=""/>
    <m/>
    <m/>
    <s v="*PRO061000010"/>
    <s v="*PRO061000010"/>
    <n v="3.6219522036814642E-4"/>
  </r>
  <r>
    <x v="7"/>
    <s v="Pesos"/>
    <d v="2026-10-08T00:00:00"/>
    <s v="20/07/2026"/>
    <n v="0.93830345000000004"/>
    <m/>
    <n v="5000000"/>
    <n v="4691517.24"/>
    <n v="5000000"/>
    <n v="4691517.24"/>
    <n v="789"/>
    <s v="AMOMPY"/>
    <s v="Momentum Capital Investment S.A."/>
    <s v="14/07/2026"/>
    <s v="14/07/2026"/>
    <n v="30"/>
    <s v="No"/>
    <s v=""/>
    <m/>
    <m/>
    <s v="*MAV061001283"/>
    <s v="*MAV061001283"/>
    <n v="8.9990155872334785E-5"/>
  </r>
  <r>
    <x v="208"/>
    <s v="Pesos"/>
    <d v="2026-10-08T00:00:00"/>
    <s v="20/07/2026"/>
    <n v="0.93445992"/>
    <m/>
    <n v="7500000"/>
    <n v="7008449.3899999997"/>
    <n v="7500000"/>
    <n v="7008449.3899999997"/>
    <n v="67195465"/>
    <s v="AMOMPY"/>
    <s v="Momentum Capital Investment S.A."/>
    <s v="14/07/2026"/>
    <s v="14/07/2026"/>
    <n v="32"/>
    <s v="No"/>
    <s v=""/>
    <m/>
    <m/>
    <s v="*MAV061001281"/>
    <s v="*MAV061001281"/>
    <n v="1.3443229999288451E-4"/>
  </r>
  <r>
    <x v="178"/>
    <s v="Pesos"/>
    <d v="2026-10-09T00:00:00"/>
    <s v="20/07/2026"/>
    <n v="0.93369495000000002"/>
    <m/>
    <n v="14479899.68"/>
    <n v="13519809.189999999"/>
    <n v="14479899.68"/>
    <n v="13519809.189999999"/>
    <n v="9933006"/>
    <s v="AMOMPY"/>
    <s v="Momentum Capital Investment S.A."/>
    <s v="12/06/2026"/>
    <s v="12/06/2026"/>
    <n v="32"/>
    <s v="No"/>
    <s v=""/>
    <m/>
    <m/>
    <s v="*MAV071001163"/>
    <s v="*MAV071001163"/>
    <n v="2.5932969530605929E-4"/>
  </r>
  <r>
    <x v="63"/>
    <s v="Pesos"/>
    <d v="2026-10-09T00:00:00"/>
    <s v="20/07/2026"/>
    <n v="0.94743688999999998"/>
    <m/>
    <n v="25000000"/>
    <n v="23685922.27"/>
    <n v="25000000"/>
    <n v="23685922.27"/>
    <n v="929"/>
    <s v="AMOMPY"/>
    <s v="Momentum Capital Investment S.A."/>
    <s v="02/07/2026"/>
    <s v="02/07/2026"/>
    <n v="25"/>
    <s v="No"/>
    <s v=""/>
    <m/>
    <m/>
    <s v="*PRO071000009"/>
    <s v="*PRO071000009"/>
    <n v="4.5433059882719423E-4"/>
  </r>
  <r>
    <x v="63"/>
    <s v="Pesos"/>
    <d v="2026-10-09T00:00:00"/>
    <s v="20/07/2026"/>
    <n v="0.94743688000000004"/>
    <m/>
    <n v="25000000"/>
    <n v="23685922.02"/>
    <n v="25000000"/>
    <n v="23685922.02"/>
    <n v="6534"/>
    <s v="AMOMPY"/>
    <s v="Momentum Capital Investment S.A."/>
    <s v="16/07/2026"/>
    <s v="16/07/2026"/>
    <n v="25"/>
    <s v="No"/>
    <s v=""/>
    <m/>
    <m/>
    <s v="*PRO071000011"/>
    <s v="*PRO071000011"/>
    <n v="4.5433059403182896E-4"/>
  </r>
  <r>
    <x v="63"/>
    <s v="Pesos"/>
    <d v="2026-10-09T00:00:00"/>
    <s v="20/07/2026"/>
    <n v="0.94743688000000004"/>
    <m/>
    <n v="25000000"/>
    <n v="23685922.02"/>
    <n v="25000000"/>
    <n v="23685922.02"/>
    <n v="6535"/>
    <s v="AMOMPY"/>
    <s v="Momentum Capital Investment S.A."/>
    <s v="16/07/2026"/>
    <s v="16/07/2026"/>
    <n v="25"/>
    <s v="No"/>
    <s v=""/>
    <m/>
    <m/>
    <s v="*PRO071000010"/>
    <s v="*PRO071000010"/>
    <n v="4.5433059403182896E-4"/>
  </r>
  <r>
    <x v="63"/>
    <s v="Pesos"/>
    <d v="2026-10-09T00:00:00"/>
    <s v="20/07/2026"/>
    <n v="0.94943314999999995"/>
    <m/>
    <n v="6250000"/>
    <n v="5933957.1699999999"/>
    <n v="6250000"/>
    <n v="5933957.1699999999"/>
    <n v="50459993"/>
    <s v="AMOMPY"/>
    <s v="Momentum Capital Investment S.A."/>
    <s v="17/07/2026"/>
    <s v="17/07/2026"/>
    <n v="24"/>
    <s v="No"/>
    <s v=""/>
    <m/>
    <m/>
    <s v="*PRO071000012"/>
    <s v="*PRO071000012"/>
    <n v="1.1382196917346478E-4"/>
  </r>
  <r>
    <x v="43"/>
    <s v="Pesos"/>
    <d v="2026-10-09T00:00:00"/>
    <s v="20/07/2026"/>
    <n v="0.94743690999999997"/>
    <m/>
    <n v="8650000"/>
    <n v="8195329.2800000003"/>
    <n v="8650000"/>
    <n v="8195329.2800000003"/>
    <n v="34385"/>
    <s v="AMOMPY"/>
    <s v="Momentum Capital Investment S.A."/>
    <s v="20/07/2026"/>
    <s v="20/07/2026"/>
    <n v="25"/>
    <s v="No"/>
    <s v=""/>
    <m/>
    <m/>
    <s v="*MIL071000032"/>
    <s v="*MIL071000032"/>
    <n v="1.5719839054290872E-4"/>
  </r>
  <r>
    <x v="43"/>
    <s v="Pesos"/>
    <d v="2026-10-09T00:00:00"/>
    <s v="20/07/2026"/>
    <n v="0.94346943000000005"/>
    <m/>
    <n v="24500000"/>
    <n v="23115001.129999999"/>
    <n v="24500000"/>
    <n v="23115001.129999999"/>
    <n v="34219"/>
    <s v="AMOMPY"/>
    <s v="Momentum Capital Investment S.A."/>
    <s v="07/07/2026"/>
    <s v="07/07/2026"/>
    <n v="27"/>
    <s v="No"/>
    <s v=""/>
    <m/>
    <m/>
    <s v="*MIL071000031"/>
    <s v="*MIL071000031"/>
    <n v="4.4337949713638792E-4"/>
  </r>
  <r>
    <x v="1"/>
    <s v="Pesos"/>
    <d v="2026-10-09T00:00:00"/>
    <s v="20/07/2026"/>
    <n v="0.94149819999999995"/>
    <m/>
    <n v="2500000"/>
    <n v="2353745.4900000002"/>
    <n v="2500000"/>
    <n v="2353745.4900000002"/>
    <n v="90031813"/>
    <s v="AMOMPY"/>
    <s v="Momentum Capital Investment S.A."/>
    <s v="22/04/2026"/>
    <s v="22/04/2026"/>
    <n v="28"/>
    <s v="No"/>
    <s v=""/>
    <m/>
    <m/>
    <s v="*MOV071000055"/>
    <s v="*MOV071000055"/>
    <n v="4.5148277773120798E-5"/>
  </r>
  <r>
    <x v="178"/>
    <s v="Pesos"/>
    <d v="2026-10-13T00:00:00"/>
    <s v="20/07/2026"/>
    <n v="0.93064769000000003"/>
    <m/>
    <n v="14479899.68"/>
    <n v="13475685.15"/>
    <n v="14479899.68"/>
    <n v="13475685.15"/>
    <n v="9933005"/>
    <s v="AMOMPY"/>
    <s v="Momentum Capital Investment S.A."/>
    <s v="12/06/2026"/>
    <s v="12/06/2026"/>
    <n v="32"/>
    <s v="No"/>
    <s v=""/>
    <m/>
    <m/>
    <s v="*MAV081001044"/>
    <s v="*MAV081001044"/>
    <n v="2.5848333174514925E-4"/>
  </r>
  <r>
    <x v="194"/>
    <s v="Pesos"/>
    <d v="2026-10-13T00:00:00"/>
    <s v="20/07/2026"/>
    <n v="0.93064765000000005"/>
    <m/>
    <n v="15000000"/>
    <n v="13959714.699999999"/>
    <n v="15000000"/>
    <n v="13959714.699999999"/>
    <n v="13953460"/>
    <s v="AMOMPY"/>
    <s v="Momentum Capital Investment S.A."/>
    <s v="14/07/2026"/>
    <s v="14/07/2026"/>
    <n v="32"/>
    <s v="No"/>
    <s v=""/>
    <m/>
    <m/>
    <s v="*MAV081001114"/>
    <s v="*MAV081001114"/>
    <n v="2.6776772577442838E-4"/>
  </r>
  <r>
    <x v="194"/>
    <s v="Pesos"/>
    <d v="2026-10-13T00:00:00"/>
    <s v="20/07/2026"/>
    <n v="0.93064780999999996"/>
    <m/>
    <n v="40000000"/>
    <n v="37225912.57"/>
    <n v="40000000"/>
    <n v="37225912.57"/>
    <n v="13795907"/>
    <s v="AMOMPY"/>
    <s v="Momentum Capital Investment S.A."/>
    <s v="25/06/2026"/>
    <s v="25/06/2026"/>
    <n v="32"/>
    <s v="No"/>
    <s v=""/>
    <m/>
    <m/>
    <s v="*MAV081001065"/>
    <s v="*MAV081001065"/>
    <n v="7.1404739731153728E-4"/>
  </r>
  <r>
    <x v="207"/>
    <s v="Pesos"/>
    <d v="2026-10-13T00:00:00"/>
    <s v="20/07/2026"/>
    <n v="0.91673994000000003"/>
    <m/>
    <n v="3750000"/>
    <n v="3437774.79"/>
    <n v="3750000"/>
    <n v="3437774.79"/>
    <n v="66920072"/>
    <s v="AMOMPY"/>
    <s v="Momentum Capital Investment S.A."/>
    <s v="13/05/2026"/>
    <s v="13/05/2026"/>
    <n v="39"/>
    <s v="No"/>
    <s v=""/>
    <m/>
    <m/>
    <s v="*MAV081001027"/>
    <s v="*MAV081001027"/>
    <n v="6.5941543722448939E-5"/>
  </r>
  <r>
    <x v="7"/>
    <s v="Pesos"/>
    <d v="2026-10-13T00:00:00"/>
    <s v="20/07/2026"/>
    <n v="0.93469911999999999"/>
    <m/>
    <n v="5000000"/>
    <n v="4673495.5999999996"/>
    <n v="5000000"/>
    <n v="4673495.5999999996"/>
    <n v="790"/>
    <s v="AMOMPY"/>
    <s v="Momentum Capital Investment S.A."/>
    <s v="14/07/2026"/>
    <s v="14/07/2026"/>
    <n v="30"/>
    <s v="No"/>
    <s v=""/>
    <m/>
    <m/>
    <s v="*MAV081001116"/>
    <s v="*MAV081001116"/>
    <n v="8.9644474484052144E-5"/>
  </r>
  <r>
    <x v="43"/>
    <s v="Pesos"/>
    <d v="2026-10-13T00:00:00"/>
    <s v="20/07/2026"/>
    <n v="0.94084303000000002"/>
    <m/>
    <n v="15000000"/>
    <n v="14112645.48"/>
    <n v="15000000"/>
    <n v="14112645.48"/>
    <n v="11338650"/>
    <s v="AMOMPY"/>
    <s v="Momentum Capital Investment S.A."/>
    <s v="16/07/2026"/>
    <s v="16/07/2026"/>
    <n v="27"/>
    <s v="No"/>
    <s v=""/>
    <m/>
    <m/>
    <s v="*MIL081000034"/>
    <s v="*MIL081000034"/>
    <n v="2.7070116159611532E-4"/>
  </r>
  <r>
    <x v="92"/>
    <s v="Pesos"/>
    <d v="2026-10-13T00:00:00"/>
    <s v="20/07/2026"/>
    <n v="0.93673810999999996"/>
    <m/>
    <n v="8106418.25"/>
    <n v="7593590.9199999999"/>
    <n v="8106418.25"/>
    <n v="7593590.9199999999"/>
    <n v="90000803"/>
    <s v="AMOMPY"/>
    <s v="Momentum Capital Investment S.A."/>
    <s v="03/07/2026"/>
    <s v="03/07/2026"/>
    <n v="29"/>
    <s v="No"/>
    <s v=""/>
    <m/>
    <m/>
    <s v="*FED081000019"/>
    <s v="*FED081000019"/>
    <n v="1.4565616954261603E-4"/>
  </r>
  <r>
    <x v="208"/>
    <s v="Pesos"/>
    <d v="2026-10-13T00:00:00"/>
    <s v="20/07/2026"/>
    <n v="0.93064765000000005"/>
    <m/>
    <n v="7500000"/>
    <n v="6979857.3499999996"/>
    <n v="7500000"/>
    <n v="6979857.3499999996"/>
    <n v="67195476"/>
    <s v="AMOMPY"/>
    <s v="Momentum Capital Investment S.A."/>
    <s v="14/07/2026"/>
    <s v="14/07/2026"/>
    <n v="32"/>
    <s v="No"/>
    <s v=""/>
    <m/>
    <m/>
    <s v="*MAV081001113"/>
    <s v="*MAV081001113"/>
    <n v="1.3388386288721419E-4"/>
  </r>
  <r>
    <x v="116"/>
    <s v="Pesos"/>
    <d v="2026-10-14T00:00:00"/>
    <s v="20/07/2026"/>
    <n v="0.92785605999999998"/>
    <m/>
    <n v="650000000"/>
    <n v="603106436.13999999"/>
    <n v="650000000"/>
    <n v="603106436.13999999"/>
    <n v="152838"/>
    <s v="AMOMPY"/>
    <s v="Momentum Capital Investment S.A."/>
    <s v="09/06/2026"/>
    <s v="09/06/2026"/>
    <n v="33"/>
    <s v="No"/>
    <s v=""/>
    <m/>
    <m/>
    <s v="#MAV121060010"/>
    <s v="#MAV121060010"/>
    <n v="1.1568462699680268E-2"/>
  </r>
  <r>
    <x v="178"/>
    <s v="Pesos"/>
    <d v="2026-10-14T00:00:00"/>
    <s v="20/07/2026"/>
    <n v="0.92988892999999995"/>
    <m/>
    <n v="14479899.68"/>
    <n v="13464698.41"/>
    <n v="14479899.68"/>
    <n v="13464698.41"/>
    <n v="9933004"/>
    <s v="AMOMPY"/>
    <s v="Momentum Capital Investment S.A."/>
    <s v="12/06/2026"/>
    <s v="12/06/2026"/>
    <n v="32"/>
    <s v="No"/>
    <s v=""/>
    <m/>
    <m/>
    <s v="*MAV091001103"/>
    <s v="*MAV091001103"/>
    <n v="2.5827259001820875E-4"/>
  </r>
  <r>
    <x v="209"/>
    <s v="Pesos"/>
    <d v="2026-10-14T00:00:00"/>
    <s v="20/07/2026"/>
    <n v="0.92988912999999995"/>
    <m/>
    <n v="3023662.75"/>
    <n v="2811671.13"/>
    <n v="3023662.75"/>
    <n v="2811671.13"/>
    <n v="2527"/>
    <s v="AMOMPY"/>
    <s v="Momentum Capital Investment S.A."/>
    <s v="14/07/2026"/>
    <s v="14/07/2026"/>
    <n v="32"/>
    <s v="No"/>
    <s v=""/>
    <m/>
    <m/>
    <s v="*MAV091001182"/>
    <s v="*MAV091001182"/>
    <n v="5.3931960665766123E-5"/>
  </r>
  <r>
    <x v="194"/>
    <s v="Pesos"/>
    <d v="2026-10-14T00:00:00"/>
    <s v="20/07/2026"/>
    <n v="0.92988912999999995"/>
    <m/>
    <n v="15000000"/>
    <n v="13948336.93"/>
    <n v="15000000"/>
    <n v="13948336.93"/>
    <n v="13953461"/>
    <s v="AMOMPY"/>
    <s v="Momentum Capital Investment S.A."/>
    <s v="14/07/2026"/>
    <s v="14/07/2026"/>
    <n v="32"/>
    <s v="No"/>
    <s v=""/>
    <m/>
    <m/>
    <s v="*MAV091001183"/>
    <s v="*MAV091001183"/>
    <n v="2.6754948352071783E-4"/>
  </r>
  <r>
    <x v="194"/>
    <s v="Pesos"/>
    <d v="2026-10-14T00:00:00"/>
    <s v="20/07/2026"/>
    <n v="0.92988904999999999"/>
    <m/>
    <n v="40000000"/>
    <n v="37195561.969999999"/>
    <n v="40000000"/>
    <n v="37195561.969999999"/>
    <n v="13795908"/>
    <s v="AMOMPY"/>
    <s v="Momentum Capital Investment S.A."/>
    <s v="25/06/2026"/>
    <s v="25/06/2026"/>
    <n v="32"/>
    <s v="No"/>
    <s v=""/>
    <m/>
    <m/>
    <s v="*MAV091001118"/>
    <s v="*MAV091001118"/>
    <n v="7.1346522845547246E-4"/>
  </r>
  <r>
    <x v="43"/>
    <s v="Pesos"/>
    <d v="2026-10-14T00:00:00"/>
    <s v="20/07/2026"/>
    <n v="0.94437267000000003"/>
    <m/>
    <n v="50000000"/>
    <n v="47218633.659999996"/>
    <n v="50000000"/>
    <n v="47218633.659999996"/>
    <n v="14032588"/>
    <s v="AMOMPY"/>
    <s v="Momentum Capital Investment S.A."/>
    <s v="20/07/2026"/>
    <s v="20/07/2026"/>
    <n v="25"/>
    <s v="No"/>
    <s v=""/>
    <m/>
    <m/>
    <s v="*MIL091000034"/>
    <s v="*MIL091000034"/>
    <n v="9.0572238910542158E-4"/>
  </r>
  <r>
    <x v="43"/>
    <s v="Pesos"/>
    <d v="2026-10-14T00:00:00"/>
    <s v="20/07/2026"/>
    <n v="0.94437267000000003"/>
    <m/>
    <n v="8650000"/>
    <n v="8168823.5999999996"/>
    <n v="8650000"/>
    <n v="8168823.5999999996"/>
    <n v="34386"/>
    <s v="AMOMPY"/>
    <s v="Momentum Capital Investment S.A."/>
    <s v="20/07/2026"/>
    <s v="20/07/2026"/>
    <n v="25"/>
    <s v="No"/>
    <s v=""/>
    <m/>
    <m/>
    <s v="*MIL091000035"/>
    <s v="*MIL091000035"/>
    <n v="1.5668997287061166E-4"/>
  </r>
  <r>
    <x v="43"/>
    <s v="Pesos"/>
    <d v="2026-10-14T00:00:00"/>
    <s v="20/07/2026"/>
    <n v="0.94018873000000003"/>
    <m/>
    <n v="10000000"/>
    <n v="9401887.3399999999"/>
    <n v="10000000"/>
    <n v="9401887.3399999999"/>
    <n v="2010"/>
    <s v="AMOMPY"/>
    <s v="Momentum Capital Investment S.A."/>
    <s v="07/07/2026"/>
    <s v="07/07/2026"/>
    <n v="27"/>
    <s v="No"/>
    <s v=""/>
    <m/>
    <m/>
    <s v="*MIL091000033"/>
    <s v="*MIL091000033"/>
    <n v="1.8034193714712451E-4"/>
  </r>
  <r>
    <x v="64"/>
    <s v="Pesos"/>
    <d v="2026-10-14T00:00:00"/>
    <s v="20/07/2026"/>
    <n v="0.92785602"/>
    <m/>
    <n v="12500000"/>
    <n v="11598200.210000001"/>
    <n v="12500000"/>
    <n v="11598200.210000001"/>
    <n v="1363"/>
    <s v="AMOMPY"/>
    <s v="Momentum Capital Investment S.A."/>
    <s v="21/05/2026"/>
    <s v="21/05/2026"/>
    <n v="33"/>
    <s v="No"/>
    <s v=""/>
    <m/>
    <m/>
    <s v="*MAV091001085"/>
    <s v="*MAV091001085"/>
    <n v="2.2247042722930418E-4"/>
  </r>
  <r>
    <x v="48"/>
    <s v="Pesos"/>
    <d v="2026-10-14T00:00:00"/>
    <s v="20/07/2026"/>
    <n v="0.92785622999999995"/>
    <m/>
    <n v="85000000"/>
    <n v="78867779.379999995"/>
    <n v="85000000"/>
    <n v="78867779.379999995"/>
    <n v="8444"/>
    <s v="AMOMPY"/>
    <s v="Momentum Capital Investment S.A."/>
    <s v="14/07/2026"/>
    <s v="14/07/2026"/>
    <n v="33"/>
    <s v="No"/>
    <s v=""/>
    <m/>
    <m/>
    <s v="*MAV091001184"/>
    <s v="*MAV091001184"/>
    <n v="1.5127992495048597E-3"/>
  </r>
  <r>
    <x v="92"/>
    <s v="Pesos"/>
    <d v="2026-10-14T00:00:00"/>
    <s v="20/07/2026"/>
    <n v="0.94437258000000002"/>
    <m/>
    <n v="40000000"/>
    <n v="37774903.140000001"/>
    <n v="40000000"/>
    <n v="37774903.140000001"/>
    <n v="67620341"/>
    <s v="AMOMPY"/>
    <s v="Momentum Capital Investment S.A."/>
    <s v="12/06/2026"/>
    <s v="12/06/2026"/>
    <n v="25"/>
    <s v="No"/>
    <s v=""/>
    <m/>
    <m/>
    <s v="*FED091000019"/>
    <s v="*FED091000019"/>
    <n v="7.2457783862496235E-4"/>
  </r>
  <r>
    <x v="1"/>
    <s v="Pesos"/>
    <d v="2026-10-14T00:00:00"/>
    <s v="20/07/2026"/>
    <n v="0.93811042"/>
    <m/>
    <n v="2500000"/>
    <n v="2345276.04"/>
    <n v="2500000"/>
    <n v="2345276.04"/>
    <n v="90031814"/>
    <s v="AMOMPY"/>
    <s v="Momentum Capital Investment S.A."/>
    <s v="22/04/2026"/>
    <s v="22/04/2026"/>
    <n v="28"/>
    <s v="No"/>
    <s v=""/>
    <m/>
    <m/>
    <s v="*MOV091000055"/>
    <s v="*MOV091000055"/>
    <n v="4.4985821346625184E-5"/>
  </r>
  <r>
    <x v="1"/>
    <s v="Pesos"/>
    <d v="2026-10-14T00:00:00"/>
    <s v="20/07/2026"/>
    <n v="0.93811051000000001"/>
    <m/>
    <n v="25000000"/>
    <n v="23452762.690000001"/>
    <n v="25000000"/>
    <n v="23452762.690000001"/>
    <n v="360570"/>
    <s v="AMOMPY"/>
    <s v="Momentum Capital Investment S.A."/>
    <s v="21/04/2026"/>
    <s v="21/04/2026"/>
    <n v="28"/>
    <s v="No"/>
    <s v=""/>
    <m/>
    <m/>
    <s v="*MOV091000054"/>
    <s v="*MOV091000054"/>
    <n v="4.4985825739179795E-4"/>
  </r>
  <r>
    <x v="210"/>
    <s v="Pesos"/>
    <d v="2026-10-14T00:00:00"/>
    <s v="20/07/2026"/>
    <n v="0.92785605999999998"/>
    <m/>
    <n v="800000000"/>
    <n v="742284844.48000002"/>
    <n v="800000000"/>
    <n v="742284844.48000002"/>
    <n v="152839"/>
    <s v="AMOMPY"/>
    <s v="Momentum Capital Investment S.A."/>
    <s v="09/06/2026"/>
    <s v="09/06/2026"/>
    <n v="33"/>
    <s v="No"/>
    <s v=""/>
    <m/>
    <m/>
    <s v="#MAV121060011"/>
    <s v="#MAV121060011"/>
    <n v="1.4238107938068022E-2"/>
  </r>
  <r>
    <x v="13"/>
    <s v="Pesos"/>
    <d v="2026-10-14T00:00:00"/>
    <s v="20/07/2026"/>
    <n v="0.93604149000000003"/>
    <m/>
    <n v="10000000"/>
    <n v="9360414.9000000004"/>
    <n v="10000000"/>
    <n v="9360414.9000000004"/>
    <n v="80620808"/>
    <s v="AMOMPY"/>
    <s v="Momentum Capital Investment S.A."/>
    <s v="01/07/2026"/>
    <s v="01/07/2026"/>
    <n v="29"/>
    <s v="No"/>
    <s v=""/>
    <m/>
    <m/>
    <s v="*NEU091000021"/>
    <s v="*NEU091000021"/>
    <n v="1.7954643514871214E-4"/>
  </r>
  <r>
    <x v="211"/>
    <s v="Pesos"/>
    <d v="2026-10-14T00:00:00"/>
    <s v="20/07/2026"/>
    <n v="0.92785611000000001"/>
    <m/>
    <n v="650000000"/>
    <n v="603106471.75999999"/>
    <n v="650000000"/>
    <n v="603106471.75999999"/>
    <n v="153163"/>
    <s v="AMOMPY"/>
    <s v="Momentum Capital Investment S.A."/>
    <s v="10/06/2026"/>
    <s v="10/06/2026"/>
    <n v="33"/>
    <s v="No"/>
    <s v=""/>
    <m/>
    <m/>
    <s v="#MAV131060021"/>
    <s v="#MAV131060021"/>
    <n v="1.1568463382923916E-2"/>
  </r>
  <r>
    <x v="197"/>
    <s v="Pesos"/>
    <d v="2026-10-15T00:00:00"/>
    <s v="20/07/2026"/>
    <n v="0.92707830999999996"/>
    <m/>
    <n v="5134985.93"/>
    <n v="4760534.07"/>
    <n v="5134985.93"/>
    <n v="4760534.07"/>
    <n v="414"/>
    <s v="AMOMPY"/>
    <s v="Momentum Capital Investment S.A."/>
    <s v="02/06/2026"/>
    <s v="02/06/2026"/>
    <n v="33"/>
    <s v="No"/>
    <s v=""/>
    <m/>
    <m/>
    <s v="*MAV121000892"/>
    <s v="*MAV121000892"/>
    <n v="9.1313999518599301E-5"/>
  </r>
  <r>
    <x v="178"/>
    <s v="Pesos"/>
    <d v="2026-10-15T00:00:00"/>
    <s v="20/07/2026"/>
    <n v="0.92913159999999995"/>
    <m/>
    <n v="14479899.68"/>
    <n v="13453732.310000001"/>
    <n v="14479899.68"/>
    <n v="13453732.310000001"/>
    <n v="9933003"/>
    <s v="AMOMPY"/>
    <s v="Momentum Capital Investment S.A."/>
    <s v="12/06/2026"/>
    <s v="12/06/2026"/>
    <n v="32"/>
    <s v="No"/>
    <s v=""/>
    <m/>
    <m/>
    <s v="*MAV131001308"/>
    <s v="*MAV131001308"/>
    <n v="2.5806224419662726E-4"/>
  </r>
  <r>
    <x v="0"/>
    <s v="Pesos"/>
    <d v="2026-10-15T00:00:00"/>
    <s v="20/07/2026"/>
    <n v="0.93326529000000003"/>
    <m/>
    <n v="2000000"/>
    <n v="1866530.57"/>
    <n v="2000000"/>
    <n v="1866530.57"/>
    <n v="13442185"/>
    <s v="AMOMPY"/>
    <s v="Momentum Capital Investment S.A."/>
    <s v="29/05/2026"/>
    <s v="29/05/2026"/>
    <n v="30"/>
    <s v="No"/>
    <s v=""/>
    <m/>
    <m/>
    <s v="*INP121000042"/>
    <s v="*INP121000042"/>
    <n v="3.5802783692803375E-5"/>
  </r>
  <r>
    <x v="142"/>
    <s v="Pesos"/>
    <d v="2026-10-15T00:00:00"/>
    <s v="20/07/2026"/>
    <n v="0.92503431000000003"/>
    <m/>
    <n v="4000000"/>
    <n v="3700137.24"/>
    <n v="4000000"/>
    <n v="3700137.24"/>
    <n v="90000051"/>
    <s v="AMOMPY"/>
    <s v="Momentum Capital Investment S.A."/>
    <s v="11/06/2026"/>
    <s v="11/06/2026"/>
    <n v="34"/>
    <s v="No"/>
    <s v=""/>
    <m/>
    <m/>
    <s v="*MAV121000902"/>
    <s v="*MAV121000902"/>
    <n v="7.0974038875455699E-5"/>
  </r>
  <r>
    <x v="212"/>
    <s v="Pesos"/>
    <d v="2026-10-15T00:00:00"/>
    <s v="20/07/2026"/>
    <n v="0.92913159999999995"/>
    <m/>
    <n v="3413365"/>
    <n v="3171465.27"/>
    <n v="3413365"/>
    <n v="3171465.27"/>
    <n v="67525693"/>
    <s v="AMOMPY"/>
    <s v="Momentum Capital Investment S.A."/>
    <s v="12/06/2026"/>
    <s v="12/06/2026"/>
    <n v="32"/>
    <s v="No"/>
    <s v=""/>
    <m/>
    <m/>
    <s v="*MAV131001307"/>
    <s v="*MAV131001307"/>
    <n v="6.083333799941366E-5"/>
  </r>
  <r>
    <x v="29"/>
    <s v="Pesos"/>
    <d v="2026-10-15T00:00:00"/>
    <s v="20/07/2026"/>
    <n v="0.92503431000000003"/>
    <m/>
    <n v="20000000"/>
    <n v="18500686.190000001"/>
    <n v="20000000"/>
    <n v="18500686.190000001"/>
    <n v="4403"/>
    <s v="AMOMPY"/>
    <s v="Momentum Capital Investment S.A."/>
    <s v="17/07/2026"/>
    <s v="17/07/2026"/>
    <n v="34"/>
    <s v="No"/>
    <s v=""/>
    <m/>
    <m/>
    <s v="*MAV121000944"/>
    <s v="*MAV121000944"/>
    <n v="3.548701941854639E-4"/>
  </r>
  <r>
    <x v="43"/>
    <s v="Pesos"/>
    <d v="2026-10-15T00:00:00"/>
    <s v="20/07/2026"/>
    <n v="0.93953514000000005"/>
    <m/>
    <n v="15000000"/>
    <n v="14093027.07"/>
    <n v="15000000"/>
    <n v="14093027.07"/>
    <n v="11338651"/>
    <s v="AMOMPY"/>
    <s v="Momentum Capital Investment S.A."/>
    <s v="16/07/2026"/>
    <s v="16/07/2026"/>
    <n v="27"/>
    <s v="No"/>
    <s v=""/>
    <m/>
    <m/>
    <s v="*MIL121000020"/>
    <s v="*MIL121000020"/>
    <n v="2.7032485182604455E-4"/>
  </r>
  <r>
    <x v="43"/>
    <s v="Pesos"/>
    <d v="2026-10-15T00:00:00"/>
    <s v="20/07/2026"/>
    <n v="0.93953514000000005"/>
    <m/>
    <n v="20000000"/>
    <n v="18790702.760000002"/>
    <n v="20000000"/>
    <n v="18790702.760000002"/>
    <n v="884"/>
    <s v="AMOMPY"/>
    <s v="Momentum Capital Investment S.A."/>
    <s v="16/07/2026"/>
    <s v="16/07/2026"/>
    <n v="27"/>
    <s v="No"/>
    <s v=""/>
    <m/>
    <m/>
    <s v="*MIL131000028"/>
    <s v="*MIL131000028"/>
    <n v="3.6043313576805946E-4"/>
  </r>
  <r>
    <x v="43"/>
    <s v="Pesos"/>
    <d v="2026-10-15T00:00:00"/>
    <s v="20/07/2026"/>
    <n v="0.93953514000000005"/>
    <m/>
    <n v="20000000"/>
    <n v="18790702.760000002"/>
    <n v="20000000"/>
    <n v="18790702.760000002"/>
    <n v="886"/>
    <s v="AMOMPY"/>
    <s v="Momentum Capital Investment S.A."/>
    <s v="16/07/2026"/>
    <s v="16/07/2026"/>
    <n v="27"/>
    <s v="No"/>
    <s v=""/>
    <m/>
    <m/>
    <s v="*MIL121000021"/>
    <s v="*MIL121000021"/>
    <n v="3.6043313576805946E-4"/>
  </r>
  <r>
    <x v="43"/>
    <s v="Pesos"/>
    <d v="2026-10-15T00:00:00"/>
    <s v="20/07/2026"/>
    <n v="0.93953525000000004"/>
    <m/>
    <n v="20000000"/>
    <n v="18790704.949999999"/>
    <n v="20000000"/>
    <n v="18790704.949999999"/>
    <n v="68122772"/>
    <s v="AMOMPY"/>
    <s v="Momentum Capital Investment S.A."/>
    <s v="07/07/2026"/>
    <s v="07/07/2026"/>
    <n v="27"/>
    <s v="No"/>
    <s v=""/>
    <m/>
    <m/>
    <s v="*MIL131000027"/>
    <s v="*MIL131000027"/>
    <n v="3.604331777754594E-4"/>
  </r>
  <r>
    <x v="1"/>
    <s v="Pesos"/>
    <d v="2026-10-15T00:00:00"/>
    <s v="20/07/2026"/>
    <n v="0.93743588"/>
    <m/>
    <n v="2500000"/>
    <n v="2343589.69"/>
    <n v="2500000"/>
    <n v="2343589.69"/>
    <n v="90031815"/>
    <s v="AMOMPY"/>
    <s v="Momentum Capital Investment S.A."/>
    <s v="22/04/2026"/>
    <s v="22/04/2026"/>
    <n v="28"/>
    <s v="No"/>
    <s v=""/>
    <m/>
    <m/>
    <s v="*MOV131000083"/>
    <s v="*MOV131000083"/>
    <n v="4.4953474689543452E-5"/>
  </r>
  <r>
    <x v="1"/>
    <s v="Pesos"/>
    <d v="2026-10-15T00:00:00"/>
    <s v="20/07/2026"/>
    <n v="0.93743584999999996"/>
    <m/>
    <n v="25000000"/>
    <n v="23435896.32"/>
    <n v="25000000"/>
    <n v="23435896.32"/>
    <n v="360571"/>
    <s v="AMOMPY"/>
    <s v="Momentum Capital Investment S.A."/>
    <s v="21/04/2026"/>
    <s v="21/04/2026"/>
    <n v="28"/>
    <s v="No"/>
    <s v=""/>
    <m/>
    <m/>
    <s v="*MOV131000082"/>
    <s v="*MOV131000082"/>
    <n v="4.4953473577018704E-4"/>
  </r>
  <r>
    <x v="98"/>
    <s v="Pesos"/>
    <d v="2026-10-15T00:00:00"/>
    <s v="20/07/2026"/>
    <n v="0.92707843000000001"/>
    <m/>
    <n v="25000000"/>
    <n v="23176960.780000001"/>
    <n v="25000000"/>
    <n v="23176960.780000001"/>
    <n v="475881"/>
    <s v="AMOMPY"/>
    <s v="Momentum Capital Investment S.A."/>
    <s v="08/06/2026"/>
    <s v="08/06/2026"/>
    <n v="33"/>
    <s v="No"/>
    <s v=""/>
    <m/>
    <m/>
    <s v="*MAV101001396"/>
    <s v="*MAV101001396"/>
    <n v="4.4456797375835497E-4"/>
  </r>
  <r>
    <x v="198"/>
    <s v="Pesos"/>
    <d v="2026-10-16T00:00:00"/>
    <s v="20/07/2026"/>
    <n v="0.92630203"/>
    <m/>
    <n v="7190687"/>
    <n v="6660748"/>
    <n v="7190687"/>
    <n v="6660748"/>
    <n v="90001573"/>
    <s v="AMOMPY"/>
    <s v="Momentum Capital Investment S.A."/>
    <s v="02/06/2026"/>
    <s v="02/06/2026"/>
    <n v="33"/>
    <s v="No"/>
    <s v=""/>
    <m/>
    <m/>
    <s v="*MAV141001327"/>
    <s v="*MAV141001327"/>
    <n v="1.2776287927407086E-4"/>
  </r>
  <r>
    <x v="194"/>
    <s v="Pesos"/>
    <d v="2026-10-16T00:00:00"/>
    <s v="20/07/2026"/>
    <n v="0.92837521999999995"/>
    <m/>
    <n v="40000000"/>
    <n v="37135008.979999997"/>
    <n v="40000000"/>
    <n v="37135008.979999997"/>
    <n v="13795909"/>
    <s v="AMOMPY"/>
    <s v="Momentum Capital Investment S.A."/>
    <s v="25/06/2026"/>
    <s v="25/06/2026"/>
    <n v="32"/>
    <s v="No"/>
    <s v=""/>
    <m/>
    <m/>
    <s v="*MAV141001362"/>
    <s v="*MAV141001362"/>
    <n v="7.1230373362770618E-4"/>
  </r>
  <r>
    <x v="134"/>
    <s v="Dolar 3500"/>
    <d v="2026-10-16T00:00:00"/>
    <s v="20/07/2026"/>
    <n v="0.98107681999999996"/>
    <s v="1 US3 = 1480,1749803655 $"/>
    <n v="18230"/>
    <n v="17885.03"/>
    <n v="26983589.890000001"/>
    <n v="26472973.93"/>
    <n v="146445"/>
    <s v="AMOMPY"/>
    <s v="Momentum Capital Investment S.A."/>
    <s v="17/04/2026"/>
    <s v="17/04/2026"/>
    <n v="8"/>
    <s v="No"/>
    <s v=""/>
    <m/>
    <m/>
    <s v="#UMV141060033"/>
    <s v="#UMV141060033"/>
    <n v="5.0779032208457899E-4"/>
  </r>
  <r>
    <x v="160"/>
    <s v="Pesos"/>
    <d v="2026-10-16T00:00:00"/>
    <s v="20/07/2026"/>
    <n v="0.92630203"/>
    <m/>
    <n v="7261808.2000000002"/>
    <n v="6726627.7000000002"/>
    <n v="7261808.2000000002"/>
    <n v="6726627.7000000002"/>
    <n v="90000672"/>
    <s v="AMOMPY"/>
    <s v="Momentum Capital Investment S.A."/>
    <s v="02/06/2026"/>
    <s v="02/06/2026"/>
    <n v="33"/>
    <s v="No"/>
    <s v=""/>
    <m/>
    <m/>
    <s v="*MAV141001328"/>
    <s v="*MAV141001328"/>
    <n v="1.29026548182985E-4"/>
  </r>
  <r>
    <x v="207"/>
    <s v="Pesos"/>
    <d v="2026-10-16T00:00:00"/>
    <s v="20/07/2026"/>
    <n v="0.91405393999999995"/>
    <m/>
    <n v="3750000"/>
    <n v="3427702.28"/>
    <n v="3750000"/>
    <n v="3427702.28"/>
    <n v="66920206"/>
    <s v="AMOMPY"/>
    <s v="Momentum Capital Investment S.A."/>
    <s v="13/05/2026"/>
    <s v="13/05/2026"/>
    <n v="39"/>
    <s v="No"/>
    <s v=""/>
    <m/>
    <m/>
    <s v="*MAV141001310"/>
    <s v="*MAV141001310"/>
    <n v="6.5748338262774299E-5"/>
  </r>
  <r>
    <x v="63"/>
    <s v="Pesos"/>
    <d v="2026-10-16T00:00:00"/>
    <s v="20/07/2026"/>
    <n v="0.94315262"/>
    <m/>
    <n v="32000000"/>
    <n v="30180883.969999999"/>
    <n v="32000000"/>
    <n v="30180883.969999999"/>
    <n v="5312"/>
    <s v="AMOMPY"/>
    <s v="Momentum Capital Investment S.A."/>
    <s v="16/07/2026"/>
    <s v="16/07/2026"/>
    <n v="25"/>
    <s v="No"/>
    <s v=""/>
    <m/>
    <m/>
    <s v="*PRO141000011"/>
    <s v="*PRO141000011"/>
    <n v="5.7891345462159061E-4"/>
  </r>
  <r>
    <x v="7"/>
    <s v="Pesos"/>
    <d v="2026-10-16T00:00:00"/>
    <s v="20/07/2026"/>
    <n v="0.93254996000000001"/>
    <m/>
    <n v="6500000"/>
    <n v="6061574.7400000002"/>
    <n v="6500000"/>
    <n v="6061574.7400000002"/>
    <n v="742"/>
    <s v="AMOMPY"/>
    <s v="Momentum Capital Investment S.A."/>
    <s v="08/07/2026"/>
    <s v="08/07/2026"/>
    <n v="30"/>
    <s v="No"/>
    <s v=""/>
    <m/>
    <m/>
    <s v="*MAV141001396"/>
    <s v="*MAV141001396"/>
    <n v="1.1626986063988272E-4"/>
  </r>
  <r>
    <x v="7"/>
    <s v="Pesos"/>
    <d v="2026-10-16T00:00:00"/>
    <s v="20/07/2026"/>
    <n v="0.93254988000000005"/>
    <m/>
    <n v="5000000"/>
    <n v="4662749.4000000004"/>
    <n v="5000000"/>
    <n v="4662749.4000000004"/>
    <n v="791"/>
    <s v="AMOMPY"/>
    <s v="Momentum Capital Investment S.A."/>
    <s v="14/07/2026"/>
    <s v="14/07/2026"/>
    <n v="30"/>
    <s v="No"/>
    <s v=""/>
    <m/>
    <m/>
    <s v="*MAV141001422"/>
    <s v="*MAV141001422"/>
    <n v="8.9438346665786849E-5"/>
  </r>
  <r>
    <x v="43"/>
    <s v="Pesos"/>
    <d v="2026-10-16T00:00:00"/>
    <s v="20/07/2026"/>
    <n v="0.94315265000000004"/>
    <m/>
    <n v="8650000"/>
    <n v="8158270.4400000004"/>
    <n v="8650000"/>
    <n v="8158270.4400000004"/>
    <n v="34387"/>
    <s v="AMOMPY"/>
    <s v="Momentum Capital Investment S.A."/>
    <s v="20/07/2026"/>
    <s v="20/07/2026"/>
    <n v="25"/>
    <s v="No"/>
    <s v=""/>
    <m/>
    <m/>
    <s v="*MIL141000028"/>
    <s v="*MIL141000028"/>
    <n v="1.5648754784161495E-4"/>
  </r>
  <r>
    <x v="43"/>
    <s v="Pesos"/>
    <d v="2026-10-16T00:00:00"/>
    <s v="20/07/2026"/>
    <n v="0.93888278000000003"/>
    <m/>
    <n v="15000000"/>
    <n v="14083241.73"/>
    <n v="15000000"/>
    <n v="14083241.73"/>
    <n v="11338652"/>
    <s v="AMOMPY"/>
    <s v="Momentum Capital Investment S.A."/>
    <s v="16/07/2026"/>
    <s v="16/07/2026"/>
    <n v="27"/>
    <s v="No"/>
    <s v=""/>
    <m/>
    <m/>
    <s v="*MIL141000027"/>
    <s v="*MIL141000027"/>
    <n v="2.7013715470658055E-4"/>
  </r>
  <r>
    <x v="186"/>
    <s v="Pesos"/>
    <d v="2026-10-16T00:00:00"/>
    <s v="20/07/2026"/>
    <n v="0.92837528000000002"/>
    <m/>
    <n v="475000000"/>
    <n v="440978258.29000002"/>
    <n v="475000000"/>
    <n v="440978258.29000002"/>
    <n v="930"/>
    <s v="AMOMPY"/>
    <s v="Momentum Capital Investment S.A."/>
    <s v="14/07/2026"/>
    <s v="14/07/2026"/>
    <n v="32"/>
    <s v="No"/>
    <s v=""/>
    <m/>
    <m/>
    <s v="*MAV141001420"/>
    <s v="*MAV141001420"/>
    <n v="8.4586073480629066E-3"/>
  </r>
  <r>
    <x v="131"/>
    <s v="Pesos"/>
    <d v="2026-10-16T00:00:00"/>
    <s v="20/07/2026"/>
    <n v="0.92423803999999998"/>
    <m/>
    <n v="100000000"/>
    <n v="92423804.069999993"/>
    <n v="100000000"/>
    <n v="92423804.069999993"/>
    <n v="1982"/>
    <s v="AMOMPY"/>
    <s v="Momentum Capital Investment S.A."/>
    <s v="16/07/2026"/>
    <s v="16/07/2026"/>
    <n v="34"/>
    <s v="No"/>
    <s v=""/>
    <m/>
    <m/>
    <s v="*MAV141001429"/>
    <s v="*MAV141001429"/>
    <n v="1.7728236110187306E-3"/>
  </r>
  <r>
    <x v="43"/>
    <s v="Pesos"/>
    <d v="2026-10-16T00:00:00"/>
    <s v="20/07/2026"/>
    <n v="0.93888267000000003"/>
    <m/>
    <n v="24500000"/>
    <n v="23002625.390000001"/>
    <n v="24500000"/>
    <n v="23002625.390000001"/>
    <n v="34220"/>
    <s v="AMOMPY"/>
    <s v="Momentum Capital Investment S.A."/>
    <s v="07/07/2026"/>
    <s v="07/07/2026"/>
    <n v="27"/>
    <s v="No"/>
    <s v=""/>
    <m/>
    <m/>
    <s v="*MIL141000026"/>
    <s v="*MIL141000026"/>
    <n v="4.4122396624061549E-4"/>
  </r>
  <r>
    <x v="208"/>
    <s v="Pesos"/>
    <d v="2026-10-16T00:00:00"/>
    <s v="20/07/2026"/>
    <n v="0.92837528000000002"/>
    <m/>
    <n v="9936187.5"/>
    <n v="9224510.8599999994"/>
    <n v="9936187.5"/>
    <n v="9224510.8599999994"/>
    <n v="67195494"/>
    <s v="AMOMPY"/>
    <s v="Momentum Capital Investment S.A."/>
    <s v="14/07/2026"/>
    <s v="14/07/2026"/>
    <n v="32"/>
    <s v="No"/>
    <s v=""/>
    <m/>
    <m/>
    <s v="*MAV141001419"/>
    <s v="*MAV141001419"/>
    <n v="1.7693959707956757E-4"/>
  </r>
  <r>
    <x v="0"/>
    <s v="Pesos"/>
    <d v="2026-10-19T00:00:00"/>
    <s v="20/07/2026"/>
    <n v="0.93474709"/>
    <m/>
    <n v="30000000"/>
    <n v="28042412.609999999"/>
    <n v="30000000"/>
    <n v="28042412.609999999"/>
    <n v="29600865"/>
    <s v="AMOMPY"/>
    <s v="Momentum Capital Investment S.A."/>
    <s v="07/07/2026"/>
    <s v="07/07/2026"/>
    <n v="28"/>
    <s v="No"/>
    <s v=""/>
    <m/>
    <m/>
    <s v="*INP151000082"/>
    <s v="*INP151000082"/>
    <n v="5.3789444921878329E-4"/>
  </r>
  <r>
    <x v="207"/>
    <s v="Pesos"/>
    <d v="2026-10-19T00:00:00"/>
    <s v="20/07/2026"/>
    <n v="0.91138364000000005"/>
    <m/>
    <n v="3750000"/>
    <n v="3417688.64"/>
    <n v="3750000"/>
    <n v="3417688.64"/>
    <n v="66917997"/>
    <s v="AMOMPY"/>
    <s v="Momentum Capital Investment S.A."/>
    <s v="13/05/2026"/>
    <s v="13/05/2026"/>
    <n v="39"/>
    <s v="No"/>
    <s v=""/>
    <m/>
    <m/>
    <s v="*MAV151001351"/>
    <s v="*MAV151001351"/>
    <n v="6.5556262015720068E-5"/>
  </r>
  <r>
    <x v="7"/>
    <s v="Pesos"/>
    <d v="2026-10-19T00:00:00"/>
    <s v="20/07/2026"/>
    <n v="0.93041052999999996"/>
    <m/>
    <n v="10000000"/>
    <n v="9304105.25"/>
    <n v="10000000"/>
    <n v="9304105.25"/>
    <n v="726"/>
    <s v="AMOMPY"/>
    <s v="Momentum Capital Investment S.A."/>
    <s v="30/06/2026"/>
    <s v="30/06/2026"/>
    <n v="30"/>
    <s v="No"/>
    <s v=""/>
    <m/>
    <m/>
    <s v="*MAV151001396"/>
    <s v="*MAV151001396"/>
    <n v="1.7846633378248191E-4"/>
  </r>
  <r>
    <x v="7"/>
    <s v="Pesos"/>
    <d v="2026-10-19T00:00:00"/>
    <s v="20/07/2026"/>
    <n v="0.93041057999999999"/>
    <m/>
    <n v="6500000"/>
    <n v="6047668.7699999996"/>
    <n v="6500000"/>
    <n v="6047668.7699999996"/>
    <n v="743"/>
    <s v="AMOMPY"/>
    <s v="Momentum Capital Investment S.A."/>
    <s v="08/07/2026"/>
    <s v="08/07/2026"/>
    <n v="30"/>
    <s v="No"/>
    <s v=""/>
    <m/>
    <m/>
    <s v="*MAV151001437"/>
    <s v="*MAV151001437"/>
    <n v="1.1600312381598562E-4"/>
  </r>
  <r>
    <x v="7"/>
    <s v="Pesos"/>
    <d v="2026-10-19T00:00:00"/>
    <s v="20/07/2026"/>
    <n v="0.93041050000000003"/>
    <m/>
    <n v="5000000"/>
    <n v="4652052.5199999996"/>
    <n v="5000000"/>
    <n v="4652052.5199999996"/>
    <n v="792"/>
    <s v="AMOMPY"/>
    <s v="Momentum Capital Investment S.A."/>
    <s v="14/07/2026"/>
    <s v="14/07/2026"/>
    <n v="30"/>
    <s v="No"/>
    <s v=""/>
    <m/>
    <m/>
    <s v="*MAV151001448"/>
    <s v="*MAV151001448"/>
    <n v="8.9233164877187523E-5"/>
  </r>
  <r>
    <x v="142"/>
    <s v="Pesos"/>
    <d v="2026-10-19T00:00:00"/>
    <s v="20/07/2026"/>
    <n v="0.91974312000000003"/>
    <m/>
    <n v="1500000"/>
    <n v="1379614.69"/>
    <n v="1500000"/>
    <n v="1379614.69"/>
    <n v="4"/>
    <s v="AMOMPY"/>
    <s v="Momentum Capital Investment S.A."/>
    <s v="23/04/2026"/>
    <s v="23/04/2026"/>
    <n v="35"/>
    <s v="No"/>
    <s v=""/>
    <m/>
    <m/>
    <s v="*MAV151001338"/>
    <s v="*MAV151001338"/>
    <n v="2.6463025636640913E-5"/>
  </r>
  <r>
    <x v="96"/>
    <s v="Pesos"/>
    <d v="2026-10-19T00:00:00"/>
    <s v="20/07/2026"/>
    <n v="0.92825716999999996"/>
    <m/>
    <n v="16500000"/>
    <n v="15316243.369999999"/>
    <n v="16500000"/>
    <n v="15316243.369999999"/>
    <n v="28676"/>
    <s v="AMOMPY"/>
    <s v="Momentum Capital Investment S.A."/>
    <s v="27/04/2026"/>
    <s v="27/04/2026"/>
    <n v="31"/>
    <s v="No"/>
    <s v=""/>
    <m/>
    <m/>
    <s v="*MAV151001343"/>
    <s v="*MAV151001343"/>
    <n v="2.9378792781435328E-4"/>
  </r>
  <r>
    <x v="43"/>
    <s v="Pesos"/>
    <d v="2026-10-19T00:00:00"/>
    <s v="20/07/2026"/>
    <n v="0.93693057000000002"/>
    <m/>
    <n v="20000000"/>
    <n v="18738611.34"/>
    <n v="20000000"/>
    <n v="18738611.34"/>
    <n v="68122791"/>
    <s v="AMOMPY"/>
    <s v="Momentum Capital Investment S.A."/>
    <s v="07/07/2026"/>
    <s v="07/07/2026"/>
    <n v="27"/>
    <s v="No"/>
    <s v=""/>
    <m/>
    <m/>
    <s v="*MIL151000039"/>
    <s v="*MIL151000039"/>
    <n v="3.5943394621687464E-4"/>
  </r>
  <r>
    <x v="43"/>
    <s v="Pesos"/>
    <d v="2026-10-19T00:00:00"/>
    <s v="20/07/2026"/>
    <n v="0.93693055999999997"/>
    <m/>
    <n v="1650000"/>
    <n v="1545935.42"/>
    <n v="1650000"/>
    <n v="1545935.42"/>
    <n v="582"/>
    <s v="AMOMPY"/>
    <s v="Momentum Capital Investment S.A."/>
    <s v="07/07/2026"/>
    <s v="07/07/2026"/>
    <n v="27"/>
    <s v="No"/>
    <s v=""/>
    <m/>
    <m/>
    <s v="*MIL151000040"/>
    <s v="*MIL151000040"/>
    <n v="2.9653300264620434E-5"/>
  </r>
  <r>
    <x v="92"/>
    <s v="Pesos"/>
    <d v="2026-10-19T00:00:00"/>
    <s v="20/07/2026"/>
    <n v="0.93474705999999996"/>
    <m/>
    <n v="212000000"/>
    <n v="198166377.36000001"/>
    <n v="212000000"/>
    <n v="198166377.36000001"/>
    <n v="39"/>
    <s v="AMOMPY"/>
    <s v="Momentum Capital Investment S.A."/>
    <s v="03/07/2026"/>
    <s v="03/07/2026"/>
    <n v="28"/>
    <s v="No"/>
    <s v=""/>
    <m/>
    <m/>
    <s v="*FED151000042"/>
    <s v="*FED151000042"/>
    <n v="3.8011206769608535E-3"/>
  </r>
  <r>
    <x v="1"/>
    <s v="Pesos"/>
    <d v="2026-10-19T00:00:00"/>
    <s v="20/07/2026"/>
    <n v="0.93474707999999995"/>
    <m/>
    <n v="2500000"/>
    <n v="2336867.71"/>
    <n v="2500000"/>
    <n v="2336867.71"/>
    <n v="90031816"/>
    <s v="AMOMPY"/>
    <s v="Momentum Capital Investment S.A."/>
    <s v="22/04/2026"/>
    <s v="22/04/2026"/>
    <n v="28"/>
    <s v="No"/>
    <s v=""/>
    <m/>
    <m/>
    <s v="*MOV151000067"/>
    <s v="*MOV151000067"/>
    <n v="4.4824537291037646E-5"/>
  </r>
  <r>
    <x v="0"/>
    <s v="Pesos"/>
    <d v="2026-10-20T00:00:00"/>
    <s v="20/07/2026"/>
    <n v="0.92969952"/>
    <m/>
    <n v="2000000"/>
    <n v="1859399.04"/>
    <n v="2000000"/>
    <n v="1859399.04"/>
    <n v="13442187"/>
    <s v="AMOMPY"/>
    <s v="Momentum Capital Investment S.A."/>
    <s v="29/05/2026"/>
    <s v="29/05/2026"/>
    <n v="30"/>
    <s v="No"/>
    <s v=""/>
    <m/>
    <m/>
    <s v="*INP161000050"/>
    <s v="*INP161000050"/>
    <n v="3.5665990526866243E-5"/>
  </r>
  <r>
    <x v="182"/>
    <s v="Pesos"/>
    <d v="2026-10-20T00:00:00"/>
    <s v="20/07/2026"/>
    <n v="0.91259133000000003"/>
    <m/>
    <n v="6899161.7699999996"/>
    <n v="6296115.1900000004"/>
    <n v="6899161.7699999996"/>
    <n v="6296115.1900000004"/>
    <n v="65964607"/>
    <s v="AMOMPY"/>
    <s v="Momentum Capital Investment S.A."/>
    <s v="22/04/2026"/>
    <s v="22/04/2026"/>
    <n v="38"/>
    <s v="No"/>
    <s v=""/>
    <m/>
    <m/>
    <s v="*MAV161001047"/>
    <s v="*MAV161001047"/>
    <n v="1.2076868917959571E-4"/>
  </r>
  <r>
    <x v="43"/>
    <s v="Pesos"/>
    <d v="2026-10-20T00:00:00"/>
    <s v="20/07/2026"/>
    <n v="0.93849656000000004"/>
    <m/>
    <n v="15000000"/>
    <n v="14077448.460000001"/>
    <n v="15000000"/>
    <n v="14077448.460000001"/>
    <n v="9621092"/>
    <s v="AMOMPY"/>
    <s v="Momentum Capital Investment S.A."/>
    <s v="17/07/2026"/>
    <s v="17/07/2026"/>
    <n v="26"/>
    <s v="No"/>
    <s v=""/>
    <m/>
    <m/>
    <s v="*MIL161000034"/>
    <s v="*MIL161000034"/>
    <n v="2.7002603132289868E-4"/>
  </r>
  <r>
    <x v="43"/>
    <s v="Pesos"/>
    <d v="2026-10-20T00:00:00"/>
    <s v="20/07/2026"/>
    <n v="0.94072182999999998"/>
    <m/>
    <n v="10000000"/>
    <n v="9407218.2599999998"/>
    <n v="10000000"/>
    <n v="9407218.2599999998"/>
    <n v="68341633"/>
    <s v="AMOMPY"/>
    <s v="Momentum Capital Investment S.A."/>
    <s v="20/07/2026"/>
    <s v="20/07/2026"/>
    <n v="25"/>
    <s v="No"/>
    <s v=""/>
    <m/>
    <m/>
    <s v="*MIL161000031"/>
    <s v="*MIL161000031"/>
    <n v="1.8044419198222405E-4"/>
  </r>
  <r>
    <x v="43"/>
    <s v="Pesos"/>
    <d v="2026-10-20T00:00:00"/>
    <s v="20/07/2026"/>
    <n v="0.94072182999999998"/>
    <m/>
    <n v="10000000"/>
    <n v="9407218.2599999998"/>
    <n v="10000000"/>
    <n v="9407218.2599999998"/>
    <n v="5295"/>
    <s v="AMOMPY"/>
    <s v="Momentum Capital Investment S.A."/>
    <s v="20/07/2026"/>
    <s v="20/07/2026"/>
    <n v="25"/>
    <s v="No"/>
    <s v=""/>
    <m/>
    <m/>
    <s v="*MIL161000033"/>
    <s v="*MIL161000033"/>
    <n v="1.8044419198222405E-4"/>
  </r>
  <r>
    <x v="29"/>
    <s v="Pesos"/>
    <d v="2026-10-20T00:00:00"/>
    <s v="20/07/2026"/>
    <n v="0.92106617999999996"/>
    <m/>
    <n v="20000000"/>
    <n v="18421323.690000001"/>
    <n v="20000000"/>
    <n v="18421323.690000001"/>
    <n v="4404"/>
    <s v="AMOMPY"/>
    <s v="Momentum Capital Investment S.A."/>
    <s v="17/07/2026"/>
    <s v="17/07/2026"/>
    <n v="34"/>
    <s v="No"/>
    <s v=""/>
    <m/>
    <m/>
    <s v="*MAV161001135"/>
    <s v="*MAV161001135"/>
    <n v="3.5334790547158541E-4"/>
  </r>
  <r>
    <x v="43"/>
    <s v="Pesos"/>
    <d v="2026-10-20T00:00:00"/>
    <s v="20/07/2026"/>
    <n v="0.94072182999999998"/>
    <m/>
    <n v="8650000"/>
    <n v="8137243.79"/>
    <n v="8650000"/>
    <n v="8137243.79"/>
    <n v="34388"/>
    <s v="AMOMPY"/>
    <s v="Momentum Capital Investment S.A."/>
    <s v="20/07/2026"/>
    <s v="20/07/2026"/>
    <n v="25"/>
    <s v="No"/>
    <s v=""/>
    <m/>
    <m/>
    <s v="*MIL161000032"/>
    <s v="*MIL161000032"/>
    <n v="1.5608422597063467E-4"/>
  </r>
  <r>
    <x v="43"/>
    <s v="Pesos"/>
    <d v="2026-10-20T00:00:00"/>
    <s v="20/07/2026"/>
    <n v="0.93628171000000004"/>
    <m/>
    <n v="15000000"/>
    <n v="14044225.66"/>
    <n v="15000000"/>
    <n v="14044225.66"/>
    <n v="11349966"/>
    <s v="AMOMPY"/>
    <s v="Momentum Capital Investment S.A."/>
    <s v="16/07/2026"/>
    <s v="16/07/2026"/>
    <n v="27"/>
    <s v="No"/>
    <s v=""/>
    <m/>
    <m/>
    <s v="*MIL161000030"/>
    <s v="*MIL161000030"/>
    <n v="2.6938876947399723E-4"/>
  </r>
  <r>
    <x v="43"/>
    <s v="Pesos"/>
    <d v="2026-10-20T00:00:00"/>
    <s v="20/07/2026"/>
    <n v="0.93628160000000005"/>
    <m/>
    <n v="15000000"/>
    <n v="14044224"/>
    <n v="15000000"/>
    <n v="14044224"/>
    <n v="68122840"/>
    <s v="AMOMPY"/>
    <s v="Momentum Capital Investment S.A."/>
    <s v="07/07/2026"/>
    <s v="07/07/2026"/>
    <n v="27"/>
    <s v="No"/>
    <s v=""/>
    <m/>
    <m/>
    <s v="*MIL161000028"/>
    <s v="*MIL161000028"/>
    <n v="2.6938873763277167E-4"/>
  </r>
  <r>
    <x v="43"/>
    <s v="Pesos"/>
    <d v="2026-10-20T00:00:00"/>
    <s v="20/07/2026"/>
    <n v="0.93628160000000005"/>
    <m/>
    <n v="10000000"/>
    <n v="9362816"/>
    <n v="10000000"/>
    <n v="9362816"/>
    <n v="2011"/>
    <s v="AMOMPY"/>
    <s v="Momentum Capital Investment S.A."/>
    <s v="07/07/2026"/>
    <s v="07/07/2026"/>
    <n v="27"/>
    <s v="No"/>
    <s v=""/>
    <m/>
    <m/>
    <s v="*MIL161000029"/>
    <s v="*MIL161000029"/>
    <n v="1.795924917551811E-4"/>
  </r>
  <r>
    <x v="66"/>
    <s v="Pesos"/>
    <d v="2026-10-20T00:00:00"/>
    <s v="20/07/2026"/>
    <n v="0.94072186000000002"/>
    <m/>
    <n v="100000000"/>
    <n v="94072185.689999998"/>
    <n v="100000000"/>
    <n v="94072185.689999998"/>
    <n v="52811168"/>
    <s v="AMOMPY"/>
    <s v="Momentum Capital Investment S.A."/>
    <s v="17/07/2026"/>
    <s v="17/07/2026"/>
    <n v="25"/>
    <s v="No"/>
    <s v=""/>
    <m/>
    <m/>
    <s v="*AFB161000015"/>
    <s v="*AFB161000015"/>
    <n v="1.8044419790929557E-3"/>
  </r>
  <r>
    <x v="1"/>
    <s v="Pesos"/>
    <d v="2026-10-20T00:00:00"/>
    <s v="20/07/2026"/>
    <n v="0.93407724000000003"/>
    <m/>
    <n v="2500000"/>
    <n v="2335193.1"/>
    <n v="2500000"/>
    <n v="2335193.1"/>
    <n v="90031817"/>
    <s v="AMOMPY"/>
    <s v="Momentum Capital Investment S.A."/>
    <s v="22/04/2026"/>
    <s v="22/04/2026"/>
    <n v="28"/>
    <s v="No"/>
    <s v=""/>
    <m/>
    <m/>
    <s v="*MOV161000058"/>
    <s v="*MOV161000058"/>
    <n v="4.4792415824310315E-5"/>
  </r>
  <r>
    <x v="1"/>
    <s v="Pesos"/>
    <d v="2026-10-20T00:00:00"/>
    <s v="20/07/2026"/>
    <n v="0.93407720000000005"/>
    <m/>
    <n v="25000000"/>
    <n v="23351930.010000002"/>
    <n v="25000000"/>
    <n v="23351930.010000002"/>
    <n v="360572"/>
    <s v="AMOMPY"/>
    <s v="Momentum Capital Investment S.A."/>
    <s v="21/04/2026"/>
    <s v="21/04/2026"/>
    <n v="28"/>
    <s v="No"/>
    <s v=""/>
    <m/>
    <m/>
    <s v="*MOV161000057"/>
    <s v="*MOV161000057"/>
    <n v="4.4792413925345663E-4"/>
  </r>
  <r>
    <x v="98"/>
    <s v="Pesos"/>
    <d v="2026-10-20T00:00:00"/>
    <s v="20/07/2026"/>
    <n v="0.92320922999999999"/>
    <m/>
    <n v="45000000"/>
    <n v="41544415.509999998"/>
    <n v="45000000"/>
    <n v="41544415.509999998"/>
    <n v="67764210"/>
    <s v="AMOMPY"/>
    <s v="Momentum Capital Investment S.A."/>
    <s v="18/06/2026"/>
    <s v="18/06/2026"/>
    <n v="33"/>
    <s v="No"/>
    <s v=""/>
    <m/>
    <m/>
    <s v="*MAV161001066"/>
    <s v="*MAV161001066"/>
    <n v="7.9688259386422771E-4"/>
  </r>
  <r>
    <x v="0"/>
    <s v="Pesos"/>
    <d v="2026-10-21T00:00:00"/>
    <s v="20/07/2026"/>
    <n v="0.93340849000000004"/>
    <m/>
    <n v="20000000"/>
    <n v="18668169.829999998"/>
    <n v="20000000"/>
    <n v="18668169.829999998"/>
    <n v="10262986"/>
    <s v="AMOMPY"/>
    <s v="Momentum Capital Investment S.A."/>
    <s v="06/07/2026"/>
    <s v="06/07/2026"/>
    <n v="28"/>
    <s v="No"/>
    <s v=""/>
    <m/>
    <m/>
    <s v="*INP171000072"/>
    <s v="*INP171000072"/>
    <n v="3.5808277512647854E-4"/>
  </r>
  <r>
    <x v="178"/>
    <s v="Pesos"/>
    <d v="2026-10-21T00:00:00"/>
    <s v="20/07/2026"/>
    <n v="0.92461265000000004"/>
    <m/>
    <n v="10655603.25"/>
    <n v="9852305.5299999993"/>
    <n v="10655603.25"/>
    <n v="9852305.5299999993"/>
    <n v="30826"/>
    <s v="AMOMPY"/>
    <s v="Momentum Capital Investment S.A."/>
    <s v="14/07/2026"/>
    <s v="14/07/2026"/>
    <n v="32"/>
    <s v="No"/>
    <s v=""/>
    <m/>
    <m/>
    <s v="*MAV191000845"/>
    <s v="*MAV191000845"/>
    <n v="1.8898161617894127E-4"/>
  </r>
  <r>
    <x v="86"/>
    <s v="Pesos"/>
    <d v="2026-10-21T00:00:00"/>
    <s v="20/07/2026"/>
    <n v="0.91172505999999998"/>
    <m/>
    <n v="7133529.1399999997"/>
    <n v="6503817.2599999998"/>
    <n v="7133529.1399999997"/>
    <n v="6503817.2599999998"/>
    <n v="90000170"/>
    <s v="AMOMPY"/>
    <s v="Momentum Capital Investment S.A."/>
    <s v="22/04/2026"/>
    <s v="22/04/2026"/>
    <n v="38"/>
    <s v="No"/>
    <s v=""/>
    <m/>
    <m/>
    <s v="*MAV171001314"/>
    <s v="*MAV171001314"/>
    <n v="1.2475271837487296E-4"/>
  </r>
  <r>
    <x v="43"/>
    <s v="Pesos"/>
    <d v="2026-10-21T00:00:00"/>
    <s v="20/07/2026"/>
    <n v="0.94011604999999998"/>
    <m/>
    <n v="28000000"/>
    <n v="26323249.489999998"/>
    <n v="28000000"/>
    <n v="26323249.489999998"/>
    <n v="68393695"/>
    <s v="AMOMPY"/>
    <s v="Momentum Capital Investment S.A."/>
    <s v="17/07/2026"/>
    <s v="17/07/2026"/>
    <n v="25"/>
    <s v="No"/>
    <s v=""/>
    <m/>
    <m/>
    <s v="*MIL171000047"/>
    <s v="*MIL171000047"/>
    <n v="5.0491838854917149E-4"/>
  </r>
  <r>
    <x v="43"/>
    <s v="Pesos"/>
    <d v="2026-10-21T00:00:00"/>
    <s v="20/07/2026"/>
    <n v="0.93563364000000004"/>
    <m/>
    <n v="15000000"/>
    <n v="14034504.529999999"/>
    <n v="15000000"/>
    <n v="14034504.529999999"/>
    <n v="11349967"/>
    <s v="AMOMPY"/>
    <s v="Momentum Capital Investment S.A."/>
    <s v="16/07/2026"/>
    <s v="16/07/2026"/>
    <n v="27"/>
    <s v="No"/>
    <s v=""/>
    <m/>
    <m/>
    <s v="*MIL181000035"/>
    <s v="*MIL181000035"/>
    <n v="2.6920230399615639E-4"/>
  </r>
  <r>
    <x v="43"/>
    <s v="Pesos"/>
    <d v="2026-10-21T00:00:00"/>
    <s v="20/07/2026"/>
    <n v="0.93563364000000004"/>
    <m/>
    <n v="20000000"/>
    <n v="18712672.699999999"/>
    <n v="20000000"/>
    <n v="18712672.699999999"/>
    <n v="13869224"/>
    <s v="AMOMPY"/>
    <s v="Momentum Capital Investment S.A."/>
    <s v="16/07/2026"/>
    <s v="16/07/2026"/>
    <n v="27"/>
    <s v="No"/>
    <s v=""/>
    <m/>
    <m/>
    <s v="*MIL191000033"/>
    <s v="*MIL191000033"/>
    <n v="3.5893640520033208E-4"/>
  </r>
  <r>
    <x v="48"/>
    <s v="Pesos"/>
    <d v="2026-10-21T00:00:00"/>
    <s v="20/07/2026"/>
    <n v="0.92243942999999995"/>
    <m/>
    <n v="125000000"/>
    <n v="115304928.56"/>
    <n v="125000000"/>
    <n v="115304928.56"/>
    <n v="9451"/>
    <s v="AMOMPY"/>
    <s v="Momentum Capital Investment S.A."/>
    <s v="20/07/2026"/>
    <s v="20/07/2026"/>
    <n v="33"/>
    <s v="No"/>
    <s v=""/>
    <m/>
    <m/>
    <s v="*MAV191000861"/>
    <s v="*MAV191000861"/>
    <n v="2.2117170124611599E-3"/>
  </r>
  <r>
    <x v="1"/>
    <s v="Pesos"/>
    <d v="2026-10-21T00:00:00"/>
    <s v="20/07/2026"/>
    <n v="0.93340844999999995"/>
    <m/>
    <n v="25000000"/>
    <n v="23335211.34"/>
    <n v="25000000"/>
    <n v="23335211.34"/>
    <n v="360573"/>
    <s v="AMOMPY"/>
    <s v="Momentum Capital Investment S.A."/>
    <s v="21/04/2026"/>
    <s v="21/04/2026"/>
    <n v="28"/>
    <s v="No"/>
    <s v=""/>
    <m/>
    <m/>
    <s v="*MOV181000045"/>
    <s v="*MOV181000045"/>
    <n v="4.4760345073366375E-4"/>
  </r>
  <r>
    <x v="13"/>
    <s v="Pesos"/>
    <d v="2026-10-21T00:00:00"/>
    <s v="20/07/2026"/>
    <n v="0.92898961999999996"/>
    <m/>
    <n v="11923076.92"/>
    <n v="11076414.640000001"/>
    <n v="11923076.92"/>
    <n v="11076414.640000001"/>
    <n v="90021989"/>
    <s v="AMOMPY"/>
    <s v="Momentum Capital Investment S.A."/>
    <s v="11/05/2026"/>
    <s v="11/05/2026"/>
    <n v="30"/>
    <s v="No"/>
    <s v=""/>
    <m/>
    <m/>
    <s v="*NEU191000011"/>
    <s v="*NEU191000011"/>
    <n v="2.124618175676172E-4"/>
  </r>
  <r>
    <x v="178"/>
    <s v="Pesos"/>
    <d v="2026-10-22T00:00:00"/>
    <s v="20/07/2026"/>
    <n v="0.92386367999999996"/>
    <m/>
    <n v="10655603.279999999"/>
    <n v="9844324.8100000005"/>
    <n v="10655603.279999999"/>
    <n v="9844324.8100000005"/>
    <n v="30827"/>
    <s v="AMOMPY"/>
    <s v="Momentum Capital Investment S.A."/>
    <s v="14/07/2026"/>
    <s v="14/07/2026"/>
    <n v="32"/>
    <s v="No"/>
    <s v=""/>
    <m/>
    <m/>
    <s v="*MAV201001548"/>
    <s v="*MAV201001548"/>
    <n v="1.8882853430797421E-4"/>
  </r>
  <r>
    <x v="207"/>
    <s v="Pesos"/>
    <d v="2026-10-22T00:00:00"/>
    <s v="20/07/2026"/>
    <n v="0.90872889000000001"/>
    <m/>
    <n v="3750000"/>
    <n v="3407733.33"/>
    <n v="3750000"/>
    <n v="3407733.33"/>
    <n v="66918105"/>
    <s v="AMOMPY"/>
    <s v="Momentum Capital Investment S.A."/>
    <s v="13/05/2026"/>
    <s v="13/05/2026"/>
    <n v="39"/>
    <s v="No"/>
    <s v=""/>
    <m/>
    <m/>
    <s v="*MAV201001458"/>
    <s v="*MAV201001458"/>
    <n v="6.536530462329719E-5"/>
  </r>
  <r>
    <x v="63"/>
    <s v="Pesos"/>
    <d v="2026-10-22T00:00:00"/>
    <s v="20/07/2026"/>
    <n v="0.93724331999999999"/>
    <m/>
    <n v="20000000"/>
    <n v="18744866.32"/>
    <n v="20000000"/>
    <n v="18744866.32"/>
    <n v="9508921"/>
    <s v="AMOMPY"/>
    <s v="Momentum Capital Investment S.A."/>
    <s v="17/07/2026"/>
    <s v="17/07/2026"/>
    <n v="26"/>
    <s v="No"/>
    <s v=""/>
    <m/>
    <m/>
    <s v="*PRO201000022"/>
    <s v="*PRO201000022"/>
    <n v="3.5955392587300362E-4"/>
  </r>
  <r>
    <x v="7"/>
    <s v="Pesos"/>
    <d v="2026-10-22T00:00:00"/>
    <s v="20/07/2026"/>
    <n v="0.92828094000000005"/>
    <m/>
    <n v="10000000"/>
    <n v="9282809.3699999992"/>
    <n v="10000000"/>
    <n v="9282809.3699999992"/>
    <n v="727"/>
    <s v="AMOMPY"/>
    <s v="Momentum Capital Investment S.A."/>
    <s v="30/06/2026"/>
    <s v="30/06/2026"/>
    <n v="30"/>
    <s v="No"/>
    <s v=""/>
    <m/>
    <m/>
    <s v="*MAV201001491"/>
    <s v="*MAV201001491"/>
    <n v="1.7805784768670481E-4"/>
  </r>
  <r>
    <x v="7"/>
    <s v="Pesos"/>
    <d v="2026-10-22T00:00:00"/>
    <s v="20/07/2026"/>
    <n v="0.92828098999999997"/>
    <m/>
    <n v="6500000"/>
    <n v="6033826.4500000002"/>
    <n v="6500000"/>
    <n v="6033826.4500000002"/>
    <n v="744"/>
    <s v="AMOMPY"/>
    <s v="Momentum Capital Investment S.A."/>
    <s v="08/07/2026"/>
    <s v="08/07/2026"/>
    <n v="30"/>
    <s v="No"/>
    <s v=""/>
    <m/>
    <m/>
    <s v="*MAV201001520"/>
    <s v="*MAV201001520"/>
    <n v="1.1573760789209344E-4"/>
  </r>
  <r>
    <x v="7"/>
    <s v="Pesos"/>
    <d v="2026-10-22T00:00:00"/>
    <s v="20/07/2026"/>
    <n v="0.92828091999999995"/>
    <m/>
    <n v="5000000"/>
    <n v="4641404.5999999996"/>
    <n v="5000000"/>
    <n v="4641404.5999999996"/>
    <n v="793"/>
    <s v="AMOMPY"/>
    <s v="Momentum Capital Investment S.A."/>
    <s v="14/07/2026"/>
    <s v="14/07/2026"/>
    <n v="30"/>
    <s v="No"/>
    <s v=""/>
    <m/>
    <m/>
    <s v="*MAV201001549"/>
    <s v="*MAV201001549"/>
    <n v="8.9028922212928204E-5"/>
  </r>
  <r>
    <x v="56"/>
    <s v="Pesos"/>
    <d v="2026-10-22T00:00:00"/>
    <s v="20/07/2026"/>
    <n v="0.91948834999999995"/>
    <m/>
    <n v="990902.64"/>
    <n v="911123.43"/>
    <n v="990902.64"/>
    <n v="911123.43"/>
    <n v="2951"/>
    <s v="AMOMPY"/>
    <s v="Momentum Capital Investment S.A."/>
    <s v="15/07/2026"/>
    <s v="15/07/2026"/>
    <n v="34"/>
    <s v="No"/>
    <s v=""/>
    <m/>
    <m/>
    <s v="*MAV201001555"/>
    <s v="*MAV201001555"/>
    <n v="1.7476678713992387E-5"/>
  </r>
  <r>
    <x v="56"/>
    <s v="Pesos"/>
    <d v="2026-10-22T00:00:00"/>
    <s v="20/07/2026"/>
    <n v="0.91948834999999995"/>
    <m/>
    <n v="1020845.65"/>
    <n v="938655.68"/>
    <n v="1020845.65"/>
    <n v="938655.68"/>
    <n v="2901"/>
    <s v="AMOMPY"/>
    <s v="Momentum Capital Investment S.A."/>
    <s v="15/07/2026"/>
    <s v="15/07/2026"/>
    <n v="34"/>
    <s v="No"/>
    <s v=""/>
    <m/>
    <m/>
    <s v="*MAV201001556"/>
    <s v="*MAV201001556"/>
    <n v="1.8004787498905664E-5"/>
  </r>
  <r>
    <x v="43"/>
    <s v="Pesos"/>
    <d v="2026-10-22T00:00:00"/>
    <s v="20/07/2026"/>
    <n v="0.93951099000000005"/>
    <m/>
    <n v="8650000"/>
    <n v="8126770.0999999996"/>
    <n v="8650000"/>
    <n v="8126770.0999999996"/>
    <n v="34389"/>
    <s v="AMOMPY"/>
    <s v="Momentum Capital Investment S.A."/>
    <s v="20/07/2026"/>
    <s v="20/07/2026"/>
    <n v="25"/>
    <s v="No"/>
    <s v=""/>
    <m/>
    <m/>
    <s v="*MIL201000042"/>
    <s v="*MIL201000042"/>
    <n v="1.5588332529235886E-4"/>
  </r>
  <r>
    <x v="43"/>
    <s v="Pesos"/>
    <d v="2026-10-22T00:00:00"/>
    <s v="20/07/2026"/>
    <n v="0.93498645999999996"/>
    <m/>
    <n v="15000000"/>
    <n v="14024796.859999999"/>
    <n v="15000000"/>
    <n v="14024796.859999999"/>
    <n v="11349968"/>
    <s v="AMOMPY"/>
    <s v="Momentum Capital Investment S.A."/>
    <s v="16/07/2026"/>
    <s v="16/07/2026"/>
    <n v="27"/>
    <s v="No"/>
    <s v=""/>
    <m/>
    <m/>
    <s v="*MIL201000040"/>
    <s v="*MIL201000040"/>
    <n v="2.6901609670078314E-4"/>
  </r>
  <r>
    <x v="43"/>
    <s v="Pesos"/>
    <d v="2026-10-22T00:00:00"/>
    <s v="20/07/2026"/>
    <n v="0.93951103000000002"/>
    <m/>
    <n v="11000000"/>
    <n v="10334621.33"/>
    <n v="11000000"/>
    <n v="10334621.33"/>
    <n v="189"/>
    <s v="AMOMPY"/>
    <s v="Momentum Capital Investment S.A."/>
    <s v="17/07/2026"/>
    <s v="17/07/2026"/>
    <n v="25"/>
    <s v="No"/>
    <s v=""/>
    <m/>
    <m/>
    <s v="*MIL201000041"/>
    <s v="*MIL201000041"/>
    <n v="1.9823313797910199E-4"/>
  </r>
  <r>
    <x v="1"/>
    <s v="Pesos"/>
    <d v="2026-10-22T00:00:00"/>
    <s v="20/07/2026"/>
    <n v="0.93274056000000005"/>
    <m/>
    <n v="2500000"/>
    <n v="2331851.41"/>
    <n v="2500000"/>
    <n v="2331851.41"/>
    <n v="90031818"/>
    <s v="AMOMPY"/>
    <s v="Momentum Capital Investment S.A."/>
    <s v="22/04/2026"/>
    <s v="22/04/2026"/>
    <n v="28"/>
    <s v="No"/>
    <s v=""/>
    <m/>
    <m/>
    <s v="*MOV201000066"/>
    <s v="*MOV201000066"/>
    <n v="4.4728317327258433E-5"/>
  </r>
  <r>
    <x v="98"/>
    <s v="Pesos"/>
    <d v="2026-10-22T00:00:00"/>
    <s v="20/07/2026"/>
    <n v="0.92167074999999998"/>
    <m/>
    <n v="45000000"/>
    <n v="41475183.630000003"/>
    <n v="45000000"/>
    <n v="41475183.630000003"/>
    <n v="67838018"/>
    <s v="AMOMPY"/>
    <s v="Momentum Capital Investment S.A."/>
    <s v="22/06/2026"/>
    <s v="22/06/2026"/>
    <n v="33"/>
    <s v="No"/>
    <s v=""/>
    <m/>
    <m/>
    <s v="*MAV201001476"/>
    <s v="*MAV201001476"/>
    <n v="7.9555462524473388E-4"/>
  </r>
  <r>
    <x v="13"/>
    <s v="Pesos"/>
    <d v="2026-10-22T00:00:00"/>
    <s v="20/07/2026"/>
    <n v="0.93274047000000004"/>
    <m/>
    <n v="20000000"/>
    <n v="18654809.359999999"/>
    <n v="20000000"/>
    <n v="18654809.359999999"/>
    <n v="11092146"/>
    <s v="AMOMPY"/>
    <s v="Momentum Capital Investment S.A."/>
    <s v="29/05/2026"/>
    <s v="29/05/2026"/>
    <n v="28"/>
    <s v="No"/>
    <s v=""/>
    <m/>
    <m/>
    <s v="*NEU201000037"/>
    <s v="*NEU201000037"/>
    <n v="3.578265017896619E-4"/>
  </r>
  <r>
    <x v="148"/>
    <s v="Pesos"/>
    <d v="2026-10-23T00:00:00"/>
    <s v="20/07/2026"/>
    <n v="0.9187014"/>
    <m/>
    <n v="5000300.25"/>
    <n v="4593782.83"/>
    <n v="5000300.25"/>
    <n v="4593782.83"/>
    <n v="372"/>
    <s v="AMOMPY"/>
    <s v="Momentum Capital Investment S.A."/>
    <s v="15/07/2026"/>
    <s v="15/07/2026"/>
    <n v="34"/>
    <s v="No"/>
    <s v=""/>
    <m/>
    <m/>
    <s v="*MAV211001208"/>
    <s v="*MAV211001208"/>
    <n v="8.811546707976185E-5"/>
  </r>
  <r>
    <x v="178"/>
    <s v="Pesos"/>
    <d v="2026-10-23T00:00:00"/>
    <s v="20/07/2026"/>
    <n v="0.92311591999999998"/>
    <m/>
    <n v="10655603.279999999"/>
    <n v="9836356.9900000002"/>
    <n v="10655603.279999999"/>
    <n v="9836356.9900000002"/>
    <n v="30828"/>
    <s v="AMOMPY"/>
    <s v="Momentum Capital Investment S.A."/>
    <s v="14/07/2026"/>
    <s v="14/07/2026"/>
    <n v="32"/>
    <s v="No"/>
    <s v=""/>
    <m/>
    <m/>
    <s v="*MAV211001198"/>
    <s v="*MAV211001198"/>
    <n v="1.8867569987785653E-4"/>
  </r>
  <r>
    <x v="7"/>
    <s v="Pesos"/>
    <d v="2026-10-23T00:00:00"/>
    <s v="20/07/2026"/>
    <n v="0.92757314000000002"/>
    <m/>
    <n v="5000000"/>
    <n v="4637865.71"/>
    <n v="5000000"/>
    <n v="4637865.71"/>
    <n v="794"/>
    <s v="AMOMPY"/>
    <s v="Momentum Capital Investment S.A."/>
    <s v="14/07/2026"/>
    <s v="14/07/2026"/>
    <n v="30"/>
    <s v="No"/>
    <s v=""/>
    <m/>
    <m/>
    <s v="*MAV211001201"/>
    <s v="*MAV211001201"/>
    <n v="8.8961041131729185E-5"/>
  </r>
  <r>
    <x v="56"/>
    <s v="Pesos"/>
    <d v="2026-10-23T00:00:00"/>
    <s v="20/07/2026"/>
    <n v="0.91870138999999995"/>
    <m/>
    <n v="1020845.65"/>
    <n v="937852.31"/>
    <n v="1020845.65"/>
    <n v="937852.31"/>
    <n v="2902"/>
    <s v="AMOMPY"/>
    <s v="Momentum Capital Investment S.A."/>
    <s v="15/07/2026"/>
    <s v="15/07/2026"/>
    <n v="34"/>
    <s v="No"/>
    <s v=""/>
    <m/>
    <m/>
    <s v="*MAV211001207"/>
    <s v="*MAV211001207"/>
    <n v="1.7989377688427561E-5"/>
  </r>
  <r>
    <x v="56"/>
    <s v="Pesos"/>
    <d v="2026-10-23T00:00:00"/>
    <s v="20/07/2026"/>
    <n v="0.91870138999999995"/>
    <m/>
    <n v="990902.64"/>
    <n v="910343.63"/>
    <n v="990902.64"/>
    <n v="910343.63"/>
    <n v="2952"/>
    <s v="AMOMPY"/>
    <s v="Momentum Capital Investment S.A."/>
    <s v="15/07/2026"/>
    <s v="15/07/2026"/>
    <n v="34"/>
    <s v="No"/>
    <s v=""/>
    <m/>
    <m/>
    <s v="*MAV211001209"/>
    <s v="*MAV211001209"/>
    <n v="1.7461721010554586E-5"/>
  </r>
  <r>
    <x v="43"/>
    <s v="Pesos"/>
    <d v="2026-10-23T00:00:00"/>
    <s v="20/07/2026"/>
    <n v="0.93434039999999996"/>
    <m/>
    <n v="20000000"/>
    <n v="18686808"/>
    <n v="20000000"/>
    <n v="18686808"/>
    <n v="885"/>
    <s v="AMOMPY"/>
    <s v="Momentum Capital Investment S.A."/>
    <s v="16/07/2026"/>
    <s v="16/07/2026"/>
    <n v="27"/>
    <s v="No"/>
    <s v=""/>
    <m/>
    <m/>
    <s v="*MIL211000032"/>
    <s v="*MIL211000032"/>
    <n v="3.5844028246103011E-4"/>
  </r>
  <r>
    <x v="43"/>
    <s v="Pesos"/>
    <d v="2026-10-23T00:00:00"/>
    <s v="20/07/2026"/>
    <n v="0.93434028999999996"/>
    <m/>
    <n v="24500000"/>
    <n v="22891337.07"/>
    <n v="24500000"/>
    <n v="22891337.07"/>
    <n v="34221"/>
    <s v="AMOMPY"/>
    <s v="Momentum Capital Investment S.A."/>
    <s v="07/07/2026"/>
    <s v="07/07/2026"/>
    <n v="27"/>
    <s v="No"/>
    <s v=""/>
    <m/>
    <m/>
    <s v="*MIL211000031"/>
    <s v="*MIL211000031"/>
    <n v="4.3908929364937287E-4"/>
  </r>
  <r>
    <x v="1"/>
    <s v="Pesos"/>
    <d v="2026-10-23T00:00:00"/>
    <s v="20/07/2026"/>
    <n v="0.93207361"/>
    <m/>
    <n v="2500000"/>
    <n v="2330184.02"/>
    <n v="2500000"/>
    <n v="2330184.02"/>
    <n v="90031819"/>
    <s v="AMOMPY"/>
    <s v="Momentum Capital Investment S.A."/>
    <s v="22/04/2026"/>
    <s v="22/04/2026"/>
    <n v="28"/>
    <s v="No"/>
    <s v=""/>
    <m/>
    <m/>
    <s v="*MOV211000064"/>
    <s v="*MOV211000064"/>
    <n v="4.4696334350680904E-5"/>
  </r>
  <r>
    <x v="148"/>
    <s v="Pesos"/>
    <d v="2026-10-26T00:00:00"/>
    <s v="20/07/2026"/>
    <n v="0.91634888000000003"/>
    <m/>
    <n v="5000300.25"/>
    <n v="4582019.5199999996"/>
    <n v="5000300.25"/>
    <n v="4582019.5199999996"/>
    <n v="373"/>
    <s v="AMOMPY"/>
    <s v="Momentum Capital Investment S.A."/>
    <s v="15/07/2026"/>
    <s v="15/07/2026"/>
    <n v="34"/>
    <s v="No"/>
    <s v=""/>
    <m/>
    <m/>
    <s v="*MAV221001045"/>
    <s v="*MAV221001045"/>
    <n v="8.7889829605503175E-5"/>
  </r>
  <r>
    <x v="178"/>
    <s v="Pesos"/>
    <d v="2026-10-26T00:00:00"/>
    <s v="20/07/2026"/>
    <n v="0.92088013999999996"/>
    <m/>
    <n v="10655603.279999999"/>
    <n v="9812533.4199999999"/>
    <n v="10655603.279999999"/>
    <n v="9812533.4199999999"/>
    <n v="30829"/>
    <s v="AMOMPY"/>
    <s v="Momentum Capital Investment S.A."/>
    <s v="14/07/2026"/>
    <s v="14/07/2026"/>
    <n v="32"/>
    <s v="No"/>
    <s v=""/>
    <m/>
    <m/>
    <s v="*MAV221001035"/>
    <s v="*MAV221001035"/>
    <n v="1.8821872899443812E-4"/>
  </r>
  <r>
    <x v="160"/>
    <s v="Pesos"/>
    <d v="2026-10-26T00:00:00"/>
    <s v="20/07/2026"/>
    <n v="0.91860874999999997"/>
    <m/>
    <n v="6500236.5700000003"/>
    <n v="5971174.1799999997"/>
    <n v="6500236.5700000003"/>
    <n v="5971174.1799999997"/>
    <n v="90000581"/>
    <s v="AMOMPY"/>
    <s v="Momentum Capital Investment S.A."/>
    <s v="02/06/2026"/>
    <s v="02/06/2026"/>
    <n v="33"/>
    <s v="No"/>
    <s v=""/>
    <m/>
    <m/>
    <s v="*MAV221000987"/>
    <s v="*MAV221000987"/>
    <n v="1.1453584580647534E-4"/>
  </r>
  <r>
    <x v="207"/>
    <s v="Pesos"/>
    <d v="2026-10-26T00:00:00"/>
    <s v="20/07/2026"/>
    <n v="0.90521313999999997"/>
    <m/>
    <n v="3750000"/>
    <n v="3394549.26"/>
    <n v="3750000"/>
    <n v="3394549.26"/>
    <n v="66918134"/>
    <s v="AMOMPY"/>
    <s v="Momentum Capital Investment S.A."/>
    <s v="13/05/2026"/>
    <s v="13/05/2026"/>
    <n v="39"/>
    <s v="No"/>
    <s v=""/>
    <m/>
    <m/>
    <s v="*MAV221000981"/>
    <s v="*MAV221000981"/>
    <n v="6.5112414896234864E-5"/>
  </r>
  <r>
    <x v="7"/>
    <s v="Pesos"/>
    <d v="2026-10-26T00:00:00"/>
    <s v="20/07/2026"/>
    <n v="0.92545659000000002"/>
    <m/>
    <n v="6500000"/>
    <n v="6015467.8200000003"/>
    <n v="6500000"/>
    <n v="6015467.8200000003"/>
    <n v="745"/>
    <s v="AMOMPY"/>
    <s v="Momentum Capital Investment S.A."/>
    <s v="08/07/2026"/>
    <s v="08/07/2026"/>
    <n v="30"/>
    <s v="No"/>
    <s v=""/>
    <m/>
    <m/>
    <s v="*MAV221001020"/>
    <s v="*MAV221001020"/>
    <n v="1.153854625432036E-4"/>
  </r>
  <r>
    <x v="7"/>
    <s v="Pesos"/>
    <d v="2026-10-26T00:00:00"/>
    <s v="20/07/2026"/>
    <n v="0.92545650999999995"/>
    <m/>
    <n v="5000000"/>
    <n v="4627282.5599999996"/>
    <n v="5000000"/>
    <n v="4627282.5599999996"/>
    <n v="795"/>
    <s v="AMOMPY"/>
    <s v="Momentum Capital Investment S.A."/>
    <s v="14/07/2026"/>
    <s v="14/07/2026"/>
    <n v="30"/>
    <s v="No"/>
    <s v=""/>
    <m/>
    <m/>
    <s v="*MAV221001036"/>
    <s v="*MAV221001036"/>
    <n v="8.8758040850711288E-5"/>
  </r>
  <r>
    <x v="56"/>
    <s v="Pesos"/>
    <d v="2026-10-26T00:00:00"/>
    <s v="20/07/2026"/>
    <n v="0.91634888999999997"/>
    <m/>
    <n v="1020845.65"/>
    <n v="935450.78"/>
    <n v="1020845.65"/>
    <n v="935450.78"/>
    <n v="2903"/>
    <s v="AMOMPY"/>
    <s v="Momentum Capital Investment S.A."/>
    <s v="15/07/2026"/>
    <s v="15/07/2026"/>
    <n v="34"/>
    <s v="No"/>
    <s v=""/>
    <m/>
    <m/>
    <s v="*MAV221001043"/>
    <s v="*MAV221001043"/>
    <n v="1.7943312833930277E-5"/>
  </r>
  <r>
    <x v="56"/>
    <s v="Pesos"/>
    <d v="2026-10-26T00:00:00"/>
    <s v="20/07/2026"/>
    <n v="0.91634886999999998"/>
    <m/>
    <n v="990902.64"/>
    <n v="908012.51"/>
    <n v="990902.64"/>
    <n v="908012.51"/>
    <n v="2953"/>
    <s v="AMOMPY"/>
    <s v="Momentum Capital Investment S.A."/>
    <s v="15/07/2026"/>
    <s v="15/07/2026"/>
    <n v="34"/>
    <s v="No"/>
    <s v=""/>
    <m/>
    <m/>
    <s v="*MAV221001044"/>
    <s v="*MAV221001044"/>
    <n v="1.7417006722739857E-5"/>
  </r>
  <r>
    <x v="43"/>
    <s v="Pesos"/>
    <d v="2026-10-26T00:00:00"/>
    <s v="20/07/2026"/>
    <n v="0.93709887999999997"/>
    <m/>
    <n v="12500000"/>
    <n v="11713735.970000001"/>
    <n v="12500000"/>
    <n v="11713735.970000001"/>
    <n v="5296"/>
    <s v="AMOMPY"/>
    <s v="Momentum Capital Investment S.A."/>
    <s v="20/07/2026"/>
    <s v="20/07/2026"/>
    <n v="25"/>
    <s v="No"/>
    <s v=""/>
    <m/>
    <m/>
    <s v="*MIL221000036"/>
    <s v="*MIL221000036"/>
    <n v="2.2468657192607368E-4"/>
  </r>
  <r>
    <x v="43"/>
    <s v="Pesos"/>
    <d v="2026-10-26T00:00:00"/>
    <s v="20/07/2026"/>
    <n v="0.93709887999999997"/>
    <m/>
    <n v="8650000"/>
    <n v="8105905.29"/>
    <n v="8650000"/>
    <n v="8105905.29"/>
    <n v="34390"/>
    <s v="AMOMPY"/>
    <s v="Momentum Capital Investment S.A."/>
    <s v="20/07/2026"/>
    <s v="20/07/2026"/>
    <n v="25"/>
    <s v="No"/>
    <s v=""/>
    <m/>
    <m/>
    <s v="*MIL221000035"/>
    <s v="*MIL221000035"/>
    <n v="1.5548310774905796E-4"/>
  </r>
  <r>
    <x v="43"/>
    <s v="Pesos"/>
    <d v="2026-10-26T00:00:00"/>
    <s v="20/07/2026"/>
    <n v="0.93240690000000004"/>
    <m/>
    <n v="15000000"/>
    <n v="13986103.48"/>
    <n v="15000000"/>
    <n v="13986103.48"/>
    <n v="11349969"/>
    <s v="AMOMPY"/>
    <s v="Momentum Capital Investment S.A."/>
    <s v="16/07/2026"/>
    <s v="16/07/2026"/>
    <n v="27"/>
    <s v="No"/>
    <s v=""/>
    <m/>
    <m/>
    <s v="*MIL221000034"/>
    <s v="*MIL221000034"/>
    <n v="2.6827390113391204E-4"/>
  </r>
  <r>
    <x v="92"/>
    <s v="Pesos"/>
    <d v="2026-10-26T00:00:00"/>
    <s v="20/07/2026"/>
    <n v="0.92776177999999998"/>
    <m/>
    <n v="7511409.4699999997"/>
    <n v="6968798.6500000004"/>
    <n v="7511409.4699999997"/>
    <n v="6968798.6500000004"/>
    <n v="90000775"/>
    <s v="AMOMPY"/>
    <s v="Momentum Capital Investment S.A."/>
    <s v="03/07/2026"/>
    <s v="03/07/2026"/>
    <n v="29"/>
    <s v="No"/>
    <s v=""/>
    <m/>
    <m/>
    <s v="*FED221000026"/>
    <s v="*FED221000026"/>
    <n v="1.3367174086232627E-4"/>
  </r>
  <r>
    <x v="1"/>
    <s v="Pesos"/>
    <d v="2026-10-26T00:00:00"/>
    <s v="20/07/2026"/>
    <n v="0.93007859000000004"/>
    <m/>
    <n v="2500000"/>
    <n v="2325196.48"/>
    <n v="2500000"/>
    <n v="2325196.48"/>
    <n v="90031820"/>
    <s v="AMOMPY"/>
    <s v="Momentum Capital Investment S.A."/>
    <s v="22/04/2026"/>
    <s v="22/04/2026"/>
    <n v="28"/>
    <s v="No"/>
    <s v=""/>
    <m/>
    <m/>
    <s v="*MOV221000057"/>
    <s v="*MOV221000057"/>
    <n v="4.4600666045725571E-5"/>
  </r>
  <r>
    <x v="148"/>
    <s v="Pesos"/>
    <d v="2026-10-27T00:00:00"/>
    <s v="20/07/2026"/>
    <n v="0.91556729000000003"/>
    <m/>
    <n v="5000300.25"/>
    <n v="4578111.33"/>
    <n v="5000300.25"/>
    <n v="4578111.33"/>
    <n v="374"/>
    <s v="AMOMPY"/>
    <s v="Momentum Capital Investment S.A."/>
    <s v="15/07/2026"/>
    <s v="15/07/2026"/>
    <n v="34"/>
    <s v="No"/>
    <s v=""/>
    <m/>
    <m/>
    <s v="*MAV231001170"/>
    <s v="*MAV231001170"/>
    <n v="8.7814864810685828E-5"/>
  </r>
  <r>
    <x v="178"/>
    <s v="Pesos"/>
    <d v="2026-10-27T00:00:00"/>
    <s v="20/07/2026"/>
    <n v="0.92013719999999999"/>
    <m/>
    <n v="10655603.279999999"/>
    <n v="9804616.9499999993"/>
    <n v="10655603.279999999"/>
    <n v="9804616.9499999993"/>
    <n v="30830"/>
    <s v="AMOMPY"/>
    <s v="Momentum Capital Investment S.A."/>
    <s v="14/07/2026"/>
    <s v="14/07/2026"/>
    <n v="32"/>
    <s v="No"/>
    <s v=""/>
    <m/>
    <m/>
    <s v="*MAV231001165"/>
    <s v="*MAV231001165"/>
    <n v="1.8806687953235263E-4"/>
  </r>
  <r>
    <x v="213"/>
    <s v="Pesos"/>
    <d v="2026-10-27T00:00:00"/>
    <s v="20/07/2026"/>
    <n v="0.91556729000000003"/>
    <m/>
    <n v="4549416.66"/>
    <n v="4165297.08"/>
    <n v="4549416.66"/>
    <n v="4165297.08"/>
    <n v="50456545"/>
    <s v="AMOMPY"/>
    <s v="Momentum Capital Investment S.A."/>
    <s v="15/07/2026"/>
    <s v="15/07/2026"/>
    <n v="34"/>
    <s v="No"/>
    <s v=""/>
    <m/>
    <m/>
    <s v="*MAV231001172"/>
    <s v="*MAV231001172"/>
    <n v="7.9896484294658787E-5"/>
  </r>
  <r>
    <x v="56"/>
    <s v="Pesos"/>
    <d v="2026-10-27T00:00:00"/>
    <s v="20/07/2026"/>
    <n v="0.91556729000000003"/>
    <m/>
    <n v="1020845.65"/>
    <n v="934652.89"/>
    <n v="1020845.65"/>
    <n v="934652.89"/>
    <n v="2904"/>
    <s v="AMOMPY"/>
    <s v="Momentum Capital Investment S.A."/>
    <s v="15/07/2026"/>
    <s v="15/07/2026"/>
    <n v="34"/>
    <s v="No"/>
    <s v=""/>
    <m/>
    <m/>
    <s v="*MAV231001169"/>
    <s v="*MAV231001169"/>
    <n v="1.7928008137859508E-5"/>
  </r>
  <r>
    <x v="56"/>
    <s v="Pesos"/>
    <d v="2026-10-27T00:00:00"/>
    <s v="20/07/2026"/>
    <n v="0.91556729000000003"/>
    <m/>
    <n v="990902.64"/>
    <n v="907238.05"/>
    <n v="990902.64"/>
    <n v="907238.05"/>
    <n v="2954"/>
    <s v="AMOMPY"/>
    <s v="Momentum Capital Investment S.A."/>
    <s v="15/07/2026"/>
    <s v="15/07/2026"/>
    <n v="34"/>
    <s v="No"/>
    <s v=""/>
    <m/>
    <m/>
    <s v="*MAV231001171"/>
    <s v="*MAV231001171"/>
    <n v="1.7402151448304825E-5"/>
  </r>
  <r>
    <x v="43"/>
    <s v="Pesos"/>
    <d v="2026-10-27T00:00:00"/>
    <s v="20/07/2026"/>
    <n v="0.93176422999999997"/>
    <m/>
    <n v="50000000"/>
    <n v="46588211.509999998"/>
    <n v="50000000"/>
    <n v="46588211.509999998"/>
    <n v="1415416"/>
    <s v="AMOMPY"/>
    <s v="Momentum Capital Investment S.A."/>
    <s v="25/06/2026"/>
    <s v="25/06/2026"/>
    <n v="27"/>
    <s v="No"/>
    <s v=""/>
    <m/>
    <m/>
    <s v="*MIL231000034"/>
    <s v="*MIL231000034"/>
    <n v="8.9362997110039417E-4"/>
  </r>
  <r>
    <x v="43"/>
    <s v="Pesos"/>
    <d v="2026-10-27T00:00:00"/>
    <s v="20/07/2026"/>
    <n v="0.93176429000000005"/>
    <m/>
    <n v="10000000"/>
    <n v="9317642.9100000001"/>
    <n v="10000000"/>
    <n v="9317642.9100000001"/>
    <n v="2012"/>
    <s v="AMOMPY"/>
    <s v="Momentum Capital Investment S.A."/>
    <s v="07/07/2026"/>
    <s v="07/07/2026"/>
    <n v="27"/>
    <s v="No"/>
    <s v=""/>
    <m/>
    <m/>
    <s v="*MIL231000035"/>
    <s v="*MIL231000035"/>
    <n v="1.7872600588240726E-4"/>
  </r>
  <r>
    <x v="1"/>
    <s v="Pesos"/>
    <d v="2026-10-27T00:00:00"/>
    <s v="20/07/2026"/>
    <n v="0.92941543000000004"/>
    <m/>
    <n v="2500000"/>
    <n v="2323538.5699999998"/>
    <n v="2500000"/>
    <n v="2323538.5699999998"/>
    <n v="90031821"/>
    <s v="AMOMPY"/>
    <s v="Momentum Capital Investment S.A."/>
    <s v="22/04/2026"/>
    <s v="22/04/2026"/>
    <n v="28"/>
    <s v="No"/>
    <s v=""/>
    <m/>
    <m/>
    <s v="*MOV231000049"/>
    <s v="*MOV231000049"/>
    <n v="4.4568864909400147E-5"/>
  </r>
  <r>
    <x v="214"/>
    <s v="Pesos"/>
    <d v="2026-10-27T00:00:00"/>
    <s v="20/07/2026"/>
    <n v="0.93649780999999999"/>
    <m/>
    <n v="19922304"/>
    <n v="18657194.010000002"/>
    <n v="19922304"/>
    <n v="18657194.010000002"/>
    <n v="67863887"/>
    <s v="AMOMPY"/>
    <s v="Momentum Capital Investment S.A."/>
    <s v="26/06/2026"/>
    <s v="26/06/2026"/>
    <n v="25"/>
    <s v="No"/>
    <s v=""/>
    <m/>
    <m/>
    <s v="*MAV231001129"/>
    <s v="*MAV231001129"/>
    <n v="3.5787224286109432E-4"/>
  </r>
  <r>
    <x v="16"/>
    <s v="Pesos"/>
    <d v="2026-10-28T00:00:00"/>
    <s v="20/07/2026"/>
    <n v="0.92875324999999997"/>
    <m/>
    <n v="100000000"/>
    <n v="92875324.920000002"/>
    <n v="100000000"/>
    <n v="92875324.920000002"/>
    <n v="40627526"/>
    <s v="AMOMPY"/>
    <s v="Momentum Capital Investment S.A."/>
    <s v="04/05/2026"/>
    <s v="04/05/2026"/>
    <n v="28"/>
    <s v="No"/>
    <s v=""/>
    <m/>
    <m/>
    <s v="*AAR241000023"/>
    <s v="*AAR241000023"/>
    <n v="1.7814844406805459E-3"/>
  </r>
  <r>
    <x v="178"/>
    <s v="Pesos"/>
    <d v="2026-10-28T00:00:00"/>
    <s v="20/07/2026"/>
    <n v="0.91939570999999998"/>
    <m/>
    <n v="10655603.279999999"/>
    <n v="9796715.9600000009"/>
    <n v="10655603.279999999"/>
    <n v="9796715.9600000009"/>
    <n v="30831"/>
    <s v="AMOMPY"/>
    <s v="Momentum Capital Investment S.A."/>
    <s v="14/07/2026"/>
    <s v="14/07/2026"/>
    <n v="32"/>
    <s v="No"/>
    <s v=""/>
    <m/>
    <m/>
    <s v="*MAV261000869"/>
    <s v="*MAV261000869"/>
    <n v="1.8791532699928646E-4"/>
  </r>
  <r>
    <x v="213"/>
    <s v="Pesos"/>
    <d v="2026-10-28T00:00:00"/>
    <s v="20/07/2026"/>
    <n v="0.91478702999999995"/>
    <m/>
    <n v="4549416.66"/>
    <n v="4161747.35"/>
    <n v="4549416.66"/>
    <n v="4161747.35"/>
    <n v="50456546"/>
    <s v="AMOMPY"/>
    <s v="Momentum Capital Investment S.A."/>
    <s v="15/07/2026"/>
    <s v="15/07/2026"/>
    <n v="34"/>
    <s v="No"/>
    <s v=""/>
    <m/>
    <m/>
    <s v="*MAV241001245"/>
    <s v="*MAV241001245"/>
    <n v="7.982839528642044E-5"/>
  </r>
  <r>
    <x v="120"/>
    <s v="Pesos"/>
    <d v="2026-10-28T00:00:00"/>
    <s v="20/07/2026"/>
    <n v="0.90570733000000003"/>
    <m/>
    <n v="3511491.25"/>
    <n v="3180383.35"/>
    <n v="3511491.25"/>
    <n v="3180383.35"/>
    <n v="13270638"/>
    <s v="AMOMPY"/>
    <s v="Momentum Capital Investment S.A."/>
    <s v="24/04/2026"/>
    <s v="24/04/2026"/>
    <n v="38"/>
    <s v="No"/>
    <s v=""/>
    <m/>
    <m/>
    <s v="*MAV261000813"/>
    <s v="*MAV261000813"/>
    <n v="6.1004399804844004E-5"/>
  </r>
  <r>
    <x v="63"/>
    <s v="Pesos"/>
    <d v="2026-10-28T00:00:00"/>
    <s v="20/07/2026"/>
    <n v="0.93112258000000003"/>
    <m/>
    <n v="15000000"/>
    <n v="13966838.73"/>
    <n v="15000000"/>
    <n v="13966838.73"/>
    <n v="234"/>
    <s v="AMOMPY"/>
    <s v="Momentum Capital Investment S.A."/>
    <s v="02/07/2026"/>
    <s v="02/07/2026"/>
    <n v="27"/>
    <s v="No"/>
    <s v=""/>
    <m/>
    <m/>
    <s v="*PRO261000007"/>
    <s v="*PRO261000007"/>
    <n v="2.6790437507940657E-4"/>
  </r>
  <r>
    <x v="56"/>
    <s v="Pesos"/>
    <d v="2026-10-28T00:00:00"/>
    <s v="20/07/2026"/>
    <n v="0.91478702999999995"/>
    <m/>
    <n v="1020845.65"/>
    <n v="933856.36"/>
    <n v="1020845.65"/>
    <n v="933856.36"/>
    <n v="2905"/>
    <s v="AMOMPY"/>
    <s v="Momentum Capital Investment S.A."/>
    <s v="15/07/2026"/>
    <s v="15/07/2026"/>
    <n v="34"/>
    <s v="No"/>
    <s v=""/>
    <m/>
    <m/>
    <s v="*MAV241001243"/>
    <s v="*MAV241001243"/>
    <n v="1.7912729528575957E-5"/>
  </r>
  <r>
    <x v="56"/>
    <s v="Pesos"/>
    <d v="2026-10-28T00:00:00"/>
    <s v="20/07/2026"/>
    <n v="0.91478704"/>
    <m/>
    <n v="990902.64"/>
    <n v="906464.89"/>
    <n v="990902.64"/>
    <n v="906464.89"/>
    <n v="2955"/>
    <s v="AMOMPY"/>
    <s v="Momentum Capital Investment S.A."/>
    <s v="15/07/2026"/>
    <s v="15/07/2026"/>
    <n v="34"/>
    <s v="No"/>
    <s v=""/>
    <m/>
    <m/>
    <s v="*MAV241001244"/>
    <s v="*MAV241001244"/>
    <n v="1.7387321109769344E-5"/>
  </r>
  <r>
    <x v="43"/>
    <s v="Pesos"/>
    <d v="2026-10-28T00:00:00"/>
    <s v="20/07/2026"/>
    <n v="0.93112256000000004"/>
    <m/>
    <n v="15000000"/>
    <n v="13966838.449999999"/>
    <n v="15000000"/>
    <n v="13966838.449999999"/>
    <n v="11349971"/>
    <s v="AMOMPY"/>
    <s v="Momentum Capital Investment S.A."/>
    <s v="16/07/2026"/>
    <s v="16/07/2026"/>
    <n v="27"/>
    <s v="No"/>
    <s v=""/>
    <m/>
    <m/>
    <s v="*MIL261000028"/>
    <s v="*MIL261000028"/>
    <n v="2.6790436970859741E-4"/>
  </r>
  <r>
    <x v="43"/>
    <s v="Pesos"/>
    <d v="2026-10-28T00:00:00"/>
    <s v="20/07/2026"/>
    <n v="0.93112256000000004"/>
    <m/>
    <n v="15000000"/>
    <n v="13966838.449999999"/>
    <n v="15000000"/>
    <n v="13966838.449999999"/>
    <n v="11349970"/>
    <s v="AMOMPY"/>
    <s v="Momentum Capital Investment S.A."/>
    <s v="16/07/2026"/>
    <s v="16/07/2026"/>
    <n v="27"/>
    <s v="No"/>
    <s v=""/>
    <m/>
    <m/>
    <s v="*MIL241000049"/>
    <s v="*MIL241000049"/>
    <n v="2.6790436970859741E-4"/>
  </r>
  <r>
    <x v="176"/>
    <s v="Pesos"/>
    <d v="2026-10-28T00:00:00"/>
    <s v="20/07/2026"/>
    <n v="0.91478702999999995"/>
    <m/>
    <n v="3000000"/>
    <n v="2744361.09"/>
    <n v="3000000"/>
    <n v="2744361.09"/>
    <n v="4564"/>
    <s v="AMOMPY"/>
    <s v="Momentum Capital Investment S.A."/>
    <s v="15/07/2026"/>
    <s v="15/07/2026"/>
    <n v="34"/>
    <s v="No"/>
    <s v=""/>
    <m/>
    <m/>
    <s v="*MAV261000873"/>
    <s v="*MAV261000873"/>
    <n v="5.2640855745650113E-5"/>
  </r>
  <r>
    <x v="49"/>
    <s v="Pesos"/>
    <d v="2026-10-28T00:00:00"/>
    <s v="20/07/2026"/>
    <n v="0.92875324000000004"/>
    <m/>
    <n v="30000000"/>
    <n v="27862597.050000001"/>
    <n v="30000000"/>
    <n v="27862597.050000001"/>
    <n v="3329634"/>
    <s v="AMOMPY"/>
    <s v="Momentum Capital Investment S.A."/>
    <s v="30/04/2026"/>
    <s v="30/04/2026"/>
    <n v="28"/>
    <s v="No"/>
    <s v=""/>
    <m/>
    <m/>
    <s v="*FID261000025"/>
    <s v="*FID261000025"/>
    <n v="5.3444532403286134E-4"/>
  </r>
  <r>
    <x v="1"/>
    <s v="Pesos"/>
    <d v="2026-10-28T00:00:00"/>
    <s v="20/07/2026"/>
    <n v="0.92875321"/>
    <m/>
    <n v="2500000"/>
    <n v="2321883.0299999998"/>
    <n v="2500000"/>
    <n v="2321883.0299999998"/>
    <n v="90031822"/>
    <s v="AMOMPY"/>
    <s v="Momentum Capital Investment S.A."/>
    <s v="22/04/2026"/>
    <s v="22/04/2026"/>
    <n v="28"/>
    <s v="No"/>
    <s v=""/>
    <m/>
    <m/>
    <s v="*MOV261000050"/>
    <s v="*MOV261000050"/>
    <n v="4.4537109233137757E-5"/>
  </r>
  <r>
    <x v="144"/>
    <s v="Pesos"/>
    <d v="2026-10-29T00:00:00"/>
    <s v="20/07/2026"/>
    <n v="0.91865498999999995"/>
    <m/>
    <n v="15000000"/>
    <n v="13779824.83"/>
    <n v="15000000"/>
    <n v="13779824.83"/>
    <n v="67448999"/>
    <s v="AMOMPY"/>
    <s v="Momentum Capital Investment S.A."/>
    <s v="05/06/2026"/>
    <s v="05/06/2026"/>
    <n v="32"/>
    <s v="No"/>
    <s v=""/>
    <m/>
    <m/>
    <s v="*MAV271001273"/>
    <s v="*MAV271001273"/>
    <n v="2.6431717521412519E-4"/>
  </r>
  <r>
    <x v="178"/>
    <s v="Pesos"/>
    <d v="2026-10-29T00:00:00"/>
    <s v="20/07/2026"/>
    <n v="0.91865516000000003"/>
    <m/>
    <n v="10655603.279999999"/>
    <n v="9788824.9700000007"/>
    <n v="10655603.279999999"/>
    <n v="9788824.9700000007"/>
    <n v="30832"/>
    <s v="AMOMPY"/>
    <s v="Momentum Capital Investment S.A."/>
    <s v="14/07/2026"/>
    <s v="14/07/2026"/>
    <n v="32"/>
    <s v="No"/>
    <s v=""/>
    <m/>
    <m/>
    <s v="*MAV271001336"/>
    <s v="*MAV271001336"/>
    <n v="1.8776396628083217E-4"/>
  </r>
  <r>
    <x v="213"/>
    <s v="Pesos"/>
    <d v="2026-10-29T00:00:00"/>
    <s v="20/07/2026"/>
    <n v="0.91400837000000001"/>
    <m/>
    <n v="4549416.66"/>
    <n v="4158204.92"/>
    <n v="4549416.66"/>
    <n v="4158204.92"/>
    <n v="50456547"/>
    <s v="AMOMPY"/>
    <s v="Momentum Capital Investment S.A."/>
    <s v="15/07/2026"/>
    <s v="15/07/2026"/>
    <n v="34"/>
    <s v="No"/>
    <s v=""/>
    <m/>
    <m/>
    <s v="*MAV271001343"/>
    <s v="*MAV271001343"/>
    <n v="7.9760446302848785E-5"/>
  </r>
  <r>
    <x v="207"/>
    <s v="Pesos"/>
    <d v="2026-10-29T00:00:00"/>
    <s v="20/07/2026"/>
    <n v="0.90259416999999997"/>
    <m/>
    <n v="3750000"/>
    <n v="3384728.12"/>
    <n v="3750000"/>
    <n v="3384728.12"/>
    <n v="66918205"/>
    <s v="AMOMPY"/>
    <s v="Momentum Capital Investment S.A."/>
    <s v="13/05/2026"/>
    <s v="13/05/2026"/>
    <n v="39"/>
    <s v="No"/>
    <s v=""/>
    <m/>
    <m/>
    <s v="*MAV271001267"/>
    <s v="*MAV271001267"/>
    <n v="6.4924031080460163E-5"/>
  </r>
  <r>
    <x v="7"/>
    <s v="Pesos"/>
    <d v="2026-10-29T00:00:00"/>
    <s v="20/07/2026"/>
    <n v="0.92334954000000002"/>
    <m/>
    <n v="10000000"/>
    <n v="9233495.3699999992"/>
    <n v="10000000"/>
    <n v="9233495.3699999992"/>
    <n v="728"/>
    <s v="AMOMPY"/>
    <s v="Momentum Capital Investment S.A."/>
    <s v="30/06/2026"/>
    <s v="30/06/2026"/>
    <n v="30"/>
    <s v="No"/>
    <s v=""/>
    <m/>
    <m/>
    <s v="*MAV271001297"/>
    <s v="*MAV271001297"/>
    <n v="1.7711193310946492E-4"/>
  </r>
  <r>
    <x v="7"/>
    <s v="Pesos"/>
    <d v="2026-10-29T00:00:00"/>
    <s v="20/07/2026"/>
    <n v="0.92334936000000001"/>
    <m/>
    <n v="6500000"/>
    <n v="6001770.8700000001"/>
    <n v="6500000"/>
    <n v="6001770.8700000001"/>
    <n v="746"/>
    <s v="AMOMPY"/>
    <s v="Momentum Capital Investment S.A."/>
    <s v="08/07/2026"/>
    <s v="08/07/2026"/>
    <n v="30"/>
    <s v="No"/>
    <s v=""/>
    <m/>
    <m/>
    <s v="*MAV271001316"/>
    <s v="*MAV271001316"/>
    <n v="1.1512273502832493E-4"/>
  </r>
  <r>
    <x v="7"/>
    <s v="Pesos"/>
    <d v="2026-10-29T00:00:00"/>
    <s v="20/07/2026"/>
    <n v="0.92334952000000003"/>
    <m/>
    <n v="5000000"/>
    <n v="4616747.5999999996"/>
    <n v="5000000"/>
    <n v="4616747.5999999996"/>
    <n v="796"/>
    <s v="AMOMPY"/>
    <s v="Momentum Capital Investment S.A."/>
    <s v="14/07/2026"/>
    <s v="14/07/2026"/>
    <n v="30"/>
    <s v="No"/>
    <s v=""/>
    <m/>
    <m/>
    <s v="*MAV271001338"/>
    <s v="*MAV271001338"/>
    <n v="8.8555964924308256E-5"/>
  </r>
  <r>
    <x v="56"/>
    <s v="Pesos"/>
    <d v="2026-10-29T00:00:00"/>
    <s v="20/07/2026"/>
    <n v="0.91400837999999995"/>
    <m/>
    <n v="1020845.65"/>
    <n v="933061.48"/>
    <n v="1020845.65"/>
    <n v="933061.48"/>
    <n v="2906"/>
    <s v="AMOMPY"/>
    <s v="Momentum Capital Investment S.A."/>
    <s v="15/07/2026"/>
    <s v="15/07/2026"/>
    <n v="34"/>
    <s v="No"/>
    <s v=""/>
    <m/>
    <m/>
    <s v="*MAV271001341"/>
    <s v="*MAV271001341"/>
    <n v="1.7897482568703376E-5"/>
  </r>
  <r>
    <x v="56"/>
    <s v="Pesos"/>
    <d v="2026-10-29T00:00:00"/>
    <s v="20/07/2026"/>
    <n v="0.91400837999999995"/>
    <m/>
    <n v="990902.64"/>
    <n v="905693.31"/>
    <n v="990902.64"/>
    <n v="905693.31"/>
    <n v="2956"/>
    <s v="AMOMPY"/>
    <s v="Momentum Capital Investment S.A."/>
    <s v="15/07/2026"/>
    <s v="15/07/2026"/>
    <n v="34"/>
    <s v="No"/>
    <s v=""/>
    <m/>
    <m/>
    <s v="*MAV271001342"/>
    <s v="*MAV271001342"/>
    <n v="1.7372521077942543E-5"/>
  </r>
  <r>
    <x v="1"/>
    <s v="Pesos"/>
    <d v="2026-10-29T00:00:00"/>
    <s v="20/07/2026"/>
    <n v="0.92809207000000005"/>
    <m/>
    <n v="2500000"/>
    <n v="2320230.17"/>
    <n v="2500000"/>
    <n v="2320230.17"/>
    <n v="90031823"/>
    <s v="AMOMPY"/>
    <s v="Momentum Capital Investment S.A."/>
    <s v="22/04/2026"/>
    <s v="22/04/2026"/>
    <n v="28"/>
    <s v="No"/>
    <s v=""/>
    <m/>
    <m/>
    <s v="*MOV271000069"/>
    <s v="*MOV271000069"/>
    <n v="4.4505404963191359E-5"/>
  </r>
  <r>
    <x v="123"/>
    <s v="Pesos"/>
    <d v="2026-10-29T00:00:00"/>
    <s v="20/07/2026"/>
    <n v="0.94261673999999995"/>
    <m/>
    <n v="13000000"/>
    <n v="12254017.6"/>
    <n v="13000000"/>
    <n v="12254017.6"/>
    <n v="34114"/>
    <s v="AMOMPY"/>
    <s v="Momentum Capital Investment S.A."/>
    <s v="30/06/2026"/>
    <s v="30/06/2026"/>
    <n v="22"/>
    <s v="No"/>
    <s v=""/>
    <m/>
    <m/>
    <s v="*MAV271001292"/>
    <s v="*MAV271001292"/>
    <n v="2.3504996304486215E-4"/>
  </r>
  <r>
    <x v="178"/>
    <s v="Pesos"/>
    <d v="2026-10-30T00:00:00"/>
    <s v="20/07/2026"/>
    <n v="0.91791581"/>
    <m/>
    <n v="10655603.279999999"/>
    <n v="9780946.6799999997"/>
    <n v="10655603.279999999"/>
    <n v="9780946.6799999997"/>
    <n v="30833"/>
    <s v="AMOMPY"/>
    <s v="Momentum Capital Investment S.A."/>
    <s v="14/07/2026"/>
    <s v="14/07/2026"/>
    <n v="32"/>
    <s v="No"/>
    <s v=""/>
    <m/>
    <m/>
    <s v="*MAV281001194"/>
    <s v="*MAV281001194"/>
    <n v="1.8761284916693504E-4"/>
  </r>
  <r>
    <x v="7"/>
    <s v="Pesos"/>
    <d v="2026-10-30T00:00:00"/>
    <s v="20/07/2026"/>
    <n v="0.92264924000000004"/>
    <m/>
    <n v="5000000"/>
    <n v="4613246.2"/>
    <n v="5000000"/>
    <n v="4613246.2"/>
    <n v="797"/>
    <s v="AMOMPY"/>
    <s v="Momentum Capital Investment S.A."/>
    <s v="14/07/2026"/>
    <s v="14/07/2026"/>
    <n v="30"/>
    <s v="No"/>
    <s v=""/>
    <m/>
    <m/>
    <s v="*MAV281001197"/>
    <s v="*MAV281001197"/>
    <n v="8.8488802956089338E-5"/>
  </r>
  <r>
    <x v="56"/>
    <s v="Pesos"/>
    <d v="2026-10-30T00:00:00"/>
    <s v="20/07/2026"/>
    <n v="0.91323076999999997"/>
    <m/>
    <n v="990902.64"/>
    <n v="904922.78"/>
    <n v="990902.64"/>
    <n v="904922.78"/>
    <n v="2957"/>
    <s v="AMOMPY"/>
    <s v="Momentum Capital Investment S.A."/>
    <s v="15/07/2026"/>
    <s v="15/07/2026"/>
    <n v="34"/>
    <s v="No"/>
    <s v=""/>
    <m/>
    <m/>
    <s v="*MAV281001203"/>
    <s v="*MAV281001203"/>
    <n v="1.7357741186649995E-5"/>
  </r>
  <r>
    <x v="56"/>
    <s v="Pesos"/>
    <d v="2026-10-30T00:00:00"/>
    <s v="20/07/2026"/>
    <n v="0.91323076999999997"/>
    <m/>
    <n v="1020845.65"/>
    <n v="932267.66"/>
    <n v="1020845.65"/>
    <n v="932267.66"/>
    <n v="2907"/>
    <s v="AMOMPY"/>
    <s v="Momentum Capital Investment S.A."/>
    <s v="15/07/2026"/>
    <s v="15/07/2026"/>
    <n v="34"/>
    <s v="No"/>
    <s v=""/>
    <m/>
    <m/>
    <s v="*MAV281001204"/>
    <s v="*MAV281001204"/>
    <n v="1.788225594117966E-5"/>
  </r>
  <r>
    <x v="178"/>
    <s v="Pesos"/>
    <d v="2026-11-02T00:00:00"/>
    <s v="20/07/2026"/>
    <n v="0.91570512000000004"/>
    <m/>
    <n v="10655603.279999999"/>
    <n v="9757390.4499999993"/>
    <n v="10655603.279999999"/>
    <n v="9757390.4499999993"/>
    <n v="30834"/>
    <s v="AMOMPY"/>
    <s v="Momentum Capital Investment S.A."/>
    <s v="14/07/2026"/>
    <s v="14/07/2026"/>
    <n v="32"/>
    <s v="No"/>
    <s v=""/>
    <m/>
    <m/>
    <s v="*MAV291001113"/>
    <s v="*MAV291001113"/>
    <n v="1.8716100625535179E-4"/>
  </r>
  <r>
    <x v="207"/>
    <s v="Pesos"/>
    <d v="2026-11-02T00:00:00"/>
    <s v="20/07/2026"/>
    <n v="0.89912561999999996"/>
    <m/>
    <n v="3750000"/>
    <n v="3371721.08"/>
    <n v="3750000"/>
    <n v="3371721.08"/>
    <n v="66918247"/>
    <s v="AMOMPY"/>
    <s v="Momentum Capital Investment S.A."/>
    <s v="13/05/2026"/>
    <s v="13/05/2026"/>
    <n v="39"/>
    <s v="No"/>
    <s v=""/>
    <m/>
    <m/>
    <s v="*MAV291001079"/>
    <s v="*MAV291001079"/>
    <n v="6.4674537047472721E-5"/>
  </r>
  <r>
    <x v="63"/>
    <s v="Pesos"/>
    <d v="2026-11-02T00:00:00"/>
    <s v="20/07/2026"/>
    <n v="0.92792684000000003"/>
    <m/>
    <n v="15000000"/>
    <n v="13918902.630000001"/>
    <n v="15000000"/>
    <n v="13918902.630000001"/>
    <n v="235"/>
    <s v="AMOMPY"/>
    <s v="Momentum Capital Investment S.A."/>
    <s v="02/07/2026"/>
    <s v="02/07/2026"/>
    <n v="27"/>
    <s v="No"/>
    <s v=""/>
    <m/>
    <m/>
    <s v="*PRO291000023"/>
    <s v="*PRO291000023"/>
    <n v="2.6698489063754365E-4"/>
  </r>
  <r>
    <x v="63"/>
    <s v="Pesos"/>
    <d v="2026-11-02T00:00:00"/>
    <s v="20/07/2026"/>
    <n v="0.93041059000000004"/>
    <m/>
    <n v="15000000"/>
    <n v="13956158.880000001"/>
    <n v="15000000"/>
    <n v="13956158.880000001"/>
    <n v="68218060"/>
    <s v="AMOMPY"/>
    <s v="Momentum Capital Investment S.A."/>
    <s v="08/07/2026"/>
    <s v="08/07/2026"/>
    <n v="26"/>
    <s v="No"/>
    <s v=""/>
    <m/>
    <m/>
    <s v="*PRO291000024"/>
    <s v="*PRO291000024"/>
    <n v="2.6769951995109139E-4"/>
  </r>
  <r>
    <x v="63"/>
    <s v="Pesos"/>
    <d v="2026-11-02T00:00:00"/>
    <s v="20/07/2026"/>
    <n v="0.93290737999999995"/>
    <m/>
    <n v="32000000"/>
    <n v="29853036.030000001"/>
    <n v="32000000"/>
    <n v="29853036.030000001"/>
    <n v="5313"/>
    <s v="AMOMPY"/>
    <s v="Momentum Capital Investment S.A."/>
    <s v="16/07/2026"/>
    <s v="16/07/2026"/>
    <n v="25"/>
    <s v="No"/>
    <s v=""/>
    <m/>
    <m/>
    <s v="*PRO291000025"/>
    <s v="*PRO291000025"/>
    <n v="5.7262485208348644E-4"/>
  </r>
  <r>
    <x v="56"/>
    <s v="Pesos"/>
    <d v="2026-11-02T00:00:00"/>
    <s v="20/07/2026"/>
    <n v="0.91090614999999997"/>
    <m/>
    <n v="1020845.65"/>
    <n v="929894.58"/>
    <n v="1020845.65"/>
    <n v="929894.58"/>
    <n v="2908"/>
    <s v="AMOMPY"/>
    <s v="Momentum Capital Investment S.A."/>
    <s v="15/07/2026"/>
    <s v="15/07/2026"/>
    <n v="34"/>
    <s v="No"/>
    <s v=""/>
    <m/>
    <m/>
    <s v="*MAV291001115"/>
    <s v="*MAV291001115"/>
    <n v="1.7836736799253299E-5"/>
  </r>
  <r>
    <x v="56"/>
    <s v="Pesos"/>
    <d v="2026-11-02T00:00:00"/>
    <s v="20/07/2026"/>
    <n v="0.91090614000000003"/>
    <m/>
    <n v="990902.64"/>
    <n v="902619.3"/>
    <n v="990902.64"/>
    <n v="902619.3"/>
    <n v="2958"/>
    <s v="AMOMPY"/>
    <s v="Momentum Capital Investment S.A."/>
    <s v="15/07/2026"/>
    <s v="15/07/2026"/>
    <n v="34"/>
    <s v="No"/>
    <s v=""/>
    <m/>
    <m/>
    <s v="*MAV291001116"/>
    <s v="*MAV291001116"/>
    <n v="1.7313557074422624E-5"/>
  </r>
  <r>
    <x v="1"/>
    <s v="Pesos"/>
    <d v="2026-11-02T00:00:00"/>
    <s v="20/07/2026"/>
    <n v="0.92545648999999996"/>
    <m/>
    <n v="2500000"/>
    <n v="2313641.23"/>
    <n v="2500000"/>
    <n v="2313641.23"/>
    <n v="90031824"/>
    <s v="AMOMPY"/>
    <s v="Momentum Capital Investment S.A."/>
    <s v="22/04/2026"/>
    <s v="22/04/2026"/>
    <n v="28"/>
    <s v="No"/>
    <s v=""/>
    <m/>
    <m/>
    <s v="*MOV291000063"/>
    <s v="*MOV291000063"/>
    <n v="4.4379019466282586E-5"/>
  </r>
  <r>
    <x v="215"/>
    <s v="Pesos"/>
    <d v="2026-11-02T00:00:00"/>
    <s v="20/07/2026"/>
    <n v="0.91329927"/>
    <m/>
    <n v="333534247"/>
    <n v="304616585.47000003"/>
    <n v="333534247"/>
    <n v="304616585.47000003"/>
    <n v="155636"/>
    <s v="AMOMPY"/>
    <s v="Momentum Capital Investment S.A."/>
    <s v="03/07/2026"/>
    <s v="03/07/2026"/>
    <n v="33"/>
    <s v="No"/>
    <s v=""/>
    <m/>
    <m/>
    <s v="#MAV301060025"/>
    <s v="#MAV301060025"/>
    <n v="5.8429912127411672E-3"/>
  </r>
  <r>
    <x v="203"/>
    <s v="Pesos"/>
    <d v="2026-11-03T00:00:00"/>
    <s v="20/07/2026"/>
    <n v="0.91254577000000003"/>
    <m/>
    <n v="1655023.2"/>
    <n v="1510284.42"/>
    <n v="1655023.2"/>
    <n v="1510284.42"/>
    <n v="610"/>
    <s v="AMOMPY"/>
    <s v="Momentum Capital Investment S.A."/>
    <s v="02/06/2026"/>
    <s v="02/06/2026"/>
    <n v="33"/>
    <s v="No"/>
    <s v=""/>
    <m/>
    <m/>
    <s v="*MAV301001239"/>
    <s v="*MAV301001239"/>
    <n v="2.8969461991651708E-5"/>
  </r>
  <r>
    <x v="203"/>
    <s v="Pesos"/>
    <d v="2026-11-03T00:00:00"/>
    <s v="20/07/2026"/>
    <n v="0.91254577999999997"/>
    <m/>
    <n v="3772034.12"/>
    <n v="3442153.82"/>
    <n v="3772034.12"/>
    <n v="3442153.82"/>
    <n v="639"/>
    <s v="AMOMPY"/>
    <s v="Momentum Capital Investment S.A."/>
    <s v="02/06/2026"/>
    <s v="02/06/2026"/>
    <n v="33"/>
    <s v="No"/>
    <s v=""/>
    <m/>
    <m/>
    <s v="*MAV301001240"/>
    <s v="*MAV301001240"/>
    <n v="6.6025539916454107E-5"/>
  </r>
  <r>
    <x v="178"/>
    <s v="Pesos"/>
    <d v="2026-11-03T00:00:00"/>
    <s v="20/07/2026"/>
    <n v="0.91497050000000002"/>
    <m/>
    <n v="10655603.279999999"/>
    <n v="9749562.6699999999"/>
    <n v="10655603.279999999"/>
    <n v="9749562.6699999999"/>
    <n v="30835"/>
    <s v="AMOMPY"/>
    <s v="Momentum Capital Investment S.A."/>
    <s v="14/07/2026"/>
    <s v="14/07/2026"/>
    <n v="32"/>
    <s v="No"/>
    <s v=""/>
    <m/>
    <m/>
    <s v="*MAV301001295"/>
    <s v="*MAV301001295"/>
    <n v="1.8701085799705948E-4"/>
  </r>
  <r>
    <x v="212"/>
    <s v="Pesos"/>
    <d v="2026-11-03T00:00:00"/>
    <s v="20/07/2026"/>
    <n v="0.91497052999999995"/>
    <m/>
    <n v="3517425"/>
    <n v="3218340.21"/>
    <n v="3517425"/>
    <n v="3218340.21"/>
    <n v="67525725"/>
    <s v="AMOMPY"/>
    <s v="Momentum Capital Investment S.A."/>
    <s v="12/06/2026"/>
    <s v="12/06/2026"/>
    <n v="32"/>
    <s v="No"/>
    <s v=""/>
    <m/>
    <m/>
    <s v="*MAV301001250"/>
    <s v="*MAV301001250"/>
    <n v="6.1732467841917738E-5"/>
  </r>
  <r>
    <x v="43"/>
    <s v="Pesos"/>
    <d v="2026-11-03T00:00:00"/>
    <s v="20/07/2026"/>
    <n v="0.92979420000000002"/>
    <m/>
    <n v="15000000"/>
    <n v="13946913.029999999"/>
    <n v="15000000"/>
    <n v="13946913.029999999"/>
    <n v="9621093"/>
    <s v="AMOMPY"/>
    <s v="Momentum Capital Investment S.A."/>
    <s v="17/07/2026"/>
    <s v="17/07/2026"/>
    <n v="26"/>
    <s v="No"/>
    <s v=""/>
    <m/>
    <m/>
    <s v="*MIL301000034"/>
    <s v="*MIL301000034"/>
    <n v="2.6752217103812601E-4"/>
  </r>
  <r>
    <x v="56"/>
    <s v="Pesos"/>
    <d v="2026-11-03T00:00:00"/>
    <s v="20/07/2026"/>
    <n v="0.91013381999999998"/>
    <m/>
    <n v="990902.64"/>
    <n v="901854"/>
    <n v="990902.64"/>
    <n v="901854"/>
    <n v="2959"/>
    <s v="AMOMPY"/>
    <s v="Momentum Capital Investment S.A."/>
    <s v="15/07/2026"/>
    <s v="15/07/2026"/>
    <n v="34"/>
    <s v="No"/>
    <s v=""/>
    <m/>
    <m/>
    <s v="*MAV301001301"/>
    <s v="*MAV301001301"/>
    <n v="1.7298877502172114E-5"/>
  </r>
  <r>
    <x v="56"/>
    <s v="Pesos"/>
    <d v="2026-11-03T00:00:00"/>
    <s v="20/07/2026"/>
    <n v="0.91013381000000004"/>
    <m/>
    <n v="1020845.65"/>
    <n v="929106.14"/>
    <n v="1020845.65"/>
    <n v="929106.14"/>
    <n v="2909"/>
    <s v="AMOMPY"/>
    <s v="Momentum Capital Investment S.A."/>
    <s v="15/07/2026"/>
    <s v="15/07/2026"/>
    <n v="34"/>
    <s v="No"/>
    <s v=""/>
    <m/>
    <m/>
    <s v="*MAV301001302"/>
    <s v="*MAV301001302"/>
    <n v="1.7821613367990799E-5"/>
  </r>
  <r>
    <x v="43"/>
    <s v="Pesos"/>
    <d v="2026-11-03T00:00:00"/>
    <s v="20/07/2026"/>
    <n v="0.92729035999999998"/>
    <m/>
    <n v="10000000"/>
    <n v="9272903.6199999992"/>
    <n v="10000000"/>
    <n v="9272903.6199999992"/>
    <n v="2013"/>
    <s v="AMOMPY"/>
    <s v="Momentum Capital Investment S.A."/>
    <s v="07/07/2026"/>
    <s v="07/07/2026"/>
    <n v="27"/>
    <s v="No"/>
    <s v=""/>
    <m/>
    <m/>
    <s v="*MIL301000033"/>
    <s v="*MIL301000033"/>
    <n v="1.7786784092749863E-4"/>
  </r>
  <r>
    <x v="111"/>
    <s v="Pesos"/>
    <d v="2026-11-03T00:00:00"/>
    <s v="20/07/2026"/>
    <n v="0.91985901000000003"/>
    <m/>
    <n v="100000000"/>
    <n v="91985901.349999994"/>
    <n v="100000000"/>
    <n v="91985901.349999994"/>
    <n v="6716"/>
    <s v="AMOMPY"/>
    <s v="Momentum Capital Investment S.A."/>
    <s v="15/07/2026"/>
    <s v="15/07/2026"/>
    <n v="30"/>
    <s v="No"/>
    <s v=""/>
    <m/>
    <m/>
    <s v="*MAV301001299"/>
    <s v="*MAV301001299"/>
    <n v="1.764423996989023E-3"/>
  </r>
  <r>
    <x v="49"/>
    <s v="Pesos"/>
    <d v="2026-11-03T00:00:00"/>
    <s v="20/07/2026"/>
    <n v="0.92729030000000001"/>
    <m/>
    <n v="110000000"/>
    <n v="102001933.54000001"/>
    <n v="110000000"/>
    <n v="102001933.54000001"/>
    <n v="377"/>
    <s v="AMOMPY"/>
    <s v="Momentum Capital Investment S.A."/>
    <s v="06/07/2026"/>
    <s v="06/07/2026"/>
    <n v="27"/>
    <s v="No"/>
    <s v=""/>
    <m/>
    <m/>
    <s v="*FID301000039"/>
    <s v="*FID301000039"/>
    <n v="1.9565461297429087E-3"/>
  </r>
  <r>
    <x v="123"/>
    <s v="Pesos"/>
    <d v="2026-11-03T00:00:00"/>
    <s v="20/07/2026"/>
    <n v="0.93994652000000001"/>
    <m/>
    <n v="13000000"/>
    <n v="12219304.699999999"/>
    <n v="13000000"/>
    <n v="12219304.699999999"/>
    <n v="34115"/>
    <s v="AMOMPY"/>
    <s v="Momentum Capital Investment S.A."/>
    <s v="30/06/2026"/>
    <s v="30/06/2026"/>
    <n v="22"/>
    <s v="No"/>
    <s v=""/>
    <m/>
    <m/>
    <s v="*MAV301001261"/>
    <s v="*MAV301001261"/>
    <n v="2.3438411890063798E-4"/>
  </r>
  <r>
    <x v="216"/>
    <s v="Pesos"/>
    <d v="2026-11-03T00:00:00"/>
    <s v="20/07/2026"/>
    <n v="0.90773446999999996"/>
    <m/>
    <n v="10867742.35"/>
    <n v="9865024.3300000001"/>
    <n v="10867742.35"/>
    <n v="9865024.3300000001"/>
    <n v="40603614"/>
    <s v="AMOMPY"/>
    <s v="Momentum Capital Investment S.A."/>
    <s v="03/07/2026"/>
    <s v="03/07/2026"/>
    <n v="35"/>
    <s v="No"/>
    <s v=""/>
    <m/>
    <m/>
    <s v="*MAV301001275"/>
    <s v="*MAV301001275"/>
    <n v="1.8922558134755463E-4"/>
  </r>
  <r>
    <x v="114"/>
    <s v="Dolar 3500"/>
    <d v="2026-11-04T00:00:00"/>
    <s v="20/07/2026"/>
    <n v="0.97429467999999997"/>
    <s v="1 US3 = 1480,1749803655 $"/>
    <n v="100000"/>
    <n v="97429.47"/>
    <n v="148017498.03999999"/>
    <n v="144212663.84"/>
    <n v="155821"/>
    <s v="AMOMPY"/>
    <s v="Momentum Capital Investment S.A."/>
    <s v="02/07/2026"/>
    <s v="02/07/2026"/>
    <n v="9"/>
    <s v="No"/>
    <s v=""/>
    <m/>
    <m/>
    <s v="#UMV021160028"/>
    <s v="#UMV021160028"/>
    <n v="2.7662096148934152E-3"/>
  </r>
  <r>
    <x v="194"/>
    <s v="Pesos"/>
    <d v="2026-11-04T00:00:00"/>
    <s v="20/07/2026"/>
    <n v="0.91423706000000005"/>
    <m/>
    <n v="40000000"/>
    <n v="36569482.409999996"/>
    <n v="40000000"/>
    <n v="36569482.409999996"/>
    <n v="13953435"/>
    <s v="AMOMPY"/>
    <s v="Momentum Capital Investment S.A."/>
    <s v="14/07/2026"/>
    <s v="14/07/2026"/>
    <n v="32"/>
    <s v="No"/>
    <s v=""/>
    <m/>
    <m/>
    <s v="*MAV021100796"/>
    <s v="*MAV021100796"/>
    <n v="7.0145610767200438E-4"/>
  </r>
  <r>
    <x v="56"/>
    <s v="Pesos"/>
    <d v="2026-11-04T00:00:00"/>
    <s v="20/07/2026"/>
    <n v="0.90936278999999998"/>
    <m/>
    <n v="990902.64"/>
    <n v="901089.99"/>
    <n v="990902.64"/>
    <n v="901089.99"/>
    <n v="2960"/>
    <s v="AMOMPY"/>
    <s v="Momentum Capital Investment S.A."/>
    <s v="15/07/2026"/>
    <s v="15/07/2026"/>
    <n v="34"/>
    <s v="No"/>
    <s v=""/>
    <m/>
    <m/>
    <s v="*MAV311001612"/>
    <s v="*MAV311001612"/>
    <n v="1.7284222674006542E-5"/>
  </r>
  <r>
    <x v="56"/>
    <s v="Pesos"/>
    <d v="2026-11-04T00:00:00"/>
    <s v="20/07/2026"/>
    <n v="0.90936278999999998"/>
    <m/>
    <n v="1020845.65"/>
    <n v="928319.05"/>
    <n v="1020845.65"/>
    <n v="928319.05"/>
    <n v="2910"/>
    <s v="AMOMPY"/>
    <s v="Momentum Capital Investment S.A."/>
    <s v="15/07/2026"/>
    <s v="15/07/2026"/>
    <n v="34"/>
    <s v="No"/>
    <s v=""/>
    <m/>
    <m/>
    <s v="*MAV311001613"/>
    <s v="*MAV311001613"/>
    <n v="1.7806515831700906E-5"/>
  </r>
  <r>
    <x v="110"/>
    <s v="Pesos"/>
    <d v="2026-11-04T00:00:00"/>
    <s v="20/07/2026"/>
    <n v="0.91179341999999997"/>
    <m/>
    <n v="933333333"/>
    <n v="851007194.96000004"/>
    <n v="933333333"/>
    <n v="851007194.96000004"/>
    <n v="154531"/>
    <s v="AMOMPY"/>
    <s v="Momentum Capital Investment S.A."/>
    <s v="23/06/2026"/>
    <s v="23/06/2026"/>
    <n v="33"/>
    <s v="No"/>
    <s v=""/>
    <m/>
    <m/>
    <s v="#MAV031160008"/>
    <s v="#MAV031160008"/>
    <n v="1.6323561484542001E-2"/>
  </r>
  <r>
    <x v="176"/>
    <s v="Pesos"/>
    <d v="2026-11-04T00:00:00"/>
    <s v="20/07/2026"/>
    <n v="0.90936278000000004"/>
    <m/>
    <n v="3000000"/>
    <n v="2728088.35"/>
    <n v="3000000"/>
    <n v="2728088.35"/>
    <n v="4565"/>
    <s v="AMOMPY"/>
    <s v="Momentum Capital Investment S.A."/>
    <s v="15/07/2026"/>
    <s v="15/07/2026"/>
    <n v="34"/>
    <s v="No"/>
    <s v=""/>
    <m/>
    <m/>
    <s v="*MAV021100799"/>
    <s v="*MAV021100799"/>
    <n v="5.23287208148468E-5"/>
  </r>
  <r>
    <x v="192"/>
    <s v="Dolar 3500"/>
    <d v="2026-11-04T00:00:00"/>
    <s v="20/07/2026"/>
    <n v="0.97708534000000002"/>
    <s v="1 US3 = 1480,1749803655 $"/>
    <n v="500000"/>
    <n v="488542.67"/>
    <n v="740087490.17999995"/>
    <n v="723128636.97000003"/>
    <n v="152502"/>
    <s v="AMOMPY"/>
    <s v="Momentum Capital Investment S.A."/>
    <s v="04/06/2026"/>
    <s v="04/06/2026"/>
    <n v="8"/>
    <s v="No"/>
    <s v=""/>
    <m/>
    <m/>
    <s v="#UMV021160025"/>
    <s v="#UMV021160025"/>
    <n v="1.3870663887122216E-2"/>
  </r>
  <r>
    <x v="144"/>
    <s v="Pesos"/>
    <d v="2026-11-04T00:00:00"/>
    <s v="20/07/2026"/>
    <n v="0.90454009999999996"/>
    <m/>
    <n v="20408241.140000001"/>
    <n v="18460072.440000001"/>
    <n v="20408241.140000001"/>
    <n v="18460072.440000001"/>
    <n v="67998060"/>
    <s v="AMOMPY"/>
    <s v="Momentum Capital Investment S.A."/>
    <s v="30/06/2026"/>
    <s v="30/06/2026"/>
    <n v="36"/>
    <s v="No"/>
    <s v=""/>
    <m/>
    <m/>
    <s v="*MAV311001562"/>
    <s v="*MAV311001562"/>
    <n v="3.540911631159628E-4"/>
  </r>
  <r>
    <x v="217"/>
    <s v="Pesos"/>
    <d v="2026-11-04T00:00:00"/>
    <s v="20/07/2026"/>
    <n v="0.91916410000000004"/>
    <m/>
    <n v="10900000"/>
    <n v="10018888.710000001"/>
    <n v="10900000"/>
    <n v="10018888.710000001"/>
    <n v="237"/>
    <s v="AMOMPY"/>
    <s v="Momentum Capital Investment S.A."/>
    <s v="02/07/2026"/>
    <s v="02/07/2026"/>
    <n v="30"/>
    <s v="No"/>
    <s v=""/>
    <m/>
    <m/>
    <s v="*MAV011101200"/>
    <s v="*MAV011101200"/>
    <n v="1.9217692498141076E-4"/>
  </r>
  <r>
    <x v="207"/>
    <s v="Pesos"/>
    <d v="2026-11-05T00:00:00"/>
    <s v="20/07/2026"/>
    <n v="0.89654171000000005"/>
    <m/>
    <n v="3750000"/>
    <n v="3362031.43"/>
    <n v="3750000"/>
    <n v="3362031.43"/>
    <n v="66918287"/>
    <s v="AMOMPY"/>
    <s v="Momentum Capital Investment S.A."/>
    <s v="13/05/2026"/>
    <s v="13/05/2026"/>
    <n v="39"/>
    <s v="No"/>
    <s v=""/>
    <m/>
    <m/>
    <s v="*MAV031101211"/>
    <s v="*MAV031101211"/>
    <n v="6.4488675402030198E-5"/>
  </r>
  <r>
    <x v="63"/>
    <s v="Pesos"/>
    <d v="2026-11-05T00:00:00"/>
    <s v="20/07/2026"/>
    <n v="0.92601997999999996"/>
    <m/>
    <n v="15000000"/>
    <n v="13890299.76"/>
    <n v="15000000"/>
    <n v="13890299.76"/>
    <n v="236"/>
    <s v="AMOMPY"/>
    <s v="Momentum Capital Investment S.A."/>
    <s v="02/07/2026"/>
    <s v="02/07/2026"/>
    <n v="27"/>
    <s v="No"/>
    <s v=""/>
    <m/>
    <m/>
    <s v="*PRO031100021"/>
    <s v="*PRO031100021"/>
    <n v="2.664362457966486E-4"/>
  </r>
  <r>
    <x v="63"/>
    <s v="Pesos"/>
    <d v="2026-11-05T00:00:00"/>
    <s v="20/07/2026"/>
    <n v="0.92601999999999995"/>
    <m/>
    <n v="25000000"/>
    <n v="23150499.93"/>
    <n v="25000000"/>
    <n v="23150499.93"/>
    <n v="9508922"/>
    <s v="AMOMPY"/>
    <s v="Momentum Capital Investment S.A."/>
    <s v="13/07/2026"/>
    <s v="13/07/2026"/>
    <n v="27"/>
    <s v="No"/>
    <s v=""/>
    <m/>
    <m/>
    <s v="*PRO031100022"/>
    <s v="*PRO031100022"/>
    <n v="4.4406041599096317E-4"/>
  </r>
  <r>
    <x v="56"/>
    <s v="Pesos"/>
    <d v="2026-11-05T00:00:00"/>
    <s v="20/07/2026"/>
    <n v="0.90859314000000002"/>
    <m/>
    <n v="1020845.65"/>
    <n v="927533.36"/>
    <n v="1020845.65"/>
    <n v="927533.36"/>
    <n v="2911"/>
    <s v="AMOMPY"/>
    <s v="Momentum Capital Investment S.A."/>
    <s v="16/07/2026"/>
    <s v="16/07/2026"/>
    <n v="34"/>
    <s v="No"/>
    <s v=""/>
    <m/>
    <m/>
    <s v="*MAV031101243"/>
    <s v="*MAV031101243"/>
    <n v="1.7791445149456684E-5"/>
  </r>
  <r>
    <x v="56"/>
    <s v="Pesos"/>
    <d v="2026-11-05T00:00:00"/>
    <s v="20/07/2026"/>
    <n v="0.90859314000000002"/>
    <m/>
    <n v="990902.64"/>
    <n v="900327.34"/>
    <n v="990902.64"/>
    <n v="900327.34"/>
    <n v="2961"/>
    <s v="AMOMPY"/>
    <s v="Momentum Capital Investment S.A."/>
    <s v="16/07/2026"/>
    <s v="16/07/2026"/>
    <n v="34"/>
    <s v="No"/>
    <s v=""/>
    <m/>
    <m/>
    <s v="*MAV031101242"/>
    <s v="*MAV031101242"/>
    <n v="1.726959393262819E-5"/>
  </r>
  <r>
    <x v="43"/>
    <s v="Pesos"/>
    <d v="2026-11-05T00:00:00"/>
    <s v="20/07/2026"/>
    <n v="0.92348960000000002"/>
    <m/>
    <n v="60000000"/>
    <n v="55409375.909999996"/>
    <n v="60000000"/>
    <n v="55409375.909999996"/>
    <n v="99"/>
    <s v="AMOMPY"/>
    <s v="Momentum Capital Investment S.A."/>
    <s v="16/07/2026"/>
    <s v="16/07/2026"/>
    <n v="28"/>
    <s v="No"/>
    <s v=""/>
    <m/>
    <m/>
    <s v="*MIL031100026"/>
    <s v="*MIL031100026"/>
    <n v="1.062832793710397E-3"/>
  </r>
  <r>
    <x v="13"/>
    <s v="Pesos"/>
    <d v="2026-11-05T00:00:00"/>
    <s v="20/07/2026"/>
    <n v="0.91847009000000002"/>
    <m/>
    <n v="11923076.92"/>
    <n v="10950989.539999999"/>
    <n v="11923076.92"/>
    <n v="10950989.539999999"/>
    <n v="90021990"/>
    <s v="AMOMPY"/>
    <s v="Momentum Capital Investment S.A."/>
    <s v="11/05/2026"/>
    <s v="11/05/2026"/>
    <n v="30"/>
    <s v="No"/>
    <s v=""/>
    <m/>
    <m/>
    <s v="*NEU031100019"/>
    <s v="*NEU031100019"/>
    <n v="2.1005598087941966E-4"/>
  </r>
  <r>
    <x v="56"/>
    <s v="Pesos"/>
    <d v="2026-11-09T00:00:00"/>
    <s v="20/07/2026"/>
    <n v="0.90552750000000004"/>
    <m/>
    <n v="990902.64"/>
    <n v="897289.59"/>
    <n v="990902.64"/>
    <n v="897289.59"/>
    <n v="2962"/>
    <s v="AMOMPY"/>
    <s v="Momentum Capital Investment S.A."/>
    <s v="16/07/2026"/>
    <s v="16/07/2026"/>
    <n v="34"/>
    <s v="No"/>
    <s v=""/>
    <m/>
    <m/>
    <s v="*MAV041101132"/>
    <s v="*MAV041101132"/>
    <n v="1.7211325448891105E-5"/>
  </r>
  <r>
    <x v="56"/>
    <s v="Pesos"/>
    <d v="2026-11-09T00:00:00"/>
    <s v="20/07/2026"/>
    <n v="0.90552748999999999"/>
    <m/>
    <n v="1020845.65"/>
    <n v="924403.8"/>
    <n v="1020845.65"/>
    <n v="924403.8"/>
    <n v="2912"/>
    <s v="AMOMPY"/>
    <s v="Momentum Capital Investment S.A."/>
    <s v="16/07/2026"/>
    <s v="16/07/2026"/>
    <n v="34"/>
    <s v="No"/>
    <s v=""/>
    <m/>
    <m/>
    <s v="*MAV041101131"/>
    <s v="*MAV041101131"/>
    <n v="1.773141561576753E-5"/>
  </r>
  <r>
    <x v="186"/>
    <s v="Pesos"/>
    <d v="2026-11-09T00:00:00"/>
    <s v="20/07/2026"/>
    <n v="0.91058793000000005"/>
    <m/>
    <n v="475000000"/>
    <n v="432529268.45999998"/>
    <n v="475000000"/>
    <n v="432529268.45999998"/>
    <n v="931"/>
    <s v="AMOMPY"/>
    <s v="Momentum Capital Investment S.A."/>
    <s v="14/07/2026"/>
    <s v="14/07/2026"/>
    <n v="32"/>
    <s v="No"/>
    <s v=""/>
    <m/>
    <m/>
    <s v="*MAV041101126"/>
    <s v="*MAV041101126"/>
    <n v="8.2965433775241404E-3"/>
  </r>
  <r>
    <x v="207"/>
    <s v="Pesos"/>
    <d v="2026-11-10T00:00:00"/>
    <s v="20/07/2026"/>
    <n v="0.89226791000000005"/>
    <m/>
    <n v="3750000"/>
    <n v="3346004.65"/>
    <n v="3750000"/>
    <n v="3346004.65"/>
    <n v="66918815"/>
    <s v="AMOMPY"/>
    <s v="Momentum Capital Investment S.A."/>
    <s v="13/05/2026"/>
    <s v="13/05/2026"/>
    <n v="39"/>
    <s v="No"/>
    <s v=""/>
    <m/>
    <m/>
    <s v="*MAV051100975"/>
    <s v="*MAV051100975"/>
    <n v="6.4181258343421743E-5"/>
  </r>
  <r>
    <x v="218"/>
    <s v="Pesos"/>
    <d v="2026-11-10T00:00:00"/>
    <s v="20/07/2026"/>
    <n v="0.90730588000000001"/>
    <m/>
    <n v="933333333"/>
    <n v="846818820"/>
    <n v="933333333"/>
    <n v="846818820"/>
    <n v="154563"/>
    <s v="AMOMPY"/>
    <s v="Momentum Capital Investment S.A."/>
    <s v="24/06/2026"/>
    <s v="24/06/2026"/>
    <n v="33"/>
    <s v="No"/>
    <s v=""/>
    <m/>
    <m/>
    <s v="#MAV061160016"/>
    <s v="#MAV061160016"/>
    <n v="1.6243222332787719E-2"/>
  </r>
  <r>
    <x v="56"/>
    <s v="Pesos"/>
    <d v="2026-11-10T00:00:00"/>
    <s v="20/07/2026"/>
    <n v="0.90476451999999996"/>
    <m/>
    <n v="1020845.65"/>
    <n v="923624.92"/>
    <n v="1020845.65"/>
    <n v="923624.92"/>
    <n v="2913"/>
    <s v="AMOMPY"/>
    <s v="Momentum Capital Investment S.A."/>
    <s v="16/07/2026"/>
    <s v="16/07/2026"/>
    <n v="34"/>
    <s v="No"/>
    <s v=""/>
    <m/>
    <m/>
    <s v="*MAV051101016"/>
    <s v="*MAV051101016"/>
    <n v="1.7716475559274029E-5"/>
  </r>
  <r>
    <x v="56"/>
    <s v="Pesos"/>
    <d v="2026-11-10T00:00:00"/>
    <s v="20/07/2026"/>
    <n v="0.90476451999999996"/>
    <m/>
    <n v="990902.64"/>
    <n v="896533.55"/>
    <n v="990902.64"/>
    <n v="896533.55"/>
    <n v="2963"/>
    <s v="AMOMPY"/>
    <s v="Momentum Capital Investment S.A."/>
    <s v="16/07/2026"/>
    <s v="16/07/2026"/>
    <n v="34"/>
    <s v="No"/>
    <s v=""/>
    <m/>
    <m/>
    <s v="*MAV051101017"/>
    <s v="*MAV051101017"/>
    <n v="1.7196823496971239E-5"/>
  </r>
  <r>
    <x v="16"/>
    <s v="Pesos"/>
    <d v="2026-11-11T00:00:00"/>
    <s v="20/07/2026"/>
    <n v="0.89892627999999997"/>
    <m/>
    <n v="8560000"/>
    <n v="7694808.9299999997"/>
    <n v="8560000"/>
    <n v="7694808.9299999997"/>
    <n v="13054211"/>
    <s v="AMOMPY"/>
    <s v="Momentum Capital Investment S.A."/>
    <s v="22/04/2026"/>
    <s v="22/04/2026"/>
    <n v="36"/>
    <s v="No"/>
    <s v=""/>
    <m/>
    <m/>
    <s v="*AAR091100027"/>
    <s v="*AAR091100027"/>
    <n v="1.4759767887339865E-4"/>
  </r>
  <r>
    <x v="160"/>
    <s v="Pesos"/>
    <d v="2026-11-11T00:00:00"/>
    <s v="20/07/2026"/>
    <n v="0.90656214000000002"/>
    <m/>
    <n v="5448062.4299999997"/>
    <n v="4939007.12"/>
    <n v="5448062.4299999997"/>
    <n v="4939007.12"/>
    <n v="90000595"/>
    <s v="AMOMPY"/>
    <s v="Momentum Capital Investment S.A."/>
    <s v="02/06/2026"/>
    <s v="02/06/2026"/>
    <n v="33"/>
    <s v="No"/>
    <s v=""/>
    <m/>
    <m/>
    <s v="*MAV091100786"/>
    <s v="*MAV091100786"/>
    <n v="9.4737373401055923E-5"/>
  </r>
  <r>
    <x v="63"/>
    <s v="Pesos"/>
    <d v="2026-11-11T00:00:00"/>
    <s v="20/07/2026"/>
    <n v="0.91694728000000003"/>
    <m/>
    <n v="35000000"/>
    <n v="32093154.82"/>
    <n v="35000000"/>
    <n v="32093154.82"/>
    <n v="65"/>
    <s v="AMOMPY"/>
    <s v="Momentum Capital Investment S.A."/>
    <s v="29/05/2026"/>
    <s v="29/05/2026"/>
    <n v="29"/>
    <s v="No"/>
    <s v=""/>
    <m/>
    <m/>
    <s v="*PRO061100023"/>
    <s v="*PRO061100023"/>
    <n v="6.1559360372014159E-4"/>
  </r>
  <r>
    <x v="56"/>
    <s v="Pesos"/>
    <d v="2026-11-11T00:00:00"/>
    <s v="20/07/2026"/>
    <n v="0.90400254999999996"/>
    <m/>
    <n v="990902.64"/>
    <n v="895778.52"/>
    <n v="990902.64"/>
    <n v="895778.52"/>
    <n v="2964"/>
    <s v="AMOMPY"/>
    <s v="Momentum Capital Investment S.A."/>
    <s v="16/07/2026"/>
    <s v="16/07/2026"/>
    <n v="34"/>
    <s v="No"/>
    <s v=""/>
    <m/>
    <m/>
    <s v="*MAV061100971"/>
    <s v="*MAV061100971"/>
    <n v="1.7182340918327171E-5"/>
  </r>
  <r>
    <x v="56"/>
    <s v="Pesos"/>
    <d v="2026-11-11T00:00:00"/>
    <s v="20/07/2026"/>
    <n v="0.90400256000000001"/>
    <m/>
    <n v="1020845.65"/>
    <n v="922847.08"/>
    <n v="1020845.65"/>
    <n v="922847.08"/>
    <n v="2915"/>
    <s v="AMOMPY"/>
    <s v="Momentum Capital Investment S.A."/>
    <s v="16/07/2026"/>
    <s v="16/07/2026"/>
    <n v="34"/>
    <s v="No"/>
    <s v=""/>
    <m/>
    <m/>
    <s v="*MAV071101344"/>
    <s v="*MAV071101344"/>
    <n v="1.7701555451500162E-5"/>
  </r>
  <r>
    <x v="56"/>
    <s v="Pesos"/>
    <d v="2026-11-11T00:00:00"/>
    <s v="20/07/2026"/>
    <n v="0.90400256000000001"/>
    <m/>
    <n v="1020845.65"/>
    <n v="922847.08"/>
    <n v="1020845.65"/>
    <n v="922847.08"/>
    <n v="2914"/>
    <s v="AMOMPY"/>
    <s v="Momentum Capital Investment S.A."/>
    <s v="16/07/2026"/>
    <s v="16/07/2026"/>
    <n v="34"/>
    <s v="No"/>
    <s v=""/>
    <m/>
    <m/>
    <s v="*MAV061100972"/>
    <s v="*MAV061100972"/>
    <n v="1.7701555451500162E-5"/>
  </r>
  <r>
    <x v="43"/>
    <s v="Pesos"/>
    <d v="2026-11-11T00:00:00"/>
    <s v="20/07/2026"/>
    <n v="0.91958092999999996"/>
    <m/>
    <n v="60000000"/>
    <n v="55174855.509999998"/>
    <n v="60000000"/>
    <n v="55174855.509999998"/>
    <n v="100"/>
    <s v="AMOMPY"/>
    <s v="Momentum Capital Investment S.A."/>
    <s v="16/07/2026"/>
    <s v="16/07/2026"/>
    <n v="28"/>
    <s v="No"/>
    <s v=""/>
    <m/>
    <m/>
    <s v="*MIL061100020"/>
    <s v="*MIL061100020"/>
    <n v="1.0583343497589811E-3"/>
  </r>
  <r>
    <x v="43"/>
    <s v="Pesos"/>
    <d v="2026-11-11T00:00:00"/>
    <s v="20/07/2026"/>
    <n v="0.92222956"/>
    <m/>
    <n v="10000000"/>
    <n v="9222295.6400000006"/>
    <n v="10000000"/>
    <n v="9222295.6400000006"/>
    <n v="2014"/>
    <s v="AMOMPY"/>
    <s v="Momentum Capital Investment S.A."/>
    <s v="07/07/2026"/>
    <s v="07/07/2026"/>
    <n v="27"/>
    <s v="No"/>
    <s v=""/>
    <m/>
    <m/>
    <s v="*MIL061100019"/>
    <s v="*MIL061100019"/>
    <n v="1.7689710592310506E-4"/>
  </r>
  <r>
    <x v="92"/>
    <s v="Pesos"/>
    <d v="2026-11-11T00:00:00"/>
    <s v="20/07/2026"/>
    <n v="0.91694721999999995"/>
    <m/>
    <n v="5109127.71"/>
    <n v="4684800.4400000004"/>
    <n v="5109127.71"/>
    <n v="4684800.4400000004"/>
    <n v="90000654"/>
    <s v="AMOMPY"/>
    <s v="Momentum Capital Investment S.A."/>
    <s v="03/07/2026"/>
    <s v="03/07/2026"/>
    <n v="29"/>
    <s v="No"/>
    <s v=""/>
    <m/>
    <m/>
    <s v="*FED091100055"/>
    <s v="*FED091100055"/>
    <n v="8.9861317833797962E-5"/>
  </r>
  <r>
    <x v="0"/>
    <s v="Pesos"/>
    <d v="2026-11-12T00:00:00"/>
    <s v="20/07/2026"/>
    <n v="0.91627977000000005"/>
    <m/>
    <n v="11000000"/>
    <n v="10079077.5"/>
    <n v="11000000"/>
    <n v="10079077.5"/>
    <n v="90000056"/>
    <s v="AMOMPY"/>
    <s v="Momentum Capital Investment S.A."/>
    <s v="02/07/2026"/>
    <s v="02/07/2026"/>
    <n v="29"/>
    <s v="No"/>
    <s v=""/>
    <m/>
    <m/>
    <s v="*INP101100071"/>
    <s v="*INP101100071"/>
    <n v="1.9333143392101068E-4"/>
  </r>
  <r>
    <x v="16"/>
    <s v="Pesos"/>
    <d v="2026-11-12T00:00:00"/>
    <s v="20/07/2026"/>
    <n v="0.89812994000000002"/>
    <m/>
    <n v="8560000"/>
    <n v="7687992.2800000003"/>
    <n v="8560000"/>
    <n v="7687992.2800000003"/>
    <n v="13054212"/>
    <s v="AMOMPY"/>
    <s v="Momentum Capital Investment S.A."/>
    <s v="22/04/2026"/>
    <s v="22/04/2026"/>
    <n v="36"/>
    <s v="No"/>
    <s v=""/>
    <m/>
    <m/>
    <s v="*AAR101100035"/>
    <s v="*AAR101100035"/>
    <n v="1.4746692556596178E-4"/>
  </r>
  <r>
    <x v="142"/>
    <s v="Pesos"/>
    <d v="2026-11-12T00:00:00"/>
    <s v="20/07/2026"/>
    <n v="0.90324194000000002"/>
    <m/>
    <n v="4000000"/>
    <n v="3612967.76"/>
    <n v="4000000"/>
    <n v="3612967.76"/>
    <n v="90000052"/>
    <s v="AMOMPY"/>
    <s v="Momentum Capital Investment S.A."/>
    <s v="11/06/2026"/>
    <s v="11/06/2026"/>
    <n v="34"/>
    <s v="No"/>
    <s v=""/>
    <m/>
    <m/>
    <s v="*MAV101101571"/>
    <s v="*MAV101101571"/>
    <n v="6.9302000877677727E-5"/>
  </r>
  <r>
    <x v="207"/>
    <s v="Pesos"/>
    <d v="2026-11-12T00:00:00"/>
    <s v="20/07/2026"/>
    <n v="0.89056988999999998"/>
    <m/>
    <n v="3750000"/>
    <n v="3339637.08"/>
    <n v="3750000"/>
    <n v="3339637.08"/>
    <n v="66918856"/>
    <s v="AMOMPY"/>
    <s v="Momentum Capital Investment S.A."/>
    <s v="13/05/2026"/>
    <s v="13/05/2026"/>
    <n v="39"/>
    <s v="No"/>
    <s v=""/>
    <m/>
    <m/>
    <s v="*MAV101101561"/>
    <s v="*MAV101101561"/>
    <n v="6.4059119046577139E-5"/>
  </r>
  <r>
    <x v="13"/>
    <s v="Pesos"/>
    <d v="2026-11-12T00:00:00"/>
    <s v="20/07/2026"/>
    <n v="0.91627970000000003"/>
    <m/>
    <n v="17118303"/>
    <n v="15685153.470000001"/>
    <n v="17118303"/>
    <n v="15685153.470000001"/>
    <n v="27672"/>
    <s v="AMOMPY"/>
    <s v="Momentum Capital Investment S.A."/>
    <s v="30/04/2026"/>
    <s v="30/04/2026"/>
    <n v="29"/>
    <s v="No"/>
    <s v=""/>
    <m/>
    <m/>
    <s v="*NEU101100035"/>
    <s v="*NEU101100035"/>
    <n v="3.0086416258097193E-4"/>
  </r>
  <r>
    <x v="43"/>
    <s v="Pesos"/>
    <d v="2026-11-13T00:00:00"/>
    <s v="20/07/2026"/>
    <n v="0.92367657000000003"/>
    <m/>
    <n v="15000000"/>
    <n v="13855148.58"/>
    <n v="15000000"/>
    <n v="13855148.58"/>
    <n v="9621094"/>
    <s v="AMOMPY"/>
    <s v="Momentum Capital Investment S.A."/>
    <s v="17/07/2026"/>
    <s v="17/07/2026"/>
    <n v="26"/>
    <s v="No"/>
    <s v=""/>
    <m/>
    <m/>
    <s v="*MIL111100036"/>
    <s v="*MIL111100036"/>
    <n v="2.6576199480161304E-4"/>
  </r>
  <r>
    <x v="207"/>
    <s v="Pesos"/>
    <d v="2026-11-16T00:00:00"/>
    <s v="20/07/2026"/>
    <n v="0.88719298000000002"/>
    <m/>
    <n v="3750000"/>
    <n v="3326973.66"/>
    <n v="3750000"/>
    <n v="3326973.66"/>
    <n v="66918897"/>
    <s v="AMOMPY"/>
    <s v="Momentum Capital Investment S.A."/>
    <s v="13/05/2026"/>
    <s v="13/05/2026"/>
    <n v="39"/>
    <s v="No"/>
    <s v=""/>
    <m/>
    <m/>
    <s v="*MAV121101139"/>
    <s v="*MAV121101139"/>
    <n v="6.3816216147284614E-5"/>
  </r>
  <r>
    <x v="16"/>
    <s v="Pesos"/>
    <d v="2026-11-17T00:00:00"/>
    <s v="20/07/2026"/>
    <n v="0.89416965000000004"/>
    <m/>
    <n v="9450000"/>
    <n v="8449903.1799999997"/>
    <n v="9450000"/>
    <n v="8449903.1799999997"/>
    <n v="66335143"/>
    <s v="AMOMPY"/>
    <s v="Momentum Capital Investment S.A."/>
    <s v="22/04/2026"/>
    <s v="22/04/2026"/>
    <n v="36"/>
    <s v="No"/>
    <s v=""/>
    <m/>
    <m/>
    <s v="*AAR131100017"/>
    <s v="*AAR131100017"/>
    <n v="1.6208148992634573E-4"/>
  </r>
  <r>
    <x v="144"/>
    <s v="Pesos"/>
    <d v="2026-11-17T00:00:00"/>
    <s v="20/07/2026"/>
    <n v="0.90480927"/>
    <m/>
    <n v="15000000"/>
    <n v="13572139.1"/>
    <n v="15000000"/>
    <n v="13572139.1"/>
    <n v="67449055"/>
    <s v="AMOMPY"/>
    <s v="Momentum Capital Investment S.A."/>
    <s v="05/06/2026"/>
    <s v="05/06/2026"/>
    <n v="32"/>
    <s v="No"/>
    <s v=""/>
    <m/>
    <m/>
    <s v="*MAV131101027"/>
    <s v="*MAV131101027"/>
    <n v="2.6033345944392384E-4"/>
  </r>
  <r>
    <x v="134"/>
    <s v="Dolar 3500"/>
    <d v="2026-11-17T00:00:00"/>
    <s v="20/07/2026"/>
    <n v="0.97437156000000003"/>
    <s v="1 US3 = 1480,1749803655 $"/>
    <n v="18230"/>
    <n v="17762.79"/>
    <n v="26983589.890000001"/>
    <n v="26292037.34"/>
    <n v="146446"/>
    <s v="AMOMPY"/>
    <s v="Momentum Capital Investment S.A."/>
    <s v="17/04/2026"/>
    <s v="17/04/2026"/>
    <n v="8"/>
    <s v="No"/>
    <s v=""/>
    <m/>
    <m/>
    <s v="#UMV131160016"/>
    <s v="#UMV131160016"/>
    <n v="5.0431969390521652E-4"/>
  </r>
  <r>
    <x v="63"/>
    <s v="Pesos"/>
    <d v="2026-11-17T00:00:00"/>
    <s v="20/07/2026"/>
    <n v="0.91295663000000005"/>
    <m/>
    <n v="35000000"/>
    <n v="31953481.920000002"/>
    <n v="35000000"/>
    <n v="31953481.920000002"/>
    <n v="66"/>
    <s v="AMOMPY"/>
    <s v="Momentum Capital Investment S.A."/>
    <s v="29/05/2026"/>
    <s v="29/05/2026"/>
    <n v="29"/>
    <s v="No"/>
    <s v=""/>
    <m/>
    <m/>
    <s v="*PRO131100018"/>
    <s v="*PRO131100018"/>
    <n v="6.1291447340916755E-4"/>
  </r>
  <r>
    <x v="63"/>
    <s v="Pesos"/>
    <d v="2026-11-17T00:00:00"/>
    <s v="20/07/2026"/>
    <n v="0.92405064000000003"/>
    <m/>
    <n v="32000000"/>
    <n v="29569620.43"/>
    <n v="32000000"/>
    <n v="29569620.43"/>
    <n v="5314"/>
    <s v="AMOMPY"/>
    <s v="Momentum Capital Investment S.A."/>
    <s v="16/07/2026"/>
    <s v="16/07/2026"/>
    <n v="25"/>
    <s v="No"/>
    <s v=""/>
    <m/>
    <m/>
    <s v="*PRO131100019"/>
    <s v="*PRO131100019"/>
    <n v="5.671885267507777E-4"/>
  </r>
  <r>
    <x v="16"/>
    <s v="Pesos"/>
    <d v="2026-11-18T00:00:00"/>
    <s v="20/07/2026"/>
    <n v="0.89338171"/>
    <m/>
    <n v="9450000"/>
    <n v="8442457.1600000001"/>
    <n v="9450000"/>
    <n v="8442457.1600000001"/>
    <n v="66335193"/>
    <s v="AMOMPY"/>
    <s v="Momentum Capital Investment S.A."/>
    <s v="22/04/2026"/>
    <s v="22/04/2026"/>
    <n v="36"/>
    <s v="No"/>
    <s v=""/>
    <m/>
    <m/>
    <s v="*AAR161100027"/>
    <s v="*AAR161100027"/>
    <n v="1.6193866438267822E-4"/>
  </r>
  <r>
    <x v="170"/>
    <s v="Pesos"/>
    <d v="2026-11-18T00:00:00"/>
    <s v="20/07/2026"/>
    <n v="0.90680991"/>
    <m/>
    <n v="2500000"/>
    <n v="2267024.77"/>
    <n v="2500000"/>
    <n v="2267024.77"/>
    <n v="90003663"/>
    <s v="AMOMPY"/>
    <s v="Momentum Capital Investment S.A."/>
    <s v="01/07/2026"/>
    <s v="01/07/2026"/>
    <n v="31"/>
    <s v="No"/>
    <s v=""/>
    <m/>
    <m/>
    <s v="*CVA161100008"/>
    <s v="*CVA161100008"/>
    <n v="4.3484847647867518E-5"/>
  </r>
  <r>
    <x v="43"/>
    <s v="Pesos"/>
    <d v="2026-11-18T00:00:00"/>
    <s v="20/07/2026"/>
    <n v="0.92064774000000005"/>
    <m/>
    <n v="15000000"/>
    <n v="13809716.07"/>
    <n v="15000000"/>
    <n v="13809716.07"/>
    <n v="9621095"/>
    <s v="AMOMPY"/>
    <s v="Momentum Capital Investment S.A."/>
    <s v="17/07/2026"/>
    <s v="17/07/2026"/>
    <n v="26"/>
    <s v="No"/>
    <s v=""/>
    <m/>
    <m/>
    <s v="*MIL151100042"/>
    <s v="*MIL151100042"/>
    <n v="2.6489053287417663E-4"/>
  </r>
  <r>
    <x v="142"/>
    <s v="Pesos"/>
    <d v="2026-11-18T00:00:00"/>
    <s v="20/07/2026"/>
    <n v="0.89603546000000001"/>
    <m/>
    <n v="1500000"/>
    <n v="1344053.19"/>
    <n v="1500000"/>
    <n v="1344053.19"/>
    <n v="5"/>
    <s v="AMOMPY"/>
    <s v="Momentum Capital Investment S.A."/>
    <s v="23/04/2026"/>
    <s v="23/04/2026"/>
    <n v="35"/>
    <s v="No"/>
    <s v=""/>
    <m/>
    <m/>
    <s v="*MAV151101538"/>
    <s v="*MAV151101538"/>
    <n v="2.5780904104448903E-5"/>
  </r>
  <r>
    <x v="207"/>
    <s v="Pesos"/>
    <d v="2026-11-19T00:00:00"/>
    <s v="20/07/2026"/>
    <n v="0.88467709999999999"/>
    <m/>
    <n v="3750000"/>
    <n v="3317539.11"/>
    <n v="3750000"/>
    <n v="3317539.11"/>
    <n v="66918963"/>
    <s v="AMOMPY"/>
    <s v="Momentum Capital Investment S.A."/>
    <s v="13/05/2026"/>
    <s v="13/05/2026"/>
    <n v="39"/>
    <s v="No"/>
    <s v=""/>
    <m/>
    <m/>
    <s v="*MAV171101249"/>
    <s v="*MAV171101249"/>
    <n v="6.363524769259225E-5"/>
  </r>
  <r>
    <x v="148"/>
    <s v="Pesos"/>
    <d v="2026-11-20T00:00:00"/>
    <s v="20/07/2026"/>
    <n v="0.89720275000000005"/>
    <m/>
    <n v="5000300.25"/>
    <n v="4486283.13"/>
    <n v="5000300.25"/>
    <n v="4486283.13"/>
    <n v="359"/>
    <s v="AMOMPY"/>
    <s v="Momentum Capital Investment S.A."/>
    <s v="16/07/2026"/>
    <s v="16/07/2026"/>
    <n v="34"/>
    <s v="No"/>
    <s v=""/>
    <m/>
    <m/>
    <s v="*MAV181101169"/>
    <s v="*MAV181101169"/>
    <n v="8.6053465756021801E-5"/>
  </r>
  <r>
    <x v="43"/>
    <s v="Pesos"/>
    <d v="2026-11-20T00:00:00"/>
    <s v="20/07/2026"/>
    <n v="0.91944188999999998"/>
    <m/>
    <n v="15000000"/>
    <n v="13791628.32"/>
    <n v="15000000"/>
    <n v="13791628.32"/>
    <n v="9621096"/>
    <s v="AMOMPY"/>
    <s v="Momentum Capital Investment S.A."/>
    <s v="17/07/2026"/>
    <s v="17/07/2026"/>
    <n v="26"/>
    <s v="No"/>
    <s v=""/>
    <m/>
    <m/>
    <s v="*MIL181100030"/>
    <s v="*MIL181100030"/>
    <n v="2.6454358339949457E-4"/>
  </r>
  <r>
    <x v="148"/>
    <s v="Pesos"/>
    <d v="2026-11-24T00:00:00"/>
    <s v="20/07/2026"/>
    <n v="0.89421337000000001"/>
    <m/>
    <n v="5000300.25"/>
    <n v="4471335.33"/>
    <n v="5000300.25"/>
    <n v="4471335.33"/>
    <n v="360"/>
    <s v="AMOMPY"/>
    <s v="Momentum Capital Investment S.A."/>
    <s v="16/07/2026"/>
    <s v="16/07/2026"/>
    <n v="34"/>
    <s v="No"/>
    <s v=""/>
    <m/>
    <m/>
    <s v="*MAV191101074"/>
    <s v="*MAV191101074"/>
    <n v="8.57667451104107E-5"/>
  </r>
  <r>
    <x v="16"/>
    <s v="Pesos"/>
    <d v="2026-11-25T00:00:00"/>
    <s v="20/07/2026"/>
    <n v="0.88790511999999999"/>
    <m/>
    <n v="9450000"/>
    <n v="8390703.4000000004"/>
    <n v="9450000"/>
    <n v="8390703.4000000004"/>
    <n v="66335232"/>
    <s v="AMOMPY"/>
    <s v="Momentum Capital Investment S.A."/>
    <s v="22/04/2026"/>
    <s v="22/04/2026"/>
    <n v="36"/>
    <s v="No"/>
    <s v=""/>
    <m/>
    <m/>
    <s v="*AAR201100017"/>
    <s v="*AAR201100017"/>
    <n v="1.6094595164367964E-4"/>
  </r>
  <r>
    <x v="148"/>
    <s v="Pesos"/>
    <d v="2026-11-25T00:00:00"/>
    <s v="20/07/2026"/>
    <n v="0.89346932999999995"/>
    <m/>
    <n v="5000300.25"/>
    <n v="4467614.91"/>
    <n v="5000300.25"/>
    <n v="4467614.91"/>
    <n v="361"/>
    <s v="AMOMPY"/>
    <s v="Momentum Capital Investment S.A."/>
    <s v="16/07/2026"/>
    <s v="16/07/2026"/>
    <n v="34"/>
    <s v="No"/>
    <s v=""/>
    <m/>
    <m/>
    <s v="*MAV201101356"/>
    <s v="*MAV201101356"/>
    <n v="8.5695382018561423E-5"/>
  </r>
  <r>
    <x v="63"/>
    <s v="Pesos"/>
    <d v="2026-11-25T00:00:00"/>
    <s v="20/07/2026"/>
    <n v="0.90768936"/>
    <m/>
    <n v="30000000"/>
    <n v="27230680.879999999"/>
    <n v="30000000"/>
    <n v="27230680.879999999"/>
    <n v="67"/>
    <s v="AMOMPY"/>
    <s v="Momentum Capital Investment S.A."/>
    <s v="29/05/2026"/>
    <s v="29/05/2026"/>
    <n v="29"/>
    <s v="No"/>
    <s v=""/>
    <m/>
    <m/>
    <s v="*PRO201100027"/>
    <s v="*PRO201100027"/>
    <n v="5.223242485411833E-4"/>
  </r>
  <r>
    <x v="13"/>
    <s v="Pesos"/>
    <d v="2026-11-25T00:00:00"/>
    <s v="20/07/2026"/>
    <n v="0.90480923999999996"/>
    <m/>
    <n v="9478811.3499999996"/>
    <n v="8576516.1199999992"/>
    <n v="9478811.3499999996"/>
    <n v="8576516.1199999992"/>
    <n v="90020413"/>
    <s v="AMOMPY"/>
    <s v="Momentum Capital Investment S.A."/>
    <s v="29/05/2026"/>
    <s v="29/05/2026"/>
    <n v="30"/>
    <s v="No"/>
    <s v=""/>
    <m/>
    <m/>
    <s v="*NEU201100026"/>
    <s v="*NEU201100026"/>
    <n v="1.6451011112140598E-4"/>
  </r>
  <r>
    <x v="148"/>
    <s v="Pesos"/>
    <d v="2026-11-26T00:00:00"/>
    <s v="20/07/2026"/>
    <n v="0.89272625999999999"/>
    <m/>
    <n v="5000300.25"/>
    <n v="4463899.3600000003"/>
    <n v="5000300.25"/>
    <n v="4463899.3600000003"/>
    <n v="363"/>
    <s v="AMOMPY"/>
    <s v="Momentum Capital Investment S.A."/>
    <s v="16/07/2026"/>
    <s v="16/07/2026"/>
    <n v="34"/>
    <s v="No"/>
    <s v=""/>
    <m/>
    <m/>
    <s v="*MAV221101221"/>
    <s v="*MAV221101221"/>
    <n v="8.5624112340428171E-5"/>
  </r>
  <r>
    <x v="148"/>
    <s v="Pesos"/>
    <d v="2026-11-26T00:00:00"/>
    <s v="20/07/2026"/>
    <n v="0.89272625999999999"/>
    <m/>
    <n v="5000300.25"/>
    <n v="4463899.3600000003"/>
    <n v="5000300.25"/>
    <n v="4463899.3600000003"/>
    <n v="364"/>
    <s v="AMOMPY"/>
    <s v="Momentum Capital Investment S.A."/>
    <s v="16/07/2026"/>
    <s v="16/07/2026"/>
    <n v="34"/>
    <s v="No"/>
    <s v=""/>
    <m/>
    <m/>
    <s v="*MAV231100851"/>
    <s v="*MAV231100851"/>
    <n v="8.5624112340428171E-5"/>
  </r>
  <r>
    <x v="148"/>
    <s v="Pesos"/>
    <d v="2026-11-26T00:00:00"/>
    <s v="20/07/2026"/>
    <n v="0.89272625999999999"/>
    <m/>
    <n v="5000300.25"/>
    <n v="4463899.3600000003"/>
    <n v="5000300.25"/>
    <n v="4463899.3600000003"/>
    <n v="365"/>
    <s v="AMOMPY"/>
    <s v="Momentum Capital Investment S.A."/>
    <s v="16/07/2026"/>
    <s v="16/07/2026"/>
    <n v="34"/>
    <s v="No"/>
    <s v=""/>
    <m/>
    <m/>
    <s v="*MAV241101186"/>
    <s v="*MAV241101186"/>
    <n v="8.5624112340428171E-5"/>
  </r>
  <r>
    <x v="148"/>
    <s v="Pesos"/>
    <d v="2026-11-26T00:00:00"/>
    <s v="20/07/2026"/>
    <n v="0.89272625999999999"/>
    <m/>
    <n v="5000300.25"/>
    <n v="4463899.3600000003"/>
    <n v="5000300.25"/>
    <n v="4463899.3600000003"/>
    <n v="362"/>
    <s v="AMOMPY"/>
    <s v="Momentum Capital Investment S.A."/>
    <s v="16/07/2026"/>
    <s v="16/07/2026"/>
    <n v="34"/>
    <s v="No"/>
    <s v=""/>
    <m/>
    <m/>
    <s v="*MAV211101101"/>
    <s v="*MAV211101101"/>
    <n v="8.5624112340428171E-5"/>
  </r>
  <r>
    <x v="142"/>
    <s v="Pesos"/>
    <d v="2026-11-26T00:00:00"/>
    <s v="20/07/2026"/>
    <n v="0.89272631999999996"/>
    <m/>
    <n v="4000000"/>
    <n v="3570905.28"/>
    <n v="4000000"/>
    <n v="3570905.28"/>
    <n v="90000053"/>
    <s v="AMOMPY"/>
    <s v="Momentum Capital Investment S.A."/>
    <s v="11/06/2026"/>
    <s v="11/06/2026"/>
    <n v="34"/>
    <s v="No"/>
    <s v=""/>
    <m/>
    <m/>
    <s v="*MAV231100835"/>
    <s v="*MAV231100835"/>
    <n v="6.8495181049903436E-5"/>
  </r>
  <r>
    <x v="160"/>
    <s v="Pesos"/>
    <d v="2026-11-26T00:00:00"/>
    <s v="20/07/2026"/>
    <n v="0.89555178000000002"/>
    <m/>
    <n v="5448062.4299999997"/>
    <n v="4879022.03"/>
    <n v="5448062.4299999997"/>
    <n v="4879022.03"/>
    <n v="90000596"/>
    <s v="AMOMPY"/>
    <s v="Momentum Capital Investment S.A."/>
    <s v="02/06/2026"/>
    <s v="02/06/2026"/>
    <n v="33"/>
    <s v="No"/>
    <s v=""/>
    <m/>
    <m/>
    <s v="*MAV231100828"/>
    <s v="*MAV231100828"/>
    <n v="9.3586771725100864E-5"/>
  </r>
  <r>
    <x v="63"/>
    <s v="Pesos"/>
    <d v="2026-11-26T00:00:00"/>
    <s v="20/07/2026"/>
    <n v="0.91288813999999996"/>
    <m/>
    <n v="25000000"/>
    <n v="22822203.41"/>
    <n v="25000000"/>
    <n v="22822203.41"/>
    <n v="9508923"/>
    <s v="AMOMPY"/>
    <s v="Momentum Capital Investment S.A."/>
    <s v="13/07/2026"/>
    <s v="13/07/2026"/>
    <n v="27"/>
    <s v="No"/>
    <s v=""/>
    <m/>
    <m/>
    <s v="*PRO241100022"/>
    <s v="*PRO241100022"/>
    <n v="4.3776320903299727E-4"/>
  </r>
  <r>
    <x v="63"/>
    <s v="Pesos"/>
    <d v="2026-11-26T00:00:00"/>
    <s v="20/07/2026"/>
    <n v="0.91584299999999996"/>
    <m/>
    <n v="15000000"/>
    <n v="13737645.060000001"/>
    <n v="15000000"/>
    <n v="13737645.060000001"/>
    <n v="20411017"/>
    <s v="AMOMPY"/>
    <s v="Momentum Capital Investment S.A."/>
    <s v="17/07/2026"/>
    <s v="17/07/2026"/>
    <n v="26"/>
    <s v="No"/>
    <s v=""/>
    <m/>
    <m/>
    <s v="*PRO241100021"/>
    <s v="*PRO241100021"/>
    <n v="2.6350810559276768E-4"/>
  </r>
  <r>
    <x v="43"/>
    <s v="Pesos"/>
    <d v="2026-11-26T00:00:00"/>
    <s v="20/07/2026"/>
    <n v="0.91584297000000003"/>
    <m/>
    <n v="5000000"/>
    <n v="4579214.84"/>
    <n v="5000000"/>
    <n v="4579214.84"/>
    <n v="491505"/>
    <s v="AMOMPY"/>
    <s v="Momentum Capital Investment S.A."/>
    <s v="20/07/2026"/>
    <s v="20/07/2026"/>
    <n v="26"/>
    <s v="No"/>
    <s v=""/>
    <m/>
    <m/>
    <s v="*MIL241100023"/>
    <s v="*MIL241100023"/>
    <n v="8.7836031744926204E-5"/>
  </r>
  <r>
    <x v="214"/>
    <s v="Pesos"/>
    <d v="2026-11-26T00:00:00"/>
    <s v="20/07/2026"/>
    <n v="0.91881687999999995"/>
    <m/>
    <n v="19922304"/>
    <n v="18304949.219999999"/>
    <n v="19922304"/>
    <n v="18304949.219999999"/>
    <n v="67863958"/>
    <s v="AMOMPY"/>
    <s v="Momentum Capital Investment S.A."/>
    <s v="26/06/2026"/>
    <s v="26/06/2026"/>
    <n v="25"/>
    <s v="No"/>
    <s v=""/>
    <m/>
    <m/>
    <s v="*MAV231100839"/>
    <s v="*MAV231100839"/>
    <n v="3.5111567309149925E-4"/>
  </r>
  <r>
    <x v="148"/>
    <s v="Pesos"/>
    <d v="2026-11-27T00:00:00"/>
    <s v="20/07/2026"/>
    <n v="0.89198443999999999"/>
    <m/>
    <n v="5000300.25"/>
    <n v="4460190"/>
    <n v="5000300.25"/>
    <n v="4460190"/>
    <n v="366"/>
    <s v="AMOMPY"/>
    <s v="Momentum Capital Investment S.A."/>
    <s v="16/07/2026"/>
    <s v="16/07/2026"/>
    <n v="34"/>
    <s v="No"/>
    <s v=""/>
    <m/>
    <m/>
    <s v="*MAV251101567"/>
    <s v="*MAV251101567"/>
    <n v="8.5552961395539672E-5"/>
  </r>
  <r>
    <x v="144"/>
    <s v="Pesos"/>
    <d v="2026-11-27T00:00:00"/>
    <s v="20/07/2026"/>
    <n v="0.88635282000000004"/>
    <m/>
    <n v="29362361.710000001"/>
    <n v="26025412.09"/>
    <n v="29362361.710000001"/>
    <n v="26025412.09"/>
    <n v="67998146"/>
    <s v="AMOMPY"/>
    <s v="Momentum Capital Investment S.A."/>
    <s v="30/06/2026"/>
    <s v="30/06/2026"/>
    <n v="36"/>
    <s v="No"/>
    <s v=""/>
    <m/>
    <m/>
    <s v="*MAV251101536"/>
    <s v="*MAV251101536"/>
    <n v="4.9920543201943896E-4"/>
  </r>
  <r>
    <x v="43"/>
    <s v="Pesos"/>
    <d v="2026-11-30T00:00:00"/>
    <s v="20/07/2026"/>
    <n v="0.91345924999999994"/>
    <m/>
    <n v="5000000"/>
    <n v="4567296.2699999996"/>
    <n v="5000000"/>
    <n v="4567296.2699999996"/>
    <n v="491506"/>
    <s v="AMOMPY"/>
    <s v="Momentum Capital Investment S.A."/>
    <s v="20/07/2026"/>
    <s v="20/07/2026"/>
    <n v="26"/>
    <s v="No"/>
    <s v=""/>
    <m/>
    <m/>
    <s v="*MIL261100032"/>
    <s v="*MIL261100032"/>
    <n v="8.7607416157002796E-5"/>
  </r>
  <r>
    <x v="0"/>
    <s v="Pesos"/>
    <d v="2026-12-02T00:00:00"/>
    <s v="20/07/2026"/>
    <n v="0.90615699999999999"/>
    <m/>
    <n v="30000000"/>
    <n v="27184709.870000001"/>
    <n v="30000000"/>
    <n v="27184709.870000001"/>
    <n v="29600860"/>
    <s v="AMOMPY"/>
    <s v="Momentum Capital Investment S.A."/>
    <s v="07/07/2026"/>
    <s v="07/07/2026"/>
    <n v="28"/>
    <s v="No"/>
    <s v=""/>
    <m/>
    <m/>
    <s v="*INP301100104"/>
    <s v="*INP301100104"/>
    <n v="5.2144245739689488E-4"/>
  </r>
  <r>
    <x v="43"/>
    <s v="Pesos"/>
    <d v="2026-12-02T00:00:00"/>
    <s v="20/07/2026"/>
    <n v="0.91227194"/>
    <m/>
    <n v="5000000"/>
    <n v="4561359.68"/>
    <n v="5000000"/>
    <n v="4561359.68"/>
    <n v="491507"/>
    <s v="AMOMPY"/>
    <s v="Momentum Capital Investment S.A."/>
    <s v="20/07/2026"/>
    <s v="20/07/2026"/>
    <n v="26"/>
    <s v="No"/>
    <s v=""/>
    <m/>
    <m/>
    <s v="*MIL281100045"/>
    <s v="*MIL281100045"/>
    <n v="8.7493543686302871E-5"/>
  </r>
  <r>
    <x v="43"/>
    <s v="Pesos"/>
    <d v="2026-12-02T00:00:00"/>
    <s v="20/07/2026"/>
    <n v="0.90615699999999999"/>
    <m/>
    <n v="7000000"/>
    <n v="6343098.9699999997"/>
    <n v="7000000"/>
    <n v="6343098.9699999997"/>
    <n v="67768339"/>
    <s v="AMOMPY"/>
    <s v="Momentum Capital Investment S.A."/>
    <s v="07/07/2026"/>
    <s v="07/07/2026"/>
    <n v="28"/>
    <s v="No"/>
    <s v=""/>
    <m/>
    <m/>
    <s v="*MIL301100029"/>
    <s v="*MIL301100029"/>
    <n v="1.2166990673233595E-4"/>
  </r>
  <r>
    <x v="92"/>
    <s v="Pesos"/>
    <d v="2026-12-02T00:00:00"/>
    <s v="20/07/2026"/>
    <n v="0.90313010000000005"/>
    <m/>
    <n v="4103981.39"/>
    <n v="3706429.13"/>
    <n v="4103981.39"/>
    <n v="3706429.13"/>
    <n v="90000123"/>
    <s v="AMOMPY"/>
    <s v="Momentum Capital Investment S.A."/>
    <s v="03/07/2026"/>
    <s v="03/07/2026"/>
    <n v="29"/>
    <s v="No"/>
    <s v=""/>
    <m/>
    <m/>
    <s v="*FED301100090"/>
    <s v="*FED301100090"/>
    <n v="7.1094726519317276E-5"/>
  </r>
  <r>
    <x v="63"/>
    <s v="Pesos"/>
    <d v="2026-12-03T00:00:00"/>
    <s v="20/07/2026"/>
    <n v="0.90859323000000003"/>
    <m/>
    <n v="25000000"/>
    <n v="22714830.629999999"/>
    <n v="25000000"/>
    <n v="22714830.629999999"/>
    <n v="9508924"/>
    <s v="AMOMPY"/>
    <s v="Momentum Capital Investment S.A."/>
    <s v="13/07/2026"/>
    <s v="13/07/2026"/>
    <n v="27"/>
    <s v="No"/>
    <s v=""/>
    <m/>
    <m/>
    <s v="*PRO011200008"/>
    <s v="*PRO011200008"/>
    <n v="4.3570364222031172E-4"/>
  </r>
  <r>
    <x v="217"/>
    <s v="Pesos"/>
    <d v="2026-12-04T00:00:00"/>
    <s v="20/07/2026"/>
    <n v="0.89879352000000001"/>
    <m/>
    <n v="18700000"/>
    <n v="16807438.75"/>
    <n v="18700000"/>
    <n v="16807438.75"/>
    <n v="238"/>
    <s v="AMOMPY"/>
    <s v="Momentum Capital Investment S.A."/>
    <s v="02/07/2026"/>
    <s v="02/07/2026"/>
    <n v="30"/>
    <s v="No"/>
    <s v=""/>
    <m/>
    <m/>
    <s v="*MAV021201175"/>
    <s v="*MAV021201175"/>
    <n v="3.223912341260457E-4"/>
  </r>
  <r>
    <x v="174"/>
    <s v="Pesos"/>
    <d v="2026-12-09T00:00:00"/>
    <s v="20/07/2026"/>
    <n v="0.87416793999999998"/>
    <m/>
    <n v="15000000"/>
    <n v="13112519.15"/>
    <n v="15000000"/>
    <n v="13112519.15"/>
    <n v="90023082"/>
    <s v="AMOMPY"/>
    <s v="Momentum Capital Investment S.A."/>
    <s v="02/06/2026"/>
    <s v="02/06/2026"/>
    <n v="37"/>
    <s v="No"/>
    <s v=""/>
    <m/>
    <m/>
    <s v="*MAV031200912"/>
    <s v="*MAV031200912"/>
    <n v="2.5151727720976565E-4"/>
  </r>
  <r>
    <x v="174"/>
    <s v="Pesos"/>
    <d v="2026-12-09T00:00:00"/>
    <s v="20/07/2026"/>
    <n v="0.87416793999999998"/>
    <m/>
    <n v="15000000"/>
    <n v="13112519.15"/>
    <n v="15000000"/>
    <n v="13112519.15"/>
    <n v="90023081"/>
    <s v="AMOMPY"/>
    <s v="Momentum Capital Investment S.A."/>
    <s v="02/06/2026"/>
    <s v="02/06/2026"/>
    <n v="37"/>
    <s v="No"/>
    <s v=""/>
    <m/>
    <m/>
    <s v="*MAV031200913"/>
    <s v="*MAV031200913"/>
    <n v="2.5151727720976565E-4"/>
  </r>
  <r>
    <x v="92"/>
    <s v="Pesos"/>
    <d v="2026-12-09T00:00:00"/>
    <s v="20/07/2026"/>
    <n v="0.89861647"/>
    <m/>
    <n v="8106418.25"/>
    <n v="7284560.9400000004"/>
    <n v="8106418.25"/>
    <n v="7284560.9400000004"/>
    <n v="90000807"/>
    <s v="AMOMPY"/>
    <s v="Momentum Capital Investment S.A."/>
    <s v="03/07/2026"/>
    <s v="03/07/2026"/>
    <n v="29"/>
    <s v="No"/>
    <s v=""/>
    <m/>
    <m/>
    <s v="*FED031200025"/>
    <s v="*FED031200025"/>
    <n v="1.3972852297397111E-4"/>
  </r>
  <r>
    <x v="174"/>
    <s v="Pesos"/>
    <d v="2026-12-10T00:00:00"/>
    <s v="20/07/2026"/>
    <n v="0.87339392999999999"/>
    <m/>
    <n v="15000000"/>
    <n v="13100909"/>
    <n v="15000000"/>
    <n v="13100909"/>
    <n v="90023083"/>
    <s v="AMOMPY"/>
    <s v="Momentum Capital Investment S.A."/>
    <s v="02/06/2026"/>
    <s v="02/06/2026"/>
    <n v="37"/>
    <s v="No"/>
    <s v=""/>
    <m/>
    <m/>
    <s v="*MAV041200911"/>
    <s v="*MAV041200911"/>
    <n v="2.512945775681032E-4"/>
  </r>
  <r>
    <x v="5"/>
    <s v="Pesos"/>
    <d v="2026-12-11T00:00:00"/>
    <s v="20/07/2026"/>
    <n v="0.90052310999999996"/>
    <m/>
    <n v="69542230"/>
    <n v="62624385.280000001"/>
    <n v="69542230"/>
    <n v="62624385.280000001"/>
    <n v="155355"/>
    <s v="AMOMPY"/>
    <s v="Momentum Capital Investment S.A."/>
    <s v="01/07/2026"/>
    <s v="01/07/2026"/>
    <n v="28"/>
    <s v="No"/>
    <s v=""/>
    <m/>
    <m/>
    <s v="#POT101260001"/>
    <s v="#POT101260001"/>
    <n v="1.2012272159435458E-3"/>
  </r>
  <r>
    <x v="142"/>
    <s v="Pesos"/>
    <d v="2026-12-11T00:00:00"/>
    <s v="20/07/2026"/>
    <n v="0.88172788000000002"/>
    <m/>
    <n v="4000000"/>
    <n v="3526911.54"/>
    <n v="4000000"/>
    <n v="3526911.54"/>
    <n v="90000054"/>
    <s v="AMOMPY"/>
    <s v="Momentum Capital Investment S.A."/>
    <s v="11/06/2026"/>
    <s v="11/06/2026"/>
    <n v="34"/>
    <s v="No"/>
    <s v=""/>
    <m/>
    <m/>
    <s v="*MAV071200853"/>
    <s v="*MAV071200853"/>
    <n v="6.765131683338679E-5"/>
  </r>
  <r>
    <x v="174"/>
    <s v="Pesos"/>
    <d v="2026-12-11T00:00:00"/>
    <s v="20/07/2026"/>
    <n v="0.87262128999999999"/>
    <m/>
    <n v="15000000"/>
    <n v="13089319.42"/>
    <n v="15000000"/>
    <n v="13089319.42"/>
    <n v="90023086"/>
    <s v="AMOMPY"/>
    <s v="Momentum Capital Investment S.A."/>
    <s v="02/06/2026"/>
    <s v="02/06/2026"/>
    <n v="37"/>
    <s v="No"/>
    <s v=""/>
    <m/>
    <m/>
    <s v="*MAV091201366"/>
    <s v="*MAV091201366"/>
    <n v="2.510722724890975E-4"/>
  </r>
  <r>
    <x v="92"/>
    <s v="Pesos"/>
    <d v="2026-12-11T00:00:00"/>
    <s v="20/07/2026"/>
    <n v="0.89733521999999999"/>
    <m/>
    <n v="5311841.87"/>
    <n v="4766502.8"/>
    <n v="5311841.87"/>
    <n v="4766502.8"/>
    <n v="90000278"/>
    <s v="AMOMPY"/>
    <s v="Momentum Capital Investment S.A."/>
    <s v="03/07/2026"/>
    <s v="03/07/2026"/>
    <n v="29"/>
    <s v="No"/>
    <s v=""/>
    <m/>
    <m/>
    <s v="*FED071200026"/>
    <s v="*FED071200026"/>
    <n v="9.1428488481461951E-5"/>
  </r>
  <r>
    <x v="43"/>
    <s v="Pesos"/>
    <d v="2026-12-15T00:00:00"/>
    <s v="20/07/2026"/>
    <n v="0.90462982000000003"/>
    <m/>
    <n v="5000000"/>
    <n v="4523149.09"/>
    <n v="5000000"/>
    <n v="4523149.09"/>
    <n v="491508"/>
    <s v="AMOMPY"/>
    <s v="Momentum Capital Investment S.A."/>
    <s v="20/07/2026"/>
    <s v="20/07/2026"/>
    <n v="26"/>
    <s v="No"/>
    <s v=""/>
    <m/>
    <m/>
    <s v="*MIL111200037"/>
    <s v="*MIL111200037"/>
    <n v="8.6760608737080806E-5"/>
  </r>
  <r>
    <x v="134"/>
    <s v="Dolar 3500"/>
    <d v="2026-12-16T00:00:00"/>
    <s v="20/07/2026"/>
    <n v="0.96837485999999995"/>
    <s v="1 US3 = 1480,1749803655 $"/>
    <n v="18230"/>
    <n v="17653.47"/>
    <n v="26983589.890000001"/>
    <n v="26130224.609999999"/>
    <n v="146447"/>
    <s v="AMOMPY"/>
    <s v="Momentum Capital Investment S.A."/>
    <s v="17/04/2026"/>
    <s v="17/04/2026"/>
    <n v="8"/>
    <s v="No"/>
    <s v=""/>
    <m/>
    <m/>
    <s v="#UMV131260004"/>
    <s v="#UMV131260004"/>
    <n v="5.0121588930429216E-4"/>
  </r>
  <r>
    <x v="92"/>
    <s v="Pesos"/>
    <d v="2026-12-16T00:00:00"/>
    <s v="20/07/2026"/>
    <n v="0.89414773000000003"/>
    <m/>
    <n v="4396334.17"/>
    <n v="3930972.21"/>
    <n v="4396334.17"/>
    <n v="3930972.21"/>
    <n v="90000109"/>
    <s v="AMOMPY"/>
    <s v="Momentum Capital Investment S.A."/>
    <s v="03/07/2026"/>
    <s v="03/07/2026"/>
    <n v="29"/>
    <s v="No"/>
    <s v=""/>
    <m/>
    <m/>
    <s v="*FED141200032"/>
    <s v="*FED141200032"/>
    <n v="7.5401790894349637E-5"/>
  </r>
  <r>
    <x v="0"/>
    <s v="Pesos"/>
    <d v="2026-12-17T00:00:00"/>
    <s v="20/07/2026"/>
    <n v="0.89680596999999995"/>
    <m/>
    <n v="30000000"/>
    <n v="26904178.989999998"/>
    <n v="30000000"/>
    <n v="26904178.989999998"/>
    <n v="29600864"/>
    <s v="AMOMPY"/>
    <s v="Momentum Capital Investment S.A."/>
    <s v="07/07/2026"/>
    <s v="07/07/2026"/>
    <n v="28"/>
    <s v="No"/>
    <s v=""/>
    <m/>
    <m/>
    <s v="*INP151200109"/>
    <s v="*INP151200109"/>
    <n v="5.1606146520891702E-4"/>
  </r>
  <r>
    <x v="63"/>
    <s v="Pesos"/>
    <d v="2026-12-17T00:00:00"/>
    <s v="20/07/2026"/>
    <n v="0.90012351000000002"/>
    <m/>
    <n v="25000000"/>
    <n v="22503087.780000001"/>
    <n v="25000000"/>
    <n v="22503087.780000001"/>
    <n v="9508925"/>
    <s v="AMOMPY"/>
    <s v="Momentum Capital Investment S.A."/>
    <s v="13/07/2026"/>
    <s v="13/07/2026"/>
    <n v="27"/>
    <s v="No"/>
    <s v=""/>
    <m/>
    <m/>
    <s v="*PRO151200026"/>
    <s v="*PRO151200026"/>
    <n v="4.3164210496027765E-4"/>
  </r>
  <r>
    <x v="63"/>
    <s v="Pesos"/>
    <d v="2026-12-17T00:00:00"/>
    <s v="20/07/2026"/>
    <n v="0.90346536"/>
    <m/>
    <n v="15000000"/>
    <n v="13551980.449999999"/>
    <n v="15000000"/>
    <n v="13551980.449999999"/>
    <n v="20411019"/>
    <s v="AMOMPY"/>
    <s v="Momentum Capital Investment S.A."/>
    <s v="17/07/2026"/>
    <s v="17/07/2026"/>
    <n v="26"/>
    <s v="No"/>
    <s v=""/>
    <m/>
    <m/>
    <s v="*PRO151200025"/>
    <s v="*PRO151200025"/>
    <n v="2.5994678708125851E-4"/>
  </r>
  <r>
    <x v="43"/>
    <s v="Pesos"/>
    <d v="2026-12-17T00:00:00"/>
    <s v="20/07/2026"/>
    <n v="0.90346554000000001"/>
    <m/>
    <n v="5000000"/>
    <n v="4517327.6900000004"/>
    <n v="5000000"/>
    <n v="4517327.6900000004"/>
    <n v="491509"/>
    <s v="AMOMPY"/>
    <s v="Momentum Capital Investment S.A."/>
    <s v="20/07/2026"/>
    <s v="20/07/2026"/>
    <n v="26"/>
    <s v="No"/>
    <s v=""/>
    <m/>
    <m/>
    <s v="*MIL151200043"/>
    <s v="*MIL151200043"/>
    <n v="8.6648945778895617E-5"/>
  </r>
  <r>
    <x v="144"/>
    <s v="Pesos"/>
    <d v="2026-12-18T00:00:00"/>
    <s v="20/07/2026"/>
    <n v="0.87037401000000003"/>
    <m/>
    <n v="22578937.030000001"/>
    <n v="19652119.890000001"/>
    <n v="22578937.030000001"/>
    <n v="19652119.890000001"/>
    <n v="67998226"/>
    <s v="AMOMPY"/>
    <s v="Momentum Capital Investment S.A."/>
    <s v="01/07/2026"/>
    <s v="01/07/2026"/>
    <n v="36"/>
    <s v="No"/>
    <s v=""/>
    <m/>
    <m/>
    <s v="*MAV161201238"/>
    <s v="*MAV161201238"/>
    <n v="3.7695637501758612E-4"/>
  </r>
  <r>
    <x v="40"/>
    <s v="Pesos"/>
    <d v="2026-12-21T00:00:00"/>
    <s v="20/07/2026"/>
    <n v="0.89098297000000004"/>
    <m/>
    <n v="14000000"/>
    <n v="12473761.59"/>
    <n v="14000000"/>
    <n v="12473761.59"/>
    <n v="118"/>
    <s v="AMOMPY"/>
    <s v="Momentum Capital Investment S.A."/>
    <s v="06/07/2026"/>
    <s v="06/07/2026"/>
    <n v="29"/>
    <s v="No"/>
    <s v=""/>
    <m/>
    <m/>
    <s v="*CUY171200028"/>
    <s v="*CUY171200028"/>
    <n v="2.3926497386130089E-4"/>
  </r>
  <r>
    <x v="43"/>
    <s v="Pesos"/>
    <d v="2026-12-21T00:00:00"/>
    <s v="20/07/2026"/>
    <n v="0.90114574000000003"/>
    <m/>
    <n v="5000000"/>
    <n v="4505728.6900000004"/>
    <n v="5000000"/>
    <n v="4505728.6900000004"/>
    <n v="491510"/>
    <s v="AMOMPY"/>
    <s v="Momentum Capital Investment S.A."/>
    <s v="20/07/2026"/>
    <s v="20/07/2026"/>
    <n v="26"/>
    <s v="No"/>
    <s v=""/>
    <m/>
    <m/>
    <s v="*MIL171200035"/>
    <s v="*MIL171200035"/>
    <n v="8.6426460010525469E-5"/>
  </r>
  <r>
    <x v="66"/>
    <s v="Pesos"/>
    <d v="2026-12-21T00:00:00"/>
    <s v="20/07/2026"/>
    <n v="0.90114574000000003"/>
    <m/>
    <n v="20000000"/>
    <n v="18022914.739999998"/>
    <n v="20000000"/>
    <n v="18022914.739999998"/>
    <n v="79700360"/>
    <s v="AMOMPY"/>
    <s v="Momentum Capital Investment S.A."/>
    <s v="20/07/2026"/>
    <s v="20/07/2026"/>
    <n v="26"/>
    <s v="No"/>
    <s v=""/>
    <m/>
    <m/>
    <s v="*AFB171200009"/>
    <s v="*AFB171200009"/>
    <n v="3.457058396584726E-4"/>
  </r>
  <r>
    <x v="174"/>
    <s v="Pesos"/>
    <d v="2026-12-22T00:00:00"/>
    <s v="20/07/2026"/>
    <n v="0.86421228999999999"/>
    <m/>
    <n v="15000000"/>
    <n v="12963184.289999999"/>
    <n v="15000000"/>
    <n v="12963184.289999999"/>
    <n v="90023099"/>
    <s v="AMOMPY"/>
    <s v="Momentum Capital Investment S.A."/>
    <s v="03/06/2026"/>
    <s v="03/06/2026"/>
    <n v="37"/>
    <s v="No"/>
    <s v=""/>
    <m/>
    <m/>
    <s v="*MAV181201190"/>
    <s v="*MAV181201190"/>
    <n v="2.4865281638800958E-4"/>
  </r>
  <r>
    <x v="66"/>
    <s v="Pesos"/>
    <d v="2026-12-22T00:00:00"/>
    <s v="20/07/2026"/>
    <n v="0.90056758999999997"/>
    <m/>
    <n v="20000000"/>
    <n v="18011351.890000001"/>
    <n v="20000000"/>
    <n v="18011351.890000001"/>
    <n v="79700361"/>
    <s v="AMOMPY"/>
    <s v="Momentum Capital Investment S.A."/>
    <s v="20/07/2026"/>
    <s v="20/07/2026"/>
    <n v="26"/>
    <s v="No"/>
    <s v=""/>
    <m/>
    <m/>
    <s v="*AFB181200007"/>
    <s v="*AFB181200007"/>
    <n v="3.4548404729992457E-4"/>
  </r>
  <r>
    <x v="144"/>
    <s v="Pesos"/>
    <d v="2026-12-23T00:00:00"/>
    <s v="20/07/2026"/>
    <n v="0.86665418000000005"/>
    <m/>
    <n v="20078937.030000001"/>
    <n v="17401494.640000001"/>
    <n v="20078937.030000001"/>
    <n v="17401494.640000001"/>
    <n v="67998257"/>
    <s v="AMOMPY"/>
    <s v="Momentum Capital Investment S.A."/>
    <s v="07/07/2026"/>
    <s v="07/07/2026"/>
    <n v="36"/>
    <s v="No"/>
    <s v=""/>
    <m/>
    <m/>
    <s v="*MAV211200948"/>
    <s v="*MAV211200948"/>
    <n v="3.337860941261719E-4"/>
  </r>
  <r>
    <x v="142"/>
    <s v="Pesos"/>
    <d v="2026-12-23T00:00:00"/>
    <s v="20/07/2026"/>
    <n v="0.87312230999999996"/>
    <m/>
    <n v="4000000"/>
    <n v="3492489.24"/>
    <n v="4000000"/>
    <n v="3492489.24"/>
    <n v="90000055"/>
    <s v="AMOMPY"/>
    <s v="Momentum Capital Investment S.A."/>
    <s v="11/06/2026"/>
    <s v="11/06/2026"/>
    <n v="34"/>
    <s v="No"/>
    <s v=""/>
    <m/>
    <m/>
    <s v="*MAV211200942"/>
    <s v="*MAV211200942"/>
    <n v="6.6991046821785106E-5"/>
  </r>
  <r>
    <x v="126"/>
    <s v="Pesos"/>
    <d v="2026-12-23T00:00:00"/>
    <s v="20/07/2026"/>
    <n v="0.88635268"/>
    <m/>
    <n v="83000000"/>
    <n v="73567272.069999993"/>
    <n v="83000000"/>
    <n v="73567272.069999993"/>
    <n v="68158784"/>
    <s v="AMOMPY"/>
    <s v="Momentum Capital Investment S.A."/>
    <s v="13/07/2026"/>
    <s v="13/07/2026"/>
    <n v="30"/>
    <s v="No"/>
    <s v=""/>
    <m/>
    <m/>
    <s v="*NIO201200029"/>
    <s v="*NIO201200029"/>
    <n v="1.4111277742382888E-3"/>
  </r>
  <r>
    <x v="66"/>
    <s v="Pesos"/>
    <d v="2026-12-23T00:00:00"/>
    <s v="20/07/2026"/>
    <n v="0.89999019000000002"/>
    <m/>
    <n v="20000000"/>
    <n v="17999803.850000001"/>
    <n v="20000000"/>
    <n v="17999803.850000001"/>
    <n v="79700362"/>
    <s v="AMOMPY"/>
    <s v="Momentum Capital Investment S.A."/>
    <s v="20/07/2026"/>
    <s v="20/07/2026"/>
    <n v="26"/>
    <s v="No"/>
    <s v=""/>
    <m/>
    <m/>
    <s v="*AFB211200004"/>
    <s v="*AFB211200004"/>
    <n v="3.4526253901881682E-4"/>
  </r>
  <r>
    <x v="63"/>
    <s v="Pesos"/>
    <d v="2026-12-28T00:00:00"/>
    <s v="20/07/2026"/>
    <n v="0.89007042000000003"/>
    <m/>
    <n v="20000000"/>
    <n v="17801408.449999999"/>
    <n v="20000000"/>
    <n v="17801408.449999999"/>
    <n v="20411015"/>
    <s v="AMOMPY"/>
    <s v="Momentum Capital Investment S.A."/>
    <s v="02/07/2026"/>
    <s v="02/07/2026"/>
    <n v="28"/>
    <s v="No"/>
    <s v=""/>
    <m/>
    <m/>
    <s v="*PRO221200015"/>
    <s v="*PRO221200015"/>
    <n v="3.4145702535297458E-4"/>
  </r>
  <r>
    <x v="66"/>
    <s v="Pesos"/>
    <d v="2026-12-28T00:00:00"/>
    <s v="20/07/2026"/>
    <n v="0.89711467"/>
    <m/>
    <n v="20000000"/>
    <n v="17942293.489999998"/>
    <n v="20000000"/>
    <n v="17942293.489999998"/>
    <n v="79700363"/>
    <s v="AMOMPY"/>
    <s v="Momentum Capital Investment S.A."/>
    <s v="20/07/2026"/>
    <s v="20/07/2026"/>
    <n v="26"/>
    <s v="No"/>
    <s v=""/>
    <m/>
    <m/>
    <s v="*AFB221200006"/>
    <s v="*AFB221200006"/>
    <n v="3.4415940628031828E-4"/>
  </r>
  <r>
    <x v="66"/>
    <s v="Pesos"/>
    <d v="2026-12-29T00:00:00"/>
    <s v="20/07/2026"/>
    <n v="0.89654168999999995"/>
    <m/>
    <n v="20000000"/>
    <n v="17930833.77"/>
    <n v="20000000"/>
    <n v="17930833.77"/>
    <n v="79700364"/>
    <s v="AMOMPY"/>
    <s v="Momentum Capital Investment S.A."/>
    <s v="20/07/2026"/>
    <s v="20/07/2026"/>
    <n v="26"/>
    <s v="No"/>
    <s v=""/>
    <m/>
    <m/>
    <s v="*AFB231200009"/>
    <s v="*AFB231200009"/>
    <n v="3.4393959210586301E-4"/>
  </r>
  <r>
    <x v="63"/>
    <s v="Pesos"/>
    <d v="2026-12-30T00:00:00"/>
    <s v="20/07/2026"/>
    <n v="0.89239882000000004"/>
    <m/>
    <n v="3400000"/>
    <n v="3034155.98"/>
    <n v="3400000"/>
    <n v="3034155.98"/>
    <n v="68062415"/>
    <s v="AMOMPY"/>
    <s v="Momentum Capital Investment S.A."/>
    <s v="06/07/2026"/>
    <s v="06/07/2026"/>
    <n v="27"/>
    <s v="No"/>
    <s v=""/>
    <m/>
    <m/>
    <s v="*PRO281200007"/>
    <s v="*PRO281200007"/>
    <n v="5.8199545181928542E-5"/>
  </r>
  <r>
    <x v="40"/>
    <s v="Pesos"/>
    <d v="2026-12-30T00:00:00"/>
    <s v="20/07/2026"/>
    <n v="0.88534223999999995"/>
    <m/>
    <n v="14000000"/>
    <n v="12394791.289999999"/>
    <n v="14000000"/>
    <n v="12394791.289999999"/>
    <n v="119"/>
    <s v="AMOMPY"/>
    <s v="Momentum Capital Investment S.A."/>
    <s v="06/07/2026"/>
    <s v="06/07/2026"/>
    <n v="29"/>
    <s v="No"/>
    <s v=""/>
    <m/>
    <m/>
    <s v="*CUY241200018"/>
    <s v="*CUY241200018"/>
    <n v="2.3775020811650206E-4"/>
  </r>
  <r>
    <x v="63"/>
    <s v="Pesos"/>
    <d v="2027-01-04T00:00:00"/>
    <s v="20/07/2026"/>
    <n v="0.89311934000000004"/>
    <m/>
    <n v="25000000"/>
    <n v="22327983.510000002"/>
    <n v="25000000"/>
    <n v="22327983.510000002"/>
    <n v="9508926"/>
    <s v="AMOMPY"/>
    <s v="Momentum Capital Investment S.A."/>
    <s v="17/07/2026"/>
    <s v="17/07/2026"/>
    <n v="26"/>
    <s v="No"/>
    <s v=""/>
    <m/>
    <m/>
    <s v="*PRO291200014"/>
    <s v="*PRO291200014"/>
    <n v="4.2828334920065662E-4"/>
  </r>
  <r>
    <x v="126"/>
    <s v="Pesos"/>
    <d v="2027-01-05T00:00:00"/>
    <s v="20/07/2026"/>
    <n v="0.87803721999999995"/>
    <m/>
    <n v="83000000"/>
    <n v="72877089.329999998"/>
    <n v="83000000"/>
    <n v="72877089.329999998"/>
    <n v="68158884"/>
    <s v="AMOMPY"/>
    <s v="Momentum Capital Investment S.A."/>
    <s v="13/07/2026"/>
    <s v="13/07/2026"/>
    <n v="30"/>
    <s v="No"/>
    <s v=""/>
    <m/>
    <m/>
    <s v="*NIO301200031"/>
    <s v="*NIO301200031"/>
    <n v="1.3978890607953443E-3"/>
  </r>
  <r>
    <x v="43"/>
    <s v="Pesos"/>
    <d v="2027-01-05T00:00:00"/>
    <s v="20/07/2026"/>
    <n v="0.88523479999999999"/>
    <m/>
    <n v="7000000"/>
    <n v="6196643.5899999999"/>
    <n v="7000000"/>
    <n v="6196643.5899999999"/>
    <n v="67768341"/>
    <s v="AMOMPY"/>
    <s v="Momentum Capital Investment S.A."/>
    <s v="07/07/2026"/>
    <s v="07/07/2026"/>
    <n v="28"/>
    <s v="No"/>
    <s v=""/>
    <m/>
    <m/>
    <s v="*MIL301200032"/>
    <s v="*MIL301200032"/>
    <n v="1.1886067854445402E-4"/>
  </r>
  <r>
    <x v="40"/>
    <s v="Pesos"/>
    <d v="2027-01-06T00:00:00"/>
    <s v="20/07/2026"/>
    <n v="0.88100423000000005"/>
    <m/>
    <n v="14000000"/>
    <n v="12334059.17"/>
    <n v="14000000"/>
    <n v="12334059.17"/>
    <n v="120"/>
    <s v="AMOMPY"/>
    <s v="Momentum Capital Investment S.A."/>
    <s v="06/07/2026"/>
    <s v="06/07/2026"/>
    <n v="29"/>
    <s v="No"/>
    <s v=""/>
    <m/>
    <m/>
    <s v="*CUY040100016"/>
    <s v="*CUY040100016"/>
    <n v="2.3658527731359251E-4"/>
  </r>
  <r>
    <x v="217"/>
    <s v="Pesos"/>
    <d v="2027-01-06T00:00:00"/>
    <s v="20/07/2026"/>
    <n v="0.87740395000000004"/>
    <m/>
    <n v="5600000"/>
    <n v="4913462.12"/>
    <n v="5600000"/>
    <n v="4913462.12"/>
    <n v="239"/>
    <s v="AMOMPY"/>
    <s v="Momentum Capital Investment S.A."/>
    <s v="02/07/2026"/>
    <s v="02/07/2026"/>
    <n v="30"/>
    <s v="No"/>
    <s v=""/>
    <m/>
    <m/>
    <s v="*MAV010100420"/>
    <s v="*MAV010100420"/>
    <n v="9.4247382974897164E-5"/>
  </r>
  <r>
    <x v="5"/>
    <s v="Pesos"/>
    <d v="2027-01-12T00:00:00"/>
    <s v="20/07/2026"/>
    <n v="0.88104674999999999"/>
    <m/>
    <n v="71389290"/>
    <n v="62897301.75"/>
    <n v="71389290"/>
    <n v="62897301.75"/>
    <n v="155356"/>
    <s v="AMOMPY"/>
    <s v="Momentum Capital Investment S.A."/>
    <s v="01/07/2026"/>
    <s v="01/07/2026"/>
    <n v="28"/>
    <s v="No"/>
    <s v=""/>
    <m/>
    <m/>
    <s v="#POT090170001"/>
    <s v="#POT090170001"/>
    <n v="1.2064621526216058E-3"/>
  </r>
  <r>
    <x v="40"/>
    <s v="Pesos"/>
    <d v="2027-01-13T00:00:00"/>
    <s v="20/07/2026"/>
    <n v="0.87670851999999999"/>
    <m/>
    <n v="14000000"/>
    <n v="12273919.26"/>
    <n v="14000000"/>
    <n v="12273919.26"/>
    <n v="121"/>
    <s v="AMOMPY"/>
    <s v="Momentum Capital Investment S.A."/>
    <s v="06/07/2026"/>
    <s v="06/07/2026"/>
    <n v="29"/>
    <s v="No"/>
    <s v=""/>
    <m/>
    <m/>
    <s v="*CUY110100024"/>
    <s v="*CUY110100024"/>
    <n v="2.3543170596381565E-4"/>
  </r>
  <r>
    <x v="134"/>
    <s v="Dolar 3500"/>
    <d v="2027-01-14T00:00:00"/>
    <s v="20/07/2026"/>
    <n v="0.96245126000000003"/>
    <s v="1 US3 = 1480,1749803655 $"/>
    <n v="18230"/>
    <n v="17545.490000000002"/>
    <n v="26983589.890000001"/>
    <n v="25970395.32"/>
    <n v="146448"/>
    <s v="AMOMPY"/>
    <s v="Momentum Capital Investment S.A."/>
    <s v="17/04/2026"/>
    <s v="17/04/2026"/>
    <n v="8"/>
    <s v="No"/>
    <s v=""/>
    <m/>
    <m/>
    <s v="#UMV120170009"/>
    <s v="#UMV120170009"/>
    <n v="4.9815012998075516E-4"/>
  </r>
  <r>
    <x v="63"/>
    <s v="Pesos"/>
    <d v="2027-01-14T00:00:00"/>
    <s v="20/07/2026"/>
    <n v="0.88747334"/>
    <m/>
    <n v="25000000"/>
    <n v="22186833.469999999"/>
    <n v="25000000"/>
    <n v="22186833.469999999"/>
    <n v="9508927"/>
    <s v="AMOMPY"/>
    <s v="Momentum Capital Investment S.A."/>
    <s v="17/07/2026"/>
    <s v="17/07/2026"/>
    <n v="26"/>
    <s v="No"/>
    <s v=""/>
    <m/>
    <m/>
    <s v="*PRO120100011"/>
    <s v="*PRO120100011"/>
    <n v="4.2557588518609692E-4"/>
  </r>
  <r>
    <x v="63"/>
    <s v="Pesos"/>
    <d v="2027-01-19T00:00:00"/>
    <s v="20/07/2026"/>
    <n v="0.88077026000000003"/>
    <m/>
    <n v="2000000"/>
    <n v="1761540.52"/>
    <n v="2000000"/>
    <n v="1761540.52"/>
    <n v="113"/>
    <s v="AMOMPY"/>
    <s v="Momentum Capital Investment S.A."/>
    <s v="06/07/2026"/>
    <s v="06/07/2026"/>
    <n v="27"/>
    <s v="No"/>
    <s v=""/>
    <m/>
    <m/>
    <s v="*PRO150100020"/>
    <s v="*PRO150100020"/>
    <n v="3.3788921123144728E-5"/>
  </r>
  <r>
    <x v="40"/>
    <s v="Pesos"/>
    <d v="2027-01-20T00:00:00"/>
    <s v="20/07/2026"/>
    <n v="0.87245450000000002"/>
    <m/>
    <n v="14000000"/>
    <n v="12214362.99"/>
    <n v="14000000"/>
    <n v="12214362.99"/>
    <n v="122"/>
    <s v="AMOMPY"/>
    <s v="Momentum Capital Investment S.A."/>
    <s v="06/07/2026"/>
    <s v="06/07/2026"/>
    <n v="29"/>
    <s v="No"/>
    <s v=""/>
    <m/>
    <m/>
    <s v="*CUY180100020"/>
    <s v="*CUY180100020"/>
    <n v="2.342893296820491E-4"/>
  </r>
  <r>
    <x v="219"/>
    <s v="Dolar 3500"/>
    <d v="2027-01-27T00:00:00"/>
    <s v="20/07/2026"/>
    <n v="0.95027342000000004"/>
    <s v="1 US3 = 1480,1749803655 $"/>
    <n v="13904"/>
    <n v="13212.6"/>
    <n v="20580352.93"/>
    <n v="19556959.949999999"/>
    <n v="134916"/>
    <s v="AMOMPY"/>
    <s v="Momentum Capital Investment S.A."/>
    <s v="30/12/2025"/>
    <s v="30/12/2025"/>
    <n v="10"/>
    <s v="No"/>
    <s v=""/>
    <m/>
    <m/>
    <s v="#UMV250170065"/>
    <s v="#UMV250170065"/>
    <n v="3.7513106832140909E-4"/>
  </r>
  <r>
    <x v="63"/>
    <s v="Pesos"/>
    <d v="2027-01-28T00:00:00"/>
    <s v="20/07/2026"/>
    <n v="0.87968776000000004"/>
    <m/>
    <n v="25000000"/>
    <n v="21992194.120000001"/>
    <n v="25000000"/>
    <n v="21992194.120000001"/>
    <n v="9508928"/>
    <s v="AMOMPY"/>
    <s v="Momentum Capital Investment S.A."/>
    <s v="17/07/2026"/>
    <s v="17/07/2026"/>
    <n v="26"/>
    <s v="No"/>
    <s v=""/>
    <m/>
    <m/>
    <s v="*PRO260100013"/>
    <s v="*PRO260100013"/>
    <n v="4.2184241804756631E-4"/>
  </r>
  <r>
    <x v="217"/>
    <s v="Pesos"/>
    <d v="2027-02-10T00:00:00"/>
    <s v="20/07/2026"/>
    <n v="0.85580323000000003"/>
    <m/>
    <n v="12500000"/>
    <n v="10697540.359999999"/>
    <n v="12500000"/>
    <n v="10697540.359999999"/>
    <n v="240"/>
    <s v="AMOMPY"/>
    <s v="Momentum Capital Investment S.A."/>
    <s v="02/07/2026"/>
    <s v="02/07/2026"/>
    <n v="30"/>
    <s v="No"/>
    <s v=""/>
    <m/>
    <m/>
    <s v="*MAV040200868"/>
    <s v="*MAV040200868"/>
    <n v="2.0519445526901491E-4"/>
  </r>
  <r>
    <x v="5"/>
    <s v="Pesos"/>
    <d v="2027-02-11T00:00:00"/>
    <s v="20/07/2026"/>
    <n v="0.86353749999999996"/>
    <m/>
    <n v="74495580"/>
    <n v="64329726.560000002"/>
    <n v="74495580"/>
    <n v="64329726.560000002"/>
    <n v="155357"/>
    <s v="AMOMPY"/>
    <s v="Momentum Capital Investment S.A."/>
    <s v="01/07/2026"/>
    <s v="01/07/2026"/>
    <n v="28"/>
    <s v="No"/>
    <s v=""/>
    <m/>
    <m/>
    <s v="#POT080270001"/>
    <s v="#POT080270001"/>
    <n v="1.2339381535255906E-3"/>
  </r>
  <r>
    <x v="134"/>
    <s v="Dolar 3500"/>
    <d v="2027-02-15T00:00:00"/>
    <s v="20/07/2026"/>
    <n v="0.95599608999999997"/>
    <s v="1 US3 = 1480,1749803655 $"/>
    <n v="18230"/>
    <n v="17427.810000000001"/>
    <n v="26983589.890000001"/>
    <n v="25796208.32"/>
    <n v="146450"/>
    <s v="AMOMPY"/>
    <s v="Momentum Capital Investment S.A."/>
    <s v="17/04/2026"/>
    <s v="17/04/2026"/>
    <n v="8"/>
    <s v="No"/>
    <s v=""/>
    <m/>
    <m/>
    <s v="#UMV110270012"/>
    <s v="#UMV110270012"/>
    <n v="4.9480896880004204E-4"/>
  </r>
  <r>
    <x v="217"/>
    <s v="Pesos"/>
    <d v="2027-02-16T00:00:00"/>
    <s v="20/07/2026"/>
    <n v="0.85220644999999995"/>
    <m/>
    <n v="12500000"/>
    <n v="10652580.6"/>
    <n v="12500000"/>
    <n v="10652580.6"/>
    <n v="241"/>
    <s v="AMOMPY"/>
    <s v="Momentum Capital Investment S.A."/>
    <s v="02/07/2026"/>
    <s v="02/07/2026"/>
    <n v="30"/>
    <s v="No"/>
    <s v=""/>
    <m/>
    <m/>
    <s v="*MAV120201148"/>
    <s v="*MAV120201148"/>
    <n v="2.0433206137735721E-4"/>
  </r>
  <r>
    <x v="134"/>
    <s v="Dolar 3500"/>
    <d v="2027-03-17T00:00:00"/>
    <s v="20/07/2026"/>
    <n v="0.95002969000000004"/>
    <s v="1 US3 = 1480,1749803655 $"/>
    <n v="18230"/>
    <n v="17319.04"/>
    <n v="26983589.890000001"/>
    <n v="25635209.690000001"/>
    <n v="146451"/>
    <s v="AMOMPY"/>
    <s v="Momentum Capital Investment S.A."/>
    <s v="17/04/2026"/>
    <s v="17/04/2026"/>
    <n v="8"/>
    <s v="No"/>
    <s v=""/>
    <m/>
    <m/>
    <s v="#UMV130370002"/>
    <s v="#UMV130370002"/>
    <n v="4.9172077982667433E-4"/>
  </r>
  <r>
    <x v="134"/>
    <s v="Dolar 3500"/>
    <d v="2027-04-14T00:00:00"/>
    <s v="20/07/2026"/>
    <n v="0.94452093999999998"/>
    <s v="1 US3 = 1480,1749803655 $"/>
    <n v="18230"/>
    <n v="17218.62"/>
    <n v="26983589.890000001"/>
    <n v="25486570.52"/>
    <n v="146452"/>
    <s v="AMOMPY"/>
    <s v="Momentum Capital Investment S.A."/>
    <s v="17/04/2026"/>
    <s v="17/04/2026"/>
    <n v="8"/>
    <s v="No"/>
    <s v=""/>
    <m/>
    <m/>
    <s v="#UMV120470004"/>
    <s v="#UMV120470004"/>
    <n v="4.8886966335565519E-4"/>
  </r>
  <r>
    <x v="134"/>
    <s v="Dolar 3500"/>
    <d v="2027-05-14T00:00:00"/>
    <s v="20/07/2026"/>
    <n v="0.93868874000000002"/>
    <s v="1 US3 = 1480,1749803655 $"/>
    <n v="18230"/>
    <n v="17112.3"/>
    <n v="26983589.890000001"/>
    <n v="25329198.32"/>
    <n v="146453"/>
    <s v="AMOMPY"/>
    <s v="Momentum Capital Investment S.A."/>
    <s v="17/04/2026"/>
    <s v="17/04/2026"/>
    <n v="8"/>
    <s v="No"/>
    <s v=""/>
    <m/>
    <m/>
    <s v="#UMV120570002"/>
    <s v="#UMV120570002"/>
    <n v="4.8585103460859928E-4"/>
  </r>
  <r>
    <x v="134"/>
    <s v="Dolar 3500"/>
    <d v="2027-06-15T00:00:00"/>
    <s v="20/07/2026"/>
    <n v="0.93255171000000003"/>
    <s v="1 US3 = 1480,1749803655 $"/>
    <n v="18230"/>
    <n v="17000.419999999998"/>
    <n v="26983589.890000001"/>
    <n v="25163596.34"/>
    <n v="146455"/>
    <s v="AMOMPY"/>
    <s v="Momentum Capital Investment S.A."/>
    <s v="17/04/2026"/>
    <s v="17/04/2026"/>
    <n v="8"/>
    <s v="No"/>
    <s v=""/>
    <m/>
    <m/>
    <s v="#UMV110670002"/>
    <s v="#UMV110670002"/>
    <n v="4.8267454665585176E-4"/>
  </r>
  <r>
    <x v="219"/>
    <s v="Dolar 3500"/>
    <d v="2027-07-28T00:00:00"/>
    <s v="20/07/2026"/>
    <n v="0.90728231999999998"/>
    <s v="1 US3 = 1480,1749803655 $"/>
    <n v="20856"/>
    <n v="18922.28"/>
    <n v="30870529.390000001"/>
    <n v="28008285.43"/>
    <n v="134917"/>
    <s v="AMOMPY"/>
    <s v="Momentum Capital Investment S.A."/>
    <s v="30/12/2025"/>
    <s v="30/12/2025"/>
    <n v="10"/>
    <s v="No"/>
    <s v=""/>
    <m/>
    <m/>
    <s v="#UMV250770007"/>
    <s v="#UMV250770007"/>
    <n v="5.372398400400087E-4"/>
  </r>
  <r>
    <x v="219"/>
    <s v="Dolar 3500"/>
    <d v="2028-01-27T00:00:00"/>
    <s v="20/07/2026"/>
    <n v="0.86780734999999998"/>
    <s v="1 US3 = 1480,1749803655 $"/>
    <n v="20856"/>
    <n v="18098.990000000002"/>
    <n v="30870529.390000001"/>
    <n v="26789672.170000002"/>
    <n v="134918"/>
    <s v="AMOMPY"/>
    <s v="Momentum Capital Investment S.A."/>
    <s v="30/12/2025"/>
    <s v="30/12/2025"/>
    <n v="10"/>
    <s v="No"/>
    <s v=""/>
    <m/>
    <m/>
    <s v="#UMV250180006"/>
    <s v="#UMV250180006"/>
    <n v="5.1386505708482684E-4"/>
  </r>
  <r>
    <x v="219"/>
    <s v="Dolar 3500"/>
    <d v="2028-07-27T00:00:00"/>
    <s v="20/07/2026"/>
    <n v="0.83181590000000005"/>
    <s v="1 US3 = 1480,1749803655 $"/>
    <n v="20856"/>
    <n v="17348.349999999999"/>
    <n v="30870529.390000001"/>
    <n v="25678593.620000001"/>
    <n v="134919"/>
    <s v="AMOMPY"/>
    <s v="Momentum Capital Investment S.A."/>
    <s v="30/12/2025"/>
    <s v="30/12/2025"/>
    <n v="10"/>
    <s v="No"/>
    <s v=""/>
    <m/>
    <m/>
    <s v="#UMV250780006"/>
    <s v="#UMV250780006"/>
    <n v="4.9255294699634131E-4"/>
  </r>
  <r>
    <x v="220"/>
    <m/>
    <m/>
    <m/>
    <m/>
    <m/>
    <m/>
    <m/>
    <m/>
    <m/>
    <m/>
    <m/>
    <m/>
    <m/>
    <m/>
    <m/>
    <m/>
    <m/>
    <m/>
    <m/>
    <m/>
    <m/>
    <m/>
  </r>
  <r>
    <x v="22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26" firstHeaderRow="2" firstDataRow="2" firstDataCol="1"/>
  <pivotFields count="23">
    <pivotField axis="axisRow" compact="0" outline="0" showAll="0" includeNewItemsInFilter="1" sortType="descending">
      <items count="582">
        <item x="127"/>
        <item m="1" x="547"/>
        <item m="1" x="438"/>
        <item m="1" x="565"/>
        <item x="162"/>
        <item m="1" x="237"/>
        <item m="1" x="580"/>
        <item m="1" x="573"/>
        <item m="1" x="574"/>
        <item x="135"/>
        <item x="123"/>
        <item m="1" x="569"/>
        <item m="1" x="555"/>
        <item m="1" x="535"/>
        <item m="1" x="520"/>
        <item x="68"/>
        <item m="1" x="445"/>
        <item m="1" x="567"/>
        <item h="1" x="220"/>
        <item m="1" x="486"/>
        <item m="1" x="542"/>
        <item x="131"/>
        <item x="11"/>
        <item m="1" x="579"/>
        <item m="1" x="529"/>
        <item m="1" x="469"/>
        <item x="30"/>
        <item m="1" x="575"/>
        <item m="1" x="539"/>
        <item m="1" x="451"/>
        <item m="1" x="568"/>
        <item m="1" x="550"/>
        <item m="1" x="538"/>
        <item m="1" x="570"/>
        <item m="1" x="335"/>
        <item x="115"/>
        <item m="1" x="439"/>
        <item m="1" x="571"/>
        <item m="1" x="461"/>
        <item m="1" x="460"/>
        <item m="1" x="576"/>
        <item m="1" x="372"/>
        <item x="74"/>
        <item x="13"/>
        <item m="1" x="257"/>
        <item x="183"/>
        <item m="1" x="577"/>
        <item m="1" x="578"/>
        <item m="1" x="446"/>
        <item x="6"/>
        <item m="1" x="472"/>
        <item x="186"/>
        <item x="42"/>
        <item m="1" x="563"/>
        <item m="1" x="561"/>
        <item m="1" x="557"/>
        <item m="1" x="480"/>
        <item m="1" x="476"/>
        <item m="1" x="572"/>
        <item m="1" x="553"/>
        <item m="1" x="519"/>
        <item m="1" x="560"/>
        <item x="28"/>
        <item x="64"/>
        <item m="1" x="515"/>
        <item m="1" x="488"/>
        <item m="1" x="468"/>
        <item m="1" x="549"/>
        <item m="1" x="540"/>
        <item m="1" x="552"/>
        <item m="1" x="548"/>
        <item m="1" x="509"/>
        <item x="114"/>
        <item m="1" x="558"/>
        <item m="1" x="449"/>
        <item m="1" x="331"/>
        <item x="75"/>
        <item m="1" x="264"/>
        <item m="1" x="479"/>
        <item m="1" x="534"/>
        <item m="1" x="564"/>
        <item m="1" x="566"/>
        <item m="1" x="556"/>
        <item m="1" x="559"/>
        <item m="1" x="544"/>
        <item x="97"/>
        <item m="1" x="458"/>
        <item m="1" x="470"/>
        <item m="1" x="562"/>
        <item m="1" x="554"/>
        <item m="1" x="490"/>
        <item m="1" x="455"/>
        <item x="10"/>
        <item m="1" x="450"/>
        <item m="1" x="516"/>
        <item m="1" x="551"/>
        <item m="1" x="400"/>
        <item m="1" x="489"/>
        <item m="1" x="459"/>
        <item x="46"/>
        <item x="192"/>
        <item m="1" x="512"/>
        <item x="96"/>
        <item m="1" x="471"/>
        <item m="1" x="536"/>
        <item m="1" x="429"/>
        <item m="1" x="524"/>
        <item m="1" x="346"/>
        <item m="1" x="389"/>
        <item m="1" x="453"/>
        <item m="1" x="448"/>
        <item m="1" x="506"/>
        <item m="1" x="507"/>
        <item m="1" x="456"/>
        <item m="1" x="528"/>
        <item m="1" x="452"/>
        <item m="1" x="477"/>
        <item x="48"/>
        <item m="1" x="457"/>
        <item m="1" x="464"/>
        <item m="1" x="494"/>
        <item m="1" x="532"/>
        <item m="1" x="371"/>
        <item m="1" x="485"/>
        <item m="1" x="543"/>
        <item m="1" x="531"/>
        <item m="1" x="503"/>
        <item m="1" x="545"/>
        <item m="1" x="432"/>
        <item m="1" x="437"/>
        <item m="1" x="478"/>
        <item m="1" x="546"/>
        <item m="1" x="498"/>
        <item m="1" x="252"/>
        <item m="1" x="436"/>
        <item m="1" x="541"/>
        <item x="149"/>
        <item x="98"/>
        <item m="1" x="502"/>
        <item m="1" x="402"/>
        <item m="1" x="537"/>
        <item x="12"/>
        <item m="1" x="442"/>
        <item m="1" x="474"/>
        <item m="1" x="495"/>
        <item m="1" x="499"/>
        <item m="1" x="423"/>
        <item m="1" x="465"/>
        <item m="1" x="500"/>
        <item m="1" x="493"/>
        <item m="1" x="508"/>
        <item m="1" x="482"/>
        <item m="1" x="504"/>
        <item m="1" x="530"/>
        <item m="1" x="487"/>
        <item m="1" x="525"/>
        <item m="1" x="475"/>
        <item m="1" x="481"/>
        <item m="1" x="462"/>
        <item x="29"/>
        <item m="1" x="399"/>
        <item m="1" x="463"/>
        <item m="1" x="517"/>
        <item m="1" x="513"/>
        <item m="1" x="533"/>
        <item m="1" x="447"/>
        <item x="57"/>
        <item m="1" x="526"/>
        <item m="1" x="435"/>
        <item m="1" x="527"/>
        <item m="1" x="523"/>
        <item m="1" x="522"/>
        <item m="1" x="521"/>
        <item m="1" x="518"/>
        <item m="1" x="511"/>
        <item m="1" x="514"/>
        <item m="1" x="510"/>
        <item m="1" x="491"/>
        <item m="1" x="501"/>
        <item m="1" x="496"/>
        <item m="1" x="497"/>
        <item m="1" x="492"/>
        <item x="49"/>
        <item m="1" x="505"/>
        <item x="218"/>
        <item x="76"/>
        <item m="1" x="373"/>
        <item m="1" x="483"/>
        <item m="1" x="417"/>
        <item x="69"/>
        <item m="1" x="411"/>
        <item m="1" x="484"/>
        <item m="1" x="466"/>
        <item m="1" x="414"/>
        <item m="1" x="267"/>
        <item m="1" x="444"/>
        <item m="1" x="473"/>
        <item m="1" x="440"/>
        <item m="1" x="416"/>
        <item m="1" x="454"/>
        <item m="1" x="426"/>
        <item m="1" x="430"/>
        <item m="1" x="467"/>
        <item m="1" x="443"/>
        <item m="1" x="422"/>
        <item m="1" x="424"/>
        <item m="1" x="421"/>
        <item m="1" x="427"/>
        <item m="1" x="397"/>
        <item x="190"/>
        <item m="1" x="227"/>
        <item x="65"/>
        <item x="143"/>
        <item m="1" x="441"/>
        <item m="1" x="433"/>
        <item m="1" x="418"/>
        <item m="1" x="425"/>
        <item m="1" x="420"/>
        <item m="1" x="431"/>
        <item m="1" x="428"/>
        <item x="25"/>
        <item m="1" x="419"/>
        <item x="155"/>
        <item m="1" x="434"/>
        <item m="1" x="340"/>
        <item m="1" x="409"/>
        <item x="92"/>
        <item x="56"/>
        <item m="1" x="370"/>
        <item m="1" x="328"/>
        <item x="43"/>
        <item x="219"/>
        <item x="178"/>
        <item m="1" x="364"/>
        <item x="9"/>
        <item m="1" x="355"/>
        <item m="1" x="279"/>
        <item m="1" x="255"/>
        <item x="58"/>
        <item m="1" x="244"/>
        <item m="1" x="388"/>
        <item x="195"/>
        <item m="1" x="407"/>
        <item m="1" x="408"/>
        <item m="1" x="396"/>
        <item m="1" x="403"/>
        <item m="1" x="404"/>
        <item x="41"/>
        <item m="1" x="221"/>
        <item m="1" x="380"/>
        <item m="1" x="384"/>
        <item m="1" x="391"/>
        <item m="1" x="278"/>
        <item m="1" x="398"/>
        <item x="209"/>
        <item m="1" x="324"/>
        <item m="1" x="392"/>
        <item m="1" x="393"/>
        <item m="1" x="341"/>
        <item m="1" x="394"/>
        <item m="1" x="395"/>
        <item x="191"/>
        <item m="1" x="377"/>
        <item m="1" x="284"/>
        <item m="1" x="383"/>
        <item m="1" x="385"/>
        <item m="1" x="386"/>
        <item m="1" x="387"/>
        <item m="1" x="379"/>
        <item m="1" x="381"/>
        <item m="1" x="382"/>
        <item m="1" x="376"/>
        <item x="26"/>
        <item m="1" x="374"/>
        <item m="1" x="375"/>
        <item m="1" x="226"/>
        <item m="1" x="258"/>
        <item m="1" x="369"/>
        <item m="1" x="334"/>
        <item m="1" x="280"/>
        <item m="1" x="406"/>
        <item m="1" x="415"/>
        <item m="1" x="410"/>
        <item m="1" x="412"/>
        <item m="1" x="413"/>
        <item m="1" x="401"/>
        <item m="1" x="405"/>
        <item x="119"/>
        <item m="1" x="390"/>
        <item m="1" x="378"/>
        <item m="1" x="342"/>
        <item x="111"/>
        <item m="1" x="367"/>
        <item m="1" x="365"/>
        <item m="1" x="366"/>
        <item m="1" x="325"/>
        <item m="1" x="368"/>
        <item m="1" x="362"/>
        <item x="122"/>
        <item m="1" x="363"/>
        <item m="1" x="336"/>
        <item m="1" x="357"/>
        <item m="1" x="353"/>
        <item m="1" x="297"/>
        <item m="1" x="347"/>
        <item m="1" x="344"/>
        <item m="1" x="345"/>
        <item x="151"/>
        <item m="1" x="247"/>
        <item m="1" x="263"/>
        <item m="1" x="273"/>
        <item m="1" x="301"/>
        <item m="1" x="352"/>
        <item m="1" x="348"/>
        <item m="1" x="339"/>
        <item m="1" x="285"/>
        <item m="1" x="349"/>
        <item m="1" x="350"/>
        <item x="194"/>
        <item m="1" x="330"/>
        <item m="1" x="343"/>
        <item m="1" x="288"/>
        <item m="1" x="337"/>
        <item m="1" x="316"/>
        <item m="1" x="317"/>
        <item x="109"/>
        <item m="1" x="259"/>
        <item m="1" x="266"/>
        <item x="206"/>
        <item m="1" x="358"/>
        <item m="1" x="359"/>
        <item m="1" x="356"/>
        <item x="31"/>
        <item m="1" x="354"/>
        <item m="1" x="308"/>
        <item m="1" x="282"/>
        <item x="110"/>
        <item x="210"/>
        <item m="1" x="332"/>
        <item m="1" x="314"/>
        <item x="189"/>
        <item x="7"/>
        <item m="1" x="351"/>
        <item m="1" x="307"/>
        <item m="1" x="318"/>
        <item x="121"/>
        <item m="1" x="319"/>
        <item m="1" x="309"/>
        <item m="1" x="310"/>
        <item m="1" x="269"/>
        <item m="1" x="306"/>
        <item x="212"/>
        <item m="1" x="302"/>
        <item m="1" x="298"/>
        <item m="1" x="300"/>
        <item m="1" x="286"/>
        <item m="1" x="281"/>
        <item m="1" x="360"/>
        <item m="1" x="322"/>
        <item m="1" x="303"/>
        <item x="24"/>
        <item x="8"/>
        <item m="1" x="338"/>
        <item m="1" x="320"/>
        <item m="1" x="321"/>
        <item m="1" x="323"/>
        <item m="1" x="311"/>
        <item x="70"/>
        <item m="1" x="304"/>
        <item m="1" x="299"/>
        <item m="1" x="287"/>
        <item m="1" x="283"/>
        <item m="1" x="275"/>
        <item m="1" x="270"/>
        <item m="1" x="245"/>
        <item x="142"/>
        <item m="1" x="361"/>
        <item m="1" x="333"/>
        <item x="16"/>
        <item x="19"/>
        <item m="1" x="251"/>
        <item m="1" x="271"/>
        <item m="1" x="265"/>
        <item x="66"/>
        <item m="1" x="272"/>
        <item x="38"/>
        <item m="1" x="276"/>
        <item m="1" x="246"/>
        <item x="176"/>
        <item x="213"/>
        <item m="1" x="326"/>
        <item m="1" x="315"/>
        <item m="1" x="305"/>
        <item x="1"/>
        <item x="170"/>
        <item m="1" x="243"/>
        <item x="154"/>
        <item x="171"/>
        <item m="1" x="329"/>
        <item m="1" x="327"/>
        <item x="20"/>
        <item m="1" x="312"/>
        <item m="1" x="313"/>
        <item x="120"/>
        <item m="1" x="289"/>
        <item m="1" x="290"/>
        <item m="1" x="291"/>
        <item m="1" x="292"/>
        <item m="1" x="293"/>
        <item m="1" x="294"/>
        <item m="1" x="295"/>
        <item m="1" x="296"/>
        <item x="182"/>
        <item m="1" x="277"/>
        <item m="1" x="274"/>
        <item x="86"/>
        <item x="100"/>
        <item x="134"/>
        <item x="39"/>
        <item x="101"/>
        <item x="85"/>
        <item x="204"/>
        <item x="21"/>
        <item x="55"/>
        <item x="0"/>
        <item x="174"/>
        <item x="130"/>
        <item x="59"/>
        <item m="1" x="239"/>
        <item x="63"/>
        <item m="1" x="262"/>
        <item x="73"/>
        <item x="160"/>
        <item m="1" x="254"/>
        <item x="138"/>
        <item m="1" x="224"/>
        <item m="1" x="248"/>
        <item x="62"/>
        <item x="40"/>
        <item x="175"/>
        <item m="1" x="250"/>
        <item m="1" x="238"/>
        <item m="1" x="234"/>
        <item x="158"/>
        <item m="1" x="235"/>
        <item x="22"/>
        <item x="179"/>
        <item m="1" x="268"/>
        <item x="201"/>
        <item m="1" x="236"/>
        <item x="23"/>
        <item x="108"/>
        <item x="207"/>
        <item x="44"/>
        <item x="148"/>
        <item x="137"/>
        <item x="17"/>
        <item x="53"/>
        <item m="1" x="260"/>
        <item m="1" x="232"/>
        <item m="1" x="242"/>
        <item m="1" x="222"/>
        <item x="104"/>
        <item x="141"/>
        <item x="177"/>
        <item x="188"/>
        <item x="193"/>
        <item m="1" x="241"/>
        <item m="1" x="231"/>
        <item m="1" x="225"/>
        <item x="32"/>
        <item x="81"/>
        <item x="2"/>
        <item x="3"/>
        <item x="4"/>
        <item x="18"/>
        <item x="33"/>
        <item x="34"/>
        <item x="45"/>
        <item x="54"/>
        <item x="61"/>
        <item x="72"/>
        <item x="78"/>
        <item x="79"/>
        <item x="80"/>
        <item x="82"/>
        <item m="1" x="261"/>
        <item m="1" x="253"/>
        <item x="116"/>
        <item x="197"/>
        <item x="198"/>
        <item x="203"/>
        <item m="1" x="256"/>
        <item x="35"/>
        <item x="36"/>
        <item x="37"/>
        <item x="83"/>
        <item x="84"/>
        <item x="90"/>
        <item x="91"/>
        <item x="94"/>
        <item x="107"/>
        <item x="106"/>
        <item x="105"/>
        <item x="118"/>
        <item x="117"/>
        <item x="128"/>
        <item x="129"/>
        <item x="157"/>
        <item x="144"/>
        <item x="152"/>
        <item x="145"/>
        <item x="211"/>
        <item m="1" x="228"/>
        <item x="51"/>
        <item m="1" x="229"/>
        <item x="87"/>
        <item x="93"/>
        <item x="146"/>
        <item x="14"/>
        <item x="172"/>
        <item m="1" x="249"/>
        <item x="88"/>
        <item m="1" x="230"/>
        <item x="52"/>
        <item x="47"/>
        <item x="156"/>
        <item x="113"/>
        <item m="1" x="240"/>
        <item x="50"/>
        <item x="159"/>
        <item x="161"/>
        <item x="71"/>
        <item x="27"/>
        <item x="214"/>
        <item m="1" x="233"/>
        <item m="1" x="223"/>
        <item x="60"/>
        <item x="102"/>
        <item x="67"/>
        <item x="112"/>
        <item x="140"/>
        <item x="136"/>
        <item x="126"/>
        <item x="5"/>
        <item x="217"/>
        <item x="164"/>
        <item x="180"/>
        <item x="215"/>
        <item x="216"/>
        <item x="199"/>
        <item x="15"/>
        <item x="202"/>
        <item x="132"/>
        <item x="139"/>
        <item x="165"/>
        <item x="166"/>
        <item x="169"/>
        <item x="77"/>
        <item x="95"/>
        <item x="99"/>
        <item x="133"/>
        <item x="147"/>
        <item x="173"/>
        <item x="181"/>
        <item x="185"/>
        <item x="184"/>
        <item x="187"/>
        <item x="196"/>
        <item x="200"/>
        <item x="205"/>
        <item x="208"/>
        <item x="124"/>
        <item x="163"/>
        <item x="168"/>
        <item x="167"/>
        <item x="89"/>
        <item x="150"/>
        <item x="125"/>
        <item x="103"/>
        <item x="1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21">
    <i>
      <x v="230"/>
    </i>
    <i>
      <x v="456"/>
    </i>
    <i>
      <x v="15"/>
    </i>
    <i>
      <x v="361"/>
    </i>
    <i>
      <x v="51"/>
    </i>
    <i>
      <x v="336"/>
    </i>
    <i>
      <x v="185"/>
    </i>
    <i>
      <x v="457"/>
    </i>
    <i>
      <x v="209"/>
    </i>
    <i>
      <x v="429"/>
    </i>
    <i>
      <x v="100"/>
    </i>
    <i>
      <x v="52"/>
    </i>
    <i>
      <x v="166"/>
    </i>
    <i>
      <x v="488"/>
    </i>
    <i>
      <x v="341"/>
    </i>
    <i>
      <x v="184"/>
    </i>
    <i>
      <x/>
    </i>
    <i>
      <x v="222"/>
    </i>
    <i>
      <x v="426"/>
    </i>
    <i>
      <x v="424"/>
    </i>
    <i>
      <x v="117"/>
    </i>
    <i>
      <x v="189"/>
    </i>
    <i>
      <x v="337"/>
    </i>
    <i>
      <x v="226"/>
    </i>
    <i>
      <x v="543"/>
    </i>
    <i>
      <x v="512"/>
    </i>
    <i>
      <x v="544"/>
    </i>
    <i>
      <x v="42"/>
    </i>
    <i>
      <x v="232"/>
    </i>
    <i>
      <x v="318"/>
    </i>
    <i>
      <x v="393"/>
    </i>
    <i>
      <x v="21"/>
    </i>
    <i>
      <x v="35"/>
    </i>
    <i>
      <x v="340"/>
    </i>
    <i>
      <x v="43"/>
    </i>
    <i>
      <x v="383"/>
    </i>
    <i>
      <x v="238"/>
    </i>
    <i>
      <x v="72"/>
    </i>
    <i>
      <x v="220"/>
    </i>
    <i>
      <x v="291"/>
    </i>
    <i>
      <x v="360"/>
    </i>
    <i>
      <x v="137"/>
    </i>
    <i>
      <x v="9"/>
    </i>
    <i>
      <x v="63"/>
    </i>
    <i>
      <x v="548"/>
    </i>
    <i>
      <x v="482"/>
    </i>
    <i>
      <x v="22"/>
    </i>
    <i>
      <x v="136"/>
    </i>
    <i>
      <x v="159"/>
    </i>
    <i>
      <x v="417"/>
    </i>
    <i>
      <x v="99"/>
    </i>
    <i>
      <x v="182"/>
    </i>
    <i>
      <x v="378"/>
    </i>
    <i>
      <x v="509"/>
    </i>
    <i>
      <x v="438"/>
    </i>
    <i>
      <x v="379"/>
    </i>
    <i>
      <x v="518"/>
    </i>
    <i>
      <x v="49"/>
    </i>
    <i>
      <x v="10"/>
    </i>
    <i>
      <x v="227"/>
    </i>
    <i>
      <x v="453"/>
    </i>
    <i>
      <x v="211"/>
    </i>
    <i>
      <x v="231"/>
    </i>
    <i>
      <x v="454"/>
    </i>
    <i>
      <x v="439"/>
    </i>
    <i>
      <x v="397"/>
    </i>
    <i>
      <x v="448"/>
    </i>
    <i>
      <x v="527"/>
    </i>
    <i>
      <x v="234"/>
    </i>
    <i>
      <x v="394"/>
    </i>
    <i>
      <x v="425"/>
    </i>
    <i>
      <x v="76"/>
    </i>
    <i>
      <x v="141"/>
    </i>
    <i>
      <x v="431"/>
    </i>
    <i>
      <x v="45"/>
    </i>
    <i>
      <x v="396"/>
    </i>
    <i>
      <x v="102"/>
    </i>
    <i>
      <x v="26"/>
    </i>
    <i>
      <x v="517"/>
    </i>
    <i>
      <x v="501"/>
    </i>
    <i>
      <x v="422"/>
    </i>
    <i>
      <x v="551"/>
    </i>
    <i>
      <x v="545"/>
    </i>
    <i>
      <x v="446"/>
    </i>
    <i>
      <x v="533"/>
    </i>
    <i>
      <x v="420"/>
    </i>
    <i>
      <x v="427"/>
    </i>
    <i>
      <x v="497"/>
    </i>
    <i>
      <x v="578"/>
    </i>
    <i>
      <x v="579"/>
    </i>
    <i>
      <x v="510"/>
    </i>
    <i>
      <x v="452"/>
    </i>
    <i>
      <x v="92"/>
    </i>
    <i>
      <x v="550"/>
    </i>
    <i>
      <x v="400"/>
    </i>
    <i>
      <x v="542"/>
    </i>
    <i>
      <x v="462"/>
    </i>
    <i>
      <x v="62"/>
    </i>
    <i>
      <x v="519"/>
    </i>
    <i>
      <x v="534"/>
    </i>
    <i>
      <x v="432"/>
    </i>
    <i>
      <x v="421"/>
    </i>
    <i>
      <x v="529"/>
    </i>
    <i>
      <x v="212"/>
    </i>
    <i>
      <x v="443"/>
    </i>
    <i>
      <x v="516"/>
    </i>
    <i>
      <x v="375"/>
    </i>
    <i>
      <x v="531"/>
    </i>
    <i>
      <x v="4"/>
    </i>
    <i>
      <x v="511"/>
    </i>
    <i>
      <x v="552"/>
    </i>
    <i>
      <x v="546"/>
    </i>
    <i>
      <x v="307"/>
    </i>
    <i>
      <x v="498"/>
    </i>
    <i>
      <x v="423"/>
    </i>
    <i>
      <x v="85"/>
    </i>
    <i>
      <x v="547"/>
    </i>
    <i>
      <x v="571"/>
    </i>
    <i>
      <x v="520"/>
    </i>
    <i>
      <x v="241"/>
    </i>
    <i>
      <x v="415"/>
    </i>
    <i>
      <x v="455"/>
    </i>
    <i>
      <x v="416"/>
    </i>
    <i>
      <x v="412"/>
    </i>
    <i>
      <x v="563"/>
    </i>
    <i>
      <x v="437"/>
    </i>
    <i>
      <x v="574"/>
    </i>
    <i>
      <x v="481"/>
    </i>
    <i>
      <x v="463"/>
    </i>
    <i>
      <x v="532"/>
    </i>
    <i>
      <x v="554"/>
    </i>
    <i>
      <x v="530"/>
    </i>
    <i>
      <x v="576"/>
    </i>
    <i>
      <x v="490"/>
    </i>
    <i>
      <x v="507"/>
    </i>
    <i>
      <x v="445"/>
    </i>
    <i>
      <x v="389"/>
    </i>
    <i>
      <x v="508"/>
    </i>
    <i>
      <x v="572"/>
    </i>
    <i>
      <x v="526"/>
    </i>
    <i>
      <x v="287"/>
    </i>
    <i>
      <x v="557"/>
    </i>
    <i>
      <x v="556"/>
    </i>
    <i>
      <x v="450"/>
    </i>
    <i>
      <x v="524"/>
    </i>
    <i>
      <x v="388"/>
    </i>
    <i>
      <x v="549"/>
    </i>
    <i>
      <x v="419"/>
    </i>
    <i>
      <x v="489"/>
    </i>
    <i>
      <x v="569"/>
    </i>
    <i>
      <x v="491"/>
    </i>
    <i>
      <x v="470"/>
    </i>
    <i>
      <x v="500"/>
    </i>
    <i>
      <x v="493"/>
    </i>
    <i>
      <x v="577"/>
    </i>
    <i>
      <x v="514"/>
    </i>
    <i>
      <x v="464"/>
    </i>
    <i>
      <x v="403"/>
    </i>
    <i>
      <x v="272"/>
    </i>
    <i>
      <x v="325"/>
    </i>
    <i>
      <x v="451"/>
    </i>
    <i>
      <x v="351"/>
    </i>
    <i>
      <x v="261"/>
    </i>
    <i>
      <x v="418"/>
    </i>
    <i>
      <x v="558"/>
    </i>
    <i>
      <x v="541"/>
    </i>
    <i>
      <x v="573"/>
    </i>
    <i>
      <x v="522"/>
    </i>
    <i>
      <x v="434"/>
    </i>
    <i>
      <x v="537"/>
    </i>
    <i>
      <x v="525"/>
    </i>
    <i>
      <x v="476"/>
    </i>
    <i>
      <x v="555"/>
    </i>
    <i>
      <x v="506"/>
    </i>
    <i>
      <x v="540"/>
    </i>
    <i>
      <x v="580"/>
    </i>
    <i>
      <x v="466"/>
    </i>
    <i>
      <x v="575"/>
    </i>
    <i>
      <x v="494"/>
    </i>
    <i>
      <x v="553"/>
    </i>
    <i>
      <x v="565"/>
    </i>
    <i>
      <x v="328"/>
    </i>
    <i>
      <x v="472"/>
    </i>
    <i>
      <x v="254"/>
    </i>
    <i>
      <x v="539"/>
    </i>
    <i>
      <x v="471"/>
    </i>
    <i>
      <x v="480"/>
    </i>
    <i>
      <x v="479"/>
    </i>
    <i>
      <x v="564"/>
    </i>
    <i>
      <x v="247"/>
    </i>
    <i>
      <x v="475"/>
    </i>
    <i>
      <x v="474"/>
    </i>
    <i>
      <x v="567"/>
    </i>
    <i>
      <x v="504"/>
    </i>
    <i>
      <x v="495"/>
    </i>
    <i>
      <x v="502"/>
    </i>
    <i>
      <x v="385"/>
    </i>
    <i>
      <x v="478"/>
    </i>
    <i>
      <x v="559"/>
    </i>
    <i>
      <x v="332"/>
    </i>
    <i>
      <x v="483"/>
    </i>
    <i>
      <x v="570"/>
    </i>
    <i>
      <x v="465"/>
    </i>
    <i>
      <x v="485"/>
    </i>
    <i>
      <x v="568"/>
    </i>
    <i>
      <x v="503"/>
    </i>
    <i>
      <x v="538"/>
    </i>
    <i>
      <x v="477"/>
    </i>
    <i>
      <x v="496"/>
    </i>
    <i>
      <x v="345"/>
    </i>
    <i>
      <x v="484"/>
    </i>
    <i>
      <x v="561"/>
    </i>
    <i>
      <x v="499"/>
    </i>
    <i>
      <x v="367"/>
    </i>
    <i>
      <x v="298"/>
    </i>
    <i>
      <x v="473"/>
    </i>
    <i>
      <x v="505"/>
    </i>
    <i>
      <x v="566"/>
    </i>
    <i>
      <x v="560"/>
    </i>
    <i>
      <x v="562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22"/>
  <sheetViews>
    <sheetView tabSelected="1" zoomScale="85" zoomScaleNormal="85" workbookViewId="0">
      <selection activeCell="L12" sqref="L12"/>
    </sheetView>
  </sheetViews>
  <sheetFormatPr baseColWidth="10" defaultColWidth="11.42578125" defaultRowHeight="15"/>
  <cols>
    <col min="1" max="1" width="60" customWidth="1"/>
    <col min="2" max="2" width="22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2411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2490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2412</v>
      </c>
      <c r="B4" s="13"/>
      <c r="C4" s="13"/>
      <c r="D4" s="13"/>
      <c r="E4" s="13"/>
      <c r="F4" s="13"/>
      <c r="G4" s="13"/>
      <c r="H4" s="13"/>
      <c r="I4" s="13"/>
      <c r="K4" s="171" t="s">
        <v>1942</v>
      </c>
      <c r="L4" s="171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7" t="s">
        <v>19</v>
      </c>
      <c r="L5" s="168"/>
      <c r="M5" s="169"/>
      <c r="N5" s="170"/>
      <c r="P5" s="20"/>
      <c r="Q5" s="21"/>
    </row>
    <row r="6" spans="1:23">
      <c r="A6" s="13" t="s">
        <v>462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46224</v>
      </c>
      <c r="M7" s="2">
        <f>WORKDAY(L7,1,$R:$R)</f>
        <v>46225</v>
      </c>
      <c r="N7" s="2">
        <f>WORKDAY(M7,1,$R:$R)</f>
        <v>46226</v>
      </c>
      <c r="R7" s="52">
        <v>45719</v>
      </c>
      <c r="S7" s="4" t="s">
        <v>110</v>
      </c>
    </row>
    <row r="8" spans="1:23">
      <c r="A8" s="13" t="s">
        <v>27</v>
      </c>
      <c r="B8" s="18">
        <v>53512320872.980003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51729290539.559998</v>
      </c>
      <c r="C9" s="18">
        <v>96.67</v>
      </c>
      <c r="D9" s="18">
        <v>98.83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3">
      <c r="A10" s="13" t="s">
        <v>210</v>
      </c>
      <c r="B10" s="15">
        <v>621840075</v>
      </c>
      <c r="C10" s="18">
        <v>1.1599999999999999</v>
      </c>
      <c r="D10" s="18">
        <v>1.19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3">
      <c r="A11" s="13" t="s">
        <v>195</v>
      </c>
      <c r="B11" s="15">
        <v>-1209937500</v>
      </c>
      <c r="C11" s="18">
        <v>-2.2599999999999998</v>
      </c>
      <c r="D11" s="18">
        <v>-2.31</v>
      </c>
      <c r="E11" s="13"/>
      <c r="F11" s="13"/>
      <c r="G11" s="13"/>
      <c r="H11" s="13"/>
      <c r="I11" s="13"/>
      <c r="K11" s="10" t="s">
        <v>84</v>
      </c>
      <c r="L11" s="38">
        <f>SUMIF($B$95:$B$1718,L7,$D$95:$D$1718)</f>
        <v>1333344499.4099996</v>
      </c>
      <c r="M11" s="38">
        <f t="shared" ref="L11:N11" si="0">SUMIF($B$95:$B$1621,M7,$D$95:$D$1621)</f>
        <v>644342082.33999991</v>
      </c>
      <c r="N11" s="38">
        <f t="shared" si="0"/>
        <v>1001832682</v>
      </c>
      <c r="O11" s="79"/>
      <c r="P11" s="9"/>
      <c r="R11" s="52">
        <v>45765</v>
      </c>
    </row>
    <row r="12" spans="1:23">
      <c r="A12" s="13" t="s">
        <v>14</v>
      </c>
      <c r="B12" s="18">
        <v>2738484.27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+SUMIF($B$1723:$B$1749,L7,$F$1723:$F$1749)</f>
        <v>0</v>
      </c>
      <c r="M12" s="51">
        <f t="shared" ref="M12:N12" si="1">+SUMIF($B$1674:$B$1700,M7,$F$1673:$F$1699)</f>
        <v>0</v>
      </c>
      <c r="N12" s="51">
        <f t="shared" si="1"/>
        <v>0</v>
      </c>
      <c r="O12" s="68"/>
      <c r="P12" s="17"/>
      <c r="R12" s="52">
        <v>45778</v>
      </c>
      <c r="W12" s="83"/>
    </row>
    <row r="13" spans="1:23">
      <c r="A13" s="13" t="s">
        <v>26</v>
      </c>
      <c r="B13" s="18">
        <v>2738543.48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1966000000</v>
      </c>
      <c r="M13" s="39"/>
      <c r="N13" s="33"/>
      <c r="O13" s="68"/>
      <c r="P13" s="9"/>
      <c r="R13" s="52">
        <v>45779</v>
      </c>
      <c r="T13" s="99"/>
    </row>
    <row r="14" spans="1:23">
      <c r="A14" s="13" t="s">
        <v>1066</v>
      </c>
      <c r="B14" s="18">
        <v>-59.21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2738543.48</v>
      </c>
      <c r="M14" s="49"/>
      <c r="N14" s="49"/>
      <c r="O14" s="68"/>
      <c r="P14" s="9"/>
      <c r="Q14" s="5"/>
      <c r="R14" s="52">
        <v>45802</v>
      </c>
      <c r="T14" s="99"/>
    </row>
    <row r="15" spans="1:23">
      <c r="A15" s="13" t="s">
        <v>120</v>
      </c>
      <c r="B15" s="18">
        <v>1780291849.1500001</v>
      </c>
      <c r="C15" s="18">
        <v>3.33</v>
      </c>
      <c r="D15" s="151">
        <v>3.4</v>
      </c>
      <c r="E15" s="13"/>
      <c r="F15" s="13"/>
      <c r="G15" s="13"/>
      <c r="H15" s="13"/>
      <c r="I15" s="13"/>
      <c r="K15" t="s">
        <v>108</v>
      </c>
      <c r="L15" s="33">
        <v>-1487500</v>
      </c>
      <c r="M15" s="33"/>
      <c r="N15" s="19"/>
      <c r="O15" s="81"/>
      <c r="R15" s="52">
        <v>45824</v>
      </c>
    </row>
    <row r="16" spans="1:23">
      <c r="A16" s="13" t="s">
        <v>18</v>
      </c>
      <c r="B16" s="18">
        <v>-1168934030.71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 s="33"/>
      <c r="P16" s="5"/>
      <c r="R16" s="52">
        <v>45828</v>
      </c>
    </row>
    <row r="17" spans="1:21">
      <c r="A17" s="13" t="s">
        <v>11</v>
      </c>
      <c r="B17" s="18">
        <v>-78800287.540000007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421</v>
      </c>
      <c r="L17" s="142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-4572435.6399999997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3300595542.8899999</v>
      </c>
      <c r="M18" s="33"/>
      <c r="N18" s="33"/>
      <c r="O18" s="80"/>
      <c r="R18" s="52">
        <v>45884</v>
      </c>
    </row>
    <row r="19" spans="1:21">
      <c r="A19" s="13" t="s">
        <v>15</v>
      </c>
      <c r="B19" s="18">
        <v>-67479865.370000005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v>-124202792.7</v>
      </c>
      <c r="M19" s="33"/>
      <c r="N19" s="33"/>
      <c r="R19" s="52">
        <v>45886</v>
      </c>
    </row>
    <row r="20" spans="1:21">
      <c r="A20" s="13" t="s">
        <v>109</v>
      </c>
      <c r="B20" s="18">
        <v>-6747986.5300000003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311</v>
      </c>
      <c r="L20" s="33"/>
      <c r="M20" s="33"/>
      <c r="N20" s="33"/>
      <c r="R20" s="52">
        <v>45942</v>
      </c>
    </row>
    <row r="21" spans="1:21">
      <c r="A21" s="13" t="s">
        <v>119</v>
      </c>
      <c r="B21" s="18">
        <v>-1080654806.0899999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321</v>
      </c>
      <c r="L21" s="33"/>
      <c r="M21" s="33"/>
      <c r="N21" s="33"/>
      <c r="R21" s="52">
        <v>45982</v>
      </c>
    </row>
    <row r="22" spans="1:21">
      <c r="A22" s="13" t="s">
        <v>2413</v>
      </c>
      <c r="B22" s="18">
        <v>-751111995.25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  <c r="U22" s="86"/>
    </row>
    <row r="23" spans="1:21">
      <c r="A23" s="13" t="s">
        <v>133</v>
      </c>
      <c r="B23" s="18">
        <v>-288413807.55000001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-751111995.25</v>
      </c>
      <c r="M23" s="33"/>
      <c r="N23" s="33"/>
      <c r="Q23" s="7"/>
      <c r="R23" s="52">
        <v>45999</v>
      </c>
    </row>
    <row r="24" spans="1:21">
      <c r="A24" s="13" t="s">
        <v>29</v>
      </c>
      <c r="B24" s="18">
        <v>52343386842.269997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492</v>
      </c>
      <c r="L24" s="166"/>
      <c r="M24" s="94"/>
      <c r="N24" s="7"/>
      <c r="R24" s="52">
        <v>46016</v>
      </c>
    </row>
    <row r="25" spans="1:21">
      <c r="A25" s="13" t="s">
        <v>3</v>
      </c>
      <c r="B25" s="18">
        <v>692896590.25</v>
      </c>
      <c r="C25" s="13" t="s">
        <v>28</v>
      </c>
      <c r="D25" s="18">
        <v>1.32</v>
      </c>
      <c r="E25" s="13"/>
      <c r="F25" s="13"/>
      <c r="G25" s="13"/>
      <c r="H25" s="13"/>
      <c r="I25" s="13"/>
      <c r="K25" s="10" t="s">
        <v>372</v>
      </c>
      <c r="L25" s="39"/>
      <c r="M25" s="94"/>
      <c r="N25" s="7"/>
      <c r="R25" s="52"/>
    </row>
    <row r="26" spans="1:21">
      <c r="A26" s="13" t="s">
        <v>24</v>
      </c>
      <c r="B26" s="18">
        <v>614096302.71000004</v>
      </c>
      <c r="C26" s="13" t="s">
        <v>28</v>
      </c>
      <c r="D26" s="18">
        <v>1.17</v>
      </c>
      <c r="E26" s="13"/>
      <c r="F26" s="13"/>
      <c r="G26" s="13"/>
      <c r="H26" s="13"/>
      <c r="I26" s="13"/>
      <c r="K26" s="8" t="s">
        <v>1584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2425280754.9400001</v>
      </c>
      <c r="M27" s="6">
        <f>SUM(M8:M26)</f>
        <v>644342082.33999991</v>
      </c>
      <c r="N27" s="6">
        <f>SUM(N8:N26)</f>
        <v>1001832682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40119208434.379997</v>
      </c>
      <c r="M31" s="98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0.76646183700863735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584</v>
      </c>
      <c r="L40" s="145">
        <f>VLOOKUP("Valor Patrimonial del Fondo",A:B,2,0)+L22+L23</f>
        <v>51592274847.019997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585</v>
      </c>
      <c r="L41" s="143">
        <f>+L40*0.05</f>
        <v>2579613742.3509998</v>
      </c>
      <c r="N41" s="88"/>
      <c r="O41" s="82"/>
    </row>
    <row r="42" spans="1:17">
      <c r="A42" s="13" t="s">
        <v>463</v>
      </c>
      <c r="B42" s="13"/>
      <c r="C42" s="13"/>
      <c r="D42" s="13"/>
      <c r="E42" s="13"/>
      <c r="F42" s="13"/>
      <c r="G42" s="13"/>
      <c r="H42" s="13"/>
      <c r="I42" s="13"/>
      <c r="K42" s="144" t="s">
        <v>586</v>
      </c>
      <c r="L42" s="143">
        <f>+L40*0.2</f>
        <v>10318454969.403999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988</v>
      </c>
      <c r="B44" s="13" t="s">
        <v>989</v>
      </c>
      <c r="C44" s="15">
        <v>200000000</v>
      </c>
      <c r="D44" s="150">
        <v>1.1968000000000001</v>
      </c>
      <c r="E44" s="15">
        <v>239354022</v>
      </c>
      <c r="F44" s="18">
        <v>0.46</v>
      </c>
      <c r="G44" s="15">
        <v>0</v>
      </c>
      <c r="H44" s="13" t="s">
        <v>28</v>
      </c>
      <c r="I44" s="139" t="s">
        <v>990</v>
      </c>
      <c r="J44" s="95"/>
      <c r="K44" s="129"/>
      <c r="N44" s="88"/>
      <c r="O44" s="82"/>
    </row>
    <row r="45" spans="1:17">
      <c r="A45" s="13" t="s">
        <v>2259</v>
      </c>
      <c r="B45" s="13" t="s">
        <v>2260</v>
      </c>
      <c r="C45" s="15">
        <v>300000000</v>
      </c>
      <c r="D45" s="18">
        <v>1.04</v>
      </c>
      <c r="E45" s="15">
        <v>312000075</v>
      </c>
      <c r="F45" s="151">
        <v>0.6</v>
      </c>
      <c r="G45" s="150">
        <v>1.0398000000000001</v>
      </c>
      <c r="H45" s="18">
        <v>0.02</v>
      </c>
      <c r="I45" s="139" t="s">
        <v>2261</v>
      </c>
      <c r="N45" s="82"/>
      <c r="O45" s="82"/>
    </row>
    <row r="46" spans="1:17">
      <c r="A46" s="13"/>
      <c r="B46" s="13" t="s">
        <v>28</v>
      </c>
      <c r="C46" s="15">
        <v>500000000</v>
      </c>
      <c r="D46" s="13" t="s">
        <v>28</v>
      </c>
      <c r="E46" s="15">
        <v>551354097</v>
      </c>
      <c r="F46" s="18">
        <v>1.05</v>
      </c>
      <c r="G46" s="13" t="s">
        <v>28</v>
      </c>
      <c r="H46" s="13" t="s">
        <v>28</v>
      </c>
      <c r="I46" s="13" t="s">
        <v>28</v>
      </c>
      <c r="N46" s="82"/>
      <c r="O46" s="82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3" t="s">
        <v>464</v>
      </c>
      <c r="B48" s="13"/>
      <c r="C48" s="13"/>
      <c r="D48" s="13"/>
      <c r="E48" s="13"/>
      <c r="F48" s="13"/>
      <c r="G48" s="13"/>
      <c r="H48" s="13"/>
      <c r="I48" s="13"/>
      <c r="N48" s="82"/>
      <c r="O48" s="82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2"/>
      <c r="O49" s="82"/>
    </row>
    <row r="50" spans="1:20">
      <c r="A50" s="13" t="s">
        <v>315</v>
      </c>
      <c r="B50" s="13" t="s">
        <v>316</v>
      </c>
      <c r="C50" s="15">
        <v>300000000</v>
      </c>
      <c r="D50" s="150">
        <v>1.0468999999999999</v>
      </c>
      <c r="E50" s="15">
        <v>314055738</v>
      </c>
      <c r="F50" s="151">
        <v>0.6</v>
      </c>
      <c r="G50" s="15">
        <v>1</v>
      </c>
      <c r="H50" s="18">
        <v>4.6900000000000004</v>
      </c>
      <c r="I50" s="139" t="s">
        <v>317</v>
      </c>
      <c r="N50" s="82"/>
    </row>
    <row r="51" spans="1:20">
      <c r="A51" s="13" t="s">
        <v>1686</v>
      </c>
      <c r="B51" s="13" t="s">
        <v>1687</v>
      </c>
      <c r="C51" s="15">
        <v>250000000</v>
      </c>
      <c r="D51" s="150">
        <v>1.0104</v>
      </c>
      <c r="E51" s="151">
        <v>252609372.5</v>
      </c>
      <c r="F51" s="18">
        <v>0.48</v>
      </c>
      <c r="G51" s="15">
        <v>1</v>
      </c>
      <c r="H51" s="18">
        <v>1.04</v>
      </c>
      <c r="I51" s="139" t="s">
        <v>1688</v>
      </c>
    </row>
    <row r="52" spans="1:20">
      <c r="A52" s="13" t="s">
        <v>835</v>
      </c>
      <c r="B52" s="13" t="s">
        <v>836</v>
      </c>
      <c r="C52" s="15">
        <v>300000000</v>
      </c>
      <c r="D52" s="150">
        <v>1.0602</v>
      </c>
      <c r="E52" s="15">
        <v>318049248</v>
      </c>
      <c r="F52" s="18">
        <v>0.61</v>
      </c>
      <c r="G52" s="15">
        <v>1</v>
      </c>
      <c r="H52" s="18">
        <v>6.02</v>
      </c>
      <c r="I52" s="139" t="s">
        <v>837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1">
        <v>884714358.5</v>
      </c>
      <c r="F53" s="18">
        <v>1.69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465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1760</v>
      </c>
      <c r="B57" s="13" t="s">
        <v>1667</v>
      </c>
      <c r="C57" s="15">
        <v>250000000</v>
      </c>
      <c r="D57" s="150">
        <v>1.0106999999999999</v>
      </c>
      <c r="E57" s="151">
        <v>252680857.5</v>
      </c>
      <c r="F57" s="18">
        <v>0.48</v>
      </c>
      <c r="G57" s="150">
        <v>0.97840000000000005</v>
      </c>
      <c r="H57" s="151">
        <v>3.3</v>
      </c>
      <c r="I57" s="139" t="s">
        <v>1668</v>
      </c>
    </row>
    <row r="58" spans="1:20">
      <c r="A58" s="13" t="s">
        <v>164</v>
      </c>
      <c r="B58" s="13" t="s">
        <v>165</v>
      </c>
      <c r="C58" s="15">
        <v>100000000</v>
      </c>
      <c r="D58" s="150">
        <v>0.2681</v>
      </c>
      <c r="E58" s="15">
        <v>26814747</v>
      </c>
      <c r="F58" s="18">
        <v>0.05</v>
      </c>
      <c r="G58" s="150">
        <v>0.98460000000000003</v>
      </c>
      <c r="H58" s="18">
        <v>-72.77</v>
      </c>
      <c r="I58" s="139" t="s">
        <v>166</v>
      </c>
    </row>
    <row r="59" spans="1:20">
      <c r="A59" s="13" t="s">
        <v>293</v>
      </c>
      <c r="B59" s="13" t="s">
        <v>294</v>
      </c>
      <c r="C59" s="15">
        <v>101962042</v>
      </c>
      <c r="D59" s="150">
        <v>1.3902000000000001</v>
      </c>
      <c r="E59" s="151">
        <v>141742658.09999999</v>
      </c>
      <c r="F59" s="18">
        <v>0.27</v>
      </c>
      <c r="G59" s="152">
        <v>0.92400000000000004</v>
      </c>
      <c r="H59" s="18">
        <v>50.45</v>
      </c>
      <c r="I59" s="139" t="s">
        <v>295</v>
      </c>
    </row>
    <row r="60" spans="1:20">
      <c r="A60" s="13" t="s">
        <v>296</v>
      </c>
      <c r="B60" s="13" t="s">
        <v>297</v>
      </c>
      <c r="C60" s="15">
        <v>382357659</v>
      </c>
      <c r="D60" s="150">
        <v>1.1676</v>
      </c>
      <c r="E60" s="18">
        <v>446425282.75</v>
      </c>
      <c r="F60" s="18">
        <v>0.85</v>
      </c>
      <c r="G60" s="18">
        <v>0.85</v>
      </c>
      <c r="H60" s="18">
        <v>37.36</v>
      </c>
      <c r="I60" s="139" t="s">
        <v>298</v>
      </c>
      <c r="R60" s="9"/>
    </row>
    <row r="61" spans="1:20">
      <c r="A61" s="13" t="s">
        <v>433</v>
      </c>
      <c r="B61" s="13" t="s">
        <v>434</v>
      </c>
      <c r="C61" s="15">
        <v>75584213</v>
      </c>
      <c r="D61" s="150">
        <v>1.0730999999999999</v>
      </c>
      <c r="E61" s="18">
        <v>81109626.069999993</v>
      </c>
      <c r="F61" s="18">
        <v>0.15</v>
      </c>
      <c r="G61" s="150">
        <v>0.87180000000000002</v>
      </c>
      <c r="H61" s="18">
        <v>23.09</v>
      </c>
      <c r="I61" s="139" t="s">
        <v>435</v>
      </c>
    </row>
    <row r="62" spans="1:20">
      <c r="A62" s="13" t="s">
        <v>436</v>
      </c>
      <c r="B62" s="13" t="s">
        <v>437</v>
      </c>
      <c r="C62" s="15">
        <v>176363163</v>
      </c>
      <c r="D62" s="150">
        <v>1.0181</v>
      </c>
      <c r="E62" s="18">
        <v>179554532.03</v>
      </c>
      <c r="F62" s="18">
        <v>0.34</v>
      </c>
      <c r="G62" s="150">
        <v>0.84460000000000002</v>
      </c>
      <c r="H62" s="18">
        <v>20.54</v>
      </c>
      <c r="I62" s="139" t="s">
        <v>438</v>
      </c>
    </row>
    <row r="63" spans="1:20">
      <c r="A63" s="13" t="s">
        <v>1349</v>
      </c>
      <c r="B63" s="13" t="s">
        <v>1350</v>
      </c>
      <c r="C63" s="15">
        <v>63635566</v>
      </c>
      <c r="D63" s="152">
        <v>0.92300000000000004</v>
      </c>
      <c r="E63" s="151">
        <v>58736689.5</v>
      </c>
      <c r="F63" s="18">
        <v>0.11</v>
      </c>
      <c r="G63" s="150">
        <v>0.90539999999999998</v>
      </c>
      <c r="H63" s="18">
        <v>1.95</v>
      </c>
      <c r="I63" s="139" t="s">
        <v>1351</v>
      </c>
    </row>
    <row r="64" spans="1:20" s="68" customFormat="1">
      <c r="A64" s="13" t="s">
        <v>1352</v>
      </c>
      <c r="B64" s="13" t="s">
        <v>1353</v>
      </c>
      <c r="C64" s="15">
        <v>148482986</v>
      </c>
      <c r="D64" s="150">
        <v>0.87429999999999997</v>
      </c>
      <c r="E64" s="18">
        <v>129819215.14</v>
      </c>
      <c r="F64" s="18">
        <v>0.25</v>
      </c>
      <c r="G64" s="150">
        <v>0.7853</v>
      </c>
      <c r="H64" s="18">
        <v>11.33</v>
      </c>
      <c r="I64" s="139" t="s">
        <v>1354</v>
      </c>
      <c r="J64" s="67"/>
      <c r="K64" s="67"/>
      <c r="L64" s="83"/>
      <c r="M64" s="84"/>
      <c r="N64" s="67"/>
      <c r="O64" s="67"/>
      <c r="P64"/>
      <c r="Q64"/>
      <c r="R64"/>
      <c r="S64" s="9"/>
      <c r="T64" s="9"/>
    </row>
    <row r="65" spans="1:20">
      <c r="A65" s="13" t="s">
        <v>422</v>
      </c>
      <c r="B65" s="13" t="s">
        <v>423</v>
      </c>
      <c r="C65" s="15">
        <v>306275000</v>
      </c>
      <c r="D65" s="150">
        <v>6.2799999999999995E-2</v>
      </c>
      <c r="E65" s="18">
        <v>19228192.579999998</v>
      </c>
      <c r="F65" s="18">
        <v>0.04</v>
      </c>
      <c r="G65" s="150">
        <v>1.0324</v>
      </c>
      <c r="H65" s="18">
        <v>-93.92</v>
      </c>
      <c r="I65" s="139" t="s">
        <v>424</v>
      </c>
    </row>
    <row r="66" spans="1:20">
      <c r="A66" s="13"/>
      <c r="B66" s="13" t="s">
        <v>28</v>
      </c>
      <c r="C66" s="15">
        <v>1604660629</v>
      </c>
      <c r="D66" s="13" t="s">
        <v>28</v>
      </c>
      <c r="E66" s="18">
        <v>1336111800.6700001</v>
      </c>
      <c r="F66" s="18">
        <v>2.5499999999999998</v>
      </c>
      <c r="G66" s="13" t="s">
        <v>28</v>
      </c>
      <c r="H66" s="13" t="s">
        <v>28</v>
      </c>
      <c r="I66" s="13" t="s">
        <v>28</v>
      </c>
    </row>
    <row r="67" spans="1:20">
      <c r="A67" s="13" t="s">
        <v>28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3" t="s">
        <v>466</v>
      </c>
      <c r="B68" s="13"/>
      <c r="C68" s="13"/>
      <c r="D68" s="13"/>
      <c r="E68" s="13"/>
      <c r="F68" s="13"/>
      <c r="G68" s="13"/>
      <c r="H68" s="13"/>
      <c r="I68" s="13"/>
      <c r="J68" s="67"/>
      <c r="K68" s="67"/>
      <c r="L68" s="83"/>
      <c r="M68" s="84"/>
      <c r="N68" s="67"/>
      <c r="O68" s="67"/>
      <c r="P68"/>
      <c r="Q68"/>
      <c r="R68"/>
      <c r="S68" s="9"/>
      <c r="T68" s="9"/>
    </row>
    <row r="69" spans="1:20">
      <c r="A69" s="14" t="s">
        <v>8</v>
      </c>
      <c r="B69" s="14" t="s">
        <v>93</v>
      </c>
      <c r="C69" s="14" t="s">
        <v>94</v>
      </c>
      <c r="D69" s="14" t="s">
        <v>95</v>
      </c>
      <c r="E69" s="14" t="s">
        <v>2</v>
      </c>
      <c r="F69" s="14" t="s">
        <v>4</v>
      </c>
      <c r="G69" s="14" t="s">
        <v>96</v>
      </c>
      <c r="H69" s="14" t="s">
        <v>97</v>
      </c>
      <c r="I69" s="14" t="s">
        <v>98</v>
      </c>
      <c r="J69" s="69"/>
    </row>
    <row r="70" spans="1:20">
      <c r="A70" s="13" t="s">
        <v>328</v>
      </c>
      <c r="B70" s="13" t="s">
        <v>28</v>
      </c>
      <c r="C70" s="15">
        <v>-225000</v>
      </c>
      <c r="D70" s="151">
        <v>1486.5</v>
      </c>
      <c r="E70" s="15">
        <v>-334462500</v>
      </c>
      <c r="F70" s="18">
        <v>-0.64</v>
      </c>
      <c r="G70" s="150">
        <v>-651.58219999999994</v>
      </c>
      <c r="H70" s="18">
        <v>-328.14</v>
      </c>
      <c r="I70" s="139" t="s">
        <v>385</v>
      </c>
    </row>
    <row r="71" spans="1:20">
      <c r="A71" s="13" t="s">
        <v>822</v>
      </c>
      <c r="B71" s="13" t="s">
        <v>28</v>
      </c>
      <c r="C71" s="15">
        <v>-475000</v>
      </c>
      <c r="D71" s="15">
        <v>1513</v>
      </c>
      <c r="E71" s="15">
        <v>-718675000</v>
      </c>
      <c r="F71" s="18">
        <v>-1.37</v>
      </c>
      <c r="G71" s="15">
        <v>0</v>
      </c>
      <c r="H71" s="13" t="s">
        <v>28</v>
      </c>
      <c r="I71" s="139" t="s">
        <v>624</v>
      </c>
      <c r="J71" s="69"/>
    </row>
    <row r="72" spans="1:20">
      <c r="A72" s="13" t="s">
        <v>1057</v>
      </c>
      <c r="B72" s="13" t="s">
        <v>28</v>
      </c>
      <c r="C72" s="15">
        <v>-575000</v>
      </c>
      <c r="D72" s="15">
        <v>1539</v>
      </c>
      <c r="E72" s="15">
        <v>-884925000</v>
      </c>
      <c r="F72" s="18">
        <v>-1.69</v>
      </c>
      <c r="G72" s="15">
        <v>0</v>
      </c>
      <c r="H72" s="13" t="s">
        <v>28</v>
      </c>
      <c r="I72" s="139" t="s">
        <v>755</v>
      </c>
    </row>
    <row r="73" spans="1:20">
      <c r="A73" s="13" t="s">
        <v>1865</v>
      </c>
      <c r="B73" s="13" t="s">
        <v>28</v>
      </c>
      <c r="C73" s="15">
        <v>-100000</v>
      </c>
      <c r="D73" s="15">
        <v>1568</v>
      </c>
      <c r="E73" s="15">
        <v>-156800000</v>
      </c>
      <c r="F73" s="151">
        <v>-0.3</v>
      </c>
      <c r="G73" s="15">
        <v>0</v>
      </c>
      <c r="H73" s="13" t="s">
        <v>28</v>
      </c>
      <c r="I73" s="139" t="s">
        <v>1866</v>
      </c>
    </row>
    <row r="74" spans="1:20">
      <c r="A74" s="13"/>
      <c r="B74" s="13" t="s">
        <v>28</v>
      </c>
      <c r="C74" s="15">
        <v>-1375000</v>
      </c>
      <c r="D74" s="13" t="s">
        <v>28</v>
      </c>
      <c r="E74" s="15">
        <v>-2094862500</v>
      </c>
      <c r="F74" s="15">
        <v>-4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883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212</v>
      </c>
      <c r="B78" s="13" t="s">
        <v>28</v>
      </c>
      <c r="C78" s="153">
        <v>156515029.66222519</v>
      </c>
      <c r="D78" s="150">
        <v>12.5611</v>
      </c>
      <c r="E78" s="15">
        <v>1966000000</v>
      </c>
      <c r="F78" s="18">
        <v>3.76</v>
      </c>
      <c r="G78" s="150">
        <v>12.5611</v>
      </c>
      <c r="H78" s="15">
        <v>0</v>
      </c>
      <c r="I78" s="13" t="s">
        <v>28</v>
      </c>
    </row>
    <row r="79" spans="1:20">
      <c r="A79" s="13"/>
      <c r="B79" s="13" t="s">
        <v>28</v>
      </c>
      <c r="C79" s="153">
        <v>156515029.66222519</v>
      </c>
      <c r="D79" s="13" t="s">
        <v>28</v>
      </c>
      <c r="E79" s="15">
        <v>1966000000</v>
      </c>
      <c r="F79" s="18">
        <v>3.76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467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312</v>
      </c>
      <c r="B83" s="13" t="s">
        <v>313</v>
      </c>
      <c r="C83" s="15">
        <v>300000000</v>
      </c>
      <c r="D83" s="150">
        <v>1.0327999999999999</v>
      </c>
      <c r="E83" s="15">
        <v>309840000</v>
      </c>
      <c r="F83" s="18">
        <v>0.59</v>
      </c>
      <c r="G83" s="15">
        <v>0</v>
      </c>
      <c r="H83" s="13" t="s">
        <v>28</v>
      </c>
      <c r="I83" s="139" t="s">
        <v>314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5">
        <v>309840000</v>
      </c>
      <c r="F84" s="18">
        <v>0.59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468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4" t="s">
        <v>182</v>
      </c>
      <c r="B88" s="14" t="s">
        <v>98</v>
      </c>
      <c r="C88" s="14" t="s">
        <v>183</v>
      </c>
      <c r="D88" s="14" t="s">
        <v>184</v>
      </c>
      <c r="E88" s="14" t="s">
        <v>47</v>
      </c>
      <c r="F88" s="14" t="s">
        <v>2</v>
      </c>
      <c r="G88" s="14" t="s">
        <v>4</v>
      </c>
      <c r="H88" s="14"/>
      <c r="I88" s="14"/>
    </row>
    <row r="89" spans="1:9">
      <c r="A89" s="13" t="s">
        <v>185</v>
      </c>
      <c r="B89" s="139" t="s">
        <v>518</v>
      </c>
      <c r="C89" s="139" t="s">
        <v>431</v>
      </c>
      <c r="D89" s="15">
        <v>31</v>
      </c>
      <c r="E89" s="28">
        <v>38.49997596</v>
      </c>
      <c r="F89" s="18">
        <v>622974075.32000005</v>
      </c>
      <c r="G89" s="18">
        <v>1.19</v>
      </c>
      <c r="H89" s="13"/>
      <c r="I89" s="13"/>
    </row>
    <row r="90" spans="1:9">
      <c r="A90" s="13"/>
      <c r="B90" s="13"/>
      <c r="C90" s="13" t="s">
        <v>28</v>
      </c>
      <c r="D90" s="15">
        <v>14</v>
      </c>
      <c r="E90" s="28">
        <v>38.49997596</v>
      </c>
      <c r="F90" s="18">
        <v>622974075.32000005</v>
      </c>
      <c r="G90" s="18">
        <v>1.19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469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0.99874131349999995</v>
      </c>
      <c r="F95" s="18">
        <v>9987413.1400000006</v>
      </c>
      <c r="G95" s="18">
        <v>0.02</v>
      </c>
      <c r="H95" s="13"/>
      <c r="I95" s="13"/>
    </row>
    <row r="96" spans="1:9">
      <c r="A96" s="13" t="s">
        <v>187</v>
      </c>
      <c r="B96" s="139" t="s">
        <v>188</v>
      </c>
      <c r="C96" s="139" t="s">
        <v>135</v>
      </c>
      <c r="D96" s="15">
        <v>10000000</v>
      </c>
      <c r="E96" s="93">
        <v>0.93975283870000004</v>
      </c>
      <c r="F96" s="18">
        <v>9397528.3900000006</v>
      </c>
      <c r="G96" s="18">
        <v>0.02</v>
      </c>
      <c r="H96" s="13"/>
      <c r="I96" s="13"/>
    </row>
    <row r="97" spans="1:9">
      <c r="A97" s="13" t="s">
        <v>189</v>
      </c>
      <c r="B97" s="139" t="s">
        <v>190</v>
      </c>
      <c r="C97" s="139" t="s">
        <v>135</v>
      </c>
      <c r="D97" s="15">
        <v>10000000</v>
      </c>
      <c r="E97" s="93">
        <v>0.91584286879999999</v>
      </c>
      <c r="F97" s="18">
        <v>9158428.6899999995</v>
      </c>
      <c r="G97" s="18">
        <v>0.02</v>
      </c>
      <c r="H97" s="13"/>
      <c r="I97" s="13"/>
    </row>
    <row r="98" spans="1:9">
      <c r="A98" s="13" t="s">
        <v>191</v>
      </c>
      <c r="B98" s="139" t="s">
        <v>192</v>
      </c>
      <c r="C98" s="139" t="s">
        <v>135</v>
      </c>
      <c r="D98" s="15">
        <v>10000000</v>
      </c>
      <c r="E98" s="154">
        <v>0.96894080900000001</v>
      </c>
      <c r="F98" s="18">
        <v>9689408.0899999999</v>
      </c>
      <c r="G98" s="18">
        <v>0.02</v>
      </c>
      <c r="H98" s="13"/>
      <c r="I98" s="13"/>
    </row>
    <row r="99" spans="1:9">
      <c r="A99" s="13" t="s">
        <v>366</v>
      </c>
      <c r="B99" s="139" t="s">
        <v>329</v>
      </c>
      <c r="C99" s="139" t="s">
        <v>252</v>
      </c>
      <c r="D99" s="15">
        <v>6530318</v>
      </c>
      <c r="E99" s="93">
        <v>0.99211742430000005</v>
      </c>
      <c r="F99" s="18">
        <v>6478842.2699999996</v>
      </c>
      <c r="G99" s="18">
        <v>0.01</v>
      </c>
      <c r="H99" s="13"/>
      <c r="I99" s="13"/>
    </row>
    <row r="100" spans="1:9">
      <c r="A100" s="13" t="s">
        <v>384</v>
      </c>
      <c r="B100" s="139" t="s">
        <v>385</v>
      </c>
      <c r="C100" s="139" t="s">
        <v>228</v>
      </c>
      <c r="D100" s="15">
        <v>40000000</v>
      </c>
      <c r="E100" s="93">
        <v>0.98779467249999997</v>
      </c>
      <c r="F100" s="151">
        <v>39511786.899999999</v>
      </c>
      <c r="G100" s="18">
        <v>0.08</v>
      </c>
      <c r="H100" s="13"/>
      <c r="I100" s="13"/>
    </row>
    <row r="101" spans="1:9">
      <c r="A101" s="13" t="s">
        <v>386</v>
      </c>
      <c r="B101" s="139" t="s">
        <v>387</v>
      </c>
      <c r="C101" s="139" t="s">
        <v>228</v>
      </c>
      <c r="D101" s="15">
        <v>3000000</v>
      </c>
      <c r="E101" s="93">
        <v>0.97139056260000001</v>
      </c>
      <c r="F101" s="18">
        <v>2914171.69</v>
      </c>
      <c r="G101" s="18">
        <v>0.01</v>
      </c>
      <c r="H101" s="13"/>
      <c r="I101" s="13"/>
    </row>
    <row r="102" spans="1:9">
      <c r="A102" s="13" t="s">
        <v>390</v>
      </c>
      <c r="B102" s="139" t="s">
        <v>391</v>
      </c>
      <c r="C102" s="139" t="s">
        <v>228</v>
      </c>
      <c r="D102" s="15">
        <v>3500000</v>
      </c>
      <c r="E102" s="93">
        <v>0.96696426430000004</v>
      </c>
      <c r="F102" s="18">
        <v>3384374.93</v>
      </c>
      <c r="G102" s="18">
        <v>0.01</v>
      </c>
      <c r="H102" s="13"/>
      <c r="I102" s="13"/>
    </row>
    <row r="103" spans="1:9">
      <c r="A103" s="13" t="s">
        <v>393</v>
      </c>
      <c r="B103" s="139" t="s">
        <v>188</v>
      </c>
      <c r="C103" s="139" t="s">
        <v>228</v>
      </c>
      <c r="D103" s="15">
        <v>3500000</v>
      </c>
      <c r="E103" s="93">
        <v>0.96586404120000002</v>
      </c>
      <c r="F103" s="18">
        <v>3380524.14</v>
      </c>
      <c r="G103" s="18">
        <v>0.01</v>
      </c>
      <c r="H103" s="13"/>
      <c r="I103" s="13"/>
    </row>
    <row r="104" spans="1:9">
      <c r="A104" s="13" t="s">
        <v>425</v>
      </c>
      <c r="B104" s="139" t="s">
        <v>426</v>
      </c>
      <c r="C104" s="139" t="s">
        <v>153</v>
      </c>
      <c r="D104" s="15">
        <v>50000000</v>
      </c>
      <c r="E104" s="93">
        <v>0.98018157949999996</v>
      </c>
      <c r="F104" s="18">
        <v>49009078.979999997</v>
      </c>
      <c r="G104" s="18">
        <v>0.09</v>
      </c>
      <c r="H104" s="13"/>
      <c r="I104" s="13"/>
    </row>
    <row r="105" spans="1:9">
      <c r="A105" s="13" t="s">
        <v>442</v>
      </c>
      <c r="B105" s="139" t="s">
        <v>443</v>
      </c>
      <c r="C105" s="139" t="s">
        <v>240</v>
      </c>
      <c r="D105" s="15">
        <v>3500000</v>
      </c>
      <c r="E105" s="93">
        <v>0.99563557759999999</v>
      </c>
      <c r="F105" s="18">
        <v>3484724.52</v>
      </c>
      <c r="G105" s="18">
        <v>0.01</v>
      </c>
      <c r="H105" s="13"/>
      <c r="I105" s="13"/>
    </row>
    <row r="106" spans="1:9">
      <c r="A106" s="13" t="s">
        <v>444</v>
      </c>
      <c r="B106" s="139" t="s">
        <v>445</v>
      </c>
      <c r="C106" s="139" t="s">
        <v>240</v>
      </c>
      <c r="D106" s="15">
        <v>3500000</v>
      </c>
      <c r="E106" s="93">
        <v>0.99023332230000005</v>
      </c>
      <c r="F106" s="18">
        <v>3465816.63</v>
      </c>
      <c r="G106" s="18">
        <v>0.01</v>
      </c>
      <c r="H106" s="13"/>
      <c r="I106" s="13"/>
    </row>
    <row r="107" spans="1:9">
      <c r="A107" s="13" t="s">
        <v>447</v>
      </c>
      <c r="B107" s="139" t="s">
        <v>168</v>
      </c>
      <c r="C107" s="139" t="s">
        <v>258</v>
      </c>
      <c r="D107" s="15">
        <v>4100000</v>
      </c>
      <c r="E107" s="28">
        <v>0.99890531000000005</v>
      </c>
      <c r="F107" s="18">
        <v>4095511.77</v>
      </c>
      <c r="G107" s="18">
        <v>0.01</v>
      </c>
      <c r="H107" s="13"/>
      <c r="I107" s="13"/>
    </row>
    <row r="108" spans="1:9">
      <c r="A108" s="13" t="s">
        <v>448</v>
      </c>
      <c r="B108" s="139" t="s">
        <v>449</v>
      </c>
      <c r="C108" s="139" t="s">
        <v>258</v>
      </c>
      <c r="D108" s="15">
        <v>4100000</v>
      </c>
      <c r="E108" s="93">
        <v>0.99238718150000005</v>
      </c>
      <c r="F108" s="18">
        <v>4068787.44</v>
      </c>
      <c r="G108" s="18">
        <v>0.01</v>
      </c>
      <c r="H108" s="13"/>
      <c r="I108" s="13"/>
    </row>
    <row r="109" spans="1:9">
      <c r="A109" s="13" t="s">
        <v>450</v>
      </c>
      <c r="B109" s="139" t="s">
        <v>385</v>
      </c>
      <c r="C109" s="139" t="s">
        <v>258</v>
      </c>
      <c r="D109" s="15">
        <v>4600000</v>
      </c>
      <c r="E109" s="93">
        <v>0.98808881059999998</v>
      </c>
      <c r="F109" s="18">
        <v>4545208.53</v>
      </c>
      <c r="G109" s="18">
        <v>0.01</v>
      </c>
      <c r="H109" s="13"/>
      <c r="I109" s="13"/>
    </row>
    <row r="110" spans="1:9">
      <c r="A110" s="13" t="s">
        <v>451</v>
      </c>
      <c r="B110" s="139" t="s">
        <v>452</v>
      </c>
      <c r="C110" s="139" t="s">
        <v>258</v>
      </c>
      <c r="D110" s="15">
        <v>4100000</v>
      </c>
      <c r="E110" s="154">
        <v>0.99781301200000005</v>
      </c>
      <c r="F110" s="18">
        <v>4091033.35</v>
      </c>
      <c r="G110" s="18">
        <v>0.01</v>
      </c>
      <c r="H110" s="13"/>
      <c r="I110" s="13"/>
    </row>
    <row r="111" spans="1:9">
      <c r="A111" s="13" t="s">
        <v>453</v>
      </c>
      <c r="B111" s="139" t="s">
        <v>454</v>
      </c>
      <c r="C111" s="139" t="s">
        <v>258</v>
      </c>
      <c r="D111" s="15">
        <v>4100000</v>
      </c>
      <c r="E111" s="93">
        <v>0.9913090765</v>
      </c>
      <c r="F111" s="18">
        <v>4064367.21</v>
      </c>
      <c r="G111" s="18">
        <v>0.01</v>
      </c>
      <c r="H111" s="13"/>
      <c r="I111" s="13"/>
    </row>
    <row r="112" spans="1:9">
      <c r="A112" s="13" t="s">
        <v>455</v>
      </c>
      <c r="B112" s="139" t="s">
        <v>445</v>
      </c>
      <c r="C112" s="139" t="s">
        <v>258</v>
      </c>
      <c r="D112" s="15">
        <v>4100000</v>
      </c>
      <c r="E112" s="93">
        <v>0.99023331619999999</v>
      </c>
      <c r="F112" s="151">
        <v>4059956.6</v>
      </c>
      <c r="G112" s="18">
        <v>0.01</v>
      </c>
      <c r="H112" s="13"/>
      <c r="I112" s="13"/>
    </row>
    <row r="113" spans="1:9">
      <c r="A113" s="13" t="s">
        <v>474</v>
      </c>
      <c r="B113" s="139" t="s">
        <v>192</v>
      </c>
      <c r="C113" s="139" t="s">
        <v>152</v>
      </c>
      <c r="D113" s="15">
        <v>50000000</v>
      </c>
      <c r="E113" s="93">
        <v>0.98382751989999995</v>
      </c>
      <c r="F113" s="15">
        <v>49191376</v>
      </c>
      <c r="G113" s="18">
        <v>0.09</v>
      </c>
      <c r="H113" s="13"/>
      <c r="I113" s="13"/>
    </row>
    <row r="114" spans="1:9">
      <c r="A114" s="13" t="s">
        <v>476</v>
      </c>
      <c r="B114" s="139" t="s">
        <v>168</v>
      </c>
      <c r="C114" s="139" t="s">
        <v>320</v>
      </c>
      <c r="D114" s="15">
        <v>100000000</v>
      </c>
      <c r="E114" s="93">
        <v>0.99890531169999996</v>
      </c>
      <c r="F114" s="18">
        <v>99890531.170000002</v>
      </c>
      <c r="G114" s="18">
        <v>0.19</v>
      </c>
      <c r="H114" s="13"/>
      <c r="I114" s="13"/>
    </row>
    <row r="115" spans="1:9">
      <c r="A115" s="13" t="s">
        <v>479</v>
      </c>
      <c r="B115" s="139" t="s">
        <v>188</v>
      </c>
      <c r="C115" s="139" t="s">
        <v>320</v>
      </c>
      <c r="D115" s="15">
        <v>40000000</v>
      </c>
      <c r="E115" s="93">
        <v>0.96816982060000001</v>
      </c>
      <c r="F115" s="18">
        <v>38726792.82</v>
      </c>
      <c r="G115" s="18">
        <v>7.0000000000000007E-2</v>
      </c>
      <c r="H115" s="13"/>
      <c r="I115" s="13"/>
    </row>
    <row r="116" spans="1:9">
      <c r="A116" s="13" t="s">
        <v>482</v>
      </c>
      <c r="B116" s="139" t="s">
        <v>168</v>
      </c>
      <c r="C116" s="139" t="s">
        <v>241</v>
      </c>
      <c r="D116" s="15">
        <v>20000000</v>
      </c>
      <c r="E116" s="154">
        <v>0.99885064099999998</v>
      </c>
      <c r="F116" s="18">
        <v>19977012.82</v>
      </c>
      <c r="G116" s="18">
        <v>0.04</v>
      </c>
      <c r="H116" s="13"/>
      <c r="I116" s="13"/>
    </row>
    <row r="117" spans="1:9">
      <c r="A117" s="13" t="s">
        <v>483</v>
      </c>
      <c r="B117" s="139" t="s">
        <v>454</v>
      </c>
      <c r="C117" s="139" t="s">
        <v>241</v>
      </c>
      <c r="D117" s="15">
        <v>20000000</v>
      </c>
      <c r="E117" s="93">
        <v>0.99174002910000003</v>
      </c>
      <c r="F117" s="18">
        <v>19834800.579999998</v>
      </c>
      <c r="G117" s="18">
        <v>0.04</v>
      </c>
      <c r="H117" s="13"/>
      <c r="I117" s="13"/>
    </row>
    <row r="118" spans="1:9">
      <c r="A118" s="13" t="s">
        <v>487</v>
      </c>
      <c r="B118" s="139" t="s">
        <v>488</v>
      </c>
      <c r="C118" s="139" t="s">
        <v>350</v>
      </c>
      <c r="D118" s="15">
        <v>2000000</v>
      </c>
      <c r="E118" s="154">
        <v>0.95399898299999997</v>
      </c>
      <c r="F118" s="18">
        <v>1907997.97</v>
      </c>
      <c r="G118" s="15">
        <v>0</v>
      </c>
      <c r="H118" s="13"/>
      <c r="I118" s="13"/>
    </row>
    <row r="119" spans="1:9">
      <c r="A119" s="13" t="s">
        <v>496</v>
      </c>
      <c r="B119" s="139" t="s">
        <v>168</v>
      </c>
      <c r="C119" s="139" t="s">
        <v>154</v>
      </c>
      <c r="D119" s="15">
        <v>12500000</v>
      </c>
      <c r="E119" s="93">
        <v>0.99920611130000003</v>
      </c>
      <c r="F119" s="18">
        <v>12490076.390000001</v>
      </c>
      <c r="G119" s="18">
        <v>0.02</v>
      </c>
      <c r="H119" s="13"/>
      <c r="I119" s="13"/>
    </row>
    <row r="120" spans="1:9">
      <c r="A120" s="13" t="s">
        <v>497</v>
      </c>
      <c r="B120" s="139" t="s">
        <v>443</v>
      </c>
      <c r="C120" s="139" t="s">
        <v>154</v>
      </c>
      <c r="D120" s="15">
        <v>12500000</v>
      </c>
      <c r="E120" s="93">
        <v>0.99683199089999996</v>
      </c>
      <c r="F120" s="18">
        <v>12460399.890000001</v>
      </c>
      <c r="G120" s="18">
        <v>0.02</v>
      </c>
      <c r="H120" s="13"/>
      <c r="I120" s="13"/>
    </row>
    <row r="121" spans="1:9">
      <c r="A121" s="13" t="s">
        <v>498</v>
      </c>
      <c r="B121" s="139" t="s">
        <v>454</v>
      </c>
      <c r="C121" s="139" t="s">
        <v>154</v>
      </c>
      <c r="D121" s="15">
        <v>12500000</v>
      </c>
      <c r="E121" s="93">
        <v>0.99368398970000005</v>
      </c>
      <c r="F121" s="18">
        <v>12421049.869999999</v>
      </c>
      <c r="G121" s="18">
        <v>0.02</v>
      </c>
      <c r="H121" s="13"/>
      <c r="I121" s="13"/>
    </row>
    <row r="122" spans="1:9">
      <c r="A122" s="13" t="s">
        <v>499</v>
      </c>
      <c r="B122" s="139" t="s">
        <v>329</v>
      </c>
      <c r="C122" s="139" t="s">
        <v>154</v>
      </c>
      <c r="D122" s="15">
        <v>12500000</v>
      </c>
      <c r="E122" s="93">
        <v>0.99211744290000003</v>
      </c>
      <c r="F122" s="18">
        <v>12401468.039999999</v>
      </c>
      <c r="G122" s="18">
        <v>0.02</v>
      </c>
      <c r="H122" s="13"/>
      <c r="I122" s="13"/>
    </row>
    <row r="123" spans="1:9">
      <c r="A123" s="13" t="s">
        <v>500</v>
      </c>
      <c r="B123" s="139" t="s">
        <v>501</v>
      </c>
      <c r="C123" s="139" t="s">
        <v>154</v>
      </c>
      <c r="D123" s="15">
        <v>50000000</v>
      </c>
      <c r="E123" s="93">
        <v>0.98049753129999995</v>
      </c>
      <c r="F123" s="18">
        <v>49024876.57</v>
      </c>
      <c r="G123" s="18">
        <v>0.09</v>
      </c>
      <c r="H123" s="13"/>
      <c r="I123" s="13"/>
    </row>
    <row r="124" spans="1:9">
      <c r="A124" s="13" t="s">
        <v>502</v>
      </c>
      <c r="B124" s="139" t="s">
        <v>188</v>
      </c>
      <c r="C124" s="139" t="s">
        <v>154</v>
      </c>
      <c r="D124" s="15">
        <v>50000000</v>
      </c>
      <c r="E124" s="93">
        <v>0.97359298309999998</v>
      </c>
      <c r="F124" s="18">
        <v>48679649.159999996</v>
      </c>
      <c r="G124" s="18">
        <v>0.09</v>
      </c>
      <c r="H124" s="13"/>
      <c r="I124" s="13"/>
    </row>
    <row r="125" spans="1:9">
      <c r="A125" s="13" t="s">
        <v>503</v>
      </c>
      <c r="B125" s="139" t="s">
        <v>168</v>
      </c>
      <c r="C125" s="139" t="s">
        <v>154</v>
      </c>
      <c r="D125" s="15">
        <v>50000000</v>
      </c>
      <c r="E125" s="154">
        <v>0.99909670799999994</v>
      </c>
      <c r="F125" s="151">
        <v>49954835.399999999</v>
      </c>
      <c r="G125" s="151">
        <v>0.1</v>
      </c>
      <c r="H125" s="13"/>
      <c r="I125" s="13"/>
    </row>
    <row r="126" spans="1:9">
      <c r="A126" s="13" t="s">
        <v>504</v>
      </c>
      <c r="B126" s="139" t="s">
        <v>505</v>
      </c>
      <c r="C126" s="139" t="s">
        <v>154</v>
      </c>
      <c r="D126" s="15">
        <v>50000000</v>
      </c>
      <c r="E126" s="93">
        <v>0.96847808469999996</v>
      </c>
      <c r="F126" s="18">
        <v>48423904.240000002</v>
      </c>
      <c r="G126" s="18">
        <v>0.09</v>
      </c>
      <c r="H126" s="13"/>
      <c r="I126" s="13"/>
    </row>
    <row r="127" spans="1:9">
      <c r="A127" s="13" t="s">
        <v>506</v>
      </c>
      <c r="B127" s="139" t="s">
        <v>454</v>
      </c>
      <c r="C127" s="139" t="s">
        <v>154</v>
      </c>
      <c r="D127" s="15">
        <v>50000000</v>
      </c>
      <c r="E127" s="93">
        <v>0.99281907079999998</v>
      </c>
      <c r="F127" s="18">
        <v>49640953.539999999</v>
      </c>
      <c r="G127" s="18">
        <v>0.09</v>
      </c>
      <c r="H127" s="13"/>
      <c r="I127" s="13"/>
    </row>
    <row r="128" spans="1:9">
      <c r="A128" s="13" t="s">
        <v>507</v>
      </c>
      <c r="B128" s="139" t="s">
        <v>192</v>
      </c>
      <c r="C128" s="139" t="s">
        <v>154</v>
      </c>
      <c r="D128" s="15">
        <v>50000000</v>
      </c>
      <c r="E128" s="93">
        <v>0.98661983190000002</v>
      </c>
      <c r="F128" s="151">
        <v>49330991.600000001</v>
      </c>
      <c r="G128" s="18">
        <v>0.09</v>
      </c>
      <c r="H128" s="13"/>
      <c r="I128" s="13"/>
    </row>
    <row r="129" spans="1:16">
      <c r="A129" s="13" t="s">
        <v>508</v>
      </c>
      <c r="B129" s="139" t="s">
        <v>426</v>
      </c>
      <c r="C129" s="139" t="s">
        <v>154</v>
      </c>
      <c r="D129" s="15">
        <v>10000000</v>
      </c>
      <c r="E129" s="93">
        <v>0.98160502319999998</v>
      </c>
      <c r="F129" s="18">
        <v>9816050.2300000004</v>
      </c>
      <c r="G129" s="18">
        <v>0.02</v>
      </c>
      <c r="H129" s="13"/>
      <c r="I129" s="13"/>
    </row>
    <row r="130" spans="1:16">
      <c r="A130" s="13" t="s">
        <v>513</v>
      </c>
      <c r="B130" s="139" t="s">
        <v>443</v>
      </c>
      <c r="C130" s="139" t="s">
        <v>229</v>
      </c>
      <c r="D130" s="15">
        <v>10000000</v>
      </c>
      <c r="E130" s="93">
        <v>0.99672311020000004</v>
      </c>
      <c r="F130" s="151">
        <v>9967231.0999999996</v>
      </c>
      <c r="G130" s="18">
        <v>0.02</v>
      </c>
      <c r="H130" s="13"/>
      <c r="I130" s="13"/>
    </row>
    <row r="131" spans="1:16">
      <c r="A131" s="13" t="s">
        <v>514</v>
      </c>
      <c r="B131" s="139" t="s">
        <v>445</v>
      </c>
      <c r="C131" s="139" t="s">
        <v>229</v>
      </c>
      <c r="D131" s="15">
        <v>10000000</v>
      </c>
      <c r="E131" s="93">
        <v>0.99265706710000001</v>
      </c>
      <c r="F131" s="18">
        <v>9926570.6699999999</v>
      </c>
      <c r="G131" s="18">
        <v>0.02</v>
      </c>
      <c r="H131" s="13"/>
      <c r="I131" s="13"/>
    </row>
    <row r="132" spans="1:16">
      <c r="A132" s="13" t="s">
        <v>515</v>
      </c>
      <c r="B132" s="139" t="s">
        <v>192</v>
      </c>
      <c r="C132" s="139" t="s">
        <v>229</v>
      </c>
      <c r="D132" s="15">
        <v>10000000</v>
      </c>
      <c r="E132" s="93">
        <v>0.98782140750000003</v>
      </c>
      <c r="F132" s="18">
        <v>9878214.0800000001</v>
      </c>
      <c r="G132" s="18">
        <v>0.02</v>
      </c>
      <c r="H132" s="13"/>
      <c r="I132" s="13"/>
    </row>
    <row r="133" spans="1:16">
      <c r="A133" s="13" t="s">
        <v>517</v>
      </c>
      <c r="B133" s="139" t="s">
        <v>518</v>
      </c>
      <c r="C133" s="139" t="s">
        <v>309</v>
      </c>
      <c r="D133" s="15">
        <v>25000000</v>
      </c>
      <c r="E133" s="93">
        <v>0.98637986720000004</v>
      </c>
      <c r="F133" s="18">
        <v>24659496.68</v>
      </c>
      <c r="G133" s="18">
        <v>0.05</v>
      </c>
      <c r="H133" s="13"/>
      <c r="I133" s="13"/>
    </row>
    <row r="134" spans="1:16">
      <c r="A134" s="13" t="s">
        <v>519</v>
      </c>
      <c r="B134" s="139" t="s">
        <v>190</v>
      </c>
      <c r="C134" s="139" t="s">
        <v>309</v>
      </c>
      <c r="D134" s="15">
        <v>50000000</v>
      </c>
      <c r="E134" s="93">
        <v>0.96257816740000002</v>
      </c>
      <c r="F134" s="18">
        <v>48128908.369999997</v>
      </c>
      <c r="G134" s="18">
        <v>0.09</v>
      </c>
      <c r="H134" s="13"/>
      <c r="I134" s="13"/>
    </row>
    <row r="135" spans="1:16">
      <c r="A135" s="13" t="s">
        <v>520</v>
      </c>
      <c r="B135" s="139" t="s">
        <v>192</v>
      </c>
      <c r="C135" s="139" t="s">
        <v>309</v>
      </c>
      <c r="D135" s="15">
        <v>50000000</v>
      </c>
      <c r="E135" s="93">
        <v>0.98661981830000001</v>
      </c>
      <c r="F135" s="18">
        <v>49330990.920000002</v>
      </c>
      <c r="G135" s="18">
        <v>0.09</v>
      </c>
      <c r="H135" s="13"/>
      <c r="I135" s="13"/>
    </row>
    <row r="136" spans="1:16">
      <c r="A136" s="13" t="s">
        <v>521</v>
      </c>
      <c r="B136" s="139" t="s">
        <v>192</v>
      </c>
      <c r="C136" s="139" t="s">
        <v>308</v>
      </c>
      <c r="D136" s="15">
        <v>50000000</v>
      </c>
      <c r="E136" s="93">
        <v>0.98702002639999997</v>
      </c>
      <c r="F136" s="18">
        <v>49351001.32</v>
      </c>
      <c r="G136" s="18">
        <v>0.09</v>
      </c>
      <c r="H136" s="13"/>
      <c r="I136" s="13"/>
    </row>
    <row r="137" spans="1:16">
      <c r="A137" s="13" t="s">
        <v>527</v>
      </c>
      <c r="B137" s="139" t="s">
        <v>190</v>
      </c>
      <c r="C137" s="139" t="s">
        <v>306</v>
      </c>
      <c r="D137" s="15">
        <v>5450000</v>
      </c>
      <c r="E137" s="93">
        <v>0.95715109769999995</v>
      </c>
      <c r="F137" s="18">
        <v>5216473.4800000004</v>
      </c>
      <c r="G137" s="18">
        <v>0.01</v>
      </c>
      <c r="H137" s="13"/>
      <c r="I137" s="13"/>
    </row>
    <row r="138" spans="1:16">
      <c r="A138" s="13" t="s">
        <v>528</v>
      </c>
      <c r="B138" s="139" t="s">
        <v>391</v>
      </c>
      <c r="C138" s="139" t="s">
        <v>306</v>
      </c>
      <c r="D138" s="15">
        <v>5450000</v>
      </c>
      <c r="E138" s="93">
        <v>0.9706931164</v>
      </c>
      <c r="F138" s="18">
        <v>5290277.4800000004</v>
      </c>
      <c r="G138" s="18">
        <v>0.01</v>
      </c>
      <c r="H138" s="13"/>
      <c r="I138" s="13"/>
    </row>
    <row r="139" spans="1:16">
      <c r="A139" s="13" t="s">
        <v>530</v>
      </c>
      <c r="B139" s="139" t="s">
        <v>385</v>
      </c>
      <c r="C139" s="139" t="s">
        <v>306</v>
      </c>
      <c r="D139" s="15">
        <v>5450000</v>
      </c>
      <c r="E139" s="93">
        <v>0.98867763990000002</v>
      </c>
      <c r="F139" s="18">
        <v>5388293.1399999997</v>
      </c>
      <c r="G139" s="18">
        <v>0.01</v>
      </c>
      <c r="H139" s="13"/>
      <c r="I139" s="13"/>
    </row>
    <row r="140" spans="1:16">
      <c r="A140" s="13" t="s">
        <v>532</v>
      </c>
      <c r="B140" s="139" t="s">
        <v>533</v>
      </c>
      <c r="C140" s="139" t="s">
        <v>345</v>
      </c>
      <c r="D140" s="15">
        <v>65000000</v>
      </c>
      <c r="E140" s="93">
        <v>0.97781826159999996</v>
      </c>
      <c r="F140" s="15">
        <v>63558187</v>
      </c>
      <c r="G140" s="18">
        <v>0.12</v>
      </c>
      <c r="H140" s="13"/>
      <c r="I140" s="13"/>
    </row>
    <row r="141" spans="1:16">
      <c r="A141" s="13" t="s">
        <v>534</v>
      </c>
      <c r="B141" s="139" t="s">
        <v>452</v>
      </c>
      <c r="C141" s="139" t="s">
        <v>345</v>
      </c>
      <c r="D141" s="15">
        <v>65000000</v>
      </c>
      <c r="E141" s="93">
        <v>0.99803128620000003</v>
      </c>
      <c r="F141" s="151">
        <v>64872033.600000001</v>
      </c>
      <c r="G141" s="18">
        <v>0.12</v>
      </c>
      <c r="H141" s="13"/>
      <c r="I141" s="13"/>
    </row>
    <row r="142" spans="1:16">
      <c r="A142" s="13" t="s">
        <v>536</v>
      </c>
      <c r="B142" s="139" t="s">
        <v>426</v>
      </c>
      <c r="C142" s="139" t="s">
        <v>307</v>
      </c>
      <c r="D142" s="15">
        <v>100000000</v>
      </c>
      <c r="E142" s="93">
        <v>0.98160500370000003</v>
      </c>
      <c r="F142" s="18">
        <v>98160500.370000005</v>
      </c>
      <c r="G142" s="18">
        <v>0.19</v>
      </c>
      <c r="H142" s="13"/>
      <c r="I142" s="13"/>
      <c r="O142" s="68"/>
      <c r="P142" s="9"/>
    </row>
    <row r="143" spans="1:16">
      <c r="A143" s="13" t="s">
        <v>538</v>
      </c>
      <c r="B143" s="139" t="s">
        <v>387</v>
      </c>
      <c r="C143" s="139" t="s">
        <v>151</v>
      </c>
      <c r="D143" s="15">
        <v>25000000</v>
      </c>
      <c r="E143" s="93">
        <v>0.97593586929999998</v>
      </c>
      <c r="F143" s="18">
        <v>24398396.73</v>
      </c>
      <c r="G143" s="18">
        <v>0.05</v>
      </c>
      <c r="H143" s="13"/>
      <c r="I143" s="13"/>
      <c r="N143" s="68"/>
    </row>
    <row r="144" spans="1:16">
      <c r="A144" s="13" t="s">
        <v>539</v>
      </c>
      <c r="B144" s="139" t="s">
        <v>452</v>
      </c>
      <c r="C144" s="139" t="s">
        <v>151</v>
      </c>
      <c r="D144" s="15">
        <v>11000000</v>
      </c>
      <c r="E144" s="93">
        <v>0.99841348510000005</v>
      </c>
      <c r="F144" s="18">
        <v>10982548.34</v>
      </c>
      <c r="G144" s="18">
        <v>0.02</v>
      </c>
      <c r="H144" s="13"/>
      <c r="I144" s="13"/>
    </row>
    <row r="145" spans="1:9">
      <c r="A145" s="13" t="s">
        <v>540</v>
      </c>
      <c r="B145" s="139" t="s">
        <v>445</v>
      </c>
      <c r="C145" s="139" t="s">
        <v>151</v>
      </c>
      <c r="D145" s="15">
        <v>11000000</v>
      </c>
      <c r="E145" s="93">
        <v>0.99290010790000005</v>
      </c>
      <c r="F145" s="18">
        <v>10921901.189999999</v>
      </c>
      <c r="G145" s="18">
        <v>0.02</v>
      </c>
      <c r="H145" s="13"/>
      <c r="I145" s="13"/>
    </row>
    <row r="146" spans="1:9">
      <c r="A146" s="13" t="s">
        <v>541</v>
      </c>
      <c r="B146" s="139" t="s">
        <v>443</v>
      </c>
      <c r="C146" s="139" t="s">
        <v>151</v>
      </c>
      <c r="D146" s="15">
        <v>20000000</v>
      </c>
      <c r="E146" s="93">
        <v>0.99683198969999998</v>
      </c>
      <c r="F146" s="18">
        <v>19936639.789999999</v>
      </c>
      <c r="G146" s="18">
        <v>0.04</v>
      </c>
      <c r="H146" s="13"/>
      <c r="I146" s="13"/>
    </row>
    <row r="147" spans="1:9">
      <c r="A147" s="13" t="s">
        <v>542</v>
      </c>
      <c r="B147" s="139" t="s">
        <v>443</v>
      </c>
      <c r="C147" s="139" t="s">
        <v>151</v>
      </c>
      <c r="D147" s="15">
        <v>10000000</v>
      </c>
      <c r="E147" s="93">
        <v>0.99683198949999996</v>
      </c>
      <c r="F147" s="151">
        <v>9968319.9000000004</v>
      </c>
      <c r="G147" s="18">
        <v>0.02</v>
      </c>
      <c r="H147" s="13"/>
      <c r="I147" s="13"/>
    </row>
    <row r="148" spans="1:9">
      <c r="A148" s="13" t="s">
        <v>543</v>
      </c>
      <c r="B148" s="139" t="s">
        <v>385</v>
      </c>
      <c r="C148" s="139" t="s">
        <v>151</v>
      </c>
      <c r="D148" s="15">
        <v>20000000</v>
      </c>
      <c r="E148" s="93">
        <v>0.99133600659999999</v>
      </c>
      <c r="F148" s="18">
        <v>19826720.129999999</v>
      </c>
      <c r="G148" s="18">
        <v>0.04</v>
      </c>
      <c r="H148" s="13"/>
      <c r="I148" s="13"/>
    </row>
    <row r="149" spans="1:9">
      <c r="A149" s="13" t="s">
        <v>544</v>
      </c>
      <c r="B149" s="139" t="s">
        <v>385</v>
      </c>
      <c r="C149" s="139" t="s">
        <v>151</v>
      </c>
      <c r="D149" s="15">
        <v>10000000</v>
      </c>
      <c r="E149" s="93">
        <v>0.99133600769999997</v>
      </c>
      <c r="F149" s="18">
        <v>9913360.0800000001</v>
      </c>
      <c r="G149" s="18">
        <v>0.02</v>
      </c>
      <c r="H149" s="13"/>
      <c r="I149" s="13"/>
    </row>
    <row r="150" spans="1:9">
      <c r="A150" s="13" t="s">
        <v>545</v>
      </c>
      <c r="B150" s="139" t="s">
        <v>546</v>
      </c>
      <c r="C150" s="139" t="s">
        <v>151</v>
      </c>
      <c r="D150" s="15">
        <v>16600000</v>
      </c>
      <c r="E150" s="93">
        <v>0.95775395480000003</v>
      </c>
      <c r="F150" s="18">
        <v>15898715.65</v>
      </c>
      <c r="G150" s="18">
        <v>0.03</v>
      </c>
      <c r="H150" s="13"/>
      <c r="I150" s="13"/>
    </row>
    <row r="151" spans="1:9">
      <c r="A151" s="13" t="s">
        <v>547</v>
      </c>
      <c r="B151" s="139" t="s">
        <v>426</v>
      </c>
      <c r="C151" s="139" t="s">
        <v>151</v>
      </c>
      <c r="D151" s="15">
        <v>17000000</v>
      </c>
      <c r="E151" s="93">
        <v>0.9830326144</v>
      </c>
      <c r="F151" s="18">
        <v>16711554.439999999</v>
      </c>
      <c r="G151" s="18">
        <v>0.03</v>
      </c>
      <c r="H151" s="13"/>
      <c r="I151" s="13"/>
    </row>
    <row r="152" spans="1:9">
      <c r="A152" s="13" t="s">
        <v>548</v>
      </c>
      <c r="B152" s="139" t="s">
        <v>549</v>
      </c>
      <c r="C152" s="139" t="s">
        <v>151</v>
      </c>
      <c r="D152" s="15">
        <v>16600000</v>
      </c>
      <c r="E152" s="93">
        <v>0.97022865550000004</v>
      </c>
      <c r="F152" s="18">
        <v>16105795.68</v>
      </c>
      <c r="G152" s="18">
        <v>0.03</v>
      </c>
      <c r="H152" s="13"/>
      <c r="I152" s="13"/>
    </row>
    <row r="153" spans="1:9">
      <c r="A153" s="13" t="s">
        <v>550</v>
      </c>
      <c r="B153" s="139" t="s">
        <v>424</v>
      </c>
      <c r="C153" s="139" t="s">
        <v>151</v>
      </c>
      <c r="D153" s="15">
        <v>16600000</v>
      </c>
      <c r="E153" s="93">
        <v>0.96395094660000002</v>
      </c>
      <c r="F153" s="18">
        <v>16001585.710000001</v>
      </c>
      <c r="G153" s="18">
        <v>0.03</v>
      </c>
      <c r="H153" s="13"/>
      <c r="I153" s="13"/>
    </row>
    <row r="154" spans="1:9">
      <c r="A154" s="13" t="s">
        <v>551</v>
      </c>
      <c r="B154" s="139" t="s">
        <v>443</v>
      </c>
      <c r="C154" s="139" t="s">
        <v>151</v>
      </c>
      <c r="D154" s="15">
        <v>16600000</v>
      </c>
      <c r="E154" s="93">
        <v>0.99617904369999999</v>
      </c>
      <c r="F154" s="18">
        <v>16536572.130000001</v>
      </c>
      <c r="G154" s="18">
        <v>0.03</v>
      </c>
      <c r="H154" s="13"/>
      <c r="I154" s="13"/>
    </row>
    <row r="155" spans="1:9">
      <c r="A155" s="13" t="s">
        <v>552</v>
      </c>
      <c r="B155" s="139" t="s">
        <v>385</v>
      </c>
      <c r="C155" s="139" t="s">
        <v>151</v>
      </c>
      <c r="D155" s="15">
        <v>16600000</v>
      </c>
      <c r="E155" s="93">
        <v>0.98956216679999998</v>
      </c>
      <c r="F155" s="18">
        <v>16426731.970000001</v>
      </c>
      <c r="G155" s="18">
        <v>0.03</v>
      </c>
      <c r="H155" s="13"/>
      <c r="I155" s="13"/>
    </row>
    <row r="156" spans="1:9">
      <c r="A156" s="13" t="s">
        <v>553</v>
      </c>
      <c r="B156" s="139" t="s">
        <v>387</v>
      </c>
      <c r="C156" s="139" t="s">
        <v>151</v>
      </c>
      <c r="D156" s="15">
        <v>50000000</v>
      </c>
      <c r="E156" s="93">
        <v>0.97593586929999998</v>
      </c>
      <c r="F156" s="18">
        <v>48796793.469999999</v>
      </c>
      <c r="G156" s="18">
        <v>0.09</v>
      </c>
      <c r="H156" s="13"/>
      <c r="I156" s="13"/>
    </row>
    <row r="157" spans="1:9">
      <c r="A157" s="13" t="s">
        <v>556</v>
      </c>
      <c r="B157" s="139" t="s">
        <v>557</v>
      </c>
      <c r="C157" s="139" t="s">
        <v>346</v>
      </c>
      <c r="D157" s="15">
        <v>9974100</v>
      </c>
      <c r="E157" s="93">
        <v>0.94023700249999997</v>
      </c>
      <c r="F157" s="18">
        <v>9378017.8900000006</v>
      </c>
      <c r="G157" s="18">
        <v>0.02</v>
      </c>
      <c r="H157" s="13"/>
      <c r="I157" s="13"/>
    </row>
    <row r="158" spans="1:9">
      <c r="A158" s="13" t="s">
        <v>558</v>
      </c>
      <c r="B158" s="139" t="s">
        <v>559</v>
      </c>
      <c r="C158" s="139" t="s">
        <v>346</v>
      </c>
      <c r="D158" s="18">
        <v>9972890.5500000007</v>
      </c>
      <c r="E158" s="154">
        <v>0.95300268600000004</v>
      </c>
      <c r="F158" s="18">
        <v>9504191.4800000004</v>
      </c>
      <c r="G158" s="18">
        <v>0.02</v>
      </c>
      <c r="H158" s="13"/>
      <c r="I158" s="13"/>
    </row>
    <row r="159" spans="1:9">
      <c r="A159" s="13" t="s">
        <v>560</v>
      </c>
      <c r="B159" s="139" t="s">
        <v>561</v>
      </c>
      <c r="C159" s="139" t="s">
        <v>346</v>
      </c>
      <c r="D159" s="18">
        <v>9972899.9900000002</v>
      </c>
      <c r="E159" s="93">
        <v>0.93926927979999997</v>
      </c>
      <c r="F159" s="18">
        <v>9367238.5899999999</v>
      </c>
      <c r="G159" s="18">
        <v>0.02</v>
      </c>
      <c r="H159" s="13"/>
      <c r="I159" s="13"/>
    </row>
    <row r="160" spans="1:9">
      <c r="A160" s="13" t="s">
        <v>562</v>
      </c>
      <c r="B160" s="139" t="s">
        <v>563</v>
      </c>
      <c r="C160" s="139" t="s">
        <v>346</v>
      </c>
      <c r="D160" s="151">
        <v>9975100.8000000007</v>
      </c>
      <c r="E160" s="93">
        <v>0.94120685469999998</v>
      </c>
      <c r="F160" s="18">
        <v>9388633.25</v>
      </c>
      <c r="G160" s="18">
        <v>0.02</v>
      </c>
      <c r="H160" s="13"/>
      <c r="I160" s="13"/>
    </row>
    <row r="161" spans="1:9">
      <c r="A161" s="13" t="s">
        <v>564</v>
      </c>
      <c r="B161" s="139" t="s">
        <v>557</v>
      </c>
      <c r="C161" s="139" t="s">
        <v>346</v>
      </c>
      <c r="D161" s="15">
        <v>9973400</v>
      </c>
      <c r="E161" s="93">
        <v>0.94023700249999997</v>
      </c>
      <c r="F161" s="18">
        <v>9377359.7200000007</v>
      </c>
      <c r="G161" s="18">
        <v>0.02</v>
      </c>
      <c r="H161" s="13"/>
      <c r="I161" s="13"/>
    </row>
    <row r="162" spans="1:9">
      <c r="A162" s="13" t="s">
        <v>565</v>
      </c>
      <c r="B162" s="139" t="s">
        <v>488</v>
      </c>
      <c r="C162" s="139" t="s">
        <v>346</v>
      </c>
      <c r="D162" s="18">
        <v>9972570.8200000003</v>
      </c>
      <c r="E162" s="93">
        <v>0.95399905979999999</v>
      </c>
      <c r="F162" s="18">
        <v>9513823.1899999995</v>
      </c>
      <c r="G162" s="18">
        <v>0.02</v>
      </c>
      <c r="H162" s="13"/>
      <c r="I162" s="13"/>
    </row>
    <row r="163" spans="1:9">
      <c r="A163" s="13" t="s">
        <v>566</v>
      </c>
      <c r="B163" s="139" t="s">
        <v>488</v>
      </c>
      <c r="C163" s="139" t="s">
        <v>346</v>
      </c>
      <c r="D163" s="18">
        <v>9972350.7799999993</v>
      </c>
      <c r="E163" s="93">
        <v>0.95399905979999999</v>
      </c>
      <c r="F163" s="18">
        <v>9513613.2699999996</v>
      </c>
      <c r="G163" s="18">
        <v>0.02</v>
      </c>
      <c r="H163" s="13"/>
      <c r="I163" s="13"/>
    </row>
    <row r="164" spans="1:9">
      <c r="A164" s="13" t="s">
        <v>567</v>
      </c>
      <c r="B164" s="139" t="s">
        <v>488</v>
      </c>
      <c r="C164" s="139" t="s">
        <v>346</v>
      </c>
      <c r="D164" s="15">
        <v>9973200</v>
      </c>
      <c r="E164" s="93">
        <v>0.95399905979999999</v>
      </c>
      <c r="F164" s="18">
        <v>9514423.4199999999</v>
      </c>
      <c r="G164" s="18">
        <v>0.02</v>
      </c>
      <c r="H164" s="13"/>
      <c r="I164" s="13"/>
    </row>
    <row r="165" spans="1:9">
      <c r="A165" s="13" t="s">
        <v>568</v>
      </c>
      <c r="B165" s="139" t="s">
        <v>190</v>
      </c>
      <c r="C165" s="139" t="s">
        <v>346</v>
      </c>
      <c r="D165" s="18">
        <v>9972860.4499999993</v>
      </c>
      <c r="E165" s="93">
        <v>0.95499740509999997</v>
      </c>
      <c r="F165" s="18">
        <v>9524055.8499999996</v>
      </c>
      <c r="G165" s="18">
        <v>0.02</v>
      </c>
      <c r="H165" s="13"/>
      <c r="I165" s="13"/>
    </row>
    <row r="166" spans="1:9">
      <c r="A166" s="13" t="s">
        <v>569</v>
      </c>
      <c r="B166" s="139" t="s">
        <v>557</v>
      </c>
      <c r="C166" s="139" t="s">
        <v>346</v>
      </c>
      <c r="D166" s="18">
        <v>9973360.4700000007</v>
      </c>
      <c r="E166" s="93">
        <v>0.94023700249999997</v>
      </c>
      <c r="F166" s="18">
        <v>9377322.5500000007</v>
      </c>
      <c r="G166" s="18">
        <v>0.02</v>
      </c>
      <c r="H166" s="13"/>
      <c r="I166" s="13"/>
    </row>
    <row r="167" spans="1:9">
      <c r="A167" s="13" t="s">
        <v>570</v>
      </c>
      <c r="B167" s="139" t="s">
        <v>571</v>
      </c>
      <c r="C167" s="139" t="s">
        <v>346</v>
      </c>
      <c r="D167" s="15">
        <v>7551944</v>
      </c>
      <c r="E167" s="93">
        <v>0.96714365790000001</v>
      </c>
      <c r="F167" s="18">
        <v>7303814.7400000002</v>
      </c>
      <c r="G167" s="18">
        <v>0.01</v>
      </c>
      <c r="H167" s="13"/>
      <c r="I167" s="13"/>
    </row>
    <row r="168" spans="1:9">
      <c r="A168" s="13" t="s">
        <v>572</v>
      </c>
      <c r="B168" s="139" t="s">
        <v>391</v>
      </c>
      <c r="C168" s="139" t="s">
        <v>346</v>
      </c>
      <c r="D168" s="151">
        <v>9943984.5</v>
      </c>
      <c r="E168" s="93">
        <v>0.96919808969999999</v>
      </c>
      <c r="F168" s="18">
        <v>9637690.7799999993</v>
      </c>
      <c r="G168" s="18">
        <v>0.02</v>
      </c>
      <c r="H168" s="13"/>
      <c r="I168" s="13"/>
    </row>
    <row r="169" spans="1:9">
      <c r="A169" s="13" t="s">
        <v>573</v>
      </c>
      <c r="B169" s="139" t="s">
        <v>188</v>
      </c>
      <c r="C169" s="139" t="s">
        <v>346</v>
      </c>
      <c r="D169" s="151">
        <v>9943984.5</v>
      </c>
      <c r="E169" s="93">
        <v>0.96816982910000005</v>
      </c>
      <c r="F169" s="18">
        <v>9627465.7699999996</v>
      </c>
      <c r="G169" s="18">
        <v>0.02</v>
      </c>
      <c r="H169" s="13"/>
      <c r="I169" s="13"/>
    </row>
    <row r="170" spans="1:9">
      <c r="A170" s="13" t="s">
        <v>574</v>
      </c>
      <c r="B170" s="139" t="s">
        <v>575</v>
      </c>
      <c r="C170" s="139" t="s">
        <v>346</v>
      </c>
      <c r="D170" s="15">
        <v>7551944</v>
      </c>
      <c r="E170" s="93">
        <v>0.96306072509999996</v>
      </c>
      <c r="F170" s="18">
        <v>7272980.6600000001</v>
      </c>
      <c r="G170" s="18">
        <v>0.01</v>
      </c>
      <c r="H170" s="13"/>
      <c r="I170" s="13"/>
    </row>
    <row r="171" spans="1:9">
      <c r="A171" s="13" t="s">
        <v>576</v>
      </c>
      <c r="B171" s="139" t="s">
        <v>575</v>
      </c>
      <c r="C171" s="139" t="s">
        <v>346</v>
      </c>
      <c r="D171" s="15">
        <v>7551944</v>
      </c>
      <c r="E171" s="93">
        <v>0.96306072509999996</v>
      </c>
      <c r="F171" s="18">
        <v>7272980.6600000001</v>
      </c>
      <c r="G171" s="18">
        <v>0.01</v>
      </c>
      <c r="H171" s="13"/>
      <c r="I171" s="13"/>
    </row>
    <row r="172" spans="1:9">
      <c r="A172" s="13" t="s">
        <v>577</v>
      </c>
      <c r="B172" s="139" t="s">
        <v>391</v>
      </c>
      <c r="C172" s="139" t="s">
        <v>346</v>
      </c>
      <c r="D172" s="151">
        <v>9943984.5</v>
      </c>
      <c r="E172" s="93">
        <v>0.96919808969999999</v>
      </c>
      <c r="F172" s="18">
        <v>9637690.7799999993</v>
      </c>
      <c r="G172" s="18">
        <v>0.02</v>
      </c>
      <c r="H172" s="13"/>
      <c r="I172" s="13"/>
    </row>
    <row r="173" spans="1:9">
      <c r="A173" s="13" t="s">
        <v>578</v>
      </c>
      <c r="B173" s="139" t="s">
        <v>188</v>
      </c>
      <c r="C173" s="139" t="s">
        <v>346</v>
      </c>
      <c r="D173" s="151">
        <v>9943984.5</v>
      </c>
      <c r="E173" s="93">
        <v>0.96816982910000005</v>
      </c>
      <c r="F173" s="18">
        <v>9627465.7699999996</v>
      </c>
      <c r="G173" s="18">
        <v>0.02</v>
      </c>
      <c r="H173" s="13"/>
      <c r="I173" s="13"/>
    </row>
    <row r="174" spans="1:9">
      <c r="A174" s="13" t="s">
        <v>579</v>
      </c>
      <c r="B174" s="139" t="s">
        <v>571</v>
      </c>
      <c r="C174" s="139" t="s">
        <v>346</v>
      </c>
      <c r="D174" s="15">
        <v>7551944</v>
      </c>
      <c r="E174" s="93">
        <v>0.96714365790000001</v>
      </c>
      <c r="F174" s="18">
        <v>7303814.7400000002</v>
      </c>
      <c r="G174" s="18">
        <v>0.01</v>
      </c>
      <c r="H174" s="13"/>
      <c r="I174" s="13"/>
    </row>
    <row r="175" spans="1:9">
      <c r="A175" s="13" t="s">
        <v>587</v>
      </c>
      <c r="B175" s="139" t="s">
        <v>188</v>
      </c>
      <c r="C175" s="139" t="s">
        <v>358</v>
      </c>
      <c r="D175" s="18">
        <v>3243208.42</v>
      </c>
      <c r="E175" s="154">
        <v>0.974372672</v>
      </c>
      <c r="F175" s="18">
        <v>3160093.65</v>
      </c>
      <c r="G175" s="18">
        <v>0.01</v>
      </c>
      <c r="H175" s="13"/>
      <c r="I175" s="13"/>
    </row>
    <row r="176" spans="1:9">
      <c r="A176" s="13" t="s">
        <v>588</v>
      </c>
      <c r="B176" s="139" t="s">
        <v>561</v>
      </c>
      <c r="C176" s="139" t="s">
        <v>358</v>
      </c>
      <c r="D176" s="18">
        <v>3243208.42</v>
      </c>
      <c r="E176" s="93">
        <v>0.95081797859999995</v>
      </c>
      <c r="F176" s="18">
        <v>3083700.87</v>
      </c>
      <c r="G176" s="18">
        <v>0.01</v>
      </c>
      <c r="H176" s="13"/>
      <c r="I176" s="13"/>
    </row>
    <row r="177" spans="1:14">
      <c r="A177" s="13" t="s">
        <v>589</v>
      </c>
      <c r="B177" s="139" t="s">
        <v>188</v>
      </c>
      <c r="C177" s="139" t="s">
        <v>358</v>
      </c>
      <c r="D177" s="15">
        <v>2500000</v>
      </c>
      <c r="E177" s="93">
        <v>0.97671929749999997</v>
      </c>
      <c r="F177" s="18">
        <v>2441798.2400000002</v>
      </c>
      <c r="G177" s="15">
        <v>0</v>
      </c>
      <c r="H177" s="13"/>
      <c r="I177" s="13"/>
    </row>
    <row r="178" spans="1:14">
      <c r="A178" s="13" t="s">
        <v>590</v>
      </c>
      <c r="B178" s="139" t="s">
        <v>190</v>
      </c>
      <c r="C178" s="139" t="s">
        <v>358</v>
      </c>
      <c r="D178" s="15">
        <v>2500000</v>
      </c>
      <c r="E178" s="93">
        <v>0.96696430170000003</v>
      </c>
      <c r="F178" s="18">
        <v>2417410.75</v>
      </c>
      <c r="G178" s="15">
        <v>0</v>
      </c>
      <c r="H178" s="13"/>
      <c r="I178" s="13"/>
    </row>
    <row r="179" spans="1:14">
      <c r="A179" s="13" t="s">
        <v>591</v>
      </c>
      <c r="B179" s="139" t="s">
        <v>518</v>
      </c>
      <c r="C179" s="139" t="s">
        <v>358</v>
      </c>
      <c r="D179" s="15">
        <v>2500000</v>
      </c>
      <c r="E179" s="93">
        <v>0.98899909340000003</v>
      </c>
      <c r="F179" s="18">
        <v>2472497.73</v>
      </c>
      <c r="G179" s="15">
        <v>0</v>
      </c>
      <c r="H179" s="13"/>
      <c r="I179" s="13"/>
      <c r="N179" s="68"/>
    </row>
    <row r="180" spans="1:14">
      <c r="A180" s="13" t="s">
        <v>592</v>
      </c>
      <c r="B180" s="139" t="s">
        <v>190</v>
      </c>
      <c r="C180" s="139" t="s">
        <v>358</v>
      </c>
      <c r="D180" s="15">
        <v>25000000</v>
      </c>
      <c r="E180" s="93">
        <v>0.96586402579999997</v>
      </c>
      <c r="F180" s="18">
        <v>24146600.649999999</v>
      </c>
      <c r="G180" s="18">
        <v>0.05</v>
      </c>
      <c r="H180" s="13"/>
      <c r="I180" s="13"/>
    </row>
    <row r="181" spans="1:14">
      <c r="A181" s="13" t="s">
        <v>593</v>
      </c>
      <c r="B181" s="139" t="s">
        <v>594</v>
      </c>
      <c r="C181" s="139" t="s">
        <v>358</v>
      </c>
      <c r="D181" s="15">
        <v>24000000</v>
      </c>
      <c r="E181" s="93">
        <v>0.96052636889999998</v>
      </c>
      <c r="F181" s="18">
        <v>23052632.850000001</v>
      </c>
      <c r="G181" s="18">
        <v>0.04</v>
      </c>
      <c r="H181" s="13"/>
      <c r="I181" s="13"/>
    </row>
    <row r="182" spans="1:14">
      <c r="A182" s="13" t="s">
        <v>595</v>
      </c>
      <c r="B182" s="139" t="s">
        <v>488</v>
      </c>
      <c r="C182" s="139" t="s">
        <v>358</v>
      </c>
      <c r="D182" s="15">
        <v>25000000</v>
      </c>
      <c r="E182" s="93">
        <v>0.96509784870000004</v>
      </c>
      <c r="F182" s="18">
        <v>24127446.219999999</v>
      </c>
      <c r="G182" s="18">
        <v>0.05</v>
      </c>
      <c r="H182" s="13"/>
      <c r="I182" s="13"/>
    </row>
    <row r="183" spans="1:14">
      <c r="A183" s="13" t="s">
        <v>596</v>
      </c>
      <c r="B183" s="139" t="s">
        <v>391</v>
      </c>
      <c r="C183" s="139" t="s">
        <v>358</v>
      </c>
      <c r="D183" s="15">
        <v>15000000</v>
      </c>
      <c r="E183" s="93">
        <v>0.9752057502</v>
      </c>
      <c r="F183" s="18">
        <v>14628086.25</v>
      </c>
      <c r="G183" s="18">
        <v>0.03</v>
      </c>
      <c r="H183" s="13"/>
      <c r="I183" s="13"/>
    </row>
    <row r="184" spans="1:14">
      <c r="A184" s="13" t="s">
        <v>598</v>
      </c>
      <c r="B184" s="139" t="s">
        <v>518</v>
      </c>
      <c r="C184" s="139" t="s">
        <v>358</v>
      </c>
      <c r="D184" s="15">
        <v>15000000</v>
      </c>
      <c r="E184" s="93">
        <v>0.98787486759999998</v>
      </c>
      <c r="F184" s="18">
        <v>14818123.01</v>
      </c>
      <c r="G184" s="18">
        <v>0.03</v>
      </c>
      <c r="H184" s="13"/>
      <c r="I184" s="13"/>
    </row>
    <row r="185" spans="1:14">
      <c r="A185" s="13" t="s">
        <v>599</v>
      </c>
      <c r="B185" s="139" t="s">
        <v>488</v>
      </c>
      <c r="C185" s="139" t="s">
        <v>358</v>
      </c>
      <c r="D185" s="15">
        <v>15000000</v>
      </c>
      <c r="E185" s="93">
        <v>0.96285746220000001</v>
      </c>
      <c r="F185" s="18">
        <v>14442861.93</v>
      </c>
      <c r="G185" s="18">
        <v>0.03</v>
      </c>
      <c r="H185" s="13"/>
      <c r="I185" s="13"/>
    </row>
    <row r="186" spans="1:14">
      <c r="A186" s="13" t="s">
        <v>600</v>
      </c>
      <c r="B186" s="139" t="s">
        <v>329</v>
      </c>
      <c r="C186" s="139" t="s">
        <v>358</v>
      </c>
      <c r="D186" s="15">
        <v>15000000</v>
      </c>
      <c r="E186" s="154">
        <v>0.99130908699999998</v>
      </c>
      <c r="F186" s="18">
        <v>14869636.310000001</v>
      </c>
      <c r="G186" s="18">
        <v>0.03</v>
      </c>
      <c r="H186" s="13"/>
      <c r="I186" s="13"/>
    </row>
    <row r="187" spans="1:14">
      <c r="A187" s="13" t="s">
        <v>601</v>
      </c>
      <c r="B187" s="139" t="s">
        <v>424</v>
      </c>
      <c r="C187" s="139" t="s">
        <v>358</v>
      </c>
      <c r="D187" s="15">
        <v>15000000</v>
      </c>
      <c r="E187" s="93">
        <v>0.96693869470000005</v>
      </c>
      <c r="F187" s="18">
        <v>14504080.42</v>
      </c>
      <c r="G187" s="18">
        <v>0.03</v>
      </c>
      <c r="H187" s="13"/>
      <c r="I187" s="13"/>
    </row>
    <row r="188" spans="1:14">
      <c r="A188" s="13" t="s">
        <v>602</v>
      </c>
      <c r="B188" s="139" t="s">
        <v>449</v>
      </c>
      <c r="C188" s="139" t="s">
        <v>358</v>
      </c>
      <c r="D188" s="15">
        <v>15000000</v>
      </c>
      <c r="E188" s="93">
        <v>0.99390045380000003</v>
      </c>
      <c r="F188" s="18">
        <v>14908506.810000001</v>
      </c>
      <c r="G188" s="18">
        <v>0.03</v>
      </c>
      <c r="H188" s="13"/>
      <c r="I188" s="13"/>
    </row>
    <row r="189" spans="1:14">
      <c r="A189" s="13" t="s">
        <v>603</v>
      </c>
      <c r="B189" s="139" t="s">
        <v>604</v>
      </c>
      <c r="C189" s="139" t="s">
        <v>358</v>
      </c>
      <c r="D189" s="15">
        <v>15000000</v>
      </c>
      <c r="E189" s="93">
        <v>0.96858083959999997</v>
      </c>
      <c r="F189" s="18">
        <v>14528712.59</v>
      </c>
      <c r="G189" s="18">
        <v>0.03</v>
      </c>
      <c r="H189" s="13"/>
      <c r="I189" s="13"/>
    </row>
    <row r="190" spans="1:14">
      <c r="A190" s="13" t="s">
        <v>605</v>
      </c>
      <c r="B190" s="139" t="s">
        <v>606</v>
      </c>
      <c r="C190" s="139" t="s">
        <v>358</v>
      </c>
      <c r="D190" s="15">
        <v>10000000</v>
      </c>
      <c r="E190" s="154">
        <v>0.996723107</v>
      </c>
      <c r="F190" s="18">
        <v>9967231.0700000003</v>
      </c>
      <c r="G190" s="18">
        <v>0.02</v>
      </c>
      <c r="H190" s="13"/>
      <c r="I190" s="13"/>
    </row>
    <row r="191" spans="1:14">
      <c r="A191" s="13" t="s">
        <v>607</v>
      </c>
      <c r="B191" s="139" t="s">
        <v>518</v>
      </c>
      <c r="C191" s="139" t="s">
        <v>358</v>
      </c>
      <c r="D191" s="18">
        <v>9978017.3200000003</v>
      </c>
      <c r="E191" s="93">
        <v>0.98563406490000005</v>
      </c>
      <c r="F191" s="18">
        <v>9834673.7699999996</v>
      </c>
      <c r="G191" s="18">
        <v>0.02</v>
      </c>
      <c r="H191" s="13"/>
      <c r="I191" s="13"/>
    </row>
    <row r="192" spans="1:14">
      <c r="A192" s="13" t="s">
        <v>608</v>
      </c>
      <c r="B192" s="139" t="s">
        <v>445</v>
      </c>
      <c r="C192" s="139" t="s">
        <v>358</v>
      </c>
      <c r="D192" s="18">
        <v>3519950.15</v>
      </c>
      <c r="E192" s="93">
        <v>0.99071714150000001</v>
      </c>
      <c r="F192" s="18">
        <v>3487274.95</v>
      </c>
      <c r="G192" s="18">
        <v>0.01</v>
      </c>
      <c r="H192" s="13"/>
      <c r="I192" s="13"/>
    </row>
    <row r="193" spans="1:17">
      <c r="A193" s="13" t="s">
        <v>609</v>
      </c>
      <c r="B193" s="139" t="s">
        <v>452</v>
      </c>
      <c r="C193" s="139" t="s">
        <v>358</v>
      </c>
      <c r="D193" s="18">
        <v>3116595.02</v>
      </c>
      <c r="E193" s="93">
        <v>0.99792213959999998</v>
      </c>
      <c r="F193" s="18">
        <v>3110119.17</v>
      </c>
      <c r="G193" s="18">
        <v>0.01</v>
      </c>
      <c r="H193" s="13"/>
      <c r="I193" s="13"/>
    </row>
    <row r="194" spans="1:17">
      <c r="A194" s="13" t="s">
        <v>610</v>
      </c>
      <c r="B194" s="139" t="s">
        <v>490</v>
      </c>
      <c r="C194" s="139" t="s">
        <v>358</v>
      </c>
      <c r="D194" s="18">
        <v>3116595.02</v>
      </c>
      <c r="E194" s="154">
        <v>0.98361543399999996</v>
      </c>
      <c r="F194" s="18">
        <v>3065530.96</v>
      </c>
      <c r="G194" s="18">
        <v>0.01</v>
      </c>
      <c r="H194" s="13"/>
      <c r="I194" s="13"/>
      <c r="N194" s="68"/>
    </row>
    <row r="195" spans="1:17">
      <c r="A195" s="13" t="s">
        <v>611</v>
      </c>
      <c r="B195" s="139" t="s">
        <v>612</v>
      </c>
      <c r="C195" s="139" t="s">
        <v>358</v>
      </c>
      <c r="D195" s="18">
        <v>4463318.82</v>
      </c>
      <c r="E195" s="93">
        <v>0.9384482234</v>
      </c>
      <c r="F195" s="18">
        <v>4188593.62</v>
      </c>
      <c r="G195" s="18">
        <v>0.01</v>
      </c>
      <c r="H195" s="13"/>
      <c r="I195" s="13"/>
    </row>
    <row r="196" spans="1:17">
      <c r="A196" s="13" t="s">
        <v>613</v>
      </c>
      <c r="B196" s="139" t="s">
        <v>490</v>
      </c>
      <c r="C196" s="139" t="s">
        <v>358</v>
      </c>
      <c r="D196" s="15">
        <v>8500000</v>
      </c>
      <c r="E196" s="93">
        <v>0.98702004750000005</v>
      </c>
      <c r="F196" s="151">
        <v>8389670.4000000004</v>
      </c>
      <c r="G196" s="18">
        <v>0.02</v>
      </c>
      <c r="H196" s="13"/>
      <c r="I196" s="13"/>
    </row>
    <row r="197" spans="1:17">
      <c r="A197" s="13" t="s">
        <v>614</v>
      </c>
      <c r="B197" s="139" t="s">
        <v>490</v>
      </c>
      <c r="C197" s="139" t="s">
        <v>358</v>
      </c>
      <c r="D197" s="15">
        <v>10000000</v>
      </c>
      <c r="E197" s="154">
        <v>0.98702004799999998</v>
      </c>
      <c r="F197" s="18">
        <v>9870200.4800000004</v>
      </c>
      <c r="G197" s="18">
        <v>0.02</v>
      </c>
      <c r="H197" s="13"/>
      <c r="I197" s="13"/>
    </row>
    <row r="198" spans="1:17">
      <c r="A198" s="13" t="s">
        <v>615</v>
      </c>
      <c r="B198" s="139" t="s">
        <v>616</v>
      </c>
      <c r="C198" s="139" t="s">
        <v>358</v>
      </c>
      <c r="D198" s="15">
        <v>8500000</v>
      </c>
      <c r="E198" s="93">
        <v>0.98621996820000002</v>
      </c>
      <c r="F198" s="18">
        <v>8382869.7300000004</v>
      </c>
      <c r="G198" s="18">
        <v>0.02</v>
      </c>
      <c r="H198" s="13"/>
      <c r="I198" s="13"/>
    </row>
    <row r="199" spans="1:17">
      <c r="A199" s="13" t="s">
        <v>617</v>
      </c>
      <c r="B199" s="139" t="s">
        <v>616</v>
      </c>
      <c r="C199" s="139" t="s">
        <v>358</v>
      </c>
      <c r="D199" s="15">
        <v>10000000</v>
      </c>
      <c r="E199" s="93">
        <v>0.98621996769999998</v>
      </c>
      <c r="F199" s="18">
        <v>9862199.6799999997</v>
      </c>
      <c r="G199" s="18">
        <v>0.02</v>
      </c>
      <c r="H199" s="13"/>
      <c r="I199" s="13"/>
    </row>
    <row r="200" spans="1:17">
      <c r="A200" s="13" t="s">
        <v>618</v>
      </c>
      <c r="B200" s="139" t="s">
        <v>426</v>
      </c>
      <c r="C200" s="139" t="s">
        <v>358</v>
      </c>
      <c r="D200" s="15">
        <v>10000000</v>
      </c>
      <c r="E200" s="93">
        <v>0.98542118160000003</v>
      </c>
      <c r="F200" s="18">
        <v>9854211.8200000003</v>
      </c>
      <c r="G200" s="18">
        <v>0.02</v>
      </c>
      <c r="H200" s="13"/>
      <c r="I200" s="13"/>
    </row>
    <row r="201" spans="1:17">
      <c r="A201" s="13" t="s">
        <v>619</v>
      </c>
      <c r="B201" s="139" t="s">
        <v>518</v>
      </c>
      <c r="C201" s="139" t="s">
        <v>358</v>
      </c>
      <c r="D201" s="15">
        <v>10000000</v>
      </c>
      <c r="E201" s="93">
        <v>0.98862406739999997</v>
      </c>
      <c r="F201" s="18">
        <v>9886240.6699999999</v>
      </c>
      <c r="G201" s="18">
        <v>0.02</v>
      </c>
      <c r="H201" s="13"/>
      <c r="I201" s="13"/>
    </row>
    <row r="202" spans="1:17">
      <c r="A202" s="13" t="s">
        <v>620</v>
      </c>
      <c r="B202" s="139" t="s">
        <v>488</v>
      </c>
      <c r="C202" s="139" t="s">
        <v>358</v>
      </c>
      <c r="D202" s="15">
        <v>10000000</v>
      </c>
      <c r="E202" s="93">
        <v>0.96509784870000004</v>
      </c>
      <c r="F202" s="18">
        <v>9650978.4900000002</v>
      </c>
      <c r="G202" s="18">
        <v>0.02</v>
      </c>
      <c r="H202" s="13"/>
      <c r="I202" s="13"/>
    </row>
    <row r="203" spans="1:17">
      <c r="A203" s="13" t="s">
        <v>621</v>
      </c>
      <c r="B203" s="139" t="s">
        <v>533</v>
      </c>
      <c r="C203" s="139" t="s">
        <v>358</v>
      </c>
      <c r="D203" s="15">
        <v>5000000</v>
      </c>
      <c r="E203" s="93">
        <v>0.9814466758</v>
      </c>
      <c r="F203" s="18">
        <v>4907233.38</v>
      </c>
      <c r="G203" s="18">
        <v>0.01</v>
      </c>
      <c r="H203" s="13"/>
      <c r="I203" s="13"/>
    </row>
    <row r="204" spans="1:17">
      <c r="A204" s="13" t="s">
        <v>622</v>
      </c>
      <c r="B204" s="139" t="s">
        <v>391</v>
      </c>
      <c r="C204" s="139" t="s">
        <v>358</v>
      </c>
      <c r="D204" s="15">
        <v>5000000</v>
      </c>
      <c r="E204" s="154">
        <v>0.97671931700000003</v>
      </c>
      <c r="F204" s="18">
        <v>4883596.59</v>
      </c>
      <c r="G204" s="18">
        <v>0.01</v>
      </c>
      <c r="H204" s="13"/>
      <c r="I204" s="13"/>
    </row>
    <row r="205" spans="1:17">
      <c r="A205" s="13" t="s">
        <v>623</v>
      </c>
      <c r="B205" s="139" t="s">
        <v>624</v>
      </c>
      <c r="C205" s="139" t="s">
        <v>358</v>
      </c>
      <c r="D205" s="15">
        <v>5000000</v>
      </c>
      <c r="E205" s="93">
        <v>0.96663141829999999</v>
      </c>
      <c r="F205" s="18">
        <v>4833157.09</v>
      </c>
      <c r="G205" s="18">
        <v>0.01</v>
      </c>
      <c r="H205" s="13"/>
      <c r="I205" s="13"/>
    </row>
    <row r="206" spans="1:17">
      <c r="A206" s="13" t="s">
        <v>625</v>
      </c>
      <c r="B206" s="139" t="s">
        <v>626</v>
      </c>
      <c r="C206" s="139" t="s">
        <v>358</v>
      </c>
      <c r="D206" s="15">
        <v>7900000</v>
      </c>
      <c r="E206" s="154">
        <v>0.91939551600000002</v>
      </c>
      <c r="F206" s="18">
        <v>7263224.5800000001</v>
      </c>
      <c r="G206" s="18">
        <v>0.01</v>
      </c>
      <c r="H206" s="13"/>
      <c r="I206" s="13"/>
      <c r="Q206" s="9"/>
    </row>
    <row r="207" spans="1:17">
      <c r="A207" s="13" t="s">
        <v>627</v>
      </c>
      <c r="B207" s="139" t="s">
        <v>626</v>
      </c>
      <c r="C207" s="139" t="s">
        <v>358</v>
      </c>
      <c r="D207" s="15">
        <v>7203888</v>
      </c>
      <c r="E207" s="93">
        <v>0.91939551789999996</v>
      </c>
      <c r="F207" s="18">
        <v>6623222.3399999999</v>
      </c>
      <c r="G207" s="18">
        <v>0.01</v>
      </c>
      <c r="H207" s="13"/>
      <c r="I207" s="13"/>
    </row>
    <row r="208" spans="1:17">
      <c r="A208" s="13" t="s">
        <v>628</v>
      </c>
      <c r="B208" s="139" t="s">
        <v>629</v>
      </c>
      <c r="C208" s="139" t="s">
        <v>358</v>
      </c>
      <c r="D208" s="15">
        <v>7203888</v>
      </c>
      <c r="E208" s="154">
        <v>0.922182944</v>
      </c>
      <c r="F208" s="18">
        <v>6643302.6399999997</v>
      </c>
      <c r="G208" s="18">
        <v>0.01</v>
      </c>
      <c r="H208" s="13"/>
      <c r="I208" s="13"/>
    </row>
    <row r="209" spans="1:9">
      <c r="A209" s="13" t="s">
        <v>630</v>
      </c>
      <c r="B209" s="139" t="s">
        <v>631</v>
      </c>
      <c r="C209" s="139" t="s">
        <v>358</v>
      </c>
      <c r="D209" s="15">
        <v>7203888</v>
      </c>
      <c r="E209" s="93">
        <v>0.92032283680000004</v>
      </c>
      <c r="F209" s="18">
        <v>6629902.6399999997</v>
      </c>
      <c r="G209" s="18">
        <v>0.01</v>
      </c>
      <c r="H209" s="13"/>
      <c r="I209" s="13"/>
    </row>
    <row r="210" spans="1:9">
      <c r="A210" s="13" t="s">
        <v>632</v>
      </c>
      <c r="B210" s="139" t="s">
        <v>631</v>
      </c>
      <c r="C210" s="139" t="s">
        <v>358</v>
      </c>
      <c r="D210" s="15">
        <v>7900000</v>
      </c>
      <c r="E210" s="93">
        <v>0.92032283680000004</v>
      </c>
      <c r="F210" s="18">
        <v>7270550.4100000001</v>
      </c>
      <c r="G210" s="18">
        <v>0.01</v>
      </c>
      <c r="H210" s="13"/>
      <c r="I210" s="13"/>
    </row>
    <row r="211" spans="1:9">
      <c r="A211" s="13" t="s">
        <v>662</v>
      </c>
      <c r="B211" s="139" t="s">
        <v>168</v>
      </c>
      <c r="C211" s="139" t="s">
        <v>397</v>
      </c>
      <c r="D211" s="15">
        <v>5000000</v>
      </c>
      <c r="E211" s="93">
        <v>0.99920611270000004</v>
      </c>
      <c r="F211" s="18">
        <v>4996030.5599999996</v>
      </c>
      <c r="G211" s="18">
        <v>0.01</v>
      </c>
      <c r="H211" s="13"/>
      <c r="I211" s="13"/>
    </row>
    <row r="212" spans="1:9">
      <c r="A212" s="13" t="s">
        <v>663</v>
      </c>
      <c r="B212" s="139" t="s">
        <v>452</v>
      </c>
      <c r="C212" s="139" t="s">
        <v>397</v>
      </c>
      <c r="D212" s="15">
        <v>5000000</v>
      </c>
      <c r="E212" s="154">
        <v>0.99841348299999999</v>
      </c>
      <c r="F212" s="18">
        <v>4992067.42</v>
      </c>
      <c r="G212" s="18">
        <v>0.01</v>
      </c>
      <c r="H212" s="13"/>
      <c r="I212" s="13"/>
    </row>
    <row r="213" spans="1:9">
      <c r="A213" s="13" t="s">
        <v>664</v>
      </c>
      <c r="B213" s="139" t="s">
        <v>449</v>
      </c>
      <c r="C213" s="139" t="s">
        <v>397</v>
      </c>
      <c r="D213" s="15">
        <v>5000000</v>
      </c>
      <c r="E213" s="93">
        <v>0.99446912170000001</v>
      </c>
      <c r="F213" s="18">
        <v>4972345.6100000003</v>
      </c>
      <c r="G213" s="18">
        <v>0.01</v>
      </c>
      <c r="H213" s="13"/>
      <c r="I213" s="13"/>
    </row>
    <row r="214" spans="1:9">
      <c r="A214" s="13" t="s">
        <v>665</v>
      </c>
      <c r="B214" s="139" t="s">
        <v>454</v>
      </c>
      <c r="C214" s="139" t="s">
        <v>397</v>
      </c>
      <c r="D214" s="15">
        <v>5000000</v>
      </c>
      <c r="E214" s="93">
        <v>0.99368399939999996</v>
      </c>
      <c r="F214" s="15">
        <v>4968420</v>
      </c>
      <c r="G214" s="18">
        <v>0.01</v>
      </c>
      <c r="H214" s="13"/>
      <c r="I214" s="13"/>
    </row>
    <row r="215" spans="1:9">
      <c r="A215" s="13" t="s">
        <v>666</v>
      </c>
      <c r="B215" s="139" t="s">
        <v>445</v>
      </c>
      <c r="C215" s="139" t="s">
        <v>397</v>
      </c>
      <c r="D215" s="15">
        <v>5000000</v>
      </c>
      <c r="E215" s="93">
        <v>0.99290010179999999</v>
      </c>
      <c r="F215" s="18">
        <v>4964500.51</v>
      </c>
      <c r="G215" s="18">
        <v>0.01</v>
      </c>
      <c r="H215" s="13"/>
      <c r="I215" s="13"/>
    </row>
    <row r="216" spans="1:9">
      <c r="A216" s="13" t="s">
        <v>667</v>
      </c>
      <c r="B216" s="139" t="s">
        <v>329</v>
      </c>
      <c r="C216" s="139" t="s">
        <v>397</v>
      </c>
      <c r="D216" s="15">
        <v>5000000</v>
      </c>
      <c r="E216" s="93">
        <v>0.99211743129999996</v>
      </c>
      <c r="F216" s="18">
        <v>4960587.16</v>
      </c>
      <c r="G216" s="18">
        <v>0.01</v>
      </c>
      <c r="H216" s="13"/>
      <c r="I216" s="13"/>
    </row>
    <row r="217" spans="1:9">
      <c r="A217" s="13" t="s">
        <v>668</v>
      </c>
      <c r="B217" s="139" t="s">
        <v>385</v>
      </c>
      <c r="C217" s="139" t="s">
        <v>397</v>
      </c>
      <c r="D217" s="15">
        <v>5000000</v>
      </c>
      <c r="E217" s="93">
        <v>0.99133599770000003</v>
      </c>
      <c r="F217" s="18">
        <v>4956679.99</v>
      </c>
      <c r="G217" s="18">
        <v>0.01</v>
      </c>
      <c r="H217" s="13"/>
      <c r="I217" s="13"/>
    </row>
    <row r="218" spans="1:9">
      <c r="A218" s="13" t="s">
        <v>669</v>
      </c>
      <c r="B218" s="139" t="s">
        <v>518</v>
      </c>
      <c r="C218" s="139" t="s">
        <v>397</v>
      </c>
      <c r="D218" s="15">
        <v>5000000</v>
      </c>
      <c r="E218" s="93">
        <v>0.98899908849999996</v>
      </c>
      <c r="F218" s="18">
        <v>4944995.4400000004</v>
      </c>
      <c r="G218" s="18">
        <v>0.01</v>
      </c>
      <c r="H218" s="13"/>
      <c r="I218" s="13"/>
    </row>
    <row r="219" spans="1:9">
      <c r="A219" s="13" t="s">
        <v>670</v>
      </c>
      <c r="B219" s="139" t="s">
        <v>192</v>
      </c>
      <c r="C219" s="139" t="s">
        <v>397</v>
      </c>
      <c r="D219" s="15">
        <v>5000000</v>
      </c>
      <c r="E219" s="93">
        <v>0.98822259209999996</v>
      </c>
      <c r="F219" s="18">
        <v>4941112.96</v>
      </c>
      <c r="G219" s="18">
        <v>0.01</v>
      </c>
      <c r="H219" s="13"/>
      <c r="I219" s="13"/>
    </row>
    <row r="220" spans="1:9">
      <c r="A220" s="13" t="s">
        <v>671</v>
      </c>
      <c r="B220" s="139" t="s">
        <v>563</v>
      </c>
      <c r="C220" s="139" t="s">
        <v>397</v>
      </c>
      <c r="D220" s="15">
        <v>42000000</v>
      </c>
      <c r="E220" s="93">
        <v>0.9566744881</v>
      </c>
      <c r="F220" s="151">
        <v>40180328.5</v>
      </c>
      <c r="G220" s="18">
        <v>0.08</v>
      </c>
      <c r="H220" s="13"/>
      <c r="I220" s="13"/>
    </row>
    <row r="221" spans="1:9">
      <c r="A221" s="13" t="s">
        <v>672</v>
      </c>
      <c r="B221" s="139" t="s">
        <v>387</v>
      </c>
      <c r="C221" s="139" t="s">
        <v>397</v>
      </c>
      <c r="D221" s="15">
        <v>42000000</v>
      </c>
      <c r="E221" s="93">
        <v>0.98052385470000003</v>
      </c>
      <c r="F221" s="151">
        <v>41182001.899999999</v>
      </c>
      <c r="G221" s="18">
        <v>0.08</v>
      </c>
      <c r="H221" s="13"/>
      <c r="I221" s="13"/>
    </row>
    <row r="222" spans="1:9">
      <c r="A222" s="13" t="s">
        <v>673</v>
      </c>
      <c r="B222" s="139" t="s">
        <v>533</v>
      </c>
      <c r="C222" s="139" t="s">
        <v>397</v>
      </c>
      <c r="D222" s="15">
        <v>80000000</v>
      </c>
      <c r="E222" s="93">
        <v>0.98205401579999996</v>
      </c>
      <c r="F222" s="18">
        <v>78564321.260000005</v>
      </c>
      <c r="G222" s="18">
        <v>0.15</v>
      </c>
      <c r="H222" s="13"/>
      <c r="I222" s="13"/>
    </row>
    <row r="223" spans="1:9">
      <c r="A223" s="13" t="s">
        <v>674</v>
      </c>
      <c r="B223" s="139" t="s">
        <v>518</v>
      </c>
      <c r="C223" s="139" t="s">
        <v>397</v>
      </c>
      <c r="D223" s="15">
        <v>80000000</v>
      </c>
      <c r="E223" s="93">
        <v>0.98899908739999998</v>
      </c>
      <c r="F223" s="18">
        <v>79119926.989999995</v>
      </c>
      <c r="G223" s="18">
        <v>0.15</v>
      </c>
      <c r="H223" s="13"/>
      <c r="I223" s="13"/>
    </row>
    <row r="224" spans="1:9">
      <c r="A224" s="13" t="s">
        <v>675</v>
      </c>
      <c r="B224" s="139" t="s">
        <v>488</v>
      </c>
      <c r="C224" s="139" t="s">
        <v>397</v>
      </c>
      <c r="D224" s="15">
        <v>6000000</v>
      </c>
      <c r="E224" s="93">
        <v>0.96509783410000005</v>
      </c>
      <c r="F224" s="15">
        <v>5790587</v>
      </c>
      <c r="G224" s="18">
        <v>0.01</v>
      </c>
      <c r="H224" s="13"/>
      <c r="I224" s="13"/>
    </row>
    <row r="225" spans="1:9">
      <c r="A225" s="13" t="s">
        <v>676</v>
      </c>
      <c r="B225" s="139" t="s">
        <v>677</v>
      </c>
      <c r="C225" s="139" t="s">
        <v>397</v>
      </c>
      <c r="D225" s="15">
        <v>6000000</v>
      </c>
      <c r="E225" s="93">
        <v>0.9492848143</v>
      </c>
      <c r="F225" s="18">
        <v>5695708.8899999997</v>
      </c>
      <c r="G225" s="18">
        <v>0.01</v>
      </c>
      <c r="H225" s="13"/>
      <c r="I225" s="13"/>
    </row>
    <row r="226" spans="1:9">
      <c r="A226" s="13" t="s">
        <v>678</v>
      </c>
      <c r="B226" s="139" t="s">
        <v>190</v>
      </c>
      <c r="C226" s="139" t="s">
        <v>397</v>
      </c>
      <c r="D226" s="15">
        <v>21395750</v>
      </c>
      <c r="E226" s="93">
        <v>0.96257815540000002</v>
      </c>
      <c r="F226" s="18">
        <v>20595081.57</v>
      </c>
      <c r="G226" s="18">
        <v>0.04</v>
      </c>
      <c r="H226" s="13"/>
      <c r="I226" s="13"/>
    </row>
    <row r="227" spans="1:9">
      <c r="A227" s="13" t="s">
        <v>679</v>
      </c>
      <c r="B227" s="139" t="s">
        <v>190</v>
      </c>
      <c r="C227" s="139" t="s">
        <v>397</v>
      </c>
      <c r="D227" s="15">
        <v>21395750</v>
      </c>
      <c r="E227" s="93">
        <v>0.96257815540000002</v>
      </c>
      <c r="F227" s="18">
        <v>20595081.57</v>
      </c>
      <c r="G227" s="18">
        <v>0.04</v>
      </c>
      <c r="H227" s="13"/>
      <c r="I227" s="13"/>
    </row>
    <row r="228" spans="1:9">
      <c r="A228" s="13" t="s">
        <v>680</v>
      </c>
      <c r="B228" s="139" t="s">
        <v>681</v>
      </c>
      <c r="C228" s="139" t="s">
        <v>397</v>
      </c>
      <c r="D228" s="15">
        <v>21387500</v>
      </c>
      <c r="E228" s="93">
        <v>0.93729145970000005</v>
      </c>
      <c r="F228" s="18">
        <v>20046321.09</v>
      </c>
      <c r="G228" s="18">
        <v>0.04</v>
      </c>
      <c r="H228" s="13"/>
      <c r="I228" s="13"/>
    </row>
    <row r="229" spans="1:9">
      <c r="A229" s="13" t="s">
        <v>682</v>
      </c>
      <c r="B229" s="139" t="s">
        <v>518</v>
      </c>
      <c r="C229" s="139" t="s">
        <v>397</v>
      </c>
      <c r="D229" s="15">
        <v>21395750</v>
      </c>
      <c r="E229" s="93">
        <v>0.9875006865</v>
      </c>
      <c r="F229" s="18">
        <v>21128317.809999999</v>
      </c>
      <c r="G229" s="18">
        <v>0.04</v>
      </c>
      <c r="H229" s="13"/>
      <c r="I229" s="13"/>
    </row>
    <row r="230" spans="1:9">
      <c r="A230" s="13" t="s">
        <v>683</v>
      </c>
      <c r="B230" s="139" t="s">
        <v>518</v>
      </c>
      <c r="C230" s="139" t="s">
        <v>397</v>
      </c>
      <c r="D230" s="15">
        <v>21395750</v>
      </c>
      <c r="E230" s="93">
        <v>0.9875006865</v>
      </c>
      <c r="F230" s="18">
        <v>21128317.809999999</v>
      </c>
      <c r="G230" s="18">
        <v>0.04</v>
      </c>
      <c r="H230" s="13"/>
      <c r="I230" s="13"/>
    </row>
    <row r="231" spans="1:9">
      <c r="A231" s="13" t="s">
        <v>684</v>
      </c>
      <c r="B231" s="139" t="s">
        <v>168</v>
      </c>
      <c r="C231" s="139" t="s">
        <v>397</v>
      </c>
      <c r="D231" s="15">
        <v>10000000</v>
      </c>
      <c r="E231" s="93">
        <v>0.99904201770000001</v>
      </c>
      <c r="F231" s="18">
        <v>9990420.1799999997</v>
      </c>
      <c r="G231" s="18">
        <v>0.02</v>
      </c>
      <c r="H231" s="13"/>
      <c r="I231" s="13"/>
    </row>
    <row r="232" spans="1:9">
      <c r="A232" s="13" t="s">
        <v>685</v>
      </c>
      <c r="B232" s="139" t="s">
        <v>606</v>
      </c>
      <c r="C232" s="139" t="s">
        <v>397</v>
      </c>
      <c r="D232" s="15">
        <v>5450000</v>
      </c>
      <c r="E232" s="93">
        <v>0.99713154140000004</v>
      </c>
      <c r="F232" s="151">
        <v>5434366.9000000004</v>
      </c>
      <c r="G232" s="18">
        <v>0.01</v>
      </c>
      <c r="H232" s="13"/>
      <c r="I232" s="13"/>
    </row>
    <row r="233" spans="1:9">
      <c r="A233" s="13" t="s">
        <v>686</v>
      </c>
      <c r="B233" s="139" t="s">
        <v>445</v>
      </c>
      <c r="C233" s="139" t="s">
        <v>397</v>
      </c>
      <c r="D233" s="15">
        <v>5450000</v>
      </c>
      <c r="E233" s="93">
        <v>0.99144372390000002</v>
      </c>
      <c r="F233" s="151">
        <v>5403368.2999999998</v>
      </c>
      <c r="G233" s="18">
        <v>0.01</v>
      </c>
      <c r="H233" s="13"/>
      <c r="I233" s="13"/>
    </row>
    <row r="234" spans="1:9">
      <c r="A234" s="13" t="s">
        <v>687</v>
      </c>
      <c r="B234" s="139" t="s">
        <v>688</v>
      </c>
      <c r="C234" s="139" t="s">
        <v>397</v>
      </c>
      <c r="D234" s="15">
        <v>4250000</v>
      </c>
      <c r="E234" s="93">
        <v>0.95250531490000001</v>
      </c>
      <c r="F234" s="18">
        <v>4048147.59</v>
      </c>
      <c r="G234" s="18">
        <v>0.01</v>
      </c>
      <c r="H234" s="13"/>
      <c r="I234" s="13"/>
    </row>
    <row r="235" spans="1:9">
      <c r="A235" s="13" t="s">
        <v>689</v>
      </c>
      <c r="B235" s="139" t="s">
        <v>449</v>
      </c>
      <c r="C235" s="139" t="s">
        <v>397</v>
      </c>
      <c r="D235" s="15">
        <v>5450000</v>
      </c>
      <c r="E235" s="93">
        <v>0.99333243110000002</v>
      </c>
      <c r="F235" s="18">
        <v>5413661.75</v>
      </c>
      <c r="G235" s="18">
        <v>0.01</v>
      </c>
      <c r="H235" s="13"/>
      <c r="I235" s="13"/>
    </row>
    <row r="236" spans="1:9">
      <c r="A236" s="13" t="s">
        <v>690</v>
      </c>
      <c r="B236" s="139" t="s">
        <v>329</v>
      </c>
      <c r="C236" s="139" t="s">
        <v>397</v>
      </c>
      <c r="D236" s="15">
        <v>5450000</v>
      </c>
      <c r="E236" s="93">
        <v>0.99050204519999996</v>
      </c>
      <c r="F236" s="18">
        <v>5398236.1500000004</v>
      </c>
      <c r="G236" s="18">
        <v>0.01</v>
      </c>
      <c r="H236" s="13"/>
      <c r="I236" s="13"/>
    </row>
    <row r="237" spans="1:9">
      <c r="A237" s="13" t="s">
        <v>691</v>
      </c>
      <c r="B237" s="139" t="s">
        <v>488</v>
      </c>
      <c r="C237" s="139" t="s">
        <v>397</v>
      </c>
      <c r="D237" s="15">
        <v>19999999</v>
      </c>
      <c r="E237" s="93">
        <v>0.95951629969999996</v>
      </c>
      <c r="F237" s="18">
        <v>19190325.030000001</v>
      </c>
      <c r="G237" s="18">
        <v>0.04</v>
      </c>
      <c r="H237" s="13"/>
      <c r="I237" s="13"/>
    </row>
    <row r="238" spans="1:9">
      <c r="A238" s="13" t="s">
        <v>692</v>
      </c>
      <c r="B238" s="139" t="s">
        <v>616</v>
      </c>
      <c r="C238" s="139" t="s">
        <v>397</v>
      </c>
      <c r="D238" s="15">
        <v>25000000</v>
      </c>
      <c r="E238" s="93">
        <v>0.98396012450000003</v>
      </c>
      <c r="F238" s="18">
        <v>24599003.109999999</v>
      </c>
      <c r="G238" s="18">
        <v>0.05</v>
      </c>
      <c r="H238" s="13"/>
      <c r="I238" s="13"/>
    </row>
    <row r="239" spans="1:9">
      <c r="A239" s="13" t="s">
        <v>693</v>
      </c>
      <c r="B239" s="139" t="s">
        <v>694</v>
      </c>
      <c r="C239" s="139" t="s">
        <v>397</v>
      </c>
      <c r="D239" s="15">
        <v>25000000</v>
      </c>
      <c r="E239" s="93">
        <v>0.97750405169999999</v>
      </c>
      <c r="F239" s="18">
        <v>24437601.289999999</v>
      </c>
      <c r="G239" s="18">
        <v>0.05</v>
      </c>
      <c r="H239" s="13"/>
      <c r="I239" s="13"/>
    </row>
    <row r="240" spans="1:9">
      <c r="A240" s="13" t="s">
        <v>695</v>
      </c>
      <c r="B240" s="139" t="s">
        <v>571</v>
      </c>
      <c r="C240" s="139" t="s">
        <v>397</v>
      </c>
      <c r="D240" s="15">
        <v>25000000</v>
      </c>
      <c r="E240" s="93">
        <v>0.97113214859999997</v>
      </c>
      <c r="F240" s="18">
        <v>24278303.719999999</v>
      </c>
      <c r="G240" s="18">
        <v>0.05</v>
      </c>
      <c r="H240" s="13"/>
      <c r="I240" s="13"/>
    </row>
    <row r="241" spans="1:18">
      <c r="A241" s="13" t="s">
        <v>696</v>
      </c>
      <c r="B241" s="139" t="s">
        <v>329</v>
      </c>
      <c r="C241" s="139" t="s">
        <v>397</v>
      </c>
      <c r="D241" s="15">
        <v>25000000</v>
      </c>
      <c r="E241" s="93">
        <v>0.99050204679999998</v>
      </c>
      <c r="F241" s="18">
        <v>24762551.170000002</v>
      </c>
      <c r="G241" s="18">
        <v>0.05</v>
      </c>
      <c r="H241" s="13"/>
      <c r="I241" s="13"/>
    </row>
    <row r="242" spans="1:18">
      <c r="A242" s="13" t="s">
        <v>701</v>
      </c>
      <c r="B242" s="139" t="s">
        <v>454</v>
      </c>
      <c r="C242" s="139" t="s">
        <v>348</v>
      </c>
      <c r="D242" s="15">
        <v>5000000</v>
      </c>
      <c r="E242" s="93">
        <v>0.99368398489999998</v>
      </c>
      <c r="F242" s="18">
        <v>4968419.92</v>
      </c>
      <c r="G242" s="18">
        <v>0.01</v>
      </c>
      <c r="H242" s="13"/>
      <c r="I242" s="13"/>
    </row>
    <row r="243" spans="1:18">
      <c r="A243" s="13" t="s">
        <v>702</v>
      </c>
      <c r="B243" s="139" t="s">
        <v>445</v>
      </c>
      <c r="C243" s="139" t="s">
        <v>348</v>
      </c>
      <c r="D243" s="15">
        <v>5000000</v>
      </c>
      <c r="E243" s="93">
        <v>0.99290010790000005</v>
      </c>
      <c r="F243" s="18">
        <v>4964500.54</v>
      </c>
      <c r="G243" s="18">
        <v>0.01</v>
      </c>
      <c r="H243" s="13"/>
      <c r="I243" s="13"/>
    </row>
    <row r="244" spans="1:18">
      <c r="A244" s="13" t="s">
        <v>703</v>
      </c>
      <c r="B244" s="139" t="s">
        <v>329</v>
      </c>
      <c r="C244" s="139" t="s">
        <v>348</v>
      </c>
      <c r="D244" s="15">
        <v>5000000</v>
      </c>
      <c r="E244" s="93">
        <v>0.99211744209999997</v>
      </c>
      <c r="F244" s="18">
        <v>4960587.21</v>
      </c>
      <c r="G244" s="18">
        <v>0.01</v>
      </c>
      <c r="H244" s="13"/>
      <c r="I244" s="13"/>
    </row>
    <row r="245" spans="1:18">
      <c r="A245" s="13" t="s">
        <v>704</v>
      </c>
      <c r="B245" s="139" t="s">
        <v>385</v>
      </c>
      <c r="C245" s="139" t="s">
        <v>348</v>
      </c>
      <c r="D245" s="15">
        <v>5000000</v>
      </c>
      <c r="E245" s="93">
        <v>0.99133600389999998</v>
      </c>
      <c r="F245" s="18">
        <v>4956680.0199999996</v>
      </c>
      <c r="G245" s="18">
        <v>0.01</v>
      </c>
      <c r="H245" s="13"/>
      <c r="I245" s="13"/>
    </row>
    <row r="246" spans="1:18">
      <c r="A246" s="13" t="s">
        <v>705</v>
      </c>
      <c r="B246" s="139" t="s">
        <v>518</v>
      </c>
      <c r="C246" s="139" t="s">
        <v>348</v>
      </c>
      <c r="D246" s="15">
        <v>5000000</v>
      </c>
      <c r="E246" s="93">
        <v>0.98899910160000004</v>
      </c>
      <c r="F246" s="18">
        <v>4944995.51</v>
      </c>
      <c r="G246" s="18">
        <v>0.01</v>
      </c>
      <c r="H246" s="13"/>
      <c r="I246" s="13"/>
    </row>
    <row r="247" spans="1:18">
      <c r="A247" s="13" t="s">
        <v>706</v>
      </c>
      <c r="B247" s="139" t="s">
        <v>192</v>
      </c>
      <c r="C247" s="139" t="s">
        <v>348</v>
      </c>
      <c r="D247" s="15">
        <v>5000000</v>
      </c>
      <c r="E247" s="93">
        <v>0.98822256360000005</v>
      </c>
      <c r="F247" s="18">
        <v>4941112.82</v>
      </c>
      <c r="G247" s="18">
        <v>0.01</v>
      </c>
      <c r="H247" s="13"/>
      <c r="I247" s="13"/>
    </row>
    <row r="248" spans="1:18">
      <c r="A248" s="13" t="s">
        <v>707</v>
      </c>
      <c r="B248" s="139" t="s">
        <v>708</v>
      </c>
      <c r="C248" s="139" t="s">
        <v>348</v>
      </c>
      <c r="D248" s="15">
        <v>25000000</v>
      </c>
      <c r="E248" s="93">
        <v>0.94354266210000004</v>
      </c>
      <c r="F248" s="18">
        <v>23588566.550000001</v>
      </c>
      <c r="G248" s="18">
        <v>0.05</v>
      </c>
      <c r="H248" s="13"/>
      <c r="I248" s="13"/>
    </row>
    <row r="249" spans="1:18">
      <c r="A249" s="13" t="s">
        <v>709</v>
      </c>
      <c r="B249" s="139" t="s">
        <v>594</v>
      </c>
      <c r="C249" s="139" t="s">
        <v>348</v>
      </c>
      <c r="D249" s="15">
        <v>10000000</v>
      </c>
      <c r="E249" s="93">
        <v>0.9630607457</v>
      </c>
      <c r="F249" s="18">
        <v>9630607.4600000009</v>
      </c>
      <c r="G249" s="18">
        <v>0.02</v>
      </c>
      <c r="H249" s="13"/>
      <c r="I249" s="13"/>
    </row>
    <row r="250" spans="1:18">
      <c r="A250" s="13" t="s">
        <v>710</v>
      </c>
      <c r="B250" s="139" t="s">
        <v>711</v>
      </c>
      <c r="C250" s="139" t="s">
        <v>348</v>
      </c>
      <c r="D250" s="15">
        <v>25000000</v>
      </c>
      <c r="E250" s="93">
        <v>0.93811050760000003</v>
      </c>
      <c r="F250" s="18">
        <v>23452762.690000001</v>
      </c>
      <c r="G250" s="18">
        <v>0.04</v>
      </c>
      <c r="H250" s="13"/>
      <c r="I250" s="13"/>
    </row>
    <row r="251" spans="1:18">
      <c r="A251" s="13" t="s">
        <v>712</v>
      </c>
      <c r="B251" s="139" t="s">
        <v>713</v>
      </c>
      <c r="C251" s="139" t="s">
        <v>348</v>
      </c>
      <c r="D251" s="15">
        <v>10000000</v>
      </c>
      <c r="E251" s="93">
        <v>0.9588105495</v>
      </c>
      <c r="F251" s="151">
        <v>9588105.5</v>
      </c>
      <c r="G251" s="18">
        <v>0.02</v>
      </c>
      <c r="H251" s="13"/>
      <c r="I251" s="13"/>
      <c r="R251" s="9"/>
    </row>
    <row r="252" spans="1:18">
      <c r="A252" s="13" t="s">
        <v>714</v>
      </c>
      <c r="B252" s="139" t="s">
        <v>557</v>
      </c>
      <c r="C252" s="139" t="s">
        <v>348</v>
      </c>
      <c r="D252" s="15">
        <v>10000000</v>
      </c>
      <c r="E252" s="93">
        <v>0.95740220649999996</v>
      </c>
      <c r="F252" s="18">
        <v>9574022.0700000003</v>
      </c>
      <c r="G252" s="18">
        <v>0.02</v>
      </c>
      <c r="H252" s="13"/>
      <c r="I252" s="13"/>
    </row>
    <row r="253" spans="1:18">
      <c r="A253" s="13" t="s">
        <v>715</v>
      </c>
      <c r="B253" s="139" t="s">
        <v>716</v>
      </c>
      <c r="C253" s="139" t="s">
        <v>348</v>
      </c>
      <c r="D253" s="15">
        <v>25000000</v>
      </c>
      <c r="E253" s="93">
        <v>0.93743585279999997</v>
      </c>
      <c r="F253" s="18">
        <v>23435896.32</v>
      </c>
      <c r="G253" s="18">
        <v>0.04</v>
      </c>
      <c r="H253" s="13"/>
      <c r="I253" s="13"/>
    </row>
    <row r="254" spans="1:18">
      <c r="A254" s="13" t="s">
        <v>717</v>
      </c>
      <c r="B254" s="139" t="s">
        <v>718</v>
      </c>
      <c r="C254" s="139" t="s">
        <v>348</v>
      </c>
      <c r="D254" s="15">
        <v>10000000</v>
      </c>
      <c r="E254" s="93">
        <v>0.95599799630000004</v>
      </c>
      <c r="F254" s="18">
        <v>9559979.9600000009</v>
      </c>
      <c r="G254" s="18">
        <v>0.02</v>
      </c>
      <c r="H254" s="13"/>
      <c r="I254" s="13"/>
    </row>
    <row r="255" spans="1:18">
      <c r="A255" s="13" t="s">
        <v>719</v>
      </c>
      <c r="B255" s="139" t="s">
        <v>720</v>
      </c>
      <c r="C255" s="139" t="s">
        <v>348</v>
      </c>
      <c r="D255" s="15">
        <v>25000000</v>
      </c>
      <c r="E255" s="93">
        <v>0.93407720049999998</v>
      </c>
      <c r="F255" s="18">
        <v>23351930.010000002</v>
      </c>
      <c r="G255" s="18">
        <v>0.04</v>
      </c>
      <c r="H255" s="13"/>
      <c r="I255" s="13"/>
    </row>
    <row r="256" spans="1:18">
      <c r="A256" s="13" t="s">
        <v>721</v>
      </c>
      <c r="B256" s="139" t="s">
        <v>722</v>
      </c>
      <c r="C256" s="139" t="s">
        <v>348</v>
      </c>
      <c r="D256" s="15">
        <v>25000000</v>
      </c>
      <c r="E256" s="93">
        <v>0.93340845350000001</v>
      </c>
      <c r="F256" s="18">
        <v>23335211.34</v>
      </c>
      <c r="G256" s="18">
        <v>0.04</v>
      </c>
      <c r="H256" s="13"/>
      <c r="I256" s="13"/>
    </row>
    <row r="257" spans="1:18">
      <c r="A257" s="13" t="s">
        <v>723</v>
      </c>
      <c r="B257" s="139" t="s">
        <v>505</v>
      </c>
      <c r="C257" s="139" t="s">
        <v>348</v>
      </c>
      <c r="D257" s="15">
        <v>10000000</v>
      </c>
      <c r="E257" s="93">
        <v>0.97312576959999997</v>
      </c>
      <c r="F257" s="151">
        <v>9731257.6999999993</v>
      </c>
      <c r="G257" s="18">
        <v>0.02</v>
      </c>
      <c r="H257" s="13"/>
      <c r="I257" s="13"/>
    </row>
    <row r="258" spans="1:18">
      <c r="A258" s="13" t="s">
        <v>724</v>
      </c>
      <c r="B258" s="139" t="s">
        <v>677</v>
      </c>
      <c r="C258" s="139" t="s">
        <v>348</v>
      </c>
      <c r="D258" s="15">
        <v>10000000</v>
      </c>
      <c r="E258" s="93">
        <v>0.9525052758</v>
      </c>
      <c r="F258" s="18">
        <v>9525052.7599999998</v>
      </c>
      <c r="G258" s="18">
        <v>0.02</v>
      </c>
      <c r="H258" s="13"/>
      <c r="I258" s="13"/>
    </row>
    <row r="259" spans="1:18">
      <c r="A259" s="13" t="s">
        <v>725</v>
      </c>
      <c r="B259" s="139" t="s">
        <v>604</v>
      </c>
      <c r="C259" s="139" t="s">
        <v>348</v>
      </c>
      <c r="D259" s="15">
        <v>10000000</v>
      </c>
      <c r="E259" s="93">
        <v>0.97239984580000005</v>
      </c>
      <c r="F259" s="18">
        <v>9723998.4600000009</v>
      </c>
      <c r="G259" s="18">
        <v>0.02</v>
      </c>
      <c r="H259" s="13"/>
      <c r="I259" s="13"/>
    </row>
    <row r="260" spans="1:18">
      <c r="A260" s="13" t="s">
        <v>726</v>
      </c>
      <c r="B260" s="139" t="s">
        <v>727</v>
      </c>
      <c r="C260" s="139" t="s">
        <v>348</v>
      </c>
      <c r="D260" s="15">
        <v>10000000</v>
      </c>
      <c r="E260" s="93">
        <v>0.94834763659999999</v>
      </c>
      <c r="F260" s="18">
        <v>9483476.3699999992</v>
      </c>
      <c r="G260" s="18">
        <v>0.02</v>
      </c>
      <c r="H260" s="13"/>
      <c r="I260" s="13"/>
    </row>
    <row r="261" spans="1:18">
      <c r="A261" s="13" t="s">
        <v>728</v>
      </c>
      <c r="B261" s="139" t="s">
        <v>424</v>
      </c>
      <c r="C261" s="139" t="s">
        <v>348</v>
      </c>
      <c r="D261" s="15">
        <v>10000000</v>
      </c>
      <c r="E261" s="93">
        <v>0.97095131859999995</v>
      </c>
      <c r="F261" s="18">
        <v>9709513.1899999995</v>
      </c>
      <c r="G261" s="18">
        <v>0.02</v>
      </c>
      <c r="H261" s="13"/>
      <c r="I261" s="13"/>
    </row>
    <row r="262" spans="1:18">
      <c r="A262" s="13" t="s">
        <v>729</v>
      </c>
      <c r="B262" s="139" t="s">
        <v>681</v>
      </c>
      <c r="C262" s="139" t="s">
        <v>348</v>
      </c>
      <c r="D262" s="15">
        <v>15000000</v>
      </c>
      <c r="E262" s="93">
        <v>0.94628228459999997</v>
      </c>
      <c r="F262" s="18">
        <v>14194234.27</v>
      </c>
      <c r="G262" s="18">
        <v>0.03</v>
      </c>
      <c r="H262" s="13"/>
      <c r="I262" s="13"/>
    </row>
    <row r="263" spans="1:18">
      <c r="A263" s="13" t="s">
        <v>730</v>
      </c>
      <c r="B263" s="139" t="s">
        <v>488</v>
      </c>
      <c r="C263" s="139" t="s">
        <v>348</v>
      </c>
      <c r="D263" s="15">
        <v>10000000</v>
      </c>
      <c r="E263" s="93">
        <v>0.96734869440000004</v>
      </c>
      <c r="F263" s="18">
        <v>9673486.9399999995</v>
      </c>
      <c r="G263" s="18">
        <v>0.02</v>
      </c>
      <c r="H263" s="13"/>
      <c r="I263" s="13"/>
    </row>
    <row r="264" spans="1:18">
      <c r="A264" s="13" t="s">
        <v>731</v>
      </c>
      <c r="B264" s="139" t="s">
        <v>190</v>
      </c>
      <c r="C264" s="139" t="s">
        <v>348</v>
      </c>
      <c r="D264" s="15">
        <v>10000000</v>
      </c>
      <c r="E264" s="93">
        <v>0.96806709609999997</v>
      </c>
      <c r="F264" s="18">
        <v>9680670.9600000009</v>
      </c>
      <c r="G264" s="18">
        <v>0.02</v>
      </c>
      <c r="H264" s="13"/>
      <c r="I264" s="13"/>
    </row>
    <row r="265" spans="1:18">
      <c r="A265" s="13" t="s">
        <v>732</v>
      </c>
      <c r="B265" s="139" t="s">
        <v>452</v>
      </c>
      <c r="C265" s="139" t="s">
        <v>348</v>
      </c>
      <c r="D265" s="15">
        <v>15000000</v>
      </c>
      <c r="E265" s="93">
        <v>0.99835886760000003</v>
      </c>
      <c r="F265" s="18">
        <v>14975383.01</v>
      </c>
      <c r="G265" s="18">
        <v>0.03</v>
      </c>
      <c r="H265" s="13"/>
      <c r="I265" s="13"/>
    </row>
    <row r="266" spans="1:18">
      <c r="A266" s="13" t="s">
        <v>733</v>
      </c>
      <c r="B266" s="139" t="s">
        <v>443</v>
      </c>
      <c r="C266" s="139" t="s">
        <v>348</v>
      </c>
      <c r="D266" s="15">
        <v>15000000</v>
      </c>
      <c r="E266" s="93">
        <v>0.99694089649999995</v>
      </c>
      <c r="F266" s="18">
        <v>14954113.449999999</v>
      </c>
      <c r="G266" s="18">
        <v>0.03</v>
      </c>
      <c r="H266" s="13"/>
      <c r="I266" s="13"/>
    </row>
    <row r="267" spans="1:18">
      <c r="A267" s="13" t="s">
        <v>734</v>
      </c>
      <c r="B267" s="139" t="s">
        <v>385</v>
      </c>
      <c r="C267" s="139" t="s">
        <v>348</v>
      </c>
      <c r="D267" s="15">
        <v>15000000</v>
      </c>
      <c r="E267" s="93">
        <v>0.99163226360000001</v>
      </c>
      <c r="F267" s="18">
        <v>14874483.949999999</v>
      </c>
      <c r="G267" s="18">
        <v>0.03</v>
      </c>
      <c r="H267" s="13"/>
      <c r="I267" s="13"/>
    </row>
    <row r="268" spans="1:18">
      <c r="A268" s="13" t="s">
        <v>735</v>
      </c>
      <c r="B268" s="139" t="s">
        <v>449</v>
      </c>
      <c r="C268" s="139" t="s">
        <v>348</v>
      </c>
      <c r="D268" s="15">
        <v>150000000</v>
      </c>
      <c r="E268" s="93">
        <v>0.99475370460000001</v>
      </c>
      <c r="F268" s="18">
        <v>149213055.69</v>
      </c>
      <c r="G268" s="18">
        <v>0.28999999999999998</v>
      </c>
      <c r="H268" s="13"/>
      <c r="I268" s="13"/>
    </row>
    <row r="269" spans="1:18">
      <c r="A269" s="13" t="s">
        <v>736</v>
      </c>
      <c r="B269" s="139" t="s">
        <v>454</v>
      </c>
      <c r="C269" s="139" t="s">
        <v>348</v>
      </c>
      <c r="D269" s="15">
        <v>150000000</v>
      </c>
      <c r="E269" s="93">
        <v>0.9940087178</v>
      </c>
      <c r="F269" s="18">
        <v>149101307.66999999</v>
      </c>
      <c r="G269" s="18">
        <v>0.28000000000000003</v>
      </c>
      <c r="H269" s="13"/>
      <c r="I269" s="13"/>
    </row>
    <row r="270" spans="1:18">
      <c r="A270" s="13" t="s">
        <v>740</v>
      </c>
      <c r="B270" s="139" t="s">
        <v>741</v>
      </c>
      <c r="C270" s="139" t="s">
        <v>327</v>
      </c>
      <c r="D270" s="15">
        <v>8560000</v>
      </c>
      <c r="E270" s="93">
        <v>0.89812993910000005</v>
      </c>
      <c r="F270" s="18">
        <v>7687992.2800000003</v>
      </c>
      <c r="G270" s="18">
        <v>0.01</v>
      </c>
      <c r="H270" s="13"/>
      <c r="I270" s="13"/>
    </row>
    <row r="271" spans="1:18">
      <c r="A271" s="13" t="s">
        <v>742</v>
      </c>
      <c r="B271" s="139" t="s">
        <v>634</v>
      </c>
      <c r="C271" s="139" t="s">
        <v>327</v>
      </c>
      <c r="D271" s="15">
        <v>9450000</v>
      </c>
      <c r="E271" s="93">
        <v>0.89416964830000001</v>
      </c>
      <c r="F271" s="18">
        <v>8449903.1799999997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743</v>
      </c>
      <c r="B272" s="139" t="s">
        <v>744</v>
      </c>
      <c r="C272" s="139" t="s">
        <v>327</v>
      </c>
      <c r="D272" s="15">
        <v>9450000</v>
      </c>
      <c r="E272" s="93">
        <v>0.89338170979999998</v>
      </c>
      <c r="F272" s="18">
        <v>8442457.1600000001</v>
      </c>
      <c r="G272" s="18">
        <v>0.02</v>
      </c>
      <c r="H272" s="13"/>
      <c r="I272" s="13"/>
      <c r="N272" s="68"/>
    </row>
    <row r="273" spans="1:18">
      <c r="A273" s="13" t="s">
        <v>745</v>
      </c>
      <c r="B273" s="139" t="s">
        <v>746</v>
      </c>
      <c r="C273" s="139" t="s">
        <v>327</v>
      </c>
      <c r="D273" s="15">
        <v>9450000</v>
      </c>
      <c r="E273" s="93">
        <v>0.88790512190000004</v>
      </c>
      <c r="F273" s="151">
        <v>8390703.4000000004</v>
      </c>
      <c r="G273" s="18">
        <v>0.02</v>
      </c>
      <c r="H273" s="13"/>
      <c r="I273" s="13"/>
    </row>
    <row r="274" spans="1:18">
      <c r="A274" s="13" t="s">
        <v>747</v>
      </c>
      <c r="B274" s="139" t="s">
        <v>748</v>
      </c>
      <c r="C274" s="139" t="s">
        <v>327</v>
      </c>
      <c r="D274" s="15">
        <v>8560000</v>
      </c>
      <c r="E274" s="93">
        <v>0.89892627729999997</v>
      </c>
      <c r="F274" s="18">
        <v>7694808.9299999997</v>
      </c>
      <c r="G274" s="18">
        <v>0.01</v>
      </c>
      <c r="H274" s="13"/>
      <c r="I274" s="13"/>
    </row>
    <row r="275" spans="1:18">
      <c r="A275" s="13" t="s">
        <v>749</v>
      </c>
      <c r="B275" s="139" t="s">
        <v>571</v>
      </c>
      <c r="C275" s="139" t="s">
        <v>327</v>
      </c>
      <c r="D275" s="151">
        <v>6410198.7999999998</v>
      </c>
      <c r="E275" s="93">
        <v>0.97596193139999998</v>
      </c>
      <c r="F275" s="15">
        <v>6256110</v>
      </c>
      <c r="G275" s="18">
        <v>0.01</v>
      </c>
      <c r="H275" s="13"/>
      <c r="I275" s="13"/>
    </row>
    <row r="276" spans="1:18">
      <c r="A276" s="13" t="s">
        <v>750</v>
      </c>
      <c r="B276" s="139" t="s">
        <v>571</v>
      </c>
      <c r="C276" s="139" t="s">
        <v>327</v>
      </c>
      <c r="D276" s="18">
        <v>5184831.3600000003</v>
      </c>
      <c r="E276" s="93">
        <v>0.97596193379999996</v>
      </c>
      <c r="F276" s="18">
        <v>5060198.04</v>
      </c>
      <c r="G276" s="18">
        <v>0.01</v>
      </c>
      <c r="H276" s="13"/>
      <c r="I276" s="13"/>
    </row>
    <row r="277" spans="1:18">
      <c r="A277" s="13" t="s">
        <v>751</v>
      </c>
      <c r="B277" s="139" t="s">
        <v>454</v>
      </c>
      <c r="C277" s="139" t="s">
        <v>327</v>
      </c>
      <c r="D277" s="15">
        <v>5000000</v>
      </c>
      <c r="E277" s="93">
        <v>0.99368399230000004</v>
      </c>
      <c r="F277" s="18">
        <v>4968419.96</v>
      </c>
      <c r="G277" s="18">
        <v>0.01</v>
      </c>
      <c r="H277" s="13"/>
      <c r="I277" s="13"/>
    </row>
    <row r="278" spans="1:18">
      <c r="A278" s="13" t="s">
        <v>752</v>
      </c>
      <c r="B278" s="139" t="s">
        <v>694</v>
      </c>
      <c r="C278" s="139" t="s">
        <v>327</v>
      </c>
      <c r="D278" s="15">
        <v>5000000</v>
      </c>
      <c r="E278" s="154">
        <v>0.98128831500000002</v>
      </c>
      <c r="F278" s="18">
        <v>4906441.58</v>
      </c>
      <c r="G278" s="18">
        <v>0.01</v>
      </c>
      <c r="H278" s="13"/>
      <c r="I278" s="13"/>
    </row>
    <row r="279" spans="1:18">
      <c r="A279" s="13" t="s">
        <v>753</v>
      </c>
      <c r="B279" s="139" t="s">
        <v>188</v>
      </c>
      <c r="C279" s="139" t="s">
        <v>327</v>
      </c>
      <c r="D279" s="15">
        <v>5000000</v>
      </c>
      <c r="E279" s="93">
        <v>0.97671932179999998</v>
      </c>
      <c r="F279" s="18">
        <v>4883596.6100000003</v>
      </c>
      <c r="G279" s="18">
        <v>0.01</v>
      </c>
      <c r="H279" s="13"/>
      <c r="I279" s="13"/>
      <c r="N279" s="68"/>
    </row>
    <row r="280" spans="1:18">
      <c r="A280" s="13" t="s">
        <v>754</v>
      </c>
      <c r="B280" s="139" t="s">
        <v>755</v>
      </c>
      <c r="C280" s="139" t="s">
        <v>327</v>
      </c>
      <c r="D280" s="15">
        <v>50000000</v>
      </c>
      <c r="E280" s="93">
        <v>0.94412840519999996</v>
      </c>
      <c r="F280" s="18">
        <v>47206420.259999998</v>
      </c>
      <c r="G280" s="18">
        <v>0.09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756</v>
      </c>
      <c r="B281" s="139" t="s">
        <v>708</v>
      </c>
      <c r="C281" s="139" t="s">
        <v>327</v>
      </c>
      <c r="D281" s="15">
        <v>2500000</v>
      </c>
      <c r="E281" s="154">
        <v>0.94354258599999996</v>
      </c>
      <c r="F281" s="18">
        <v>2358856.4700000002</v>
      </c>
      <c r="G281" s="15">
        <v>0</v>
      </c>
      <c r="H281" s="13"/>
      <c r="I281" s="13"/>
      <c r="N281" s="68"/>
    </row>
    <row r="282" spans="1:18">
      <c r="A282" s="13" t="s">
        <v>757</v>
      </c>
      <c r="B282" s="139" t="s">
        <v>631</v>
      </c>
      <c r="C282" s="139" t="s">
        <v>327</v>
      </c>
      <c r="D282" s="15">
        <v>2500000</v>
      </c>
      <c r="E282" s="93">
        <v>0.94286021050000002</v>
      </c>
      <c r="F282" s="18">
        <v>2357150.5299999998</v>
      </c>
      <c r="G282" s="15">
        <v>0</v>
      </c>
      <c r="H282" s="13"/>
      <c r="I282" s="13"/>
    </row>
    <row r="283" spans="1:18">
      <c r="A283" s="13" t="s">
        <v>758</v>
      </c>
      <c r="B283" s="139" t="s">
        <v>759</v>
      </c>
      <c r="C283" s="139" t="s">
        <v>327</v>
      </c>
      <c r="D283" s="15">
        <v>2500000</v>
      </c>
      <c r="E283" s="93">
        <v>0.9414981979</v>
      </c>
      <c r="F283" s="18">
        <v>2353745.4900000002</v>
      </c>
      <c r="G283" s="15">
        <v>0</v>
      </c>
      <c r="H283" s="13"/>
      <c r="I283" s="13"/>
    </row>
    <row r="284" spans="1:18">
      <c r="A284" s="13" t="s">
        <v>760</v>
      </c>
      <c r="B284" s="139" t="s">
        <v>711</v>
      </c>
      <c r="C284" s="139" t="s">
        <v>327</v>
      </c>
      <c r="D284" s="15">
        <v>2500000</v>
      </c>
      <c r="E284" s="93">
        <v>0.93811041640000004</v>
      </c>
      <c r="F284" s="18">
        <v>2345276.04</v>
      </c>
      <c r="G284" s="15">
        <v>0</v>
      </c>
      <c r="H284" s="13"/>
      <c r="I284" s="13"/>
    </row>
    <row r="285" spans="1:18">
      <c r="A285" s="13" t="s">
        <v>761</v>
      </c>
      <c r="B285" s="139" t="s">
        <v>716</v>
      </c>
      <c r="C285" s="139" t="s">
        <v>327</v>
      </c>
      <c r="D285" s="15">
        <v>2500000</v>
      </c>
      <c r="E285" s="93">
        <v>0.93743587790000005</v>
      </c>
      <c r="F285" s="18">
        <v>2343589.69</v>
      </c>
      <c r="G285" s="15">
        <v>0</v>
      </c>
      <c r="H285" s="13"/>
      <c r="I285" s="13"/>
    </row>
    <row r="286" spans="1:18">
      <c r="A286" s="13" t="s">
        <v>762</v>
      </c>
      <c r="B286" s="139" t="s">
        <v>763</v>
      </c>
      <c r="C286" s="139" t="s">
        <v>327</v>
      </c>
      <c r="D286" s="15">
        <v>2500000</v>
      </c>
      <c r="E286" s="93">
        <v>0.93274056449999998</v>
      </c>
      <c r="F286" s="18">
        <v>2331851.41</v>
      </c>
      <c r="G286" s="15">
        <v>0</v>
      </c>
      <c r="H286" s="13"/>
      <c r="I286" s="13"/>
    </row>
    <row r="287" spans="1:18">
      <c r="A287" s="13" t="s">
        <v>764</v>
      </c>
      <c r="B287" s="139" t="s">
        <v>765</v>
      </c>
      <c r="C287" s="139" t="s">
        <v>327</v>
      </c>
      <c r="D287" s="15">
        <v>2500000</v>
      </c>
      <c r="E287" s="93">
        <v>0.93207360770000003</v>
      </c>
      <c r="F287" s="18">
        <v>2330184.02</v>
      </c>
      <c r="G287" s="15">
        <v>0</v>
      </c>
      <c r="H287" s="13"/>
      <c r="I287" s="13"/>
    </row>
    <row r="288" spans="1:18">
      <c r="A288" s="13" t="s">
        <v>766</v>
      </c>
      <c r="B288" s="139" t="s">
        <v>767</v>
      </c>
      <c r="C288" s="139" t="s">
        <v>327</v>
      </c>
      <c r="D288" s="15">
        <v>2500000</v>
      </c>
      <c r="E288" s="93">
        <v>0.93007859250000002</v>
      </c>
      <c r="F288" s="18">
        <v>2325196.48</v>
      </c>
      <c r="G288" s="15">
        <v>0</v>
      </c>
      <c r="H288" s="13"/>
      <c r="I288" s="13"/>
    </row>
    <row r="289" spans="1:9">
      <c r="A289" s="13" t="s">
        <v>768</v>
      </c>
      <c r="B289" s="139" t="s">
        <v>769</v>
      </c>
      <c r="C289" s="139" t="s">
        <v>327</v>
      </c>
      <c r="D289" s="15">
        <v>2500000</v>
      </c>
      <c r="E289" s="93">
        <v>0.92875321369999997</v>
      </c>
      <c r="F289" s="18">
        <v>2321883.0299999998</v>
      </c>
      <c r="G289" s="15">
        <v>0</v>
      </c>
      <c r="H289" s="13"/>
      <c r="I289" s="13"/>
    </row>
    <row r="290" spans="1:9">
      <c r="A290" s="13" t="s">
        <v>770</v>
      </c>
      <c r="B290" s="139" t="s">
        <v>771</v>
      </c>
      <c r="C290" s="139" t="s">
        <v>327</v>
      </c>
      <c r="D290" s="15">
        <v>2500000</v>
      </c>
      <c r="E290" s="93">
        <v>0.92809206860000004</v>
      </c>
      <c r="F290" s="18">
        <v>2320230.17</v>
      </c>
      <c r="G290" s="15">
        <v>0</v>
      </c>
      <c r="H290" s="13"/>
      <c r="I290" s="13"/>
    </row>
    <row r="291" spans="1:9">
      <c r="A291" s="13" t="s">
        <v>772</v>
      </c>
      <c r="B291" s="139" t="s">
        <v>773</v>
      </c>
      <c r="C291" s="139" t="s">
        <v>327</v>
      </c>
      <c r="D291" s="15">
        <v>2500000</v>
      </c>
      <c r="E291" s="93">
        <v>0.92545649289999998</v>
      </c>
      <c r="F291" s="18">
        <v>2313641.23</v>
      </c>
      <c r="G291" s="15">
        <v>0</v>
      </c>
      <c r="H291" s="13"/>
      <c r="I291" s="13"/>
    </row>
    <row r="292" spans="1:9">
      <c r="A292" s="13" t="s">
        <v>774</v>
      </c>
      <c r="B292" s="139" t="s">
        <v>720</v>
      </c>
      <c r="C292" s="139" t="s">
        <v>327</v>
      </c>
      <c r="D292" s="15">
        <v>2500000</v>
      </c>
      <c r="E292" s="93">
        <v>0.93407724010000004</v>
      </c>
      <c r="F292" s="151">
        <v>2335193.1</v>
      </c>
      <c r="G292" s="15">
        <v>0</v>
      </c>
      <c r="H292" s="13"/>
      <c r="I292" s="13"/>
    </row>
    <row r="293" spans="1:9">
      <c r="A293" s="13" t="s">
        <v>775</v>
      </c>
      <c r="B293" s="139" t="s">
        <v>776</v>
      </c>
      <c r="C293" s="139" t="s">
        <v>327</v>
      </c>
      <c r="D293" s="15">
        <v>2500000</v>
      </c>
      <c r="E293" s="93">
        <v>0.92941542749999995</v>
      </c>
      <c r="F293" s="18">
        <v>2323538.5699999998</v>
      </c>
      <c r="G293" s="15">
        <v>0</v>
      </c>
      <c r="H293" s="13"/>
      <c r="I293" s="13"/>
    </row>
    <row r="294" spans="1:9">
      <c r="A294" s="13" t="s">
        <v>777</v>
      </c>
      <c r="B294" s="139" t="s">
        <v>778</v>
      </c>
      <c r="C294" s="139" t="s">
        <v>327</v>
      </c>
      <c r="D294" s="15">
        <v>2500000</v>
      </c>
      <c r="E294" s="93">
        <v>0.93474708259999995</v>
      </c>
      <c r="F294" s="18">
        <v>2336867.71</v>
      </c>
      <c r="G294" s="15">
        <v>0</v>
      </c>
      <c r="H294" s="13"/>
      <c r="I294" s="13"/>
    </row>
    <row r="295" spans="1:9">
      <c r="A295" s="13" t="s">
        <v>779</v>
      </c>
      <c r="B295" s="139" t="s">
        <v>454</v>
      </c>
      <c r="C295" s="139" t="s">
        <v>327</v>
      </c>
      <c r="D295" s="15">
        <v>10000000</v>
      </c>
      <c r="E295" s="93">
        <v>0.99346762109999998</v>
      </c>
      <c r="F295" s="18">
        <v>9934676.2100000009</v>
      </c>
      <c r="G295" s="18">
        <v>0.02</v>
      </c>
      <c r="H295" s="13"/>
      <c r="I295" s="13"/>
    </row>
    <row r="296" spans="1:9">
      <c r="A296" s="13" t="s">
        <v>780</v>
      </c>
      <c r="B296" s="139" t="s">
        <v>445</v>
      </c>
      <c r="C296" s="139" t="s">
        <v>327</v>
      </c>
      <c r="D296" s="15">
        <v>10000000</v>
      </c>
      <c r="E296" s="154">
        <v>0.99265706099999995</v>
      </c>
      <c r="F296" s="18">
        <v>9926570.6099999994</v>
      </c>
      <c r="G296" s="18">
        <v>0.02</v>
      </c>
      <c r="H296" s="13"/>
      <c r="I296" s="13"/>
    </row>
    <row r="297" spans="1:9">
      <c r="A297" s="13" t="s">
        <v>781</v>
      </c>
      <c r="B297" s="139" t="s">
        <v>385</v>
      </c>
      <c r="C297" s="139" t="s">
        <v>327</v>
      </c>
      <c r="D297" s="15">
        <v>10000000</v>
      </c>
      <c r="E297" s="93">
        <v>0.99103993290000003</v>
      </c>
      <c r="F297" s="18">
        <v>9910399.3300000001</v>
      </c>
      <c r="G297" s="18">
        <v>0.02</v>
      </c>
      <c r="H297" s="13"/>
      <c r="I297" s="13"/>
    </row>
    <row r="298" spans="1:9">
      <c r="A298" s="13" t="s">
        <v>782</v>
      </c>
      <c r="B298" s="139" t="s">
        <v>518</v>
      </c>
      <c r="C298" s="139" t="s">
        <v>327</v>
      </c>
      <c r="D298" s="15">
        <v>10000000</v>
      </c>
      <c r="E298" s="93">
        <v>0.98862408390000001</v>
      </c>
      <c r="F298" s="18">
        <v>9886240.8399999999</v>
      </c>
      <c r="G298" s="18">
        <v>0.02</v>
      </c>
      <c r="H298" s="13"/>
      <c r="I298" s="13"/>
    </row>
    <row r="299" spans="1:9">
      <c r="A299" s="13" t="s">
        <v>784</v>
      </c>
      <c r="B299" s="139" t="s">
        <v>785</v>
      </c>
      <c r="C299" s="139" t="s">
        <v>327</v>
      </c>
      <c r="D299" s="15">
        <v>3000000</v>
      </c>
      <c r="E299" s="28">
        <v>0.94615965999999996</v>
      </c>
      <c r="F299" s="18">
        <v>2838478.98</v>
      </c>
      <c r="G299" s="18">
        <v>0.01</v>
      </c>
      <c r="H299" s="13"/>
      <c r="I299" s="13"/>
    </row>
    <row r="300" spans="1:9">
      <c r="A300" s="13" t="s">
        <v>786</v>
      </c>
      <c r="B300" s="139" t="s">
        <v>718</v>
      </c>
      <c r="C300" s="139" t="s">
        <v>327</v>
      </c>
      <c r="D300" s="15">
        <v>3000000</v>
      </c>
      <c r="E300" s="93">
        <v>0.95151201249999995</v>
      </c>
      <c r="F300" s="18">
        <v>2854536.04</v>
      </c>
      <c r="G300" s="18">
        <v>0.01</v>
      </c>
      <c r="H300" s="13"/>
      <c r="I300" s="13"/>
    </row>
    <row r="301" spans="1:9">
      <c r="A301" s="13" t="s">
        <v>787</v>
      </c>
      <c r="B301" s="139" t="s">
        <v>677</v>
      </c>
      <c r="C301" s="139" t="s">
        <v>327</v>
      </c>
      <c r="D301" s="15">
        <v>3000000</v>
      </c>
      <c r="E301" s="93">
        <v>0.94768282660000003</v>
      </c>
      <c r="F301" s="18">
        <v>2843048.48</v>
      </c>
      <c r="G301" s="18">
        <v>0.01</v>
      </c>
      <c r="H301" s="13"/>
      <c r="I301" s="13"/>
    </row>
    <row r="302" spans="1:9">
      <c r="A302" s="13" t="s">
        <v>789</v>
      </c>
      <c r="B302" s="139" t="s">
        <v>329</v>
      </c>
      <c r="C302" s="139" t="s">
        <v>327</v>
      </c>
      <c r="D302" s="15">
        <v>75000000</v>
      </c>
      <c r="E302" s="93">
        <v>0.99265708090000004</v>
      </c>
      <c r="F302" s="18">
        <v>74449281.069999993</v>
      </c>
      <c r="G302" s="18">
        <v>0.14000000000000001</v>
      </c>
      <c r="H302" s="13"/>
      <c r="I302" s="13"/>
    </row>
    <row r="303" spans="1:9">
      <c r="A303" s="13" t="s">
        <v>790</v>
      </c>
      <c r="B303" s="139" t="s">
        <v>387</v>
      </c>
      <c r="C303" s="139" t="s">
        <v>327</v>
      </c>
      <c r="D303" s="15">
        <v>75000000</v>
      </c>
      <c r="E303" s="93">
        <v>0.98184267979999995</v>
      </c>
      <c r="F303" s="18">
        <v>73638200.989999995</v>
      </c>
      <c r="G303" s="18">
        <v>0.14000000000000001</v>
      </c>
      <c r="H303" s="13"/>
      <c r="I303" s="13"/>
    </row>
    <row r="304" spans="1:9">
      <c r="A304" s="13" t="s">
        <v>791</v>
      </c>
      <c r="B304" s="139" t="s">
        <v>792</v>
      </c>
      <c r="C304" s="139" t="s">
        <v>327</v>
      </c>
      <c r="D304" s="15">
        <v>25000000</v>
      </c>
      <c r="E304" s="93">
        <v>0.95161123069999998</v>
      </c>
      <c r="F304" s="18">
        <v>23790280.77</v>
      </c>
      <c r="G304" s="18">
        <v>0.05</v>
      </c>
      <c r="H304" s="13"/>
      <c r="I304" s="13"/>
    </row>
    <row r="305" spans="1:9">
      <c r="A305" s="13" t="s">
        <v>793</v>
      </c>
      <c r="B305" s="139" t="s">
        <v>606</v>
      </c>
      <c r="C305" s="139" t="s">
        <v>327</v>
      </c>
      <c r="D305" s="15">
        <v>25000000</v>
      </c>
      <c r="E305" s="93">
        <v>0.99770392190000001</v>
      </c>
      <c r="F305" s="18">
        <v>24942598.050000001</v>
      </c>
      <c r="G305" s="18">
        <v>0.05</v>
      </c>
      <c r="H305" s="13"/>
      <c r="I305" s="13"/>
    </row>
    <row r="306" spans="1:9">
      <c r="A306" s="13" t="s">
        <v>794</v>
      </c>
      <c r="B306" s="139" t="s">
        <v>616</v>
      </c>
      <c r="C306" s="139" t="s">
        <v>327</v>
      </c>
      <c r="D306" s="15">
        <v>25000000</v>
      </c>
      <c r="E306" s="93">
        <v>0.98712682669999996</v>
      </c>
      <c r="F306" s="18">
        <v>24678170.670000002</v>
      </c>
      <c r="G306" s="18">
        <v>0.05</v>
      </c>
      <c r="H306" s="13"/>
      <c r="I306" s="13"/>
    </row>
    <row r="307" spans="1:9">
      <c r="A307" s="13" t="s">
        <v>795</v>
      </c>
      <c r="B307" s="139" t="s">
        <v>575</v>
      </c>
      <c r="C307" s="139" t="s">
        <v>327</v>
      </c>
      <c r="D307" s="15">
        <v>10000000</v>
      </c>
      <c r="E307" s="93">
        <v>0.97294415749999996</v>
      </c>
      <c r="F307" s="18">
        <v>9729441.5800000001</v>
      </c>
      <c r="G307" s="18">
        <v>0.02</v>
      </c>
      <c r="H307" s="13"/>
      <c r="I307" s="13"/>
    </row>
    <row r="308" spans="1:9">
      <c r="A308" s="13" t="s">
        <v>796</v>
      </c>
      <c r="B308" s="139" t="s">
        <v>604</v>
      </c>
      <c r="C308" s="139" t="s">
        <v>327</v>
      </c>
      <c r="D308" s="15">
        <v>10000000</v>
      </c>
      <c r="E308" s="93">
        <v>0.97144229729999998</v>
      </c>
      <c r="F308" s="18">
        <v>9714422.9700000007</v>
      </c>
      <c r="G308" s="18">
        <v>0.02</v>
      </c>
      <c r="H308" s="13"/>
      <c r="I308" s="13"/>
    </row>
    <row r="309" spans="1:9">
      <c r="A309" s="13" t="s">
        <v>797</v>
      </c>
      <c r="B309" s="139" t="s">
        <v>798</v>
      </c>
      <c r="C309" s="139" t="s">
        <v>327</v>
      </c>
      <c r="D309" s="15">
        <v>10000000</v>
      </c>
      <c r="E309" s="93">
        <v>0.97069306590000004</v>
      </c>
      <c r="F309" s="18">
        <v>9706930.6600000001</v>
      </c>
      <c r="G309" s="18">
        <v>0.02</v>
      </c>
      <c r="H309" s="13"/>
      <c r="I309" s="13"/>
    </row>
    <row r="310" spans="1:9">
      <c r="A310" s="13" t="s">
        <v>799</v>
      </c>
      <c r="B310" s="139" t="s">
        <v>424</v>
      </c>
      <c r="C310" s="139" t="s">
        <v>327</v>
      </c>
      <c r="D310" s="15">
        <v>10000000</v>
      </c>
      <c r="E310" s="93">
        <v>0.96994506960000004</v>
      </c>
      <c r="F310" s="151">
        <v>9699450.6999999993</v>
      </c>
      <c r="G310" s="18">
        <v>0.02</v>
      </c>
      <c r="H310" s="13"/>
      <c r="I310" s="13"/>
    </row>
    <row r="311" spans="1:9">
      <c r="A311" s="13" t="s">
        <v>800</v>
      </c>
      <c r="B311" s="139" t="s">
        <v>624</v>
      </c>
      <c r="C311" s="139" t="s">
        <v>327</v>
      </c>
      <c r="D311" s="15">
        <v>10000000</v>
      </c>
      <c r="E311" s="93">
        <v>0.9677077355</v>
      </c>
      <c r="F311" s="18">
        <v>9677077.3599999994</v>
      </c>
      <c r="G311" s="18">
        <v>0.02</v>
      </c>
      <c r="H311" s="13"/>
      <c r="I311" s="13"/>
    </row>
    <row r="312" spans="1:9">
      <c r="A312" s="13" t="s">
        <v>801</v>
      </c>
      <c r="B312" s="139" t="s">
        <v>190</v>
      </c>
      <c r="C312" s="139" t="s">
        <v>327</v>
      </c>
      <c r="D312" s="15">
        <v>10000000</v>
      </c>
      <c r="E312" s="93">
        <v>0.96696433589999997</v>
      </c>
      <c r="F312" s="18">
        <v>9669643.3599999994</v>
      </c>
      <c r="G312" s="18">
        <v>0.02</v>
      </c>
      <c r="H312" s="13"/>
      <c r="I312" s="13"/>
    </row>
    <row r="313" spans="1:9">
      <c r="A313" s="13" t="s">
        <v>802</v>
      </c>
      <c r="B313" s="139" t="s">
        <v>505</v>
      </c>
      <c r="C313" s="139" t="s">
        <v>327</v>
      </c>
      <c r="D313" s="15">
        <v>10000000</v>
      </c>
      <c r="E313" s="154">
        <v>0.97219268700000006</v>
      </c>
      <c r="F313" s="18">
        <v>9721926.8699999992</v>
      </c>
      <c r="G313" s="18">
        <v>0.02</v>
      </c>
      <c r="H313" s="13"/>
      <c r="I313" s="13"/>
    </row>
    <row r="314" spans="1:9">
      <c r="A314" s="13" t="s">
        <v>803</v>
      </c>
      <c r="B314" s="139" t="s">
        <v>445</v>
      </c>
      <c r="C314" s="139" t="s">
        <v>327</v>
      </c>
      <c r="D314" s="18">
        <v>4599318.34</v>
      </c>
      <c r="E314" s="93">
        <v>0.99071711780000005</v>
      </c>
      <c r="F314" s="18">
        <v>4556623.41</v>
      </c>
      <c r="G314" s="18">
        <v>0.01</v>
      </c>
      <c r="H314" s="13"/>
      <c r="I314" s="13"/>
    </row>
    <row r="315" spans="1:9">
      <c r="A315" s="13" t="s">
        <v>804</v>
      </c>
      <c r="B315" s="139" t="s">
        <v>190</v>
      </c>
      <c r="C315" s="139" t="s">
        <v>327</v>
      </c>
      <c r="D315" s="15">
        <v>4500000</v>
      </c>
      <c r="E315" s="93">
        <v>0.95715119370000001</v>
      </c>
      <c r="F315" s="18">
        <v>4307180.37</v>
      </c>
      <c r="G315" s="18">
        <v>0.01</v>
      </c>
      <c r="H315" s="13"/>
      <c r="I315" s="13"/>
    </row>
    <row r="316" spans="1:9">
      <c r="A316" s="13" t="s">
        <v>805</v>
      </c>
      <c r="B316" s="139" t="s">
        <v>518</v>
      </c>
      <c r="C316" s="139" t="s">
        <v>327</v>
      </c>
      <c r="D316" s="18">
        <v>4599318.34</v>
      </c>
      <c r="E316" s="93">
        <v>0.98563408419999998</v>
      </c>
      <c r="F316" s="18">
        <v>4533244.92</v>
      </c>
      <c r="G316" s="18">
        <v>0.01</v>
      </c>
      <c r="H316" s="13"/>
      <c r="I316" s="13"/>
    </row>
    <row r="317" spans="1:9">
      <c r="A317" s="13" t="s">
        <v>806</v>
      </c>
      <c r="B317" s="139" t="s">
        <v>490</v>
      </c>
      <c r="C317" s="139" t="s">
        <v>327</v>
      </c>
      <c r="D317" s="15">
        <v>4500000</v>
      </c>
      <c r="E317" s="93">
        <v>0.98361540560000005</v>
      </c>
      <c r="F317" s="18">
        <v>4426269.33</v>
      </c>
      <c r="G317" s="18">
        <v>0.01</v>
      </c>
      <c r="H317" s="13"/>
      <c r="I317" s="13"/>
    </row>
    <row r="318" spans="1:9">
      <c r="A318" s="13" t="s">
        <v>807</v>
      </c>
      <c r="B318" s="139" t="s">
        <v>612</v>
      </c>
      <c r="C318" s="139" t="s">
        <v>327</v>
      </c>
      <c r="D318" s="15">
        <v>4500000</v>
      </c>
      <c r="E318" s="93">
        <v>0.93844813530000004</v>
      </c>
      <c r="F318" s="18">
        <v>4223016.6100000003</v>
      </c>
      <c r="G318" s="18">
        <v>0.01</v>
      </c>
      <c r="H318" s="13"/>
      <c r="I318" s="13"/>
    </row>
    <row r="319" spans="1:9">
      <c r="A319" s="13" t="s">
        <v>808</v>
      </c>
      <c r="B319" s="139" t="s">
        <v>604</v>
      </c>
      <c r="C319" s="139" t="s">
        <v>327</v>
      </c>
      <c r="D319" s="15">
        <v>4500000</v>
      </c>
      <c r="E319" s="93">
        <v>0.96290829929999999</v>
      </c>
      <c r="F319" s="18">
        <v>4333087.3499999996</v>
      </c>
      <c r="G319" s="18">
        <v>0.01</v>
      </c>
      <c r="H319" s="13"/>
      <c r="I319" s="13"/>
    </row>
    <row r="320" spans="1:9">
      <c r="A320" s="13" t="s">
        <v>809</v>
      </c>
      <c r="B320" s="139" t="s">
        <v>594</v>
      </c>
      <c r="C320" s="139" t="s">
        <v>327</v>
      </c>
      <c r="D320" s="18">
        <v>7162509.1500000004</v>
      </c>
      <c r="E320" s="93">
        <v>0.95052094720000002</v>
      </c>
      <c r="F320" s="18">
        <v>6808114.9800000004</v>
      </c>
      <c r="G320" s="18">
        <v>0.01</v>
      </c>
      <c r="H320" s="13"/>
      <c r="I320" s="13"/>
    </row>
    <row r="321" spans="1:9">
      <c r="A321" s="13" t="s">
        <v>810</v>
      </c>
      <c r="B321" s="139" t="s">
        <v>720</v>
      </c>
      <c r="C321" s="139" t="s">
        <v>327</v>
      </c>
      <c r="D321" s="18">
        <v>6899161.7699999996</v>
      </c>
      <c r="E321" s="93">
        <v>0.91259132629999995</v>
      </c>
      <c r="F321" s="18">
        <v>6296115.1900000004</v>
      </c>
      <c r="G321" s="18">
        <v>0.01</v>
      </c>
      <c r="H321" s="13"/>
      <c r="I321" s="13"/>
    </row>
    <row r="322" spans="1:9">
      <c r="A322" s="13" t="s">
        <v>811</v>
      </c>
      <c r="B322" s="139" t="s">
        <v>727</v>
      </c>
      <c r="C322" s="139" t="s">
        <v>327</v>
      </c>
      <c r="D322" s="18">
        <v>6899161.7699999996</v>
      </c>
      <c r="E322" s="93">
        <v>0.93116998129999995</v>
      </c>
      <c r="F322" s="18">
        <v>6424292.3399999999</v>
      </c>
      <c r="G322" s="18">
        <v>0.01</v>
      </c>
      <c r="H322" s="13"/>
      <c r="I322" s="13"/>
    </row>
    <row r="323" spans="1:9">
      <c r="A323" s="13" t="s">
        <v>812</v>
      </c>
      <c r="B323" s="139" t="s">
        <v>813</v>
      </c>
      <c r="C323" s="139" t="s">
        <v>327</v>
      </c>
      <c r="D323" s="18">
        <v>7133529.1399999997</v>
      </c>
      <c r="E323" s="93">
        <v>0.94958122430000003</v>
      </c>
      <c r="F323" s="18">
        <v>6773865.3300000001</v>
      </c>
      <c r="G323" s="18">
        <v>0.01</v>
      </c>
      <c r="H323" s="13"/>
      <c r="I323" s="13"/>
    </row>
    <row r="324" spans="1:9">
      <c r="A324" s="13" t="s">
        <v>814</v>
      </c>
      <c r="B324" s="139" t="s">
        <v>722</v>
      </c>
      <c r="C324" s="139" t="s">
        <v>327</v>
      </c>
      <c r="D324" s="18">
        <v>7133529.1399999997</v>
      </c>
      <c r="E324" s="154">
        <v>0.91172505699999995</v>
      </c>
      <c r="F324" s="18">
        <v>6503817.2599999998</v>
      </c>
      <c r="G324" s="18">
        <v>0.01</v>
      </c>
      <c r="H324" s="13"/>
      <c r="I324" s="13"/>
    </row>
    <row r="325" spans="1:9">
      <c r="A325" s="13" t="s">
        <v>815</v>
      </c>
      <c r="B325" s="139" t="s">
        <v>755</v>
      </c>
      <c r="C325" s="139" t="s">
        <v>327</v>
      </c>
      <c r="D325" s="18">
        <v>4500591.28</v>
      </c>
      <c r="E325" s="93">
        <v>0.93026825430000004</v>
      </c>
      <c r="F325" s="18">
        <v>4186757.19</v>
      </c>
      <c r="G325" s="18">
        <v>0.01</v>
      </c>
      <c r="H325" s="13"/>
      <c r="I325" s="13"/>
    </row>
    <row r="326" spans="1:9">
      <c r="A326" s="13" t="s">
        <v>816</v>
      </c>
      <c r="B326" s="139" t="s">
        <v>575</v>
      </c>
      <c r="C326" s="139" t="s">
        <v>327</v>
      </c>
      <c r="D326" s="18">
        <v>7865231.25</v>
      </c>
      <c r="E326" s="93">
        <v>0.96484272010000005</v>
      </c>
      <c r="F326" s="18">
        <v>7588711.1100000003</v>
      </c>
      <c r="G326" s="18">
        <v>0.01</v>
      </c>
      <c r="H326" s="13"/>
      <c r="I326" s="13"/>
    </row>
    <row r="327" spans="1:9">
      <c r="A327" s="13" t="s">
        <v>817</v>
      </c>
      <c r="B327" s="139" t="s">
        <v>452</v>
      </c>
      <c r="C327" s="139" t="s">
        <v>327</v>
      </c>
      <c r="D327" s="15">
        <v>3500000</v>
      </c>
      <c r="E327" s="93">
        <v>0.99841348019999998</v>
      </c>
      <c r="F327" s="18">
        <v>3494447.18</v>
      </c>
      <c r="G327" s="18">
        <v>0.01</v>
      </c>
      <c r="H327" s="13"/>
      <c r="I327" s="13"/>
    </row>
    <row r="328" spans="1:9">
      <c r="A328" s="13" t="s">
        <v>818</v>
      </c>
      <c r="B328" s="139" t="s">
        <v>445</v>
      </c>
      <c r="C328" s="139" t="s">
        <v>327</v>
      </c>
      <c r="D328" s="15">
        <v>3500000</v>
      </c>
      <c r="E328" s="93">
        <v>0.99290008890000003</v>
      </c>
      <c r="F328" s="18">
        <v>3475150.31</v>
      </c>
      <c r="G328" s="18">
        <v>0.01</v>
      </c>
      <c r="H328" s="13"/>
      <c r="I328" s="13"/>
    </row>
    <row r="329" spans="1:9">
      <c r="A329" s="13" t="s">
        <v>819</v>
      </c>
      <c r="B329" s="139" t="s">
        <v>518</v>
      </c>
      <c r="C329" s="139" t="s">
        <v>327</v>
      </c>
      <c r="D329" s="15">
        <v>3500000</v>
      </c>
      <c r="E329" s="93">
        <v>0.98899910950000003</v>
      </c>
      <c r="F329" s="18">
        <v>3461496.88</v>
      </c>
      <c r="G329" s="18">
        <v>0.01</v>
      </c>
      <c r="H329" s="13"/>
      <c r="I329" s="13"/>
    </row>
    <row r="330" spans="1:9">
      <c r="A330" s="13" t="s">
        <v>823</v>
      </c>
      <c r="B330" s="139" t="s">
        <v>192</v>
      </c>
      <c r="C330" s="139" t="s">
        <v>399</v>
      </c>
      <c r="D330" s="15">
        <v>40000000</v>
      </c>
      <c r="E330" s="93">
        <v>0.98782141349999997</v>
      </c>
      <c r="F330" s="18">
        <v>39512856.539999999</v>
      </c>
      <c r="G330" s="18">
        <v>0.08</v>
      </c>
      <c r="H330" s="13"/>
      <c r="I330" s="13"/>
    </row>
    <row r="331" spans="1:9">
      <c r="A331" s="13" t="s">
        <v>824</v>
      </c>
      <c r="B331" s="139" t="s">
        <v>571</v>
      </c>
      <c r="C331" s="139" t="s">
        <v>399</v>
      </c>
      <c r="D331" s="15">
        <v>1500000</v>
      </c>
      <c r="E331" s="93">
        <v>0.9711321262</v>
      </c>
      <c r="F331" s="18">
        <v>1456698.19</v>
      </c>
      <c r="G331" s="15">
        <v>0</v>
      </c>
      <c r="H331" s="13"/>
      <c r="I331" s="13"/>
    </row>
    <row r="332" spans="1:9">
      <c r="A332" s="13" t="s">
        <v>825</v>
      </c>
      <c r="B332" s="139" t="s">
        <v>778</v>
      </c>
      <c r="C332" s="139" t="s">
        <v>399</v>
      </c>
      <c r="D332" s="15">
        <v>1500000</v>
      </c>
      <c r="E332" s="93">
        <v>0.91974312359999999</v>
      </c>
      <c r="F332" s="18">
        <v>1379614.69</v>
      </c>
      <c r="G332" s="15">
        <v>0</v>
      </c>
      <c r="H332" s="13"/>
      <c r="I332" s="13"/>
    </row>
    <row r="333" spans="1:9">
      <c r="A333" s="13" t="s">
        <v>826</v>
      </c>
      <c r="B333" s="139" t="s">
        <v>744</v>
      </c>
      <c r="C333" s="139" t="s">
        <v>399</v>
      </c>
      <c r="D333" s="15">
        <v>1500000</v>
      </c>
      <c r="E333" s="93">
        <v>0.89603545959999997</v>
      </c>
      <c r="F333" s="18">
        <v>1344053.19</v>
      </c>
      <c r="G333" s="15">
        <v>0</v>
      </c>
      <c r="H333" s="13"/>
      <c r="I333" s="13"/>
    </row>
    <row r="334" spans="1:9">
      <c r="A334" s="13" t="s">
        <v>827</v>
      </c>
      <c r="B334" s="139" t="s">
        <v>561</v>
      </c>
      <c r="C334" s="139" t="s">
        <v>399</v>
      </c>
      <c r="D334" s="15">
        <v>1500000</v>
      </c>
      <c r="E334" s="154">
        <v>0.94645412699999998</v>
      </c>
      <c r="F334" s="18">
        <v>1419681.19</v>
      </c>
      <c r="G334" s="15">
        <v>0</v>
      </c>
      <c r="H334" s="13"/>
      <c r="I334" s="13"/>
    </row>
    <row r="335" spans="1:9">
      <c r="A335" s="13" t="s">
        <v>828</v>
      </c>
      <c r="B335" s="139" t="s">
        <v>452</v>
      </c>
      <c r="C335" s="139" t="s">
        <v>399</v>
      </c>
      <c r="D335" s="15">
        <v>100000000</v>
      </c>
      <c r="E335" s="93">
        <v>0.9979767075</v>
      </c>
      <c r="F335" s="18">
        <v>99797670.75</v>
      </c>
      <c r="G335" s="18">
        <v>0.19</v>
      </c>
      <c r="H335" s="13"/>
      <c r="I335" s="13"/>
    </row>
    <row r="336" spans="1:9">
      <c r="A336" s="13" t="s">
        <v>829</v>
      </c>
      <c r="B336" s="139" t="s">
        <v>445</v>
      </c>
      <c r="C336" s="139" t="s">
        <v>399</v>
      </c>
      <c r="D336" s="15">
        <v>20000000</v>
      </c>
      <c r="E336" s="93">
        <v>0.99338650539999995</v>
      </c>
      <c r="F336" s="18">
        <v>19867730.109999999</v>
      </c>
      <c r="G336" s="18">
        <v>0.04</v>
      </c>
      <c r="H336" s="13"/>
      <c r="I336" s="13"/>
    </row>
    <row r="337" spans="1:9">
      <c r="A337" s="13" t="s">
        <v>830</v>
      </c>
      <c r="B337" s="139" t="s">
        <v>488</v>
      </c>
      <c r="C337" s="139" t="s">
        <v>399</v>
      </c>
      <c r="D337" s="15">
        <v>10000000</v>
      </c>
      <c r="E337" s="93">
        <v>0.95951638849999998</v>
      </c>
      <c r="F337" s="18">
        <v>9595163.8900000006</v>
      </c>
      <c r="G337" s="18">
        <v>0.02</v>
      </c>
      <c r="H337" s="13"/>
      <c r="I337" s="13"/>
    </row>
    <row r="338" spans="1:9">
      <c r="A338" s="13" t="s">
        <v>831</v>
      </c>
      <c r="B338" s="139" t="s">
        <v>505</v>
      </c>
      <c r="C338" s="139" t="s">
        <v>399</v>
      </c>
      <c r="D338" s="15">
        <v>10000000</v>
      </c>
      <c r="E338" s="93">
        <v>0.96663135870000005</v>
      </c>
      <c r="F338" s="18">
        <v>9666313.5899999999</v>
      </c>
      <c r="G338" s="18">
        <v>0.02</v>
      </c>
      <c r="H338" s="13"/>
      <c r="I338" s="13"/>
    </row>
    <row r="339" spans="1:9">
      <c r="A339" s="13" t="s">
        <v>838</v>
      </c>
      <c r="B339" s="139" t="s">
        <v>490</v>
      </c>
      <c r="C339" s="139" t="s">
        <v>355</v>
      </c>
      <c r="D339" s="15">
        <v>12500000</v>
      </c>
      <c r="E339" s="154">
        <v>0.98744728100000001</v>
      </c>
      <c r="F339" s="18">
        <v>12343091.01</v>
      </c>
      <c r="G339" s="18">
        <v>0.02</v>
      </c>
      <c r="H339" s="13"/>
      <c r="I339" s="13"/>
    </row>
    <row r="340" spans="1:9">
      <c r="A340" s="13" t="s">
        <v>839</v>
      </c>
      <c r="B340" s="139" t="s">
        <v>505</v>
      </c>
      <c r="C340" s="139" t="s">
        <v>355</v>
      </c>
      <c r="D340" s="15">
        <v>12500000</v>
      </c>
      <c r="E340" s="93">
        <v>0.97219265160000001</v>
      </c>
      <c r="F340" s="18">
        <v>12152408.15</v>
      </c>
      <c r="G340" s="18">
        <v>0.02</v>
      </c>
      <c r="H340" s="13"/>
      <c r="I340" s="13"/>
    </row>
    <row r="341" spans="1:9">
      <c r="A341" s="13" t="s">
        <v>840</v>
      </c>
      <c r="B341" s="139" t="s">
        <v>443</v>
      </c>
      <c r="C341" s="139" t="s">
        <v>355</v>
      </c>
      <c r="D341" s="15">
        <v>12500000</v>
      </c>
      <c r="E341" s="93">
        <v>0.9968319873</v>
      </c>
      <c r="F341" s="18">
        <v>12460399.84</v>
      </c>
      <c r="G341" s="18">
        <v>0.02</v>
      </c>
      <c r="H341" s="13"/>
      <c r="I341" s="13"/>
    </row>
    <row r="342" spans="1:9">
      <c r="A342" s="13" t="s">
        <v>841</v>
      </c>
      <c r="B342" s="139" t="s">
        <v>842</v>
      </c>
      <c r="C342" s="139" t="s">
        <v>355</v>
      </c>
      <c r="D342" s="15">
        <v>5600000</v>
      </c>
      <c r="E342" s="93">
        <v>0.98136748770000004</v>
      </c>
      <c r="F342" s="18">
        <v>5495657.9299999997</v>
      </c>
      <c r="G342" s="18">
        <v>0.01</v>
      </c>
      <c r="H342" s="13"/>
      <c r="I342" s="13"/>
    </row>
    <row r="343" spans="1:9">
      <c r="A343" s="13" t="s">
        <v>843</v>
      </c>
      <c r="B343" s="139" t="s">
        <v>624</v>
      </c>
      <c r="C343" s="139" t="s">
        <v>355</v>
      </c>
      <c r="D343" s="15">
        <v>5600000</v>
      </c>
      <c r="E343" s="93">
        <v>0.96341663280000001</v>
      </c>
      <c r="F343" s="18">
        <v>5395133.1399999997</v>
      </c>
      <c r="G343" s="18">
        <v>0.01</v>
      </c>
      <c r="H343" s="13"/>
      <c r="I343" s="13"/>
    </row>
    <row r="344" spans="1:9">
      <c r="A344" s="13" t="s">
        <v>844</v>
      </c>
      <c r="B344" s="139" t="s">
        <v>391</v>
      </c>
      <c r="C344" s="139" t="s">
        <v>355</v>
      </c>
      <c r="D344" s="15">
        <v>5600000</v>
      </c>
      <c r="E344" s="93">
        <v>0.97445071780000003</v>
      </c>
      <c r="F344" s="18">
        <v>5456924.0199999996</v>
      </c>
      <c r="G344" s="18">
        <v>0.01</v>
      </c>
      <c r="H344" s="13"/>
      <c r="I344" s="13"/>
    </row>
    <row r="345" spans="1:9">
      <c r="A345" s="13" t="s">
        <v>845</v>
      </c>
      <c r="B345" s="139" t="s">
        <v>575</v>
      </c>
      <c r="C345" s="139" t="s">
        <v>355</v>
      </c>
      <c r="D345" s="15">
        <v>5600000</v>
      </c>
      <c r="E345" s="93">
        <v>0.96932683220000004</v>
      </c>
      <c r="F345" s="18">
        <v>5428230.2599999998</v>
      </c>
      <c r="G345" s="18">
        <v>0.01</v>
      </c>
      <c r="H345" s="13"/>
      <c r="I345" s="13"/>
    </row>
    <row r="346" spans="1:9">
      <c r="A346" s="13" t="s">
        <v>846</v>
      </c>
      <c r="B346" s="139" t="s">
        <v>629</v>
      </c>
      <c r="C346" s="139" t="s">
        <v>355</v>
      </c>
      <c r="D346" s="18">
        <v>6500236.5700000003</v>
      </c>
      <c r="E346" s="93">
        <v>0.92578502579999999</v>
      </c>
      <c r="F346" s="18">
        <v>6017821.6799999997</v>
      </c>
      <c r="G346" s="18">
        <v>0.01</v>
      </c>
      <c r="H346" s="13"/>
      <c r="I346" s="13"/>
    </row>
    <row r="347" spans="1:9">
      <c r="A347" s="13" t="s">
        <v>847</v>
      </c>
      <c r="B347" s="139" t="s">
        <v>501</v>
      </c>
      <c r="C347" s="139" t="s">
        <v>355</v>
      </c>
      <c r="D347" s="18">
        <v>5211510.2699999996</v>
      </c>
      <c r="E347" s="93">
        <v>0.97760875140000003</v>
      </c>
      <c r="F347" s="18">
        <v>5094818.05</v>
      </c>
      <c r="G347" s="18">
        <v>0.01</v>
      </c>
      <c r="H347" s="13"/>
      <c r="I347" s="13"/>
    </row>
    <row r="348" spans="1:9">
      <c r="A348" s="13" t="s">
        <v>848</v>
      </c>
      <c r="B348" s="139" t="s">
        <v>604</v>
      </c>
      <c r="C348" s="139" t="s">
        <v>355</v>
      </c>
      <c r="D348" s="151">
        <v>2398145.2000000002</v>
      </c>
      <c r="E348" s="93">
        <v>0.96290825329999996</v>
      </c>
      <c r="F348" s="18">
        <v>2309193.81</v>
      </c>
      <c r="G348" s="15">
        <v>0</v>
      </c>
      <c r="H348" s="13"/>
      <c r="I348" s="13"/>
    </row>
    <row r="349" spans="1:9">
      <c r="A349" s="13" t="s">
        <v>849</v>
      </c>
      <c r="B349" s="139" t="s">
        <v>490</v>
      </c>
      <c r="C349" s="139" t="s">
        <v>355</v>
      </c>
      <c r="D349" s="151">
        <v>2398145.2000000002</v>
      </c>
      <c r="E349" s="93">
        <v>0.98361544079999996</v>
      </c>
      <c r="F349" s="18">
        <v>2358852.65</v>
      </c>
      <c r="G349" s="15">
        <v>0</v>
      </c>
      <c r="H349" s="13"/>
      <c r="I349" s="13"/>
    </row>
    <row r="350" spans="1:9">
      <c r="A350" s="13" t="s">
        <v>850</v>
      </c>
      <c r="B350" s="139" t="s">
        <v>769</v>
      </c>
      <c r="C350" s="139" t="s">
        <v>355</v>
      </c>
      <c r="D350" s="18">
        <v>3511491.25</v>
      </c>
      <c r="E350" s="93">
        <v>0.90570732639999996</v>
      </c>
      <c r="F350" s="18">
        <v>3180383.35</v>
      </c>
      <c r="G350" s="18">
        <v>0.01</v>
      </c>
      <c r="H350" s="13"/>
      <c r="I350" s="13"/>
    </row>
    <row r="351" spans="1:9">
      <c r="A351" s="13" t="s">
        <v>851</v>
      </c>
      <c r="B351" s="139" t="s">
        <v>852</v>
      </c>
      <c r="C351" s="139" t="s">
        <v>355</v>
      </c>
      <c r="D351" s="18">
        <v>4957711.8099999996</v>
      </c>
      <c r="E351" s="93">
        <v>0.95146247939999995</v>
      </c>
      <c r="F351" s="18">
        <v>4717076.7699999996</v>
      </c>
      <c r="G351" s="18">
        <v>0.01</v>
      </c>
      <c r="H351" s="13"/>
      <c r="I351" s="13"/>
    </row>
    <row r="352" spans="1:9">
      <c r="A352" s="13" t="s">
        <v>853</v>
      </c>
      <c r="B352" s="139" t="s">
        <v>533</v>
      </c>
      <c r="C352" s="139" t="s">
        <v>355</v>
      </c>
      <c r="D352" s="18">
        <v>4957711.8099999996</v>
      </c>
      <c r="E352" s="93">
        <v>0.97661482379999998</v>
      </c>
      <c r="F352" s="18">
        <v>4841774.8499999996</v>
      </c>
      <c r="G352" s="18">
        <v>0.01</v>
      </c>
      <c r="H352" s="13"/>
      <c r="I352" s="13"/>
    </row>
    <row r="353" spans="1:9">
      <c r="A353" s="13" t="s">
        <v>854</v>
      </c>
      <c r="B353" s="139" t="s">
        <v>855</v>
      </c>
      <c r="C353" s="139" t="s">
        <v>355</v>
      </c>
      <c r="D353" s="18">
        <v>4957711.8099999996</v>
      </c>
      <c r="E353" s="154">
        <v>0.94770741199999997</v>
      </c>
      <c r="F353" s="18">
        <v>4698460.2300000004</v>
      </c>
      <c r="G353" s="18">
        <v>0.01</v>
      </c>
      <c r="H353" s="13"/>
      <c r="I353" s="13"/>
    </row>
    <row r="354" spans="1:9">
      <c r="A354" s="13" t="s">
        <v>856</v>
      </c>
      <c r="B354" s="139" t="s">
        <v>387</v>
      </c>
      <c r="C354" s="139" t="s">
        <v>355</v>
      </c>
      <c r="D354" s="18">
        <v>4957711.8099999996</v>
      </c>
      <c r="E354" s="93">
        <v>0.97463286849999997</v>
      </c>
      <c r="F354" s="18">
        <v>4831948.88</v>
      </c>
      <c r="G354" s="18">
        <v>0.01</v>
      </c>
      <c r="H354" s="13"/>
      <c r="I354" s="13"/>
    </row>
    <row r="355" spans="1:9">
      <c r="A355" s="13" t="s">
        <v>857</v>
      </c>
      <c r="B355" s="139" t="s">
        <v>855</v>
      </c>
      <c r="C355" s="139" t="s">
        <v>355</v>
      </c>
      <c r="D355" s="151">
        <v>100046704.59999999</v>
      </c>
      <c r="E355" s="93">
        <v>0.96362010259999997</v>
      </c>
      <c r="F355" s="18">
        <v>96407015.75</v>
      </c>
      <c r="G355" s="18">
        <v>0.18</v>
      </c>
      <c r="H355" s="13"/>
      <c r="I355" s="13"/>
    </row>
    <row r="356" spans="1:9">
      <c r="A356" s="13" t="s">
        <v>858</v>
      </c>
      <c r="B356" s="139" t="s">
        <v>718</v>
      </c>
      <c r="C356" s="139" t="s">
        <v>355</v>
      </c>
      <c r="D356" s="151">
        <v>215007207.40000001</v>
      </c>
      <c r="E356" s="93">
        <v>0.95901215719999999</v>
      </c>
      <c r="F356" s="18">
        <v>206194525.78</v>
      </c>
      <c r="G356" s="18">
        <v>0.39</v>
      </c>
      <c r="H356" s="13"/>
      <c r="I356" s="13"/>
    </row>
    <row r="357" spans="1:9">
      <c r="A357" s="13" t="s">
        <v>859</v>
      </c>
      <c r="B357" s="139" t="s">
        <v>718</v>
      </c>
      <c r="C357" s="139" t="s">
        <v>355</v>
      </c>
      <c r="D357" s="18">
        <v>29857329.09</v>
      </c>
      <c r="E357" s="93">
        <v>0.95901215719999999</v>
      </c>
      <c r="F357" s="18">
        <v>28633541.579999998</v>
      </c>
      <c r="G357" s="18">
        <v>0.05</v>
      </c>
      <c r="H357" s="13"/>
      <c r="I357" s="13"/>
    </row>
    <row r="358" spans="1:9">
      <c r="A358" s="13" t="s">
        <v>860</v>
      </c>
      <c r="B358" s="139" t="s">
        <v>718</v>
      </c>
      <c r="C358" s="139" t="s">
        <v>355</v>
      </c>
      <c r="D358" s="18">
        <v>92806889.260000005</v>
      </c>
      <c r="E358" s="93">
        <v>0.95901215719999999</v>
      </c>
      <c r="F358" s="18">
        <v>89002935.069999993</v>
      </c>
      <c r="G358" s="18">
        <v>0.17</v>
      </c>
      <c r="H358" s="13"/>
      <c r="I358" s="13"/>
    </row>
    <row r="359" spans="1:9">
      <c r="A359" s="13" t="s">
        <v>861</v>
      </c>
      <c r="B359" s="139" t="s">
        <v>718</v>
      </c>
      <c r="C359" s="139" t="s">
        <v>355</v>
      </c>
      <c r="D359" s="18">
        <v>20411147.440000001</v>
      </c>
      <c r="E359" s="93">
        <v>0.95901215719999999</v>
      </c>
      <c r="F359" s="18">
        <v>19574538.539999999</v>
      </c>
      <c r="G359" s="18">
        <v>0.04</v>
      </c>
      <c r="H359" s="13"/>
      <c r="I359" s="13"/>
    </row>
    <row r="360" spans="1:9">
      <c r="A360" s="13" t="s">
        <v>862</v>
      </c>
      <c r="B360" s="139" t="s">
        <v>571</v>
      </c>
      <c r="C360" s="139" t="s">
        <v>355</v>
      </c>
      <c r="D360" s="18">
        <v>28712357.309999999</v>
      </c>
      <c r="E360" s="93">
        <v>0.97839494019999995</v>
      </c>
      <c r="F360" s="18">
        <v>28092025.109999999</v>
      </c>
      <c r="G360" s="18">
        <v>0.05</v>
      </c>
      <c r="H360" s="13"/>
      <c r="I360" s="13"/>
    </row>
    <row r="361" spans="1:9">
      <c r="A361" s="13" t="s">
        <v>863</v>
      </c>
      <c r="B361" s="139" t="s">
        <v>571</v>
      </c>
      <c r="C361" s="139" t="s">
        <v>355</v>
      </c>
      <c r="D361" s="18">
        <v>50399108.950000003</v>
      </c>
      <c r="E361" s="93">
        <v>0.97839494019999995</v>
      </c>
      <c r="F361" s="18">
        <v>49310233.189999998</v>
      </c>
      <c r="G361" s="18">
        <v>0.09</v>
      </c>
      <c r="H361" s="13"/>
      <c r="I361" s="13"/>
    </row>
    <row r="362" spans="1:9">
      <c r="A362" s="13" t="s">
        <v>864</v>
      </c>
      <c r="B362" s="139" t="s">
        <v>571</v>
      </c>
      <c r="C362" s="139" t="s">
        <v>355</v>
      </c>
      <c r="D362" s="18">
        <v>4643215.3099999996</v>
      </c>
      <c r="E362" s="93">
        <v>0.97839493529999999</v>
      </c>
      <c r="F362" s="18">
        <v>4542898.34</v>
      </c>
      <c r="G362" s="18">
        <v>0.01</v>
      </c>
      <c r="H362" s="13"/>
      <c r="I362" s="13"/>
    </row>
    <row r="363" spans="1:9">
      <c r="A363" s="13" t="s">
        <v>865</v>
      </c>
      <c r="B363" s="139" t="s">
        <v>571</v>
      </c>
      <c r="C363" s="139" t="s">
        <v>355</v>
      </c>
      <c r="D363" s="18">
        <v>2120477.86</v>
      </c>
      <c r="E363" s="93">
        <v>0.97839493769999997</v>
      </c>
      <c r="F363" s="151">
        <v>2074664.8</v>
      </c>
      <c r="G363" s="15">
        <v>0</v>
      </c>
      <c r="H363" s="13"/>
      <c r="I363" s="13"/>
    </row>
    <row r="364" spans="1:9">
      <c r="A364" s="13" t="s">
        <v>866</v>
      </c>
      <c r="B364" s="139" t="s">
        <v>718</v>
      </c>
      <c r="C364" s="139" t="s">
        <v>355</v>
      </c>
      <c r="D364" s="18">
        <v>68728608.280000001</v>
      </c>
      <c r="E364" s="93">
        <v>0.95901215719999999</v>
      </c>
      <c r="F364" s="18">
        <v>65911570.890000001</v>
      </c>
      <c r="G364" s="18">
        <v>0.13</v>
      </c>
      <c r="H364" s="13"/>
      <c r="I364" s="13"/>
    </row>
    <row r="365" spans="1:9">
      <c r="A365" s="13" t="s">
        <v>867</v>
      </c>
      <c r="B365" s="139" t="s">
        <v>718</v>
      </c>
      <c r="C365" s="139" t="s">
        <v>355</v>
      </c>
      <c r="D365" s="18">
        <v>6875275.0899999999</v>
      </c>
      <c r="E365" s="93">
        <v>0.95901215719999999</v>
      </c>
      <c r="F365" s="151">
        <v>6593472.4000000004</v>
      </c>
      <c r="G365" s="18">
        <v>0.01</v>
      </c>
      <c r="H365" s="13"/>
      <c r="I365" s="13"/>
    </row>
    <row r="366" spans="1:9">
      <c r="A366" s="13" t="s">
        <v>868</v>
      </c>
      <c r="B366" s="139" t="s">
        <v>718</v>
      </c>
      <c r="C366" s="139" t="s">
        <v>355</v>
      </c>
      <c r="D366" s="18">
        <v>6937722.3200000003</v>
      </c>
      <c r="E366" s="93">
        <v>0.95901215719999999</v>
      </c>
      <c r="F366" s="18">
        <v>6653360.0499999998</v>
      </c>
      <c r="G366" s="18">
        <v>0.01</v>
      </c>
      <c r="H366" s="13"/>
      <c r="I366" s="13"/>
    </row>
    <row r="367" spans="1:9">
      <c r="A367" s="13" t="s">
        <v>869</v>
      </c>
      <c r="B367" s="139" t="s">
        <v>718</v>
      </c>
      <c r="C367" s="139" t="s">
        <v>355</v>
      </c>
      <c r="D367" s="18">
        <v>3090146.07</v>
      </c>
      <c r="E367" s="93">
        <v>0.95901215719999999</v>
      </c>
      <c r="F367" s="18">
        <v>2963487.65</v>
      </c>
      <c r="G367" s="18">
        <v>0.01</v>
      </c>
      <c r="H367" s="13"/>
      <c r="I367" s="13"/>
    </row>
    <row r="368" spans="1:9">
      <c r="A368" s="13" t="s">
        <v>870</v>
      </c>
      <c r="B368" s="139" t="s">
        <v>571</v>
      </c>
      <c r="C368" s="139" t="s">
        <v>355</v>
      </c>
      <c r="D368" s="18">
        <v>3412014.84</v>
      </c>
      <c r="E368" s="93">
        <v>0.97839493609999995</v>
      </c>
      <c r="F368" s="18">
        <v>3338298.04</v>
      </c>
      <c r="G368" s="18">
        <v>0.01</v>
      </c>
      <c r="H368" s="13"/>
      <c r="I368" s="13"/>
    </row>
    <row r="369" spans="1:9">
      <c r="A369" s="13" t="s">
        <v>871</v>
      </c>
      <c r="B369" s="139" t="s">
        <v>571</v>
      </c>
      <c r="C369" s="139" t="s">
        <v>355</v>
      </c>
      <c r="D369" s="18">
        <v>2502217.0699999998</v>
      </c>
      <c r="E369" s="93">
        <v>0.97839493850000003</v>
      </c>
      <c r="F369" s="18">
        <v>2448156.52</v>
      </c>
      <c r="G369" s="15">
        <v>0</v>
      </c>
      <c r="H369" s="13"/>
      <c r="I369" s="13"/>
    </row>
    <row r="370" spans="1:9">
      <c r="A370" s="13" t="s">
        <v>872</v>
      </c>
      <c r="B370" s="139" t="s">
        <v>571</v>
      </c>
      <c r="C370" s="139" t="s">
        <v>355</v>
      </c>
      <c r="D370" s="151">
        <v>6395453.2000000002</v>
      </c>
      <c r="E370" s="93">
        <v>0.97839494019999995</v>
      </c>
      <c r="F370" s="18">
        <v>6257279.0499999998</v>
      </c>
      <c r="G370" s="18">
        <v>0.01</v>
      </c>
      <c r="H370" s="13"/>
      <c r="I370" s="13"/>
    </row>
    <row r="371" spans="1:9">
      <c r="A371" s="13" t="s">
        <v>873</v>
      </c>
      <c r="B371" s="139" t="s">
        <v>571</v>
      </c>
      <c r="C371" s="139" t="s">
        <v>355</v>
      </c>
      <c r="D371" s="151">
        <v>1860181.4</v>
      </c>
      <c r="E371" s="93">
        <v>0.97839494670000005</v>
      </c>
      <c r="F371" s="18">
        <v>1819992.08</v>
      </c>
      <c r="G371" s="15">
        <v>0</v>
      </c>
      <c r="H371" s="13"/>
      <c r="I371" s="13"/>
    </row>
    <row r="372" spans="1:9">
      <c r="A372" s="13" t="s">
        <v>874</v>
      </c>
      <c r="B372" s="139" t="s">
        <v>571</v>
      </c>
      <c r="C372" s="139" t="s">
        <v>355</v>
      </c>
      <c r="D372" s="18">
        <v>3621557.13</v>
      </c>
      <c r="E372" s="93">
        <v>0.97839493850000003</v>
      </c>
      <c r="F372" s="18">
        <v>3543313.17</v>
      </c>
      <c r="G372" s="18">
        <v>0.01</v>
      </c>
      <c r="H372" s="13"/>
      <c r="I372" s="13"/>
    </row>
    <row r="373" spans="1:9">
      <c r="A373" s="13" t="s">
        <v>875</v>
      </c>
      <c r="B373" s="139" t="s">
        <v>571</v>
      </c>
      <c r="C373" s="139" t="s">
        <v>355</v>
      </c>
      <c r="D373" s="18">
        <v>14947325.66</v>
      </c>
      <c r="E373" s="93">
        <v>0.97839494019999995</v>
      </c>
      <c r="F373" s="151">
        <v>14624387.800000001</v>
      </c>
      <c r="G373" s="18">
        <v>0.03</v>
      </c>
      <c r="H373" s="13"/>
      <c r="I373" s="13"/>
    </row>
    <row r="374" spans="1:9">
      <c r="A374" s="13" t="s">
        <v>876</v>
      </c>
      <c r="B374" s="139" t="s">
        <v>571</v>
      </c>
      <c r="C374" s="139" t="s">
        <v>355</v>
      </c>
      <c r="D374" s="18">
        <v>10604114.439999999</v>
      </c>
      <c r="E374" s="93">
        <v>0.97839494019999995</v>
      </c>
      <c r="F374" s="18">
        <v>10375011.91</v>
      </c>
      <c r="G374" s="18">
        <v>0.02</v>
      </c>
      <c r="H374" s="13"/>
      <c r="I374" s="13"/>
    </row>
    <row r="375" spans="1:9">
      <c r="A375" s="13" t="s">
        <v>877</v>
      </c>
      <c r="B375" s="139" t="s">
        <v>718</v>
      </c>
      <c r="C375" s="139" t="s">
        <v>355</v>
      </c>
      <c r="D375" s="18">
        <v>7075968.3200000003</v>
      </c>
      <c r="E375" s="93">
        <v>0.95901215719999999</v>
      </c>
      <c r="F375" s="18">
        <v>6785939.6399999997</v>
      </c>
      <c r="G375" s="18">
        <v>0.01</v>
      </c>
      <c r="H375" s="13"/>
      <c r="I375" s="13"/>
    </row>
    <row r="376" spans="1:9">
      <c r="A376" s="13" t="s">
        <v>878</v>
      </c>
      <c r="B376" s="139" t="s">
        <v>718</v>
      </c>
      <c r="C376" s="139" t="s">
        <v>355</v>
      </c>
      <c r="D376" s="18">
        <v>11809132.970000001</v>
      </c>
      <c r="E376" s="93">
        <v>0.95901215719999999</v>
      </c>
      <c r="F376" s="18">
        <v>11325102.08</v>
      </c>
      <c r="G376" s="18">
        <v>0.02</v>
      </c>
      <c r="H376" s="13"/>
      <c r="I376" s="13"/>
    </row>
    <row r="377" spans="1:9">
      <c r="A377" s="13" t="s">
        <v>879</v>
      </c>
      <c r="B377" s="139" t="s">
        <v>718</v>
      </c>
      <c r="C377" s="139" t="s">
        <v>355</v>
      </c>
      <c r="D377" s="18">
        <v>31694713.280000001</v>
      </c>
      <c r="E377" s="93">
        <v>0.95901215719999999</v>
      </c>
      <c r="F377" s="18">
        <v>30395615.350000001</v>
      </c>
      <c r="G377" s="18">
        <v>0.06</v>
      </c>
      <c r="H377" s="13"/>
      <c r="I377" s="13"/>
    </row>
    <row r="378" spans="1:9">
      <c r="A378" s="13" t="s">
        <v>880</v>
      </c>
      <c r="B378" s="139" t="s">
        <v>718</v>
      </c>
      <c r="C378" s="139" t="s">
        <v>355</v>
      </c>
      <c r="D378" s="18">
        <v>20011620.16</v>
      </c>
      <c r="E378" s="93">
        <v>0.95901215719999999</v>
      </c>
      <c r="F378" s="18">
        <v>19191387.02</v>
      </c>
      <c r="G378" s="18">
        <v>0.04</v>
      </c>
      <c r="H378" s="13"/>
      <c r="I378" s="13"/>
    </row>
    <row r="379" spans="1:9">
      <c r="A379" s="13" t="s">
        <v>881</v>
      </c>
      <c r="B379" s="139" t="s">
        <v>718</v>
      </c>
      <c r="C379" s="139" t="s">
        <v>355</v>
      </c>
      <c r="D379" s="15">
        <v>34118781</v>
      </c>
      <c r="E379" s="93">
        <v>0.95901215719999999</v>
      </c>
      <c r="F379" s="18">
        <v>32720325.77</v>
      </c>
      <c r="G379" s="18">
        <v>0.06</v>
      </c>
      <c r="H379" s="13"/>
      <c r="I379" s="13"/>
    </row>
    <row r="380" spans="1:9">
      <c r="A380" s="13" t="s">
        <v>884</v>
      </c>
      <c r="B380" s="139" t="s">
        <v>561</v>
      </c>
      <c r="C380" s="139" t="s">
        <v>374</v>
      </c>
      <c r="D380" s="15">
        <v>16500000</v>
      </c>
      <c r="E380" s="93">
        <v>0.95228165750000004</v>
      </c>
      <c r="F380" s="18">
        <v>15712647.35</v>
      </c>
      <c r="G380" s="18">
        <v>0.03</v>
      </c>
      <c r="H380" s="13"/>
      <c r="I380" s="13"/>
    </row>
    <row r="381" spans="1:9">
      <c r="A381" s="13" t="s">
        <v>885</v>
      </c>
      <c r="B381" s="139" t="s">
        <v>681</v>
      </c>
      <c r="C381" s="139" t="s">
        <v>374</v>
      </c>
      <c r="D381" s="15">
        <v>16500000</v>
      </c>
      <c r="E381" s="93">
        <v>0.94086723589999999</v>
      </c>
      <c r="F381" s="18">
        <v>15524309.390000001</v>
      </c>
      <c r="G381" s="18">
        <v>0.03</v>
      </c>
      <c r="H381" s="13"/>
      <c r="I381" s="13"/>
    </row>
    <row r="382" spans="1:9">
      <c r="A382" s="13" t="s">
        <v>886</v>
      </c>
      <c r="B382" s="139" t="s">
        <v>778</v>
      </c>
      <c r="C382" s="139" t="s">
        <v>374</v>
      </c>
      <c r="D382" s="15">
        <v>16500000</v>
      </c>
      <c r="E382" s="154">
        <v>0.92825717399999996</v>
      </c>
      <c r="F382" s="18">
        <v>15316243.369999999</v>
      </c>
      <c r="G382" s="18">
        <v>0.03</v>
      </c>
      <c r="H382" s="13"/>
      <c r="I382" s="13"/>
    </row>
    <row r="383" spans="1:9">
      <c r="A383" s="13" t="s">
        <v>887</v>
      </c>
      <c r="B383" s="139" t="s">
        <v>549</v>
      </c>
      <c r="C383" s="139" t="s">
        <v>374</v>
      </c>
      <c r="D383" s="15">
        <v>10000000</v>
      </c>
      <c r="E383" s="154">
        <v>0.97520574500000001</v>
      </c>
      <c r="F383" s="18">
        <v>9752057.4499999993</v>
      </c>
      <c r="G383" s="18">
        <v>0.02</v>
      </c>
      <c r="H383" s="13"/>
      <c r="I383" s="13"/>
    </row>
    <row r="384" spans="1:9">
      <c r="A384" s="13" t="s">
        <v>888</v>
      </c>
      <c r="B384" s="139" t="s">
        <v>571</v>
      </c>
      <c r="C384" s="139" t="s">
        <v>374</v>
      </c>
      <c r="D384" s="15">
        <v>10000000</v>
      </c>
      <c r="E384" s="93">
        <v>0.97596196049999995</v>
      </c>
      <c r="F384" s="18">
        <v>9759619.6099999994</v>
      </c>
      <c r="G384" s="18">
        <v>0.02</v>
      </c>
      <c r="H384" s="13"/>
      <c r="I384" s="13"/>
    </row>
    <row r="385" spans="1:10">
      <c r="A385" s="13" t="s">
        <v>889</v>
      </c>
      <c r="B385" s="139" t="s">
        <v>190</v>
      </c>
      <c r="C385" s="139" t="s">
        <v>374</v>
      </c>
      <c r="D385" s="15">
        <v>10000000</v>
      </c>
      <c r="E385" s="93">
        <v>0.96696428079999996</v>
      </c>
      <c r="F385" s="18">
        <v>9669642.8100000005</v>
      </c>
      <c r="G385" s="18">
        <v>0.02</v>
      </c>
      <c r="H385" s="13"/>
      <c r="I385" s="13"/>
    </row>
    <row r="386" spans="1:10">
      <c r="A386" s="13" t="s">
        <v>890</v>
      </c>
      <c r="B386" s="139" t="s">
        <v>624</v>
      </c>
      <c r="C386" s="139" t="s">
        <v>374</v>
      </c>
      <c r="D386" s="15">
        <v>10000000</v>
      </c>
      <c r="E386" s="93">
        <v>0.96770776889999999</v>
      </c>
      <c r="F386" s="18">
        <v>9677077.6899999995</v>
      </c>
      <c r="G386" s="18">
        <v>0.02</v>
      </c>
      <c r="H386" s="13"/>
      <c r="I386" s="13"/>
    </row>
    <row r="387" spans="1:10">
      <c r="A387" s="13" t="s">
        <v>891</v>
      </c>
      <c r="B387" s="139" t="s">
        <v>505</v>
      </c>
      <c r="C387" s="139" t="s">
        <v>374</v>
      </c>
      <c r="D387" s="15">
        <v>10000000</v>
      </c>
      <c r="E387" s="93">
        <v>0.97219263759999996</v>
      </c>
      <c r="F387" s="18">
        <v>9721926.3800000008</v>
      </c>
      <c r="G387" s="18">
        <v>0.02</v>
      </c>
      <c r="H387" s="13"/>
      <c r="I387" s="13"/>
    </row>
    <row r="388" spans="1:10">
      <c r="A388" s="13" t="s">
        <v>892</v>
      </c>
      <c r="B388" s="139" t="s">
        <v>798</v>
      </c>
      <c r="C388" s="139" t="s">
        <v>374</v>
      </c>
      <c r="D388" s="15">
        <v>10000000</v>
      </c>
      <c r="E388" s="93">
        <v>0.97069309729999997</v>
      </c>
      <c r="F388" s="18">
        <v>9706930.9700000007</v>
      </c>
      <c r="G388" s="18">
        <v>0.02</v>
      </c>
      <c r="H388" s="13"/>
      <c r="I388" s="13"/>
    </row>
    <row r="389" spans="1:10">
      <c r="A389" s="13" t="s">
        <v>893</v>
      </c>
      <c r="B389" s="139" t="s">
        <v>575</v>
      </c>
      <c r="C389" s="139" t="s">
        <v>374</v>
      </c>
      <c r="D389" s="15">
        <v>10000000</v>
      </c>
      <c r="E389" s="93">
        <v>0.97294418739999999</v>
      </c>
      <c r="F389" s="18">
        <v>9729441.8699999992</v>
      </c>
      <c r="G389" s="18">
        <v>0.02</v>
      </c>
      <c r="H389" s="13"/>
      <c r="I389" s="13"/>
    </row>
    <row r="390" spans="1:10">
      <c r="A390" s="13" t="s">
        <v>894</v>
      </c>
      <c r="B390" s="139" t="s">
        <v>604</v>
      </c>
      <c r="C390" s="139" t="s">
        <v>374</v>
      </c>
      <c r="D390" s="15">
        <v>10000000</v>
      </c>
      <c r="E390" s="93">
        <v>0.97144232990000001</v>
      </c>
      <c r="F390" s="151">
        <v>9714423.3000000007</v>
      </c>
      <c r="G390" s="18">
        <v>0.02</v>
      </c>
      <c r="H390" s="13"/>
      <c r="I390" s="13"/>
    </row>
    <row r="391" spans="1:10">
      <c r="A391" s="13" t="s">
        <v>895</v>
      </c>
      <c r="B391" s="139" t="s">
        <v>424</v>
      </c>
      <c r="C391" s="139" t="s">
        <v>374</v>
      </c>
      <c r="D391" s="15">
        <v>10000000</v>
      </c>
      <c r="E391" s="93">
        <v>0.96994501830000002</v>
      </c>
      <c r="F391" s="18">
        <v>9699450.1799999997</v>
      </c>
      <c r="G391" s="18">
        <v>0.02</v>
      </c>
      <c r="H391" s="13"/>
      <c r="I391" s="13"/>
    </row>
    <row r="392" spans="1:10">
      <c r="A392" s="13" t="s">
        <v>896</v>
      </c>
      <c r="B392" s="139" t="s">
        <v>571</v>
      </c>
      <c r="C392" s="139" t="s">
        <v>374</v>
      </c>
      <c r="D392" s="15">
        <v>10000000</v>
      </c>
      <c r="E392" s="93">
        <v>0.97596196049999995</v>
      </c>
      <c r="F392" s="18">
        <v>9759619.6099999994</v>
      </c>
      <c r="G392" s="18">
        <v>0.02</v>
      </c>
      <c r="H392" s="13"/>
      <c r="I392" s="13"/>
    </row>
    <row r="393" spans="1:10">
      <c r="A393" s="13" t="s">
        <v>897</v>
      </c>
      <c r="B393" s="139" t="s">
        <v>688</v>
      </c>
      <c r="C393" s="139" t="s">
        <v>160</v>
      </c>
      <c r="D393" s="15">
        <v>5500000</v>
      </c>
      <c r="E393" s="93">
        <v>0.96032414359999996</v>
      </c>
      <c r="F393" s="18">
        <v>5281782.79</v>
      </c>
      <c r="G393" s="18">
        <v>0.01</v>
      </c>
      <c r="H393" s="13"/>
      <c r="I393" s="13"/>
    </row>
    <row r="394" spans="1:10">
      <c r="A394" s="13" t="s">
        <v>898</v>
      </c>
      <c r="B394" s="139" t="s">
        <v>188</v>
      </c>
      <c r="C394" s="139" t="s">
        <v>160</v>
      </c>
      <c r="D394" s="15">
        <v>5500000</v>
      </c>
      <c r="E394" s="93">
        <v>0.9767192951</v>
      </c>
      <c r="F394" s="18">
        <v>5371956.1200000001</v>
      </c>
      <c r="G394" s="18">
        <v>0.01</v>
      </c>
      <c r="H394" s="13"/>
      <c r="I394" s="13"/>
    </row>
    <row r="395" spans="1:10">
      <c r="A395" s="13" t="s">
        <v>899</v>
      </c>
      <c r="B395" s="139" t="s">
        <v>505</v>
      </c>
      <c r="C395" s="139" t="s">
        <v>160</v>
      </c>
      <c r="D395" s="15">
        <v>5500000</v>
      </c>
      <c r="E395" s="93">
        <v>0.9721926581</v>
      </c>
      <c r="F395" s="18">
        <v>5347059.62</v>
      </c>
      <c r="G395" s="18">
        <v>0.01</v>
      </c>
      <c r="H395" s="13"/>
      <c r="I395" s="13"/>
    </row>
    <row r="396" spans="1:10">
      <c r="A396" s="13" t="s">
        <v>900</v>
      </c>
      <c r="B396" s="139" t="s">
        <v>452</v>
      </c>
      <c r="C396" s="139" t="s">
        <v>160</v>
      </c>
      <c r="D396" s="15">
        <v>40000000</v>
      </c>
      <c r="E396" s="93">
        <v>0.99841348470000002</v>
      </c>
      <c r="F396" s="18">
        <v>39936539.390000001</v>
      </c>
      <c r="G396" s="18">
        <v>0.08</v>
      </c>
      <c r="H396" s="13"/>
      <c r="I396" s="13"/>
    </row>
    <row r="397" spans="1:10">
      <c r="A397" s="13" t="s">
        <v>901</v>
      </c>
      <c r="B397" s="139" t="s">
        <v>443</v>
      </c>
      <c r="C397" s="139" t="s">
        <v>160</v>
      </c>
      <c r="D397" s="15">
        <v>40000000</v>
      </c>
      <c r="E397" s="93">
        <v>0.99683198819999996</v>
      </c>
      <c r="F397" s="18">
        <v>39873279.530000001</v>
      </c>
      <c r="G397" s="18">
        <v>0.08</v>
      </c>
      <c r="H397" s="13"/>
      <c r="I397" s="13"/>
    </row>
    <row r="398" spans="1:10">
      <c r="A398" s="13" t="s">
        <v>902</v>
      </c>
      <c r="B398" s="139" t="s">
        <v>454</v>
      </c>
      <c r="C398" s="139" t="s">
        <v>160</v>
      </c>
      <c r="D398" s="15">
        <v>30000000</v>
      </c>
      <c r="E398" s="154">
        <v>0.99368398300000005</v>
      </c>
      <c r="F398" s="18">
        <v>29810519.489999998</v>
      </c>
      <c r="G398" s="18">
        <v>0.06</v>
      </c>
      <c r="H398" s="13"/>
      <c r="I398" s="13"/>
    </row>
    <row r="399" spans="1:10">
      <c r="A399" s="13" t="s">
        <v>903</v>
      </c>
      <c r="B399" s="139" t="s">
        <v>445</v>
      </c>
      <c r="C399" s="139" t="s">
        <v>160</v>
      </c>
      <c r="D399" s="15">
        <v>1300000</v>
      </c>
      <c r="E399" s="93">
        <v>0.99290010989999999</v>
      </c>
      <c r="F399" s="18">
        <v>1290770.1399999999</v>
      </c>
      <c r="G399" s="15">
        <v>0</v>
      </c>
      <c r="H399" s="13"/>
      <c r="I399" s="13"/>
      <c r="J399" s="68"/>
    </row>
    <row r="400" spans="1:10">
      <c r="A400" s="13" t="s">
        <v>904</v>
      </c>
      <c r="B400" s="139" t="s">
        <v>452</v>
      </c>
      <c r="C400" s="139" t="s">
        <v>160</v>
      </c>
      <c r="D400" s="15">
        <v>12500000</v>
      </c>
      <c r="E400" s="93">
        <v>0.99841348490000004</v>
      </c>
      <c r="F400" s="18">
        <v>12480168.560000001</v>
      </c>
      <c r="G400" s="18">
        <v>0.02</v>
      </c>
      <c r="H400" s="13"/>
      <c r="I400" s="13"/>
    </row>
    <row r="401" spans="1:10">
      <c r="A401" s="13" t="s">
        <v>905</v>
      </c>
      <c r="B401" s="139" t="s">
        <v>445</v>
      </c>
      <c r="C401" s="139" t="s">
        <v>160</v>
      </c>
      <c r="D401" s="15">
        <v>12500000</v>
      </c>
      <c r="E401" s="93">
        <v>0.99290010719999999</v>
      </c>
      <c r="F401" s="18">
        <v>12411251.34</v>
      </c>
      <c r="G401" s="18">
        <v>0.02</v>
      </c>
      <c r="H401" s="13"/>
      <c r="I401" s="13"/>
    </row>
    <row r="402" spans="1:10">
      <c r="A402" s="13" t="s">
        <v>906</v>
      </c>
      <c r="B402" s="139" t="s">
        <v>329</v>
      </c>
      <c r="C402" s="139" t="s">
        <v>160</v>
      </c>
      <c r="D402" s="15">
        <v>20000000</v>
      </c>
      <c r="E402" s="93">
        <v>0.9891599136</v>
      </c>
      <c r="F402" s="18">
        <v>19783198.27</v>
      </c>
      <c r="G402" s="18">
        <v>0.04</v>
      </c>
      <c r="H402" s="13"/>
      <c r="I402" s="13"/>
    </row>
    <row r="403" spans="1:10">
      <c r="A403" s="13" t="s">
        <v>907</v>
      </c>
      <c r="B403" s="139" t="s">
        <v>454</v>
      </c>
      <c r="C403" s="139" t="s">
        <v>160</v>
      </c>
      <c r="D403" s="15">
        <v>20000000</v>
      </c>
      <c r="E403" s="93">
        <v>0.99130907329999995</v>
      </c>
      <c r="F403" s="18">
        <v>19826181.469999999</v>
      </c>
      <c r="G403" s="18">
        <v>0.04</v>
      </c>
      <c r="H403" s="13"/>
      <c r="I403" s="13"/>
    </row>
    <row r="404" spans="1:10">
      <c r="A404" s="13" t="s">
        <v>908</v>
      </c>
      <c r="B404" s="139" t="s">
        <v>385</v>
      </c>
      <c r="C404" s="139" t="s">
        <v>318</v>
      </c>
      <c r="D404" s="15">
        <v>5000000</v>
      </c>
      <c r="E404" s="93">
        <v>0.9898573718</v>
      </c>
      <c r="F404" s="18">
        <v>4949286.8600000003</v>
      </c>
      <c r="G404" s="18">
        <v>0.01</v>
      </c>
      <c r="H404" s="13"/>
      <c r="I404" s="13"/>
    </row>
    <row r="405" spans="1:10">
      <c r="A405" s="13" t="s">
        <v>909</v>
      </c>
      <c r="B405" s="139" t="s">
        <v>490</v>
      </c>
      <c r="C405" s="139" t="s">
        <v>318</v>
      </c>
      <c r="D405" s="15">
        <v>16800000</v>
      </c>
      <c r="E405" s="93">
        <v>0.98446435160000001</v>
      </c>
      <c r="F405" s="18">
        <v>16539001.109999999</v>
      </c>
      <c r="G405" s="18">
        <v>0.03</v>
      </c>
      <c r="H405" s="13"/>
      <c r="I405" s="13"/>
    </row>
    <row r="406" spans="1:10">
      <c r="A406" s="13" t="s">
        <v>911</v>
      </c>
      <c r="B406" s="139" t="s">
        <v>741</v>
      </c>
      <c r="C406" s="139" t="s">
        <v>341</v>
      </c>
      <c r="D406" s="15">
        <v>17118303</v>
      </c>
      <c r="E406" s="93">
        <v>0.91627969590000002</v>
      </c>
      <c r="F406" s="18">
        <v>15685153.470000001</v>
      </c>
      <c r="G406" s="18">
        <v>0.03</v>
      </c>
      <c r="H406" s="13"/>
      <c r="I406" s="13"/>
    </row>
    <row r="407" spans="1:10">
      <c r="A407" s="13" t="s">
        <v>912</v>
      </c>
      <c r="B407" s="139" t="s">
        <v>387</v>
      </c>
      <c r="C407" s="139" t="s">
        <v>341</v>
      </c>
      <c r="D407" s="15">
        <v>1040000</v>
      </c>
      <c r="E407" s="93">
        <v>0.97986582509999998</v>
      </c>
      <c r="F407" s="18">
        <v>1019060.46</v>
      </c>
      <c r="G407" s="15">
        <v>0</v>
      </c>
      <c r="H407" s="13"/>
      <c r="I407" s="13"/>
    </row>
    <row r="408" spans="1:10">
      <c r="A408" s="13" t="s">
        <v>913</v>
      </c>
      <c r="B408" s="139" t="s">
        <v>604</v>
      </c>
      <c r="C408" s="139" t="s">
        <v>341</v>
      </c>
      <c r="D408" s="15">
        <v>1040000</v>
      </c>
      <c r="E408" s="93">
        <v>0.97048662519999995</v>
      </c>
      <c r="F408" s="18">
        <v>1009306.09</v>
      </c>
      <c r="G408" s="15">
        <v>0</v>
      </c>
      <c r="H408" s="13"/>
      <c r="I408" s="13"/>
    </row>
    <row r="409" spans="1:10">
      <c r="A409" s="13" t="s">
        <v>914</v>
      </c>
      <c r="B409" s="139" t="s">
        <v>571</v>
      </c>
      <c r="C409" s="139" t="s">
        <v>341</v>
      </c>
      <c r="D409" s="15">
        <v>1040000</v>
      </c>
      <c r="E409" s="93">
        <v>0.97515364760000001</v>
      </c>
      <c r="F409" s="18">
        <v>1014159.79</v>
      </c>
      <c r="G409" s="15">
        <v>0</v>
      </c>
      <c r="H409" s="13"/>
      <c r="I409" s="13"/>
    </row>
    <row r="410" spans="1:10">
      <c r="A410" s="13" t="s">
        <v>915</v>
      </c>
      <c r="B410" s="139" t="s">
        <v>445</v>
      </c>
      <c r="C410" s="139" t="s">
        <v>341</v>
      </c>
      <c r="D410" s="15">
        <v>1040000</v>
      </c>
      <c r="E410" s="93">
        <v>0.99265707339999998</v>
      </c>
      <c r="F410" s="18">
        <v>1032363.36</v>
      </c>
      <c r="G410" s="15">
        <v>0</v>
      </c>
      <c r="H410" s="13"/>
      <c r="I410" s="13"/>
      <c r="J410" s="68"/>
    </row>
    <row r="411" spans="1:10">
      <c r="A411" s="13" t="s">
        <v>916</v>
      </c>
      <c r="B411" s="139" t="s">
        <v>443</v>
      </c>
      <c r="C411" s="139" t="s">
        <v>341</v>
      </c>
      <c r="D411" s="15">
        <v>1040000</v>
      </c>
      <c r="E411" s="93">
        <v>0.99672310909999995</v>
      </c>
      <c r="F411" s="18">
        <v>1036592.03</v>
      </c>
      <c r="G411" s="15">
        <v>0</v>
      </c>
      <c r="H411" s="13"/>
      <c r="I411" s="13"/>
    </row>
    <row r="412" spans="1:10">
      <c r="A412" s="13" t="s">
        <v>917</v>
      </c>
      <c r="B412" s="139" t="s">
        <v>842</v>
      </c>
      <c r="C412" s="139" t="s">
        <v>341</v>
      </c>
      <c r="D412" s="15">
        <v>1040000</v>
      </c>
      <c r="E412" s="93">
        <v>0.98303258490000001</v>
      </c>
      <c r="F412" s="18">
        <v>1022353.89</v>
      </c>
      <c r="G412" s="15">
        <v>0</v>
      </c>
      <c r="H412" s="13"/>
      <c r="I412" s="13"/>
    </row>
    <row r="413" spans="1:10">
      <c r="A413" s="13" t="s">
        <v>918</v>
      </c>
      <c r="B413" s="139" t="s">
        <v>454</v>
      </c>
      <c r="C413" s="139" t="s">
        <v>341</v>
      </c>
      <c r="D413" s="15">
        <v>1040000</v>
      </c>
      <c r="E413" s="93">
        <v>0.99346762450000003</v>
      </c>
      <c r="F413" s="18">
        <v>1033206.33</v>
      </c>
      <c r="G413" s="15">
        <v>0</v>
      </c>
      <c r="H413" s="13"/>
      <c r="I413" s="13"/>
    </row>
    <row r="414" spans="1:10">
      <c r="A414" s="13" t="s">
        <v>919</v>
      </c>
      <c r="B414" s="139" t="s">
        <v>385</v>
      </c>
      <c r="C414" s="139" t="s">
        <v>341</v>
      </c>
      <c r="D414" s="15">
        <v>1040000</v>
      </c>
      <c r="E414" s="93">
        <v>0.99103993260000001</v>
      </c>
      <c r="F414" s="18">
        <v>1030681.53</v>
      </c>
      <c r="G414" s="15">
        <v>0</v>
      </c>
      <c r="H414" s="13"/>
      <c r="I414" s="13"/>
    </row>
    <row r="415" spans="1:10">
      <c r="A415" s="13" t="s">
        <v>920</v>
      </c>
      <c r="B415" s="139" t="s">
        <v>571</v>
      </c>
      <c r="C415" s="139" t="s">
        <v>341</v>
      </c>
      <c r="D415" s="15">
        <v>1040000</v>
      </c>
      <c r="E415" s="93">
        <v>0.97515364760000001</v>
      </c>
      <c r="F415" s="18">
        <v>1014159.79</v>
      </c>
      <c r="G415" s="15">
        <v>0</v>
      </c>
      <c r="H415" s="13"/>
      <c r="I415" s="13"/>
    </row>
    <row r="416" spans="1:10">
      <c r="A416" s="13" t="s">
        <v>921</v>
      </c>
      <c r="B416" s="139" t="s">
        <v>385</v>
      </c>
      <c r="C416" s="139" t="s">
        <v>341</v>
      </c>
      <c r="D416" s="15">
        <v>5000000</v>
      </c>
      <c r="E416" s="93">
        <v>0.99133602139999999</v>
      </c>
      <c r="F416" s="18">
        <v>4956680.1100000003</v>
      </c>
      <c r="G416" s="18">
        <v>0.01</v>
      </c>
      <c r="H416" s="13"/>
      <c r="I416" s="13"/>
    </row>
    <row r="417" spans="1:9">
      <c r="A417" s="13" t="s">
        <v>922</v>
      </c>
      <c r="B417" s="139" t="s">
        <v>329</v>
      </c>
      <c r="C417" s="139" t="s">
        <v>341</v>
      </c>
      <c r="D417" s="15">
        <v>5000000</v>
      </c>
      <c r="E417" s="93">
        <v>0.99211742510000001</v>
      </c>
      <c r="F417" s="18">
        <v>4960587.13</v>
      </c>
      <c r="G417" s="18">
        <v>0.01</v>
      </c>
      <c r="H417" s="13"/>
      <c r="I417" s="13"/>
    </row>
    <row r="418" spans="1:9">
      <c r="A418" s="13" t="s">
        <v>923</v>
      </c>
      <c r="B418" s="139" t="s">
        <v>445</v>
      </c>
      <c r="C418" s="139" t="s">
        <v>341</v>
      </c>
      <c r="D418" s="15">
        <v>5000000</v>
      </c>
      <c r="E418" s="93">
        <v>0.99290009109999999</v>
      </c>
      <c r="F418" s="18">
        <v>4964500.46</v>
      </c>
      <c r="G418" s="18">
        <v>0.01</v>
      </c>
      <c r="H418" s="13"/>
      <c r="I418" s="13"/>
    </row>
    <row r="419" spans="1:9">
      <c r="A419" s="13" t="s">
        <v>924</v>
      </c>
      <c r="B419" s="139" t="s">
        <v>443</v>
      </c>
      <c r="C419" s="139" t="s">
        <v>341</v>
      </c>
      <c r="D419" s="15">
        <v>5000000</v>
      </c>
      <c r="E419" s="93">
        <v>0.99683199580000004</v>
      </c>
      <c r="F419" s="18">
        <v>4984159.9800000004</v>
      </c>
      <c r="G419" s="18">
        <v>0.01</v>
      </c>
      <c r="H419" s="13"/>
      <c r="I419" s="13"/>
    </row>
    <row r="420" spans="1:9">
      <c r="A420" s="13" t="s">
        <v>925</v>
      </c>
      <c r="B420" s="139" t="s">
        <v>606</v>
      </c>
      <c r="C420" s="139" t="s">
        <v>341</v>
      </c>
      <c r="D420" s="15">
        <v>5000000</v>
      </c>
      <c r="E420" s="154">
        <v>0.99762211499999998</v>
      </c>
      <c r="F420" s="18">
        <v>4988110.58</v>
      </c>
      <c r="G420" s="18">
        <v>0.01</v>
      </c>
      <c r="H420" s="13"/>
      <c r="I420" s="13"/>
    </row>
    <row r="421" spans="1:9">
      <c r="A421" s="13" t="s">
        <v>927</v>
      </c>
      <c r="B421" s="139" t="s">
        <v>546</v>
      </c>
      <c r="C421" s="139" t="s">
        <v>341</v>
      </c>
      <c r="D421" s="15">
        <v>5000000</v>
      </c>
      <c r="E421" s="93">
        <v>0.96356918680000003</v>
      </c>
      <c r="F421" s="18">
        <v>4817845.93</v>
      </c>
      <c r="G421" s="18">
        <v>0.01</v>
      </c>
      <c r="H421" s="13"/>
      <c r="I421" s="13"/>
    </row>
    <row r="422" spans="1:9">
      <c r="A422" s="13" t="s">
        <v>928</v>
      </c>
      <c r="B422" s="139" t="s">
        <v>424</v>
      </c>
      <c r="C422" s="139" t="s">
        <v>341</v>
      </c>
      <c r="D422" s="15">
        <v>40000000</v>
      </c>
      <c r="E422" s="93">
        <v>0.96994500319999999</v>
      </c>
      <c r="F422" s="18">
        <v>38797800.130000003</v>
      </c>
      <c r="G422" s="18">
        <v>7.0000000000000007E-2</v>
      </c>
      <c r="H422" s="13"/>
      <c r="I422" s="13"/>
    </row>
    <row r="423" spans="1:9">
      <c r="A423" s="13" t="s">
        <v>929</v>
      </c>
      <c r="B423" s="139" t="s">
        <v>798</v>
      </c>
      <c r="C423" s="139" t="s">
        <v>341</v>
      </c>
      <c r="D423" s="15">
        <v>40000000</v>
      </c>
      <c r="E423" s="93">
        <v>0.97069308259999998</v>
      </c>
      <c r="F423" s="151">
        <v>38827723.299999997</v>
      </c>
      <c r="G423" s="18">
        <v>7.0000000000000007E-2</v>
      </c>
      <c r="H423" s="13"/>
      <c r="I423" s="13"/>
    </row>
    <row r="424" spans="1:9">
      <c r="A424" s="13" t="s">
        <v>930</v>
      </c>
      <c r="B424" s="139" t="s">
        <v>575</v>
      </c>
      <c r="C424" s="139" t="s">
        <v>341</v>
      </c>
      <c r="D424" s="18">
        <v>11923076.92</v>
      </c>
      <c r="E424" s="93">
        <v>0.97294417379999998</v>
      </c>
      <c r="F424" s="18">
        <v>11600488.220000001</v>
      </c>
      <c r="G424" s="18">
        <v>0.02</v>
      </c>
      <c r="H424" s="13"/>
      <c r="I424" s="13"/>
    </row>
    <row r="425" spans="1:9">
      <c r="A425" s="13" t="s">
        <v>931</v>
      </c>
      <c r="B425" s="139" t="s">
        <v>594</v>
      </c>
      <c r="C425" s="139" t="s">
        <v>341</v>
      </c>
      <c r="D425" s="18">
        <v>11923076.92</v>
      </c>
      <c r="E425" s="93">
        <v>0.96179184279999996</v>
      </c>
      <c r="F425" s="18">
        <v>11467518.119999999</v>
      </c>
      <c r="G425" s="18">
        <v>0.02</v>
      </c>
      <c r="H425" s="13"/>
      <c r="I425" s="13"/>
    </row>
    <row r="426" spans="1:9">
      <c r="A426" s="13" t="s">
        <v>932</v>
      </c>
      <c r="B426" s="139" t="s">
        <v>505</v>
      </c>
      <c r="C426" s="139" t="s">
        <v>341</v>
      </c>
      <c r="D426" s="15">
        <v>40000000</v>
      </c>
      <c r="E426" s="93">
        <v>0.97219270749999998</v>
      </c>
      <c r="F426" s="151">
        <v>38887708.299999997</v>
      </c>
      <c r="G426" s="18">
        <v>7.0000000000000007E-2</v>
      </c>
      <c r="H426" s="13"/>
      <c r="I426" s="13"/>
    </row>
    <row r="427" spans="1:9">
      <c r="A427" s="13" t="s">
        <v>933</v>
      </c>
      <c r="B427" s="139" t="s">
        <v>443</v>
      </c>
      <c r="C427" s="139" t="s">
        <v>341</v>
      </c>
      <c r="D427" s="151">
        <v>6013017.5</v>
      </c>
      <c r="E427" s="93">
        <v>0.99672311160000004</v>
      </c>
      <c r="F427" s="18">
        <v>5993313.5099999998</v>
      </c>
      <c r="G427" s="18">
        <v>0.01</v>
      </c>
      <c r="H427" s="13"/>
      <c r="I427" s="13"/>
    </row>
    <row r="428" spans="1:9">
      <c r="A428" s="13" t="s">
        <v>934</v>
      </c>
      <c r="B428" s="139" t="s">
        <v>443</v>
      </c>
      <c r="C428" s="139" t="s">
        <v>341</v>
      </c>
      <c r="D428" s="151">
        <v>6013017.5</v>
      </c>
      <c r="E428" s="93">
        <v>0.99672311160000004</v>
      </c>
      <c r="F428" s="18">
        <v>5993313.5099999998</v>
      </c>
      <c r="G428" s="18">
        <v>0.01</v>
      </c>
      <c r="H428" s="13"/>
      <c r="I428" s="13"/>
    </row>
    <row r="429" spans="1:9">
      <c r="A429" s="13" t="s">
        <v>935</v>
      </c>
      <c r="B429" s="139" t="s">
        <v>443</v>
      </c>
      <c r="C429" s="139" t="s">
        <v>341</v>
      </c>
      <c r="D429" s="151">
        <v>6013017.5</v>
      </c>
      <c r="E429" s="93">
        <v>0.99672311160000004</v>
      </c>
      <c r="F429" s="18">
        <v>5993313.5099999998</v>
      </c>
      <c r="G429" s="18">
        <v>0.01</v>
      </c>
      <c r="H429" s="13"/>
      <c r="I429" s="13"/>
    </row>
    <row r="430" spans="1:9">
      <c r="A430" s="13" t="s">
        <v>936</v>
      </c>
      <c r="B430" s="139" t="s">
        <v>624</v>
      </c>
      <c r="C430" s="139" t="s">
        <v>341</v>
      </c>
      <c r="D430" s="15">
        <v>35000000</v>
      </c>
      <c r="E430" s="93">
        <v>0.96878652239999996</v>
      </c>
      <c r="F430" s="18">
        <v>33907528.280000001</v>
      </c>
      <c r="G430" s="18">
        <v>0.06</v>
      </c>
      <c r="H430" s="13"/>
      <c r="I430" s="13"/>
    </row>
    <row r="431" spans="1:9">
      <c r="A431" s="13" t="s">
        <v>937</v>
      </c>
      <c r="B431" s="139" t="s">
        <v>755</v>
      </c>
      <c r="C431" s="139" t="s">
        <v>341</v>
      </c>
      <c r="D431" s="15">
        <v>35000000</v>
      </c>
      <c r="E431" s="154">
        <v>0.94765812500000002</v>
      </c>
      <c r="F431" s="18">
        <v>33168034.379999999</v>
      </c>
      <c r="G431" s="18">
        <v>0.06</v>
      </c>
      <c r="H431" s="13"/>
      <c r="I431" s="13"/>
    </row>
    <row r="432" spans="1:9">
      <c r="A432" s="13" t="s">
        <v>938</v>
      </c>
      <c r="B432" s="139" t="s">
        <v>769</v>
      </c>
      <c r="C432" s="139" t="s">
        <v>341</v>
      </c>
      <c r="D432" s="15">
        <v>30000000</v>
      </c>
      <c r="E432" s="154">
        <v>0.92875323499999995</v>
      </c>
      <c r="F432" s="18">
        <v>27862597.050000001</v>
      </c>
      <c r="G432" s="18">
        <v>0.05</v>
      </c>
      <c r="H432" s="13"/>
      <c r="I432" s="13"/>
    </row>
    <row r="433" spans="1:9">
      <c r="A433" s="13" t="s">
        <v>939</v>
      </c>
      <c r="B433" s="139" t="s">
        <v>606</v>
      </c>
      <c r="C433" s="139" t="s">
        <v>341</v>
      </c>
      <c r="D433" s="15">
        <v>25000000</v>
      </c>
      <c r="E433" s="93">
        <v>0.99762211629999997</v>
      </c>
      <c r="F433" s="18">
        <v>24940552.91</v>
      </c>
      <c r="G433" s="18">
        <v>0.05</v>
      </c>
      <c r="H433" s="13"/>
      <c r="I433" s="13"/>
    </row>
    <row r="434" spans="1:9">
      <c r="A434" s="13" t="s">
        <v>940</v>
      </c>
      <c r="B434" s="139" t="s">
        <v>490</v>
      </c>
      <c r="C434" s="139" t="s">
        <v>341</v>
      </c>
      <c r="D434" s="18">
        <v>4166666.66</v>
      </c>
      <c r="E434" s="93">
        <v>0.98744726390000004</v>
      </c>
      <c r="F434" s="18">
        <v>4114363.59</v>
      </c>
      <c r="G434" s="18">
        <v>0.01</v>
      </c>
      <c r="H434" s="13"/>
      <c r="I434" s="13"/>
    </row>
    <row r="435" spans="1:9">
      <c r="A435" s="13" t="s">
        <v>941</v>
      </c>
      <c r="B435" s="139" t="s">
        <v>452</v>
      </c>
      <c r="C435" s="139" t="s">
        <v>341</v>
      </c>
      <c r="D435" s="151">
        <v>4166666.7</v>
      </c>
      <c r="E435" s="93">
        <v>0.99841348139999997</v>
      </c>
      <c r="F435" s="18">
        <v>4160056.21</v>
      </c>
      <c r="G435" s="18">
        <v>0.01</v>
      </c>
      <c r="H435" s="13"/>
      <c r="I435" s="13"/>
    </row>
    <row r="436" spans="1:9">
      <c r="A436" s="13" t="s">
        <v>942</v>
      </c>
      <c r="B436" s="139" t="s">
        <v>452</v>
      </c>
      <c r="C436" s="139" t="s">
        <v>341</v>
      </c>
      <c r="D436" s="15">
        <v>10000000</v>
      </c>
      <c r="E436" s="93">
        <v>0.9984134818</v>
      </c>
      <c r="F436" s="18">
        <v>9984134.8200000003</v>
      </c>
      <c r="G436" s="18">
        <v>0.02</v>
      </c>
      <c r="H436" s="13"/>
      <c r="I436" s="13"/>
    </row>
    <row r="437" spans="1:9">
      <c r="A437" s="13" t="s">
        <v>943</v>
      </c>
      <c r="B437" s="139" t="s">
        <v>606</v>
      </c>
      <c r="C437" s="139" t="s">
        <v>341</v>
      </c>
      <c r="D437" s="15">
        <v>10000000</v>
      </c>
      <c r="E437" s="154">
        <v>0.99762211599999995</v>
      </c>
      <c r="F437" s="18">
        <v>9976221.1600000001</v>
      </c>
      <c r="G437" s="18">
        <v>0.02</v>
      </c>
      <c r="H437" s="13"/>
      <c r="I437" s="13"/>
    </row>
    <row r="438" spans="1:9">
      <c r="A438" s="13" t="s">
        <v>944</v>
      </c>
      <c r="B438" s="139" t="s">
        <v>546</v>
      </c>
      <c r="C438" s="139" t="s">
        <v>341</v>
      </c>
      <c r="D438" s="15">
        <v>10000000</v>
      </c>
      <c r="E438" s="93">
        <v>0.9647407294</v>
      </c>
      <c r="F438" s="18">
        <v>9647407.2899999991</v>
      </c>
      <c r="G438" s="18">
        <v>0.02</v>
      </c>
      <c r="H438" s="13"/>
      <c r="I438" s="13"/>
    </row>
    <row r="439" spans="1:9">
      <c r="A439" s="13" t="s">
        <v>945</v>
      </c>
      <c r="B439" s="139" t="s">
        <v>594</v>
      </c>
      <c r="C439" s="139" t="s">
        <v>341</v>
      </c>
      <c r="D439" s="15">
        <v>10000000</v>
      </c>
      <c r="E439" s="93">
        <v>0.96179184279999996</v>
      </c>
      <c r="F439" s="18">
        <v>9617918.4299999997</v>
      </c>
      <c r="G439" s="18">
        <v>0.02</v>
      </c>
      <c r="H439" s="13"/>
      <c r="I439" s="13"/>
    </row>
    <row r="440" spans="1:9">
      <c r="A440" s="13" t="s">
        <v>946</v>
      </c>
      <c r="B440" s="139" t="s">
        <v>813</v>
      </c>
      <c r="C440" s="139" t="s">
        <v>341</v>
      </c>
      <c r="D440" s="15">
        <v>10000000</v>
      </c>
      <c r="E440" s="93">
        <v>0.96105751289999997</v>
      </c>
      <c r="F440" s="18">
        <v>9610575.1300000008</v>
      </c>
      <c r="G440" s="18">
        <v>0.02</v>
      </c>
      <c r="H440" s="13"/>
      <c r="I440" s="13"/>
    </row>
    <row r="441" spans="1:9">
      <c r="A441" s="13" t="s">
        <v>947</v>
      </c>
      <c r="B441" s="139" t="s">
        <v>694</v>
      </c>
      <c r="C441" s="139" t="s">
        <v>341</v>
      </c>
      <c r="D441" s="15">
        <v>10000000</v>
      </c>
      <c r="E441" s="154">
        <v>0.97750403600000002</v>
      </c>
      <c r="F441" s="18">
        <v>9775040.3599999994</v>
      </c>
      <c r="G441" s="18">
        <v>0.02</v>
      </c>
      <c r="H441" s="13"/>
      <c r="I441" s="13"/>
    </row>
    <row r="442" spans="1:9">
      <c r="A442" s="13" t="s">
        <v>948</v>
      </c>
      <c r="B442" s="139" t="s">
        <v>624</v>
      </c>
      <c r="C442" s="139" t="s">
        <v>341</v>
      </c>
      <c r="D442" s="15">
        <v>10000000</v>
      </c>
      <c r="E442" s="93">
        <v>0.96128525809999998</v>
      </c>
      <c r="F442" s="18">
        <v>9612852.5800000001</v>
      </c>
      <c r="G442" s="18">
        <v>0.02</v>
      </c>
      <c r="H442" s="13"/>
      <c r="I442" s="13"/>
    </row>
    <row r="443" spans="1:9">
      <c r="A443" s="13" t="s">
        <v>949</v>
      </c>
      <c r="B443" s="139" t="s">
        <v>452</v>
      </c>
      <c r="C443" s="139" t="s">
        <v>341</v>
      </c>
      <c r="D443" s="15">
        <v>1809446</v>
      </c>
      <c r="E443" s="93">
        <v>0.99824964449999998</v>
      </c>
      <c r="F443" s="18">
        <v>1806278.83</v>
      </c>
      <c r="G443" s="15">
        <v>0</v>
      </c>
      <c r="H443" s="13"/>
      <c r="I443" s="13"/>
    </row>
    <row r="444" spans="1:9">
      <c r="A444" s="13" t="s">
        <v>951</v>
      </c>
      <c r="B444" s="139" t="s">
        <v>769</v>
      </c>
      <c r="C444" s="139" t="s">
        <v>359</v>
      </c>
      <c r="D444" s="15">
        <v>100000000</v>
      </c>
      <c r="E444" s="93">
        <v>0.92875324920000002</v>
      </c>
      <c r="F444" s="18">
        <v>92875324.920000002</v>
      </c>
      <c r="G444" s="18">
        <v>0.18</v>
      </c>
      <c r="H444" s="13"/>
      <c r="I444" s="13"/>
    </row>
    <row r="445" spans="1:9">
      <c r="A445" s="13" t="s">
        <v>952</v>
      </c>
      <c r="B445" s="139" t="s">
        <v>616</v>
      </c>
      <c r="C445" s="139" t="s">
        <v>359</v>
      </c>
      <c r="D445" s="15">
        <v>6500000</v>
      </c>
      <c r="E445" s="93">
        <v>0.98712679719999996</v>
      </c>
      <c r="F445" s="18">
        <v>6416324.1799999997</v>
      </c>
      <c r="G445" s="18">
        <v>0.01</v>
      </c>
      <c r="H445" s="13"/>
      <c r="I445" s="13"/>
    </row>
    <row r="446" spans="1:9">
      <c r="A446" s="13" t="s">
        <v>953</v>
      </c>
      <c r="B446" s="139" t="s">
        <v>533</v>
      </c>
      <c r="C446" s="139" t="s">
        <v>359</v>
      </c>
      <c r="D446" s="15">
        <v>7000000</v>
      </c>
      <c r="E446" s="93">
        <v>0.98266210779999996</v>
      </c>
      <c r="F446" s="18">
        <v>6878634.75</v>
      </c>
      <c r="G446" s="18">
        <v>0.01</v>
      </c>
      <c r="H446" s="13"/>
      <c r="I446" s="13"/>
    </row>
    <row r="447" spans="1:9">
      <c r="A447" s="13" t="s">
        <v>954</v>
      </c>
      <c r="B447" s="139" t="s">
        <v>694</v>
      </c>
      <c r="C447" s="139" t="s">
        <v>359</v>
      </c>
      <c r="D447" s="15">
        <v>7000000</v>
      </c>
      <c r="E447" s="93">
        <v>0.98192189760000004</v>
      </c>
      <c r="F447" s="18">
        <v>6873453.2800000003</v>
      </c>
      <c r="G447" s="18">
        <v>0.01</v>
      </c>
      <c r="H447" s="13"/>
      <c r="I447" s="13"/>
    </row>
    <row r="448" spans="1:9">
      <c r="A448" s="13" t="s">
        <v>955</v>
      </c>
      <c r="B448" s="139" t="s">
        <v>571</v>
      </c>
      <c r="C448" s="139" t="s">
        <v>359</v>
      </c>
      <c r="D448" s="15">
        <v>5000000</v>
      </c>
      <c r="E448" s="153">
        <v>0.97677159999999996</v>
      </c>
      <c r="F448" s="15">
        <v>4883858</v>
      </c>
      <c r="G448" s="18">
        <v>0.01</v>
      </c>
      <c r="H448" s="13"/>
      <c r="I448" s="13"/>
    </row>
    <row r="449" spans="1:9">
      <c r="A449" s="13" t="s">
        <v>956</v>
      </c>
      <c r="B449" s="139" t="s">
        <v>490</v>
      </c>
      <c r="C449" s="139" t="s">
        <v>359</v>
      </c>
      <c r="D449" s="15">
        <v>6500000</v>
      </c>
      <c r="E449" s="93">
        <v>0.98787487470000002</v>
      </c>
      <c r="F449" s="18">
        <v>6421186.6900000004</v>
      </c>
      <c r="G449" s="18">
        <v>0.01</v>
      </c>
      <c r="H449" s="13"/>
      <c r="I449" s="13"/>
    </row>
    <row r="450" spans="1:9">
      <c r="A450" s="13" t="s">
        <v>957</v>
      </c>
      <c r="B450" s="139" t="s">
        <v>452</v>
      </c>
      <c r="C450" s="139" t="s">
        <v>359</v>
      </c>
      <c r="D450" s="15">
        <v>6500000</v>
      </c>
      <c r="E450" s="93">
        <v>0.9984681071</v>
      </c>
      <c r="F450" s="151">
        <v>6490042.7000000002</v>
      </c>
      <c r="G450" s="18">
        <v>0.01</v>
      </c>
      <c r="H450" s="13"/>
      <c r="I450" s="13"/>
    </row>
    <row r="451" spans="1:9">
      <c r="A451" s="13" t="s">
        <v>958</v>
      </c>
      <c r="B451" s="139" t="s">
        <v>606</v>
      </c>
      <c r="C451" s="139" t="s">
        <v>359</v>
      </c>
      <c r="D451" s="15">
        <v>6500000</v>
      </c>
      <c r="E451" s="93">
        <v>0.99770391469999997</v>
      </c>
      <c r="F451" s="18">
        <v>6485075.4500000002</v>
      </c>
      <c r="G451" s="18">
        <v>0.01</v>
      </c>
      <c r="H451" s="13"/>
      <c r="I451" s="13"/>
    </row>
    <row r="452" spans="1:9">
      <c r="A452" s="13" t="s">
        <v>959</v>
      </c>
      <c r="B452" s="139" t="s">
        <v>604</v>
      </c>
      <c r="C452" s="139" t="s">
        <v>359</v>
      </c>
      <c r="D452" s="15">
        <v>5000000</v>
      </c>
      <c r="E452" s="93">
        <v>0.97239989849999997</v>
      </c>
      <c r="F452" s="18">
        <v>4861999.49</v>
      </c>
      <c r="G452" s="18">
        <v>0.01</v>
      </c>
      <c r="H452" s="13"/>
      <c r="I452" s="13"/>
    </row>
    <row r="453" spans="1:9">
      <c r="A453" s="13" t="s">
        <v>960</v>
      </c>
      <c r="B453" s="139" t="s">
        <v>798</v>
      </c>
      <c r="C453" s="139" t="s">
        <v>359</v>
      </c>
      <c r="D453" s="15">
        <v>5000000</v>
      </c>
      <c r="E453" s="93">
        <v>0.97167504829999995</v>
      </c>
      <c r="F453" s="18">
        <v>4858375.24</v>
      </c>
      <c r="G453" s="18">
        <v>0.01</v>
      </c>
      <c r="H453" s="13"/>
      <c r="I453" s="13"/>
    </row>
    <row r="454" spans="1:9">
      <c r="A454" s="13" t="s">
        <v>961</v>
      </c>
      <c r="B454" s="139" t="s">
        <v>445</v>
      </c>
      <c r="C454" s="139" t="s">
        <v>359</v>
      </c>
      <c r="D454" s="15">
        <v>6500000</v>
      </c>
      <c r="E454" s="93">
        <v>0.99314324490000006</v>
      </c>
      <c r="F454" s="18">
        <v>6455431.0899999999</v>
      </c>
      <c r="G454" s="18">
        <v>0.01</v>
      </c>
      <c r="H454" s="13"/>
      <c r="I454" s="13"/>
    </row>
    <row r="455" spans="1:9">
      <c r="A455" s="13" t="s">
        <v>962</v>
      </c>
      <c r="B455" s="139" t="s">
        <v>329</v>
      </c>
      <c r="C455" s="139" t="s">
        <v>359</v>
      </c>
      <c r="D455" s="15">
        <v>6500000</v>
      </c>
      <c r="E455" s="93">
        <v>0.99238717259999998</v>
      </c>
      <c r="F455" s="18">
        <v>6450516.6200000001</v>
      </c>
      <c r="G455" s="18">
        <v>0.01</v>
      </c>
      <c r="H455" s="13"/>
      <c r="I455" s="13"/>
    </row>
    <row r="456" spans="1:9">
      <c r="A456" s="13" t="s">
        <v>963</v>
      </c>
      <c r="B456" s="139" t="s">
        <v>571</v>
      </c>
      <c r="C456" s="139" t="s">
        <v>359</v>
      </c>
      <c r="D456" s="15">
        <v>5000000</v>
      </c>
      <c r="E456" s="153">
        <v>0.97677159999999996</v>
      </c>
      <c r="F456" s="15">
        <v>4883858</v>
      </c>
      <c r="G456" s="18">
        <v>0.01</v>
      </c>
      <c r="H456" s="13"/>
      <c r="I456" s="13"/>
    </row>
    <row r="457" spans="1:9">
      <c r="A457" s="13" t="s">
        <v>964</v>
      </c>
      <c r="B457" s="139" t="s">
        <v>426</v>
      </c>
      <c r="C457" s="139" t="s">
        <v>359</v>
      </c>
      <c r="D457" s="15">
        <v>8000000</v>
      </c>
      <c r="E457" s="93">
        <v>0.98542121849999997</v>
      </c>
      <c r="F457" s="18">
        <v>7883369.75</v>
      </c>
      <c r="G457" s="18">
        <v>0.02</v>
      </c>
      <c r="H457" s="13"/>
      <c r="I457" s="13"/>
    </row>
    <row r="458" spans="1:9">
      <c r="A458" s="13" t="s">
        <v>965</v>
      </c>
      <c r="B458" s="139" t="s">
        <v>192</v>
      </c>
      <c r="C458" s="139" t="s">
        <v>359</v>
      </c>
      <c r="D458" s="151">
        <v>27789080.199999999</v>
      </c>
      <c r="E458" s="93">
        <v>0.98902591139999996</v>
      </c>
      <c r="F458" s="18">
        <v>27484120.370000001</v>
      </c>
      <c r="G458" s="18">
        <v>0.05</v>
      </c>
      <c r="H458" s="13"/>
      <c r="I458" s="13"/>
    </row>
    <row r="459" spans="1:9">
      <c r="A459" s="13" t="s">
        <v>966</v>
      </c>
      <c r="B459" s="139" t="s">
        <v>533</v>
      </c>
      <c r="C459" s="139" t="s">
        <v>359</v>
      </c>
      <c r="D459" s="15">
        <v>16800000</v>
      </c>
      <c r="E459" s="93">
        <v>0.98144666550000004</v>
      </c>
      <c r="F459" s="18">
        <v>16488303.98</v>
      </c>
      <c r="G459" s="18">
        <v>0.03</v>
      </c>
      <c r="H459" s="13"/>
      <c r="I459" s="13"/>
    </row>
    <row r="460" spans="1:9">
      <c r="A460" s="13" t="s">
        <v>967</v>
      </c>
      <c r="B460" s="139" t="s">
        <v>168</v>
      </c>
      <c r="C460" s="139" t="s">
        <v>359</v>
      </c>
      <c r="D460" s="15">
        <v>10250000</v>
      </c>
      <c r="E460" s="93">
        <v>0.99917875950000001</v>
      </c>
      <c r="F460" s="18">
        <v>10241582.279999999</v>
      </c>
      <c r="G460" s="18">
        <v>0.02</v>
      </c>
      <c r="H460" s="13"/>
      <c r="I460" s="13"/>
    </row>
    <row r="461" spans="1:9">
      <c r="A461" s="13" t="s">
        <v>968</v>
      </c>
      <c r="B461" s="139" t="s">
        <v>488</v>
      </c>
      <c r="C461" s="139" t="s">
        <v>359</v>
      </c>
      <c r="D461" s="15">
        <v>50000000</v>
      </c>
      <c r="E461" s="93">
        <v>0.96509791830000002</v>
      </c>
      <c r="F461" s="18">
        <v>48254895.920000002</v>
      </c>
      <c r="G461" s="18">
        <v>0.09</v>
      </c>
      <c r="H461" s="13"/>
      <c r="I461" s="13"/>
    </row>
    <row r="462" spans="1:9">
      <c r="A462" s="13" t="s">
        <v>969</v>
      </c>
      <c r="B462" s="139" t="s">
        <v>488</v>
      </c>
      <c r="C462" s="139" t="s">
        <v>359</v>
      </c>
      <c r="D462" s="15">
        <v>50000000</v>
      </c>
      <c r="E462" s="93">
        <v>0.96509791830000002</v>
      </c>
      <c r="F462" s="18">
        <v>48254895.920000002</v>
      </c>
      <c r="G462" s="18">
        <v>0.09</v>
      </c>
      <c r="H462" s="13"/>
      <c r="I462" s="13"/>
    </row>
    <row r="463" spans="1:9">
      <c r="A463" s="13" t="s">
        <v>979</v>
      </c>
      <c r="B463" s="139" t="s">
        <v>842</v>
      </c>
      <c r="C463" s="139" t="s">
        <v>326</v>
      </c>
      <c r="D463" s="15">
        <v>10000000</v>
      </c>
      <c r="E463" s="93">
        <v>0.9830326143</v>
      </c>
      <c r="F463" s="18">
        <v>9830326.1400000006</v>
      </c>
      <c r="G463" s="18">
        <v>0.02</v>
      </c>
      <c r="H463" s="13"/>
      <c r="I463" s="13"/>
    </row>
    <row r="464" spans="1:9">
      <c r="A464" s="13" t="s">
        <v>974</v>
      </c>
      <c r="B464" s="139" t="s">
        <v>557</v>
      </c>
      <c r="C464" s="139" t="s">
        <v>326</v>
      </c>
      <c r="D464" s="15">
        <v>10000000</v>
      </c>
      <c r="E464" s="93">
        <v>0.95740219339999999</v>
      </c>
      <c r="F464" s="18">
        <v>9574021.9299999997</v>
      </c>
      <c r="G464" s="18">
        <v>0.02</v>
      </c>
      <c r="H464" s="13"/>
      <c r="I464" s="13"/>
    </row>
    <row r="465" spans="1:9">
      <c r="A465" s="13" t="s">
        <v>975</v>
      </c>
      <c r="B465" s="139" t="s">
        <v>677</v>
      </c>
      <c r="C465" s="139" t="s">
        <v>326</v>
      </c>
      <c r="D465" s="15">
        <v>10000000</v>
      </c>
      <c r="E465" s="93">
        <v>0.95250526280000003</v>
      </c>
      <c r="F465" s="18">
        <v>9525052.6300000008</v>
      </c>
      <c r="G465" s="18">
        <v>0.02</v>
      </c>
      <c r="H465" s="13"/>
      <c r="I465" s="13"/>
    </row>
    <row r="466" spans="1:9">
      <c r="A466" s="13" t="s">
        <v>976</v>
      </c>
      <c r="B466" s="139" t="s">
        <v>755</v>
      </c>
      <c r="C466" s="139" t="s">
        <v>326</v>
      </c>
      <c r="D466" s="15">
        <v>10000000</v>
      </c>
      <c r="E466" s="93">
        <v>0.9458899704</v>
      </c>
      <c r="F466" s="151">
        <v>9458899.6999999993</v>
      </c>
      <c r="G466" s="18">
        <v>0.02</v>
      </c>
      <c r="H466" s="13"/>
      <c r="I466" s="13"/>
    </row>
    <row r="467" spans="1:9">
      <c r="A467" s="13" t="s">
        <v>977</v>
      </c>
      <c r="B467" s="139" t="s">
        <v>681</v>
      </c>
      <c r="C467" s="139" t="s">
        <v>326</v>
      </c>
      <c r="D467" s="15">
        <v>10000000</v>
      </c>
      <c r="E467" s="93">
        <v>0.94447043610000003</v>
      </c>
      <c r="F467" s="18">
        <v>9444704.3599999994</v>
      </c>
      <c r="G467" s="18">
        <v>0.02</v>
      </c>
      <c r="H467" s="13"/>
      <c r="I467" s="13"/>
    </row>
    <row r="468" spans="1:9">
      <c r="A468" s="13" t="s">
        <v>972</v>
      </c>
      <c r="B468" s="139" t="s">
        <v>168</v>
      </c>
      <c r="C468" s="139" t="s">
        <v>326</v>
      </c>
      <c r="D468" s="15">
        <v>5000000</v>
      </c>
      <c r="E468" s="93">
        <v>0.99898733230000003</v>
      </c>
      <c r="F468" s="18">
        <v>4994936.66</v>
      </c>
      <c r="G468" s="18">
        <v>0.01</v>
      </c>
      <c r="H468" s="13"/>
      <c r="I468" s="13"/>
    </row>
    <row r="469" spans="1:9">
      <c r="A469" s="13" t="s">
        <v>978</v>
      </c>
      <c r="B469" s="139" t="s">
        <v>490</v>
      </c>
      <c r="C469" s="139" t="s">
        <v>326</v>
      </c>
      <c r="D469" s="15">
        <v>15000000</v>
      </c>
      <c r="E469" s="93">
        <v>0.98702005140000004</v>
      </c>
      <c r="F469" s="18">
        <v>14805300.77</v>
      </c>
      <c r="G469" s="18">
        <v>0.03</v>
      </c>
      <c r="H469" s="13"/>
      <c r="I469" s="13"/>
    </row>
    <row r="470" spans="1:9">
      <c r="A470" s="13" t="s">
        <v>982</v>
      </c>
      <c r="B470" s="139" t="s">
        <v>594</v>
      </c>
      <c r="C470" s="139" t="s">
        <v>326</v>
      </c>
      <c r="D470" s="15">
        <v>60000000</v>
      </c>
      <c r="E470" s="93">
        <v>0.96052636889999998</v>
      </c>
      <c r="F470" s="18">
        <v>57631582.130000003</v>
      </c>
      <c r="G470" s="18">
        <v>0.11</v>
      </c>
      <c r="H470" s="13"/>
      <c r="I470" s="13"/>
    </row>
    <row r="471" spans="1:9">
      <c r="A471" s="13" t="s">
        <v>983</v>
      </c>
      <c r="B471" s="139" t="s">
        <v>188</v>
      </c>
      <c r="C471" s="139" t="s">
        <v>326</v>
      </c>
      <c r="D471" s="15">
        <v>60000000</v>
      </c>
      <c r="E471" s="93">
        <v>0.97593590640000005</v>
      </c>
      <c r="F471" s="18">
        <v>58556154.380000003</v>
      </c>
      <c r="G471" s="18">
        <v>0.11</v>
      </c>
      <c r="H471" s="13"/>
      <c r="I471" s="13"/>
    </row>
    <row r="472" spans="1:9">
      <c r="A472" s="13" t="s">
        <v>984</v>
      </c>
      <c r="B472" s="139" t="s">
        <v>426</v>
      </c>
      <c r="C472" s="139" t="s">
        <v>326</v>
      </c>
      <c r="D472" s="15">
        <v>10000000</v>
      </c>
      <c r="E472" s="93">
        <v>0.98542118069999995</v>
      </c>
      <c r="F472" s="18">
        <v>9854211.8100000005</v>
      </c>
      <c r="G472" s="18">
        <v>0.02</v>
      </c>
      <c r="H472" s="13"/>
      <c r="I472" s="13"/>
    </row>
    <row r="473" spans="1:9">
      <c r="A473" s="13" t="s">
        <v>980</v>
      </c>
      <c r="B473" s="139" t="s">
        <v>606</v>
      </c>
      <c r="C473" s="139" t="s">
        <v>326</v>
      </c>
      <c r="D473" s="15">
        <v>50000000</v>
      </c>
      <c r="E473" s="93">
        <v>0.99770391810000003</v>
      </c>
      <c r="F473" s="18">
        <v>49885195.909999996</v>
      </c>
      <c r="G473" s="151">
        <v>0.1</v>
      </c>
      <c r="H473" s="13"/>
      <c r="I473" s="13"/>
    </row>
    <row r="474" spans="1:9">
      <c r="A474" s="13" t="s">
        <v>981</v>
      </c>
      <c r="B474" s="139" t="s">
        <v>192</v>
      </c>
      <c r="C474" s="139" t="s">
        <v>326</v>
      </c>
      <c r="D474" s="15">
        <v>50000000</v>
      </c>
      <c r="E474" s="93">
        <v>0.98862405519999996</v>
      </c>
      <c r="F474" s="18">
        <v>49431202.759999998</v>
      </c>
      <c r="G474" s="18">
        <v>0.09</v>
      </c>
      <c r="H474" s="13"/>
      <c r="I474" s="13"/>
    </row>
    <row r="475" spans="1:9">
      <c r="A475" s="13" t="s">
        <v>973</v>
      </c>
      <c r="B475" s="139" t="s">
        <v>842</v>
      </c>
      <c r="C475" s="139" t="s">
        <v>326</v>
      </c>
      <c r="D475" s="15">
        <v>50000000</v>
      </c>
      <c r="E475" s="154">
        <v>0.98192190499999998</v>
      </c>
      <c r="F475" s="18">
        <v>49096095.25</v>
      </c>
      <c r="G475" s="18">
        <v>0.09</v>
      </c>
      <c r="H475" s="13"/>
      <c r="I475" s="13"/>
    </row>
    <row r="476" spans="1:9">
      <c r="A476" s="13" t="s">
        <v>986</v>
      </c>
      <c r="B476" s="139" t="s">
        <v>571</v>
      </c>
      <c r="C476" s="139" t="s">
        <v>342</v>
      </c>
      <c r="D476" s="18">
        <v>17969542.75</v>
      </c>
      <c r="E476" s="153">
        <v>0.97515370000000001</v>
      </c>
      <c r="F476" s="151">
        <v>17523066.100000001</v>
      </c>
      <c r="G476" s="18">
        <v>0.03</v>
      </c>
      <c r="H476" s="13"/>
      <c r="I476" s="13"/>
    </row>
    <row r="477" spans="1:9">
      <c r="A477" s="13" t="s">
        <v>987</v>
      </c>
      <c r="B477" s="139" t="s">
        <v>490</v>
      </c>
      <c r="C477" s="139" t="s">
        <v>342</v>
      </c>
      <c r="D477" s="18">
        <v>6060681.79</v>
      </c>
      <c r="E477" s="93">
        <v>0.98830282810000003</v>
      </c>
      <c r="F477" s="18">
        <v>5989788.9500000002</v>
      </c>
      <c r="G477" s="18">
        <v>0.01</v>
      </c>
      <c r="H477" s="13"/>
      <c r="I477" s="13"/>
    </row>
    <row r="478" spans="1:9">
      <c r="A478" s="13" t="s">
        <v>991</v>
      </c>
      <c r="B478" s="139" t="s">
        <v>571</v>
      </c>
      <c r="C478" s="139" t="s">
        <v>429</v>
      </c>
      <c r="D478" s="15">
        <v>13500000</v>
      </c>
      <c r="E478" s="93">
        <v>0.9751536395</v>
      </c>
      <c r="F478" s="18">
        <v>13164574.130000001</v>
      </c>
      <c r="G478" s="18">
        <v>0.03</v>
      </c>
      <c r="H478" s="13"/>
      <c r="I478" s="13"/>
    </row>
    <row r="479" spans="1:9">
      <c r="A479" s="13" t="s">
        <v>992</v>
      </c>
      <c r="B479" s="139" t="s">
        <v>813</v>
      </c>
      <c r="C479" s="139" t="s">
        <v>361</v>
      </c>
      <c r="D479" s="15">
        <v>25000000</v>
      </c>
      <c r="E479" s="93">
        <v>0.95720130459999997</v>
      </c>
      <c r="F479" s="18">
        <v>23930032.620000001</v>
      </c>
      <c r="G479" s="18">
        <v>0.05</v>
      </c>
      <c r="H479" s="13"/>
      <c r="I479" s="13"/>
    </row>
    <row r="480" spans="1:9">
      <c r="A480" s="13" t="s">
        <v>998</v>
      </c>
      <c r="B480" s="139" t="s">
        <v>999</v>
      </c>
      <c r="C480" s="139" t="s">
        <v>357</v>
      </c>
      <c r="D480" s="18">
        <v>11923076.92</v>
      </c>
      <c r="E480" s="93">
        <v>0.91847009030000004</v>
      </c>
      <c r="F480" s="18">
        <v>10950989.539999999</v>
      </c>
      <c r="G480" s="18">
        <v>0.02</v>
      </c>
      <c r="H480" s="13"/>
      <c r="I480" s="13"/>
    </row>
    <row r="481" spans="1:9">
      <c r="A481" s="13" t="s">
        <v>1000</v>
      </c>
      <c r="B481" s="139" t="s">
        <v>722</v>
      </c>
      <c r="C481" s="139" t="s">
        <v>357</v>
      </c>
      <c r="D481" s="18">
        <v>11923076.92</v>
      </c>
      <c r="E481" s="93">
        <v>0.92898961540000002</v>
      </c>
      <c r="F481" s="18">
        <v>11076414.640000001</v>
      </c>
      <c r="G481" s="18">
        <v>0.02</v>
      </c>
      <c r="H481" s="13"/>
      <c r="I481" s="13"/>
    </row>
    <row r="482" spans="1:9">
      <c r="A482" s="13" t="s">
        <v>1001</v>
      </c>
      <c r="B482" s="139" t="s">
        <v>533</v>
      </c>
      <c r="C482" s="139" t="s">
        <v>357</v>
      </c>
      <c r="D482" s="15">
        <v>10000000</v>
      </c>
      <c r="E482" s="93">
        <v>0.98144666250000001</v>
      </c>
      <c r="F482" s="18">
        <v>9814466.6300000008</v>
      </c>
      <c r="G482" s="18">
        <v>0.02</v>
      </c>
      <c r="H482" s="13"/>
      <c r="I482" s="13"/>
    </row>
    <row r="483" spans="1:9">
      <c r="A483" s="13" t="s">
        <v>1002</v>
      </c>
      <c r="B483" s="139" t="s">
        <v>688</v>
      </c>
      <c r="C483" s="139" t="s">
        <v>357</v>
      </c>
      <c r="D483" s="15">
        <v>10000000</v>
      </c>
      <c r="E483" s="154">
        <v>0.95901215299999998</v>
      </c>
      <c r="F483" s="18">
        <v>9590121.5299999993</v>
      </c>
      <c r="G483" s="18">
        <v>0.02</v>
      </c>
      <c r="H483" s="13"/>
      <c r="I483" s="13"/>
    </row>
    <row r="484" spans="1:9">
      <c r="A484" s="13" t="s">
        <v>1004</v>
      </c>
      <c r="B484" s="139" t="s">
        <v>563</v>
      </c>
      <c r="C484" s="139" t="s">
        <v>349</v>
      </c>
      <c r="D484" s="15">
        <v>150000000</v>
      </c>
      <c r="E484" s="93">
        <v>0.95954157640000004</v>
      </c>
      <c r="F484" s="18">
        <v>143931236.46000001</v>
      </c>
      <c r="G484" s="18">
        <v>0.27</v>
      </c>
      <c r="H484" s="13"/>
      <c r="I484" s="13"/>
    </row>
    <row r="485" spans="1:9">
      <c r="A485" s="13" t="s">
        <v>1005</v>
      </c>
      <c r="B485" s="139" t="s">
        <v>694</v>
      </c>
      <c r="C485" s="139" t="s">
        <v>349</v>
      </c>
      <c r="D485" s="15">
        <v>150000000</v>
      </c>
      <c r="E485" s="93">
        <v>0.98255629639999997</v>
      </c>
      <c r="F485" s="18">
        <v>147383444.46000001</v>
      </c>
      <c r="G485" s="18">
        <v>0.28000000000000003</v>
      </c>
      <c r="H485" s="13"/>
      <c r="I485" s="13"/>
    </row>
    <row r="486" spans="1:9">
      <c r="A486" s="13" t="s">
        <v>1006</v>
      </c>
      <c r="B486" s="139" t="s">
        <v>594</v>
      </c>
      <c r="C486" s="139" t="s">
        <v>349</v>
      </c>
      <c r="D486" s="15">
        <v>12166667</v>
      </c>
      <c r="E486" s="93">
        <v>0.94805200840000003</v>
      </c>
      <c r="F486" s="18">
        <v>11534633.08</v>
      </c>
      <c r="G486" s="18">
        <v>0.02</v>
      </c>
      <c r="H486" s="13"/>
      <c r="I486" s="13"/>
    </row>
    <row r="487" spans="1:9">
      <c r="A487" s="13" t="s">
        <v>1007</v>
      </c>
      <c r="B487" s="139" t="s">
        <v>813</v>
      </c>
      <c r="C487" s="139" t="s">
        <v>349</v>
      </c>
      <c r="D487" s="15">
        <v>15166667</v>
      </c>
      <c r="E487" s="93">
        <v>0.94706800010000003</v>
      </c>
      <c r="F487" s="18">
        <v>14363864.98</v>
      </c>
      <c r="G487" s="18">
        <v>0.03</v>
      </c>
      <c r="H487" s="13"/>
      <c r="I487" s="13"/>
    </row>
    <row r="488" spans="1:9">
      <c r="A488" s="13" t="s">
        <v>1008</v>
      </c>
      <c r="B488" s="139" t="s">
        <v>559</v>
      </c>
      <c r="C488" s="139" t="s">
        <v>349</v>
      </c>
      <c r="D488" s="15">
        <v>12166667</v>
      </c>
      <c r="E488" s="93">
        <v>0.95300272070000003</v>
      </c>
      <c r="F488" s="18">
        <v>11594866.75</v>
      </c>
      <c r="G488" s="18">
        <v>0.02</v>
      </c>
      <c r="H488" s="13"/>
      <c r="I488" s="13"/>
    </row>
    <row r="489" spans="1:9">
      <c r="A489" s="13" t="s">
        <v>1009</v>
      </c>
      <c r="B489" s="139" t="s">
        <v>546</v>
      </c>
      <c r="C489" s="139" t="s">
        <v>349</v>
      </c>
      <c r="D489" s="15">
        <v>15166667</v>
      </c>
      <c r="E489" s="93">
        <v>0.95200841830000005</v>
      </c>
      <c r="F489" s="18">
        <v>14438794.66</v>
      </c>
      <c r="G489" s="18">
        <v>0.03</v>
      </c>
      <c r="H489" s="13"/>
      <c r="I489" s="13"/>
    </row>
    <row r="490" spans="1:9">
      <c r="A490" s="13" t="s">
        <v>1010</v>
      </c>
      <c r="B490" s="139" t="s">
        <v>604</v>
      </c>
      <c r="C490" s="139" t="s">
        <v>349</v>
      </c>
      <c r="D490" s="15">
        <v>10000000</v>
      </c>
      <c r="E490" s="93">
        <v>0.97048666719999999</v>
      </c>
      <c r="F490" s="18">
        <v>9704866.6699999999</v>
      </c>
      <c r="G490" s="18">
        <v>0.02</v>
      </c>
      <c r="H490" s="13"/>
      <c r="I490" s="13"/>
    </row>
    <row r="491" spans="1:9">
      <c r="A491" s="13" t="s">
        <v>1011</v>
      </c>
      <c r="B491" s="139" t="s">
        <v>449</v>
      </c>
      <c r="C491" s="139" t="s">
        <v>349</v>
      </c>
      <c r="D491" s="15">
        <v>10000000</v>
      </c>
      <c r="E491" s="93">
        <v>0.99427949260000004</v>
      </c>
      <c r="F491" s="18">
        <v>9942794.9299999997</v>
      </c>
      <c r="G491" s="18">
        <v>0.02</v>
      </c>
      <c r="H491" s="13"/>
      <c r="I491" s="13"/>
    </row>
    <row r="492" spans="1:9">
      <c r="A492" s="13" t="s">
        <v>1012</v>
      </c>
      <c r="B492" s="139" t="s">
        <v>571</v>
      </c>
      <c r="C492" s="139" t="s">
        <v>349</v>
      </c>
      <c r="D492" s="15">
        <v>10000000</v>
      </c>
      <c r="E492" s="93">
        <v>0.97515367340000003</v>
      </c>
      <c r="F492" s="18">
        <v>9751536.7300000004</v>
      </c>
      <c r="G492" s="18">
        <v>0.02</v>
      </c>
      <c r="H492" s="13"/>
      <c r="I492" s="13"/>
    </row>
    <row r="493" spans="1:9">
      <c r="A493" s="13" t="s">
        <v>1013</v>
      </c>
      <c r="B493" s="139" t="s">
        <v>443</v>
      </c>
      <c r="C493" s="139" t="s">
        <v>349</v>
      </c>
      <c r="D493" s="15">
        <v>50000000</v>
      </c>
      <c r="E493" s="93">
        <v>0.99694089379999995</v>
      </c>
      <c r="F493" s="18">
        <v>49847044.689999998</v>
      </c>
      <c r="G493" s="151">
        <v>0.1</v>
      </c>
      <c r="H493" s="13"/>
      <c r="I493" s="13"/>
    </row>
    <row r="494" spans="1:9">
      <c r="A494" s="13" t="s">
        <v>1014</v>
      </c>
      <c r="B494" s="139" t="s">
        <v>501</v>
      </c>
      <c r="C494" s="139" t="s">
        <v>349</v>
      </c>
      <c r="D494" s="15">
        <v>50000000</v>
      </c>
      <c r="E494" s="93">
        <v>0.98107730869999998</v>
      </c>
      <c r="F494" s="18">
        <v>49053865.439999998</v>
      </c>
      <c r="G494" s="18">
        <v>0.09</v>
      </c>
      <c r="H494" s="13"/>
      <c r="I494" s="13"/>
    </row>
    <row r="495" spans="1:9">
      <c r="A495" s="13" t="s">
        <v>1015</v>
      </c>
      <c r="B495" s="139" t="s">
        <v>694</v>
      </c>
      <c r="C495" s="139" t="s">
        <v>349</v>
      </c>
      <c r="D495" s="15">
        <v>50000000</v>
      </c>
      <c r="E495" s="93">
        <v>0.97939254929999997</v>
      </c>
      <c r="F495" s="18">
        <v>48969627.469999999</v>
      </c>
      <c r="G495" s="18">
        <v>0.09</v>
      </c>
      <c r="H495" s="13"/>
      <c r="I495" s="13"/>
    </row>
    <row r="496" spans="1:9">
      <c r="A496" s="13" t="s">
        <v>1019</v>
      </c>
      <c r="B496" s="139" t="s">
        <v>192</v>
      </c>
      <c r="C496" s="139" t="s">
        <v>364</v>
      </c>
      <c r="D496" s="15">
        <v>10000000</v>
      </c>
      <c r="E496" s="93">
        <v>0.98782139589999995</v>
      </c>
      <c r="F496" s="18">
        <v>9878213.9600000009</v>
      </c>
      <c r="G496" s="18">
        <v>0.02</v>
      </c>
      <c r="H496" s="13"/>
      <c r="I496" s="13"/>
    </row>
    <row r="497" spans="1:9">
      <c r="A497" s="13" t="s">
        <v>1020</v>
      </c>
      <c r="B497" s="139" t="s">
        <v>488</v>
      </c>
      <c r="C497" s="139" t="s">
        <v>364</v>
      </c>
      <c r="D497" s="15">
        <v>10000000</v>
      </c>
      <c r="E497" s="93">
        <v>0.96509786659999997</v>
      </c>
      <c r="F497" s="18">
        <v>9650978.6699999999</v>
      </c>
      <c r="G497" s="18">
        <v>0.02</v>
      </c>
      <c r="H497" s="13"/>
      <c r="I497" s="13"/>
    </row>
    <row r="498" spans="1:9">
      <c r="A498" s="13" t="s">
        <v>1021</v>
      </c>
      <c r="B498" s="139" t="s">
        <v>626</v>
      </c>
      <c r="C498" s="139" t="s">
        <v>364</v>
      </c>
      <c r="D498" s="15">
        <v>3750000</v>
      </c>
      <c r="E498" s="154">
        <v>0.92125197299999995</v>
      </c>
      <c r="F498" s="151">
        <v>3454694.9</v>
      </c>
      <c r="G498" s="18">
        <v>0.01</v>
      </c>
      <c r="H498" s="13"/>
      <c r="I498" s="13"/>
    </row>
    <row r="499" spans="1:9">
      <c r="A499" s="13" t="s">
        <v>1022</v>
      </c>
      <c r="B499" s="139" t="s">
        <v>1023</v>
      </c>
      <c r="C499" s="139" t="s">
        <v>364</v>
      </c>
      <c r="D499" s="15">
        <v>3750000</v>
      </c>
      <c r="E499" s="93">
        <v>0.9167399437</v>
      </c>
      <c r="F499" s="18">
        <v>3437774.79</v>
      </c>
      <c r="G499" s="18">
        <v>0.01</v>
      </c>
      <c r="H499" s="13"/>
      <c r="I499" s="13"/>
    </row>
    <row r="500" spans="1:9">
      <c r="A500" s="13" t="s">
        <v>1024</v>
      </c>
      <c r="B500" s="139" t="s">
        <v>636</v>
      </c>
      <c r="C500" s="139" t="s">
        <v>364</v>
      </c>
      <c r="D500" s="15">
        <v>3750000</v>
      </c>
      <c r="E500" s="28">
        <v>0.91405393999999995</v>
      </c>
      <c r="F500" s="18">
        <v>3427702.28</v>
      </c>
      <c r="G500" s="18">
        <v>0.01</v>
      </c>
      <c r="H500" s="13"/>
      <c r="I500" s="13"/>
    </row>
    <row r="501" spans="1:9">
      <c r="A501" s="13" t="s">
        <v>1025</v>
      </c>
      <c r="B501" s="139" t="s">
        <v>1026</v>
      </c>
      <c r="C501" s="139" t="s">
        <v>364</v>
      </c>
      <c r="D501" s="15">
        <v>3750000</v>
      </c>
      <c r="E501" s="93">
        <v>0.88467709689999996</v>
      </c>
      <c r="F501" s="18">
        <v>3317539.11</v>
      </c>
      <c r="G501" s="18">
        <v>0.01</v>
      </c>
      <c r="H501" s="13"/>
      <c r="I501" s="13"/>
    </row>
    <row r="502" spans="1:9">
      <c r="A502" s="13" t="s">
        <v>1027</v>
      </c>
      <c r="B502" s="139" t="s">
        <v>778</v>
      </c>
      <c r="C502" s="139" t="s">
        <v>364</v>
      </c>
      <c r="D502" s="15">
        <v>3750000</v>
      </c>
      <c r="E502" s="154">
        <v>0.911383638</v>
      </c>
      <c r="F502" s="18">
        <v>3417688.64</v>
      </c>
      <c r="G502" s="18">
        <v>0.01</v>
      </c>
      <c r="H502" s="13"/>
      <c r="I502" s="13"/>
    </row>
    <row r="503" spans="1:9">
      <c r="A503" s="13" t="s">
        <v>1028</v>
      </c>
      <c r="B503" s="139" t="s">
        <v>741</v>
      </c>
      <c r="C503" s="139" t="s">
        <v>364</v>
      </c>
      <c r="D503" s="15">
        <v>3750000</v>
      </c>
      <c r="E503" s="93">
        <v>0.89056988810000004</v>
      </c>
      <c r="F503" s="18">
        <v>3339637.08</v>
      </c>
      <c r="G503" s="18">
        <v>0.01</v>
      </c>
      <c r="H503" s="13"/>
      <c r="I503" s="13"/>
    </row>
    <row r="504" spans="1:9">
      <c r="A504" s="13" t="s">
        <v>1029</v>
      </c>
      <c r="B504" s="139" t="s">
        <v>1030</v>
      </c>
      <c r="C504" s="139" t="s">
        <v>364</v>
      </c>
      <c r="D504" s="15">
        <v>3750000</v>
      </c>
      <c r="E504" s="93">
        <v>0.88719297610000003</v>
      </c>
      <c r="F504" s="18">
        <v>3326973.66</v>
      </c>
      <c r="G504" s="18">
        <v>0.01</v>
      </c>
      <c r="H504" s="13"/>
      <c r="I504" s="13"/>
    </row>
    <row r="505" spans="1:9">
      <c r="A505" s="13" t="s">
        <v>1031</v>
      </c>
      <c r="B505" s="139" t="s">
        <v>763</v>
      </c>
      <c r="C505" s="139" t="s">
        <v>364</v>
      </c>
      <c r="D505" s="15">
        <v>3750000</v>
      </c>
      <c r="E505" s="93">
        <v>0.90872888829999998</v>
      </c>
      <c r="F505" s="18">
        <v>3407733.33</v>
      </c>
      <c r="G505" s="18">
        <v>0.01</v>
      </c>
      <c r="H505" s="13"/>
      <c r="I505" s="13"/>
    </row>
    <row r="506" spans="1:9">
      <c r="A506" s="13" t="s">
        <v>1032</v>
      </c>
      <c r="B506" s="139" t="s">
        <v>767</v>
      </c>
      <c r="C506" s="139" t="s">
        <v>364</v>
      </c>
      <c r="D506" s="15">
        <v>3750000</v>
      </c>
      <c r="E506" s="93">
        <v>0.9052131363</v>
      </c>
      <c r="F506" s="18">
        <v>3394549.26</v>
      </c>
      <c r="G506" s="18">
        <v>0.01</v>
      </c>
      <c r="H506" s="13"/>
      <c r="I506" s="13"/>
    </row>
    <row r="507" spans="1:9">
      <c r="A507" s="13" t="s">
        <v>1033</v>
      </c>
      <c r="B507" s="139" t="s">
        <v>773</v>
      </c>
      <c r="C507" s="139" t="s">
        <v>364</v>
      </c>
      <c r="D507" s="15">
        <v>3750000</v>
      </c>
      <c r="E507" s="154">
        <v>0.89912562200000001</v>
      </c>
      <c r="F507" s="18">
        <v>3371721.08</v>
      </c>
      <c r="G507" s="18">
        <v>0.01</v>
      </c>
      <c r="H507" s="13"/>
      <c r="I507" s="13"/>
    </row>
    <row r="508" spans="1:9">
      <c r="A508" s="13" t="s">
        <v>1034</v>
      </c>
      <c r="B508" s="139" t="s">
        <v>999</v>
      </c>
      <c r="C508" s="139" t="s">
        <v>364</v>
      </c>
      <c r="D508" s="15">
        <v>3750000</v>
      </c>
      <c r="E508" s="93">
        <v>0.8965417148</v>
      </c>
      <c r="F508" s="18">
        <v>3362031.43</v>
      </c>
      <c r="G508" s="18">
        <v>0.01</v>
      </c>
      <c r="H508" s="13"/>
      <c r="I508" s="13"/>
    </row>
    <row r="509" spans="1:9">
      <c r="A509" s="13" t="s">
        <v>1035</v>
      </c>
      <c r="B509" s="139" t="s">
        <v>1036</v>
      </c>
      <c r="C509" s="139" t="s">
        <v>364</v>
      </c>
      <c r="D509" s="15">
        <v>3750000</v>
      </c>
      <c r="E509" s="93">
        <v>0.89226790590000005</v>
      </c>
      <c r="F509" s="18">
        <v>3346004.65</v>
      </c>
      <c r="G509" s="18">
        <v>0.01</v>
      </c>
      <c r="H509" s="13"/>
      <c r="I509" s="13"/>
    </row>
    <row r="510" spans="1:9">
      <c r="A510" s="13" t="s">
        <v>1037</v>
      </c>
      <c r="B510" s="139" t="s">
        <v>771</v>
      </c>
      <c r="C510" s="139" t="s">
        <v>364</v>
      </c>
      <c r="D510" s="15">
        <v>3750000</v>
      </c>
      <c r="E510" s="93">
        <v>0.90259416579999996</v>
      </c>
      <c r="F510" s="18">
        <v>3384728.12</v>
      </c>
      <c r="G510" s="18">
        <v>0.01</v>
      </c>
      <c r="H510" s="13"/>
      <c r="I510" s="13"/>
    </row>
    <row r="511" spans="1:9">
      <c r="A511" s="13" t="s">
        <v>1038</v>
      </c>
      <c r="B511" s="139" t="s">
        <v>445</v>
      </c>
      <c r="C511" s="139" t="s">
        <v>364</v>
      </c>
      <c r="D511" s="15">
        <v>50000000</v>
      </c>
      <c r="E511" s="154">
        <v>0.99192872399999998</v>
      </c>
      <c r="F511" s="151">
        <v>49596436.200000003</v>
      </c>
      <c r="G511" s="18">
        <v>0.09</v>
      </c>
      <c r="H511" s="13"/>
      <c r="I511" s="13"/>
    </row>
    <row r="512" spans="1:9">
      <c r="A512" s="13" t="s">
        <v>1039</v>
      </c>
      <c r="B512" s="139" t="s">
        <v>490</v>
      </c>
      <c r="C512" s="139" t="s">
        <v>364</v>
      </c>
      <c r="D512" s="15">
        <v>50000000</v>
      </c>
      <c r="E512" s="93">
        <v>0.98574058070000004</v>
      </c>
      <c r="F512" s="18">
        <v>49287029.039999999</v>
      </c>
      <c r="G512" s="18">
        <v>0.09</v>
      </c>
      <c r="H512" s="13"/>
      <c r="I512" s="13"/>
    </row>
    <row r="513" spans="1:9">
      <c r="A513" s="13" t="s">
        <v>1040</v>
      </c>
      <c r="B513" s="139" t="s">
        <v>452</v>
      </c>
      <c r="C513" s="139" t="s">
        <v>364</v>
      </c>
      <c r="D513" s="15">
        <v>50000000</v>
      </c>
      <c r="E513" s="93">
        <v>0.99819505230000005</v>
      </c>
      <c r="F513" s="18">
        <v>49909752.619999997</v>
      </c>
      <c r="G513" s="151">
        <v>0.1</v>
      </c>
      <c r="H513" s="13"/>
      <c r="I513" s="13"/>
    </row>
    <row r="514" spans="1:9">
      <c r="A514" s="13" t="s">
        <v>1041</v>
      </c>
      <c r="B514" s="139" t="s">
        <v>168</v>
      </c>
      <c r="C514" s="139" t="s">
        <v>364</v>
      </c>
      <c r="D514" s="15">
        <v>5000000</v>
      </c>
      <c r="E514" s="93">
        <v>0.99898732830000003</v>
      </c>
      <c r="F514" s="18">
        <v>4994936.6399999997</v>
      </c>
      <c r="G514" s="18">
        <v>0.01</v>
      </c>
      <c r="H514" s="13"/>
      <c r="I514" s="13"/>
    </row>
    <row r="515" spans="1:9">
      <c r="A515" s="13" t="s">
        <v>1042</v>
      </c>
      <c r="B515" s="139" t="s">
        <v>452</v>
      </c>
      <c r="C515" s="139" t="s">
        <v>364</v>
      </c>
      <c r="D515" s="18">
        <v>5454223.6600000001</v>
      </c>
      <c r="E515" s="154">
        <v>0.99797671399999999</v>
      </c>
      <c r="F515" s="18">
        <v>5443188.21</v>
      </c>
      <c r="G515" s="18">
        <v>0.01</v>
      </c>
      <c r="H515" s="13"/>
      <c r="I515" s="13"/>
    </row>
    <row r="516" spans="1:9">
      <c r="A516" s="13" t="s">
        <v>1043</v>
      </c>
      <c r="B516" s="139" t="s">
        <v>192</v>
      </c>
      <c r="C516" s="139" t="s">
        <v>364</v>
      </c>
      <c r="D516" s="18">
        <v>6598885.3799999999</v>
      </c>
      <c r="E516" s="93">
        <v>0.98502228209999998</v>
      </c>
      <c r="F516" s="18">
        <v>6500049.1399999997</v>
      </c>
      <c r="G516" s="18">
        <v>0.01</v>
      </c>
      <c r="H516" s="13"/>
      <c r="I516" s="13"/>
    </row>
    <row r="517" spans="1:9">
      <c r="A517" s="13" t="s">
        <v>1049</v>
      </c>
      <c r="B517" s="139" t="s">
        <v>855</v>
      </c>
      <c r="C517" s="139" t="s">
        <v>363</v>
      </c>
      <c r="D517" s="15">
        <v>10000000</v>
      </c>
      <c r="E517" s="154">
        <v>0.95825677499999995</v>
      </c>
      <c r="F517" s="18">
        <v>9582567.75</v>
      </c>
      <c r="G517" s="18">
        <v>0.02</v>
      </c>
      <c r="H517" s="13"/>
      <c r="I517" s="13"/>
    </row>
    <row r="518" spans="1:9">
      <c r="A518" s="13" t="s">
        <v>1050</v>
      </c>
      <c r="B518" s="139" t="s">
        <v>571</v>
      </c>
      <c r="C518" s="139" t="s">
        <v>363</v>
      </c>
      <c r="D518" s="15">
        <v>10000000</v>
      </c>
      <c r="E518" s="93">
        <v>0.97515363379999997</v>
      </c>
      <c r="F518" s="18">
        <v>9751536.3399999999</v>
      </c>
      <c r="G518" s="18">
        <v>0.02</v>
      </c>
      <c r="H518" s="13"/>
      <c r="I518" s="13"/>
    </row>
    <row r="519" spans="1:9">
      <c r="A519" s="13" t="s">
        <v>1051</v>
      </c>
      <c r="B519" s="139" t="s">
        <v>488</v>
      </c>
      <c r="C519" s="139" t="s">
        <v>363</v>
      </c>
      <c r="D519" s="15">
        <v>10000000</v>
      </c>
      <c r="E519" s="154">
        <v>0.96509789700000004</v>
      </c>
      <c r="F519" s="18">
        <v>9650978.9700000007</v>
      </c>
      <c r="G519" s="18">
        <v>0.02</v>
      </c>
      <c r="H519" s="13"/>
      <c r="I519" s="13"/>
    </row>
    <row r="520" spans="1:9">
      <c r="A520" s="13" t="s">
        <v>1052</v>
      </c>
      <c r="B520" s="139" t="s">
        <v>533</v>
      </c>
      <c r="C520" s="139" t="s">
        <v>363</v>
      </c>
      <c r="D520" s="15">
        <v>10000000</v>
      </c>
      <c r="E520" s="93">
        <v>0.9814466503</v>
      </c>
      <c r="F520" s="151">
        <v>9814466.5</v>
      </c>
      <c r="G520" s="18">
        <v>0.02</v>
      </c>
      <c r="H520" s="13"/>
      <c r="I520" s="13"/>
    </row>
    <row r="521" spans="1:9">
      <c r="A521" s="13" t="s">
        <v>1053</v>
      </c>
      <c r="B521" s="139" t="s">
        <v>604</v>
      </c>
      <c r="C521" s="139" t="s">
        <v>363</v>
      </c>
      <c r="D521" s="15">
        <v>10000000</v>
      </c>
      <c r="E521" s="93">
        <v>0.97048662330000002</v>
      </c>
      <c r="F521" s="18">
        <v>9704866.2300000004</v>
      </c>
      <c r="G521" s="18">
        <v>0.02</v>
      </c>
      <c r="H521" s="13"/>
      <c r="I521" s="13"/>
    </row>
    <row r="522" spans="1:9">
      <c r="A522" s="13" t="s">
        <v>1054</v>
      </c>
      <c r="B522" s="139" t="s">
        <v>385</v>
      </c>
      <c r="C522" s="139" t="s">
        <v>363</v>
      </c>
      <c r="D522" s="15">
        <v>10000000</v>
      </c>
      <c r="E522" s="93">
        <v>0.9910399392</v>
      </c>
      <c r="F522" s="18">
        <v>9910399.3900000006</v>
      </c>
      <c r="G522" s="18">
        <v>0.02</v>
      </c>
      <c r="H522" s="13"/>
      <c r="I522" s="13"/>
    </row>
    <row r="523" spans="1:9">
      <c r="A523" s="13" t="s">
        <v>1055</v>
      </c>
      <c r="B523" s="139" t="s">
        <v>688</v>
      </c>
      <c r="C523" s="139" t="s">
        <v>363</v>
      </c>
      <c r="D523" s="15">
        <v>10000000</v>
      </c>
      <c r="E523" s="93">
        <v>0.95509739339999999</v>
      </c>
      <c r="F523" s="18">
        <v>9550973.9299999997</v>
      </c>
      <c r="G523" s="18">
        <v>0.02</v>
      </c>
      <c r="H523" s="13"/>
      <c r="I523" s="13"/>
    </row>
    <row r="524" spans="1:9">
      <c r="A524" s="13" t="s">
        <v>1056</v>
      </c>
      <c r="B524" s="139" t="s">
        <v>561</v>
      </c>
      <c r="C524" s="139" t="s">
        <v>363</v>
      </c>
      <c r="D524" s="15">
        <v>10000000</v>
      </c>
      <c r="E524" s="93">
        <v>0.94935892470000005</v>
      </c>
      <c r="F524" s="18">
        <v>9493589.25</v>
      </c>
      <c r="G524" s="18">
        <v>0.02</v>
      </c>
      <c r="H524" s="13"/>
      <c r="I524" s="13"/>
    </row>
    <row r="525" spans="1:9">
      <c r="A525" s="13" t="s">
        <v>1058</v>
      </c>
      <c r="B525" s="139" t="s">
        <v>557</v>
      </c>
      <c r="C525" s="139" t="s">
        <v>427</v>
      </c>
      <c r="D525" s="18">
        <v>12825509.390000001</v>
      </c>
      <c r="E525" s="93">
        <v>0.94164388229999996</v>
      </c>
      <c r="F525" s="18">
        <v>12077062.449999999</v>
      </c>
      <c r="G525" s="18">
        <v>0.02</v>
      </c>
      <c r="H525" s="13"/>
      <c r="I525" s="13"/>
    </row>
    <row r="526" spans="1:9">
      <c r="A526" s="13" t="s">
        <v>1059</v>
      </c>
      <c r="B526" s="139" t="s">
        <v>561</v>
      </c>
      <c r="C526" s="139" t="s">
        <v>427</v>
      </c>
      <c r="D526" s="18">
        <v>12825509.390000001</v>
      </c>
      <c r="E526" s="93">
        <v>0.94069752770000004</v>
      </c>
      <c r="F526" s="18">
        <v>12064924.970000001</v>
      </c>
      <c r="G526" s="18">
        <v>0.02</v>
      </c>
      <c r="H526" s="13"/>
      <c r="I526" s="13"/>
    </row>
    <row r="527" spans="1:9">
      <c r="A527" s="13" t="s">
        <v>1060</v>
      </c>
      <c r="B527" s="139" t="s">
        <v>604</v>
      </c>
      <c r="C527" s="139" t="s">
        <v>427</v>
      </c>
      <c r="D527" s="18">
        <v>10800428.970000001</v>
      </c>
      <c r="E527" s="154">
        <v>0.96196937100000002</v>
      </c>
      <c r="F527" s="18">
        <v>10389681.859999999</v>
      </c>
      <c r="G527" s="18">
        <v>0.02</v>
      </c>
      <c r="H527" s="13"/>
      <c r="I527" s="13"/>
    </row>
    <row r="528" spans="1:9">
      <c r="A528" s="13" t="s">
        <v>1061</v>
      </c>
      <c r="B528" s="139" t="s">
        <v>561</v>
      </c>
      <c r="C528" s="139" t="s">
        <v>427</v>
      </c>
      <c r="D528" s="15">
        <v>25000000</v>
      </c>
      <c r="E528" s="93">
        <v>0.95081806619999998</v>
      </c>
      <c r="F528" s="18">
        <v>23770451.66</v>
      </c>
      <c r="G528" s="18">
        <v>0.05</v>
      </c>
      <c r="H528" s="13"/>
      <c r="I528" s="13"/>
    </row>
    <row r="529" spans="1:9">
      <c r="A529" s="13" t="s">
        <v>1062</v>
      </c>
      <c r="B529" s="139" t="s">
        <v>606</v>
      </c>
      <c r="C529" s="139" t="s">
        <v>427</v>
      </c>
      <c r="D529" s="15">
        <v>1250000</v>
      </c>
      <c r="E529" s="93">
        <v>0.99704982210000004</v>
      </c>
      <c r="F529" s="18">
        <v>1246312.28</v>
      </c>
      <c r="G529" s="15">
        <v>0</v>
      </c>
      <c r="H529" s="13"/>
      <c r="I529" s="13"/>
    </row>
    <row r="530" spans="1:9">
      <c r="A530" s="13" t="s">
        <v>1063</v>
      </c>
      <c r="B530" s="139" t="s">
        <v>449</v>
      </c>
      <c r="C530" s="139" t="s">
        <v>427</v>
      </c>
      <c r="D530" s="15">
        <v>1250000</v>
      </c>
      <c r="E530" s="93">
        <v>0.9931432335</v>
      </c>
      <c r="F530" s="18">
        <v>1241429.04</v>
      </c>
      <c r="G530" s="15">
        <v>0</v>
      </c>
      <c r="H530" s="13"/>
      <c r="I530" s="13"/>
    </row>
    <row r="531" spans="1:9">
      <c r="A531" s="13" t="s">
        <v>1067</v>
      </c>
      <c r="B531" s="139" t="s">
        <v>561</v>
      </c>
      <c r="C531" s="139" t="s">
        <v>369</v>
      </c>
      <c r="D531" s="15">
        <v>100000000</v>
      </c>
      <c r="E531" s="93">
        <v>0.95374974980000005</v>
      </c>
      <c r="F531" s="18">
        <v>95374974.980000004</v>
      </c>
      <c r="G531" s="18">
        <v>0.18</v>
      </c>
      <c r="H531" s="13"/>
      <c r="I531" s="13"/>
    </row>
    <row r="532" spans="1:9">
      <c r="A532" s="13" t="s">
        <v>1068</v>
      </c>
      <c r="B532" s="139" t="s">
        <v>387</v>
      </c>
      <c r="C532" s="139" t="s">
        <v>369</v>
      </c>
      <c r="D532" s="15">
        <v>100000000</v>
      </c>
      <c r="E532" s="154">
        <v>0.97658871300000005</v>
      </c>
      <c r="F532" s="151">
        <v>97658871.299999997</v>
      </c>
      <c r="G532" s="18">
        <v>0.19</v>
      </c>
      <c r="H532" s="13"/>
      <c r="I532" s="13"/>
    </row>
    <row r="533" spans="1:9">
      <c r="A533" s="13" t="s">
        <v>1069</v>
      </c>
      <c r="B533" s="139" t="s">
        <v>557</v>
      </c>
      <c r="C533" s="139" t="s">
        <v>369</v>
      </c>
      <c r="D533" s="15">
        <v>7500000</v>
      </c>
      <c r="E533" s="93">
        <v>0.95449801940000001</v>
      </c>
      <c r="F533" s="18">
        <v>7158735.1500000004</v>
      </c>
      <c r="G533" s="18">
        <v>0.01</v>
      </c>
      <c r="H533" s="13"/>
      <c r="I533" s="13"/>
    </row>
    <row r="534" spans="1:9">
      <c r="A534" s="13" t="s">
        <v>1070</v>
      </c>
      <c r="B534" s="139" t="s">
        <v>677</v>
      </c>
      <c r="C534" s="139" t="s">
        <v>369</v>
      </c>
      <c r="D534" s="15">
        <v>7500000</v>
      </c>
      <c r="E534" s="93">
        <v>0.9492849122</v>
      </c>
      <c r="F534" s="18">
        <v>7119636.8399999999</v>
      </c>
      <c r="G534" s="18">
        <v>0.01</v>
      </c>
      <c r="H534" s="13"/>
      <c r="I534" s="13"/>
    </row>
    <row r="535" spans="1:9">
      <c r="A535" s="13" t="s">
        <v>1071</v>
      </c>
      <c r="B535" s="139" t="s">
        <v>575</v>
      </c>
      <c r="C535" s="139" t="s">
        <v>369</v>
      </c>
      <c r="D535" s="15">
        <v>7500000</v>
      </c>
      <c r="E535" s="154">
        <v>0.97203729900000002</v>
      </c>
      <c r="F535" s="18">
        <v>7290279.7400000002</v>
      </c>
      <c r="G535" s="18">
        <v>0.01</v>
      </c>
      <c r="H535" s="13"/>
      <c r="I535" s="13"/>
    </row>
    <row r="536" spans="1:9">
      <c r="A536" s="13" t="s">
        <v>1072</v>
      </c>
      <c r="B536" s="139" t="s">
        <v>755</v>
      </c>
      <c r="C536" s="139" t="s">
        <v>369</v>
      </c>
      <c r="D536" s="15">
        <v>10000000</v>
      </c>
      <c r="E536" s="93">
        <v>0.94412829970000001</v>
      </c>
      <c r="F536" s="15">
        <v>9441283</v>
      </c>
      <c r="G536" s="18">
        <v>0.02</v>
      </c>
      <c r="H536" s="13"/>
      <c r="I536" s="13"/>
    </row>
    <row r="537" spans="1:9">
      <c r="A537" s="13" t="s">
        <v>1073</v>
      </c>
      <c r="B537" s="139" t="s">
        <v>624</v>
      </c>
      <c r="C537" s="139" t="s">
        <v>369</v>
      </c>
      <c r="D537" s="15">
        <v>7500000</v>
      </c>
      <c r="E537" s="93">
        <v>0.96663138169999996</v>
      </c>
      <c r="F537" s="18">
        <v>7249735.3600000003</v>
      </c>
      <c r="G537" s="18">
        <v>0.01</v>
      </c>
      <c r="H537" s="13"/>
      <c r="I537" s="13"/>
    </row>
    <row r="538" spans="1:9">
      <c r="A538" s="13" t="s">
        <v>1074</v>
      </c>
      <c r="B538" s="139" t="s">
        <v>694</v>
      </c>
      <c r="C538" s="139" t="s">
        <v>369</v>
      </c>
      <c r="D538" s="15">
        <v>15000000</v>
      </c>
      <c r="E538" s="93">
        <v>0.97750403220000004</v>
      </c>
      <c r="F538" s="18">
        <v>14662560.48</v>
      </c>
      <c r="G538" s="18">
        <v>0.03</v>
      </c>
      <c r="H538" s="13"/>
      <c r="I538" s="13"/>
    </row>
    <row r="539" spans="1:9">
      <c r="A539" s="13" t="s">
        <v>1076</v>
      </c>
      <c r="B539" s="139" t="s">
        <v>385</v>
      </c>
      <c r="C539" s="139" t="s">
        <v>162</v>
      </c>
      <c r="D539" s="15">
        <v>3000000</v>
      </c>
      <c r="E539" s="93">
        <v>0.98897227840000002</v>
      </c>
      <c r="F539" s="18">
        <v>2966916.84</v>
      </c>
      <c r="G539" s="18">
        <v>0.01</v>
      </c>
      <c r="H539" s="13"/>
      <c r="I539" s="13"/>
    </row>
    <row r="540" spans="1:9">
      <c r="A540" s="13" t="s">
        <v>1077</v>
      </c>
      <c r="B540" s="139" t="s">
        <v>518</v>
      </c>
      <c r="C540" s="139" t="s">
        <v>162</v>
      </c>
      <c r="D540" s="15">
        <v>3000000</v>
      </c>
      <c r="E540" s="93">
        <v>0.98600681759999997</v>
      </c>
      <c r="F540" s="18">
        <v>2958020.45</v>
      </c>
      <c r="G540" s="18">
        <v>0.01</v>
      </c>
      <c r="H540" s="13"/>
      <c r="I540" s="13"/>
    </row>
    <row r="541" spans="1:9">
      <c r="A541" s="13" t="s">
        <v>1078</v>
      </c>
      <c r="B541" s="139" t="s">
        <v>192</v>
      </c>
      <c r="C541" s="139" t="s">
        <v>162</v>
      </c>
      <c r="D541" s="15">
        <v>3000000</v>
      </c>
      <c r="E541" s="154">
        <v>0.98502232599999995</v>
      </c>
      <c r="F541" s="18">
        <v>2955066.98</v>
      </c>
      <c r="G541" s="18">
        <v>0.01</v>
      </c>
      <c r="H541" s="13"/>
      <c r="I541" s="13"/>
    </row>
    <row r="542" spans="1:9">
      <c r="A542" s="13" t="s">
        <v>1079</v>
      </c>
      <c r="B542" s="139" t="s">
        <v>192</v>
      </c>
      <c r="C542" s="139" t="s">
        <v>162</v>
      </c>
      <c r="D542" s="15">
        <v>6000000</v>
      </c>
      <c r="E542" s="93">
        <v>0.98502232879999996</v>
      </c>
      <c r="F542" s="18">
        <v>5910133.9699999997</v>
      </c>
      <c r="G542" s="18">
        <v>0.01</v>
      </c>
      <c r="H542" s="13"/>
      <c r="I542" s="13"/>
    </row>
    <row r="543" spans="1:9">
      <c r="A543" s="13" t="s">
        <v>1080</v>
      </c>
      <c r="B543" s="139" t="s">
        <v>192</v>
      </c>
      <c r="C543" s="139" t="s">
        <v>162</v>
      </c>
      <c r="D543" s="15">
        <v>3000000</v>
      </c>
      <c r="E543" s="154">
        <v>0.98502232599999995</v>
      </c>
      <c r="F543" s="18">
        <v>2955066.98</v>
      </c>
      <c r="G543" s="18">
        <v>0.01</v>
      </c>
      <c r="H543" s="13"/>
      <c r="I543" s="13"/>
    </row>
    <row r="544" spans="1:9">
      <c r="A544" s="13" t="s">
        <v>1081</v>
      </c>
      <c r="B544" s="139" t="s">
        <v>188</v>
      </c>
      <c r="C544" s="139" t="s">
        <v>162</v>
      </c>
      <c r="D544" s="15">
        <v>20000000</v>
      </c>
      <c r="E544" s="154">
        <v>0.97203736900000004</v>
      </c>
      <c r="F544" s="18">
        <v>19440747.379999999</v>
      </c>
      <c r="G544" s="18">
        <v>0.04</v>
      </c>
      <c r="H544" s="13"/>
      <c r="I544" s="13"/>
    </row>
    <row r="545" spans="1:9">
      <c r="A545" s="13" t="s">
        <v>1082</v>
      </c>
      <c r="B545" s="139" t="s">
        <v>501</v>
      </c>
      <c r="C545" s="139" t="s">
        <v>162</v>
      </c>
      <c r="D545" s="15">
        <v>10000000</v>
      </c>
      <c r="E545" s="93">
        <v>0.9804975869</v>
      </c>
      <c r="F545" s="18">
        <v>9804975.8699999992</v>
      </c>
      <c r="G545" s="18">
        <v>0.02</v>
      </c>
      <c r="H545" s="13"/>
      <c r="I545" s="13"/>
    </row>
    <row r="546" spans="1:9">
      <c r="A546" s="13" t="s">
        <v>1083</v>
      </c>
      <c r="B546" s="139" t="s">
        <v>168</v>
      </c>
      <c r="C546" s="139" t="s">
        <v>162</v>
      </c>
      <c r="D546" s="15">
        <v>10000000</v>
      </c>
      <c r="E546" s="93">
        <v>0.99909671109999998</v>
      </c>
      <c r="F546" s="18">
        <v>9990967.1099999994</v>
      </c>
      <c r="G546" s="18">
        <v>0.02</v>
      </c>
      <c r="H546" s="13"/>
      <c r="I546" s="13"/>
    </row>
    <row r="547" spans="1:9">
      <c r="A547" s="13" t="s">
        <v>1084</v>
      </c>
      <c r="B547" s="139" t="s">
        <v>454</v>
      </c>
      <c r="C547" s="139" t="s">
        <v>162</v>
      </c>
      <c r="D547" s="15">
        <v>10000000</v>
      </c>
      <c r="E547" s="93">
        <v>0.9928190939</v>
      </c>
      <c r="F547" s="18">
        <v>9928190.9399999995</v>
      </c>
      <c r="G547" s="18">
        <v>0.02</v>
      </c>
      <c r="H547" s="13"/>
      <c r="I547" s="13"/>
    </row>
    <row r="548" spans="1:9">
      <c r="A548" s="13" t="s">
        <v>1085</v>
      </c>
      <c r="B548" s="139" t="s">
        <v>192</v>
      </c>
      <c r="C548" s="139" t="s">
        <v>162</v>
      </c>
      <c r="D548" s="15">
        <v>10000000</v>
      </c>
      <c r="E548" s="93">
        <v>0.98661987070000001</v>
      </c>
      <c r="F548" s="18">
        <v>9866198.7100000009</v>
      </c>
      <c r="G548" s="18">
        <v>0.02</v>
      </c>
      <c r="H548" s="13"/>
      <c r="I548" s="13"/>
    </row>
    <row r="549" spans="1:9">
      <c r="A549" s="13" t="s">
        <v>1086</v>
      </c>
      <c r="B549" s="139" t="s">
        <v>452</v>
      </c>
      <c r="C549" s="139" t="s">
        <v>162</v>
      </c>
      <c r="D549" s="15">
        <v>10000000</v>
      </c>
      <c r="E549" s="93">
        <v>0.99835886630000004</v>
      </c>
      <c r="F549" s="18">
        <v>9983588.6600000001</v>
      </c>
      <c r="G549" s="18">
        <v>0.02</v>
      </c>
      <c r="H549" s="13"/>
      <c r="I549" s="13"/>
    </row>
    <row r="550" spans="1:9">
      <c r="A550" s="13" t="s">
        <v>1087</v>
      </c>
      <c r="B550" s="139" t="s">
        <v>718</v>
      </c>
      <c r="C550" s="139" t="s">
        <v>162</v>
      </c>
      <c r="D550" s="15">
        <v>2500000</v>
      </c>
      <c r="E550" s="93">
        <v>0.9485447843</v>
      </c>
      <c r="F550" s="18">
        <v>2371361.96</v>
      </c>
      <c r="G550" s="15">
        <v>0</v>
      </c>
      <c r="H550" s="13"/>
      <c r="I550" s="13"/>
    </row>
    <row r="551" spans="1:9">
      <c r="A551" s="13" t="s">
        <v>1088</v>
      </c>
      <c r="B551" s="139" t="s">
        <v>575</v>
      </c>
      <c r="C551" s="139" t="s">
        <v>162</v>
      </c>
      <c r="D551" s="15">
        <v>2500000</v>
      </c>
      <c r="E551" s="93">
        <v>0.96932683760000005</v>
      </c>
      <c r="F551" s="18">
        <v>2423317.09</v>
      </c>
      <c r="G551" s="15">
        <v>0</v>
      </c>
      <c r="H551" s="13"/>
      <c r="I551" s="13"/>
    </row>
    <row r="552" spans="1:9">
      <c r="A552" s="13" t="s">
        <v>1089</v>
      </c>
      <c r="B552" s="139" t="s">
        <v>677</v>
      </c>
      <c r="C552" s="139" t="s">
        <v>162</v>
      </c>
      <c r="D552" s="15">
        <v>2500000</v>
      </c>
      <c r="E552" s="93">
        <v>0.94449478060000003</v>
      </c>
      <c r="F552" s="18">
        <v>2361236.9500000002</v>
      </c>
      <c r="G552" s="15">
        <v>0</v>
      </c>
      <c r="H552" s="13"/>
      <c r="I552" s="13"/>
    </row>
    <row r="553" spans="1:9">
      <c r="A553" s="13" t="s">
        <v>1090</v>
      </c>
      <c r="B553" s="139" t="s">
        <v>604</v>
      </c>
      <c r="C553" s="139" t="s">
        <v>162</v>
      </c>
      <c r="D553" s="15">
        <v>2500000</v>
      </c>
      <c r="E553" s="93">
        <v>0.96763086710000001</v>
      </c>
      <c r="F553" s="18">
        <v>2419077.17</v>
      </c>
      <c r="G553" s="15">
        <v>0</v>
      </c>
      <c r="H553" s="13"/>
      <c r="I553" s="13"/>
    </row>
    <row r="554" spans="1:9">
      <c r="A554" s="13" t="s">
        <v>1091</v>
      </c>
      <c r="B554" s="139" t="s">
        <v>755</v>
      </c>
      <c r="C554" s="139" t="s">
        <v>162</v>
      </c>
      <c r="D554" s="15">
        <v>2500000</v>
      </c>
      <c r="E554" s="154">
        <v>0.93888264799999999</v>
      </c>
      <c r="F554" s="18">
        <v>2347206.62</v>
      </c>
      <c r="G554" s="15">
        <v>0</v>
      </c>
      <c r="H554" s="13"/>
      <c r="I554" s="13"/>
    </row>
    <row r="555" spans="1:9">
      <c r="A555" s="13" t="s">
        <v>1092</v>
      </c>
      <c r="B555" s="139" t="s">
        <v>488</v>
      </c>
      <c r="C555" s="139" t="s">
        <v>162</v>
      </c>
      <c r="D555" s="15">
        <v>2500000</v>
      </c>
      <c r="E555" s="93">
        <v>0.96174126709999996</v>
      </c>
      <c r="F555" s="18">
        <v>2404353.17</v>
      </c>
      <c r="G555" s="15">
        <v>0</v>
      </c>
      <c r="H555" s="13"/>
      <c r="I555" s="13"/>
    </row>
    <row r="556" spans="1:9">
      <c r="A556" s="13" t="s">
        <v>1097</v>
      </c>
      <c r="B556" s="139" t="s">
        <v>443</v>
      </c>
      <c r="C556" s="139" t="s">
        <v>362</v>
      </c>
      <c r="D556" s="15">
        <v>10000000</v>
      </c>
      <c r="E556" s="93">
        <v>0.99672310559999999</v>
      </c>
      <c r="F556" s="18">
        <v>9967231.0600000005</v>
      </c>
      <c r="G556" s="18">
        <v>0.02</v>
      </c>
      <c r="H556" s="13"/>
      <c r="I556" s="13"/>
    </row>
    <row r="557" spans="1:9">
      <c r="A557" s="13" t="s">
        <v>1098</v>
      </c>
      <c r="B557" s="139" t="s">
        <v>445</v>
      </c>
      <c r="C557" s="139" t="s">
        <v>362</v>
      </c>
      <c r="D557" s="15">
        <v>10000000</v>
      </c>
      <c r="E557" s="93">
        <v>0.99265708969999999</v>
      </c>
      <c r="F557" s="151">
        <v>9926570.9000000004</v>
      </c>
      <c r="G557" s="18">
        <v>0.02</v>
      </c>
      <c r="H557" s="13"/>
      <c r="I557" s="13"/>
    </row>
    <row r="558" spans="1:9">
      <c r="A558" s="13" t="s">
        <v>1100</v>
      </c>
      <c r="B558" s="139" t="s">
        <v>168</v>
      </c>
      <c r="C558" s="139" t="s">
        <v>362</v>
      </c>
      <c r="D558" s="15">
        <v>3750000</v>
      </c>
      <c r="E558" s="93">
        <v>0.99901467060000004</v>
      </c>
      <c r="F558" s="18">
        <v>3746305.01</v>
      </c>
      <c r="G558" s="18">
        <v>0.01</v>
      </c>
      <c r="H558" s="13"/>
      <c r="I558" s="13"/>
    </row>
    <row r="559" spans="1:9">
      <c r="A559" s="13" t="s">
        <v>1101</v>
      </c>
      <c r="B559" s="139" t="s">
        <v>452</v>
      </c>
      <c r="C559" s="139" t="s">
        <v>362</v>
      </c>
      <c r="D559" s="15">
        <v>5000000</v>
      </c>
      <c r="E559" s="93">
        <v>0.9980312898</v>
      </c>
      <c r="F559" s="18">
        <v>4990156.45</v>
      </c>
      <c r="G559" s="18">
        <v>0.01</v>
      </c>
      <c r="H559" s="13"/>
      <c r="I559" s="13"/>
    </row>
    <row r="560" spans="1:9">
      <c r="A560" s="13" t="s">
        <v>1102</v>
      </c>
      <c r="B560" s="139" t="s">
        <v>449</v>
      </c>
      <c r="C560" s="139" t="s">
        <v>362</v>
      </c>
      <c r="D560" s="15">
        <v>3000000</v>
      </c>
      <c r="E560" s="154">
        <v>0.99314324300000001</v>
      </c>
      <c r="F560" s="18">
        <v>2979429.73</v>
      </c>
      <c r="G560" s="18">
        <v>0.01</v>
      </c>
      <c r="H560" s="13"/>
      <c r="I560" s="13"/>
    </row>
    <row r="561" spans="1:9">
      <c r="A561" s="13" t="s">
        <v>1103</v>
      </c>
      <c r="B561" s="139" t="s">
        <v>454</v>
      </c>
      <c r="C561" s="139" t="s">
        <v>362</v>
      </c>
      <c r="D561" s="15">
        <v>5000000</v>
      </c>
      <c r="E561" s="93">
        <v>0.99217136669999995</v>
      </c>
      <c r="F561" s="18">
        <v>4960856.83</v>
      </c>
      <c r="G561" s="18">
        <v>0.01</v>
      </c>
      <c r="H561" s="13"/>
      <c r="I561" s="13"/>
    </row>
    <row r="562" spans="1:9">
      <c r="A562" s="13" t="s">
        <v>1104</v>
      </c>
      <c r="B562" s="139" t="s">
        <v>557</v>
      </c>
      <c r="C562" s="139" t="s">
        <v>362</v>
      </c>
      <c r="D562" s="15">
        <v>22500000</v>
      </c>
      <c r="E562" s="93">
        <v>0.94874200080000004</v>
      </c>
      <c r="F562" s="18">
        <v>21346695.02</v>
      </c>
      <c r="G562" s="18">
        <v>0.04</v>
      </c>
      <c r="H562" s="13"/>
      <c r="I562" s="13"/>
    </row>
    <row r="563" spans="1:9">
      <c r="A563" s="13" t="s">
        <v>1105</v>
      </c>
      <c r="B563" s="139" t="s">
        <v>533</v>
      </c>
      <c r="C563" s="139" t="s">
        <v>362</v>
      </c>
      <c r="D563" s="15">
        <v>50000000</v>
      </c>
      <c r="E563" s="93">
        <v>0.98023426489999999</v>
      </c>
      <c r="F563" s="18">
        <v>49011713.25</v>
      </c>
      <c r="G563" s="18">
        <v>0.09</v>
      </c>
      <c r="H563" s="13"/>
      <c r="I563" s="13"/>
    </row>
    <row r="564" spans="1:9">
      <c r="A564" s="13" t="s">
        <v>1106</v>
      </c>
      <c r="B564" s="139" t="s">
        <v>575</v>
      </c>
      <c r="C564" s="139" t="s">
        <v>362</v>
      </c>
      <c r="D564" s="15">
        <v>100000000</v>
      </c>
      <c r="E564" s="93">
        <v>0.96752824780000002</v>
      </c>
      <c r="F564" s="18">
        <v>96752824.780000001</v>
      </c>
      <c r="G564" s="18">
        <v>0.18</v>
      </c>
      <c r="H564" s="13"/>
      <c r="I564" s="13"/>
    </row>
    <row r="565" spans="1:9">
      <c r="A565" s="13" t="s">
        <v>1110</v>
      </c>
      <c r="B565" s="139" t="s">
        <v>559</v>
      </c>
      <c r="C565" s="139" t="s">
        <v>428</v>
      </c>
      <c r="D565" s="15">
        <v>12500000</v>
      </c>
      <c r="E565" s="93">
        <v>0.96090565139999995</v>
      </c>
      <c r="F565" s="18">
        <v>12011320.640000001</v>
      </c>
      <c r="G565" s="18">
        <v>0.02</v>
      </c>
      <c r="H565" s="13"/>
      <c r="I565" s="13"/>
    </row>
    <row r="566" spans="1:9">
      <c r="A566" s="13" t="s">
        <v>1111</v>
      </c>
      <c r="B566" s="139" t="s">
        <v>688</v>
      </c>
      <c r="C566" s="139" t="s">
        <v>428</v>
      </c>
      <c r="D566" s="15">
        <v>12500000</v>
      </c>
      <c r="E566" s="93">
        <v>0.95509738560000002</v>
      </c>
      <c r="F566" s="18">
        <v>11938717.32</v>
      </c>
      <c r="G566" s="18">
        <v>0.02</v>
      </c>
      <c r="H566" s="13"/>
      <c r="I566" s="13"/>
    </row>
    <row r="567" spans="1:9">
      <c r="A567" s="13" t="s">
        <v>1112</v>
      </c>
      <c r="B567" s="139" t="s">
        <v>561</v>
      </c>
      <c r="C567" s="139" t="s">
        <v>428</v>
      </c>
      <c r="D567" s="15">
        <v>12500000</v>
      </c>
      <c r="E567" s="93">
        <v>0.94935891589999999</v>
      </c>
      <c r="F567" s="18">
        <v>11866986.449999999</v>
      </c>
      <c r="G567" s="18">
        <v>0.02</v>
      </c>
      <c r="H567" s="13"/>
      <c r="I567" s="13"/>
    </row>
    <row r="568" spans="1:9">
      <c r="A568" s="13" t="s">
        <v>1113</v>
      </c>
      <c r="B568" s="139" t="s">
        <v>798</v>
      </c>
      <c r="C568" s="139" t="s">
        <v>428</v>
      </c>
      <c r="D568" s="15">
        <v>12500000</v>
      </c>
      <c r="E568" s="93">
        <v>0.96678499490000003</v>
      </c>
      <c r="F568" s="18">
        <v>12084812.439999999</v>
      </c>
      <c r="G568" s="18">
        <v>0.02</v>
      </c>
      <c r="H568" s="13"/>
      <c r="I568" s="13"/>
    </row>
    <row r="569" spans="1:9">
      <c r="A569" s="13" t="s">
        <v>1114</v>
      </c>
      <c r="B569" s="139" t="s">
        <v>708</v>
      </c>
      <c r="C569" s="139" t="s">
        <v>428</v>
      </c>
      <c r="D569" s="15">
        <v>12500000</v>
      </c>
      <c r="E569" s="93">
        <v>0.93412502529999997</v>
      </c>
      <c r="F569" s="18">
        <v>11676562.82</v>
      </c>
      <c r="G569" s="18">
        <v>0.02</v>
      </c>
      <c r="H569" s="13"/>
      <c r="I569" s="13"/>
    </row>
    <row r="570" spans="1:9">
      <c r="A570" s="13" t="s">
        <v>1115</v>
      </c>
      <c r="B570" s="139" t="s">
        <v>711</v>
      </c>
      <c r="C570" s="139" t="s">
        <v>428</v>
      </c>
      <c r="D570" s="15">
        <v>12500000</v>
      </c>
      <c r="E570" s="93">
        <v>0.92785601709999999</v>
      </c>
      <c r="F570" s="18">
        <v>11598200.210000001</v>
      </c>
      <c r="G570" s="18">
        <v>0.02</v>
      </c>
      <c r="H570" s="13"/>
      <c r="I570" s="13"/>
    </row>
    <row r="571" spans="1:9">
      <c r="A571" s="13" t="s">
        <v>1116</v>
      </c>
      <c r="B571" s="139" t="s">
        <v>792</v>
      </c>
      <c r="C571" s="139" t="s">
        <v>428</v>
      </c>
      <c r="D571" s="15">
        <v>12500000</v>
      </c>
      <c r="E571" s="93">
        <v>0.94530198340000005</v>
      </c>
      <c r="F571" s="18">
        <v>11816274.789999999</v>
      </c>
      <c r="G571" s="18">
        <v>0.02</v>
      </c>
      <c r="H571" s="13"/>
      <c r="I571" s="13"/>
    </row>
    <row r="572" spans="1:9">
      <c r="A572" s="13" t="s">
        <v>1117</v>
      </c>
      <c r="B572" s="139" t="s">
        <v>727</v>
      </c>
      <c r="C572" s="139" t="s">
        <v>428</v>
      </c>
      <c r="D572" s="15">
        <v>12500000</v>
      </c>
      <c r="E572" s="93">
        <v>0.93968026839999996</v>
      </c>
      <c r="F572" s="18">
        <v>11746003.359999999</v>
      </c>
      <c r="G572" s="18">
        <v>0.02</v>
      </c>
      <c r="H572" s="13"/>
      <c r="I572" s="13"/>
    </row>
    <row r="573" spans="1:9">
      <c r="A573" s="13" t="s">
        <v>1120</v>
      </c>
      <c r="B573" s="139" t="s">
        <v>842</v>
      </c>
      <c r="C573" s="139" t="s">
        <v>428</v>
      </c>
      <c r="D573" s="15">
        <v>20000000</v>
      </c>
      <c r="E573" s="93">
        <v>0.97970803880000001</v>
      </c>
      <c r="F573" s="18">
        <v>19594160.780000001</v>
      </c>
      <c r="G573" s="18">
        <v>0.04</v>
      </c>
      <c r="H573" s="13"/>
      <c r="I573" s="13"/>
    </row>
    <row r="574" spans="1:9">
      <c r="A574" s="13" t="s">
        <v>1121</v>
      </c>
      <c r="B574" s="139" t="s">
        <v>501</v>
      </c>
      <c r="C574" s="139" t="s">
        <v>428</v>
      </c>
      <c r="D574" s="15">
        <v>20000000</v>
      </c>
      <c r="E574" s="93">
        <v>0.9787622507</v>
      </c>
      <c r="F574" s="18">
        <v>19575245.010000002</v>
      </c>
      <c r="G574" s="18">
        <v>0.04</v>
      </c>
      <c r="H574" s="13"/>
      <c r="I574" s="13"/>
    </row>
    <row r="575" spans="1:9">
      <c r="A575" s="13" t="s">
        <v>1122</v>
      </c>
      <c r="B575" s="139" t="s">
        <v>452</v>
      </c>
      <c r="C575" s="139" t="s">
        <v>428</v>
      </c>
      <c r="D575" s="15">
        <v>20000000</v>
      </c>
      <c r="E575" s="93">
        <v>0.99803128090000004</v>
      </c>
      <c r="F575" s="18">
        <v>19960625.620000001</v>
      </c>
      <c r="G575" s="18">
        <v>0.04</v>
      </c>
      <c r="H575" s="13"/>
      <c r="I575" s="13"/>
    </row>
    <row r="576" spans="1:9">
      <c r="A576" s="13" t="s">
        <v>1123</v>
      </c>
      <c r="B576" s="139" t="s">
        <v>518</v>
      </c>
      <c r="C576" s="139" t="s">
        <v>428</v>
      </c>
      <c r="D576" s="15">
        <v>20000000</v>
      </c>
      <c r="E576" s="154">
        <v>0.986379899</v>
      </c>
      <c r="F576" s="18">
        <v>19727597.98</v>
      </c>
      <c r="G576" s="18">
        <v>0.04</v>
      </c>
      <c r="H576" s="13"/>
      <c r="I576" s="13"/>
    </row>
    <row r="577" spans="1:9">
      <c r="A577" s="13" t="s">
        <v>1118</v>
      </c>
      <c r="B577" s="139" t="s">
        <v>606</v>
      </c>
      <c r="C577" s="139" t="s">
        <v>428</v>
      </c>
      <c r="D577" s="15">
        <v>10000000</v>
      </c>
      <c r="E577" s="93">
        <v>0.99754032179999996</v>
      </c>
      <c r="F577" s="18">
        <v>9975403.2200000007</v>
      </c>
      <c r="G577" s="18">
        <v>0.02</v>
      </c>
      <c r="H577" s="13"/>
      <c r="I577" s="13"/>
    </row>
    <row r="578" spans="1:9">
      <c r="A578" s="13" t="s">
        <v>1119</v>
      </c>
      <c r="B578" s="139" t="s">
        <v>329</v>
      </c>
      <c r="C578" s="139" t="s">
        <v>428</v>
      </c>
      <c r="D578" s="15">
        <v>10000000</v>
      </c>
      <c r="E578" s="93">
        <v>0.99184786059999996</v>
      </c>
      <c r="F578" s="18">
        <v>9918478.6099999994</v>
      </c>
      <c r="G578" s="18">
        <v>0.02</v>
      </c>
      <c r="H578" s="13"/>
      <c r="I578" s="13"/>
    </row>
    <row r="579" spans="1:9">
      <c r="A579" s="13" t="s">
        <v>1109</v>
      </c>
      <c r="B579" s="139" t="s">
        <v>168</v>
      </c>
      <c r="C579" s="139" t="s">
        <v>428</v>
      </c>
      <c r="D579" s="15">
        <v>1000000000</v>
      </c>
      <c r="E579" s="93">
        <v>0.99904201609999999</v>
      </c>
      <c r="F579" s="151">
        <v>999042016.10000002</v>
      </c>
      <c r="G579" s="18">
        <v>1.91</v>
      </c>
      <c r="H579" s="13"/>
      <c r="I579" s="13"/>
    </row>
    <row r="580" spans="1:9">
      <c r="A580" s="13" t="s">
        <v>1126</v>
      </c>
      <c r="B580" s="139" t="s">
        <v>426</v>
      </c>
      <c r="C580" s="139" t="s">
        <v>353</v>
      </c>
      <c r="D580" s="15">
        <v>50000000</v>
      </c>
      <c r="E580" s="93">
        <v>0.98398669589999999</v>
      </c>
      <c r="F580" s="151">
        <v>49199334.799999997</v>
      </c>
      <c r="G580" s="18">
        <v>0.09</v>
      </c>
      <c r="H580" s="13"/>
      <c r="I580" s="13"/>
    </row>
    <row r="581" spans="1:9">
      <c r="A581" s="13" t="s">
        <v>1127</v>
      </c>
      <c r="B581" s="139" t="s">
        <v>192</v>
      </c>
      <c r="C581" s="139" t="s">
        <v>353</v>
      </c>
      <c r="D581" s="15">
        <v>50000000</v>
      </c>
      <c r="E581" s="93">
        <v>0.98661986069999996</v>
      </c>
      <c r="F581" s="18">
        <v>49330993.039999999</v>
      </c>
      <c r="G581" s="18">
        <v>0.09</v>
      </c>
      <c r="H581" s="13"/>
      <c r="I581" s="13"/>
    </row>
    <row r="582" spans="1:9">
      <c r="A582" s="13" t="s">
        <v>1128</v>
      </c>
      <c r="B582" s="139" t="s">
        <v>490</v>
      </c>
      <c r="C582" s="139" t="s">
        <v>353</v>
      </c>
      <c r="D582" s="18">
        <v>8756336.9900000002</v>
      </c>
      <c r="E582" s="93">
        <v>0.99087850649999998</v>
      </c>
      <c r="F582" s="18">
        <v>8676466.1199999992</v>
      </c>
      <c r="G582" s="18">
        <v>0.02</v>
      </c>
      <c r="H582" s="13"/>
      <c r="I582" s="13"/>
    </row>
    <row r="583" spans="1:9">
      <c r="A583" s="13" t="s">
        <v>1129</v>
      </c>
      <c r="B583" s="139" t="s">
        <v>452</v>
      </c>
      <c r="C583" s="139" t="s">
        <v>370</v>
      </c>
      <c r="D583" s="15">
        <v>50000000</v>
      </c>
      <c r="E583" s="93">
        <v>0.9979221399</v>
      </c>
      <c r="F583" s="15">
        <v>49896107</v>
      </c>
      <c r="G583" s="151">
        <v>0.1</v>
      </c>
      <c r="H583" s="13"/>
      <c r="I583" s="13"/>
    </row>
    <row r="584" spans="1:9">
      <c r="A584" s="13" t="s">
        <v>1130</v>
      </c>
      <c r="B584" s="139" t="s">
        <v>575</v>
      </c>
      <c r="C584" s="139" t="s">
        <v>370</v>
      </c>
      <c r="D584" s="15">
        <v>50000000</v>
      </c>
      <c r="E584" s="93">
        <v>0.96484276469999997</v>
      </c>
      <c r="F584" s="18">
        <v>48242138.240000002</v>
      </c>
      <c r="G584" s="18">
        <v>0.09</v>
      </c>
      <c r="H584" s="13"/>
      <c r="I584" s="13"/>
    </row>
    <row r="585" spans="1:9">
      <c r="A585" s="13" t="s">
        <v>1131</v>
      </c>
      <c r="B585" s="139" t="s">
        <v>192</v>
      </c>
      <c r="C585" s="139" t="s">
        <v>370</v>
      </c>
      <c r="D585" s="15">
        <v>100000000</v>
      </c>
      <c r="E585" s="93">
        <v>0.98462374990000001</v>
      </c>
      <c r="F585" s="18">
        <v>98462374.989999995</v>
      </c>
      <c r="G585" s="18">
        <v>0.19</v>
      </c>
      <c r="H585" s="13"/>
      <c r="I585" s="13"/>
    </row>
    <row r="586" spans="1:9">
      <c r="A586" s="13" t="s">
        <v>1132</v>
      </c>
      <c r="B586" s="139" t="s">
        <v>192</v>
      </c>
      <c r="C586" s="139" t="s">
        <v>370</v>
      </c>
      <c r="D586" s="15">
        <v>1082000000</v>
      </c>
      <c r="E586" s="93">
        <v>0.98462374990000001</v>
      </c>
      <c r="F586" s="18">
        <v>1065362897.39</v>
      </c>
      <c r="G586" s="18">
        <v>2.04</v>
      </c>
      <c r="H586" s="13"/>
      <c r="I586" s="13"/>
    </row>
    <row r="587" spans="1:9">
      <c r="A587" s="13" t="s">
        <v>1133</v>
      </c>
      <c r="B587" s="139" t="s">
        <v>490</v>
      </c>
      <c r="C587" s="139" t="s">
        <v>370</v>
      </c>
      <c r="D587" s="18">
        <v>5882352.9299999997</v>
      </c>
      <c r="E587" s="93">
        <v>0.98446438560000005</v>
      </c>
      <c r="F587" s="18">
        <v>5790966.96</v>
      </c>
      <c r="G587" s="18">
        <v>0.01</v>
      </c>
      <c r="H587" s="13"/>
      <c r="I587" s="13"/>
    </row>
    <row r="588" spans="1:9">
      <c r="A588" s="13" t="s">
        <v>1134</v>
      </c>
      <c r="B588" s="139" t="s">
        <v>616</v>
      </c>
      <c r="C588" s="139" t="s">
        <v>370</v>
      </c>
      <c r="D588" s="18">
        <v>5882352.9299999997</v>
      </c>
      <c r="E588" s="93">
        <v>0.98350940090000005</v>
      </c>
      <c r="F588" s="18">
        <v>5785349.4100000001</v>
      </c>
      <c r="G588" s="18">
        <v>0.01</v>
      </c>
      <c r="H588" s="13"/>
      <c r="I588" s="13"/>
    </row>
    <row r="589" spans="1:9">
      <c r="A589" s="13" t="s">
        <v>1135</v>
      </c>
      <c r="B589" s="139" t="s">
        <v>329</v>
      </c>
      <c r="C589" s="139" t="s">
        <v>370</v>
      </c>
      <c r="D589" s="18">
        <v>5882352.9299999997</v>
      </c>
      <c r="E589" s="93">
        <v>0.99023332460000002</v>
      </c>
      <c r="F589" s="151">
        <v>5824901.9000000004</v>
      </c>
      <c r="G589" s="18">
        <v>0.01</v>
      </c>
      <c r="H589" s="13"/>
      <c r="I589" s="13"/>
    </row>
    <row r="590" spans="1:9">
      <c r="A590" s="13" t="s">
        <v>1136</v>
      </c>
      <c r="B590" s="139" t="s">
        <v>385</v>
      </c>
      <c r="C590" s="139" t="s">
        <v>370</v>
      </c>
      <c r="D590" s="18">
        <v>5882352.9299999997</v>
      </c>
      <c r="E590" s="154">
        <v>0.98926718199999997</v>
      </c>
      <c r="F590" s="18">
        <v>5819218.71</v>
      </c>
      <c r="G590" s="18">
        <v>0.01</v>
      </c>
      <c r="H590" s="13"/>
      <c r="I590" s="13"/>
    </row>
    <row r="591" spans="1:9">
      <c r="A591" s="13" t="s">
        <v>1137</v>
      </c>
      <c r="B591" s="139" t="s">
        <v>518</v>
      </c>
      <c r="C591" s="139" t="s">
        <v>370</v>
      </c>
      <c r="D591" s="18">
        <v>5882352.9299999997</v>
      </c>
      <c r="E591" s="93">
        <v>0.98637985719999999</v>
      </c>
      <c r="F591" s="18">
        <v>5802234.4400000004</v>
      </c>
      <c r="G591" s="18">
        <v>0.01</v>
      </c>
      <c r="H591" s="13"/>
      <c r="I591" s="13"/>
    </row>
    <row r="592" spans="1:9">
      <c r="A592" s="13" t="s">
        <v>1138</v>
      </c>
      <c r="B592" s="139" t="s">
        <v>594</v>
      </c>
      <c r="C592" s="139" t="s">
        <v>370</v>
      </c>
      <c r="D592" s="15">
        <v>25000000</v>
      </c>
      <c r="E592" s="93">
        <v>0.95674970619999999</v>
      </c>
      <c r="F592" s="18">
        <v>23918742.66</v>
      </c>
      <c r="G592" s="18">
        <v>0.05</v>
      </c>
      <c r="H592" s="13"/>
      <c r="I592" s="13"/>
    </row>
    <row r="593" spans="1:9">
      <c r="A593" s="13" t="s">
        <v>1139</v>
      </c>
      <c r="B593" s="139" t="s">
        <v>192</v>
      </c>
      <c r="C593" s="139" t="s">
        <v>370</v>
      </c>
      <c r="D593" s="18">
        <v>5882352.9299999997</v>
      </c>
      <c r="E593" s="154">
        <v>0.98542122700000001</v>
      </c>
      <c r="F593" s="18">
        <v>5796595.4400000004</v>
      </c>
      <c r="G593" s="18">
        <v>0.01</v>
      </c>
      <c r="H593" s="13"/>
      <c r="I593" s="13"/>
    </row>
    <row r="594" spans="1:9">
      <c r="A594" s="13" t="s">
        <v>1140</v>
      </c>
      <c r="B594" s="139" t="s">
        <v>168</v>
      </c>
      <c r="C594" s="139" t="s">
        <v>370</v>
      </c>
      <c r="D594" s="15">
        <v>20000000</v>
      </c>
      <c r="E594" s="93">
        <v>0.99901467460000004</v>
      </c>
      <c r="F594" s="18">
        <v>19980293.489999998</v>
      </c>
      <c r="G594" s="18">
        <v>0.04</v>
      </c>
      <c r="H594" s="13"/>
      <c r="I594" s="13"/>
    </row>
    <row r="595" spans="1:9">
      <c r="A595" s="13" t="s">
        <v>1172</v>
      </c>
      <c r="B595" s="139" t="s">
        <v>454</v>
      </c>
      <c r="C595" s="139" t="s">
        <v>458</v>
      </c>
      <c r="D595" s="15">
        <v>75000000</v>
      </c>
      <c r="E595" s="93">
        <v>0.99238716760000001</v>
      </c>
      <c r="F595" s="18">
        <v>74429037.569999993</v>
      </c>
      <c r="G595" s="18">
        <v>0.14000000000000001</v>
      </c>
      <c r="H595" s="13"/>
      <c r="I595" s="13"/>
    </row>
    <row r="596" spans="1:9">
      <c r="A596" s="13" t="s">
        <v>1148</v>
      </c>
      <c r="B596" s="139" t="s">
        <v>559</v>
      </c>
      <c r="C596" s="139" t="s">
        <v>458</v>
      </c>
      <c r="D596" s="18">
        <v>16005575.67</v>
      </c>
      <c r="E596" s="93">
        <v>0.96090574240000004</v>
      </c>
      <c r="F596" s="18">
        <v>15379849.57</v>
      </c>
      <c r="G596" s="18">
        <v>0.03</v>
      </c>
      <c r="H596" s="13"/>
      <c r="I596" s="13"/>
    </row>
    <row r="597" spans="1:9">
      <c r="A597" s="13" t="s">
        <v>1149</v>
      </c>
      <c r="B597" s="139" t="s">
        <v>559</v>
      </c>
      <c r="C597" s="139" t="s">
        <v>458</v>
      </c>
      <c r="D597" s="18">
        <v>12080215.710000001</v>
      </c>
      <c r="E597" s="93">
        <v>0.96090574240000004</v>
      </c>
      <c r="F597" s="18">
        <v>11607948.65</v>
      </c>
      <c r="G597" s="18">
        <v>0.02</v>
      </c>
      <c r="H597" s="13"/>
      <c r="I597" s="13"/>
    </row>
    <row r="598" spans="1:9">
      <c r="A598" s="13" t="s">
        <v>1150</v>
      </c>
      <c r="B598" s="139" t="s">
        <v>813</v>
      </c>
      <c r="C598" s="139" t="s">
        <v>458</v>
      </c>
      <c r="D598" s="18">
        <v>16005575.68</v>
      </c>
      <c r="E598" s="93">
        <v>0.9559228273</v>
      </c>
      <c r="F598" s="18">
        <v>15300095.16</v>
      </c>
      <c r="G598" s="18">
        <v>0.03</v>
      </c>
      <c r="H598" s="13"/>
      <c r="I598" s="13"/>
    </row>
    <row r="599" spans="1:9">
      <c r="A599" s="13" t="s">
        <v>1151</v>
      </c>
      <c r="B599" s="139" t="s">
        <v>594</v>
      </c>
      <c r="C599" s="139" t="s">
        <v>458</v>
      </c>
      <c r="D599" s="18">
        <v>16005575.68</v>
      </c>
      <c r="E599" s="93">
        <v>0.95674974629999998</v>
      </c>
      <c r="F599" s="18">
        <v>15313330.470000001</v>
      </c>
      <c r="G599" s="18">
        <v>0.03</v>
      </c>
      <c r="H599" s="13"/>
      <c r="I599" s="13"/>
    </row>
    <row r="600" spans="1:9">
      <c r="A600" s="13" t="s">
        <v>1152</v>
      </c>
      <c r="B600" s="139" t="s">
        <v>852</v>
      </c>
      <c r="C600" s="139" t="s">
        <v>458</v>
      </c>
      <c r="D600" s="18">
        <v>16005575.68</v>
      </c>
      <c r="E600" s="93">
        <v>0.95757809559999996</v>
      </c>
      <c r="F600" s="18">
        <v>15326588.68</v>
      </c>
      <c r="G600" s="18">
        <v>0.03</v>
      </c>
      <c r="H600" s="13"/>
      <c r="I600" s="13"/>
    </row>
    <row r="601" spans="1:9">
      <c r="A601" s="13" t="s">
        <v>1153</v>
      </c>
      <c r="B601" s="139" t="s">
        <v>546</v>
      </c>
      <c r="C601" s="139" t="s">
        <v>458</v>
      </c>
      <c r="D601" s="18">
        <v>16005575.68</v>
      </c>
      <c r="E601" s="93">
        <v>0.96007162989999995</v>
      </c>
      <c r="F601" s="18">
        <v>15366499.130000001</v>
      </c>
      <c r="G601" s="18">
        <v>0.03</v>
      </c>
      <c r="H601" s="13"/>
      <c r="I601" s="13"/>
    </row>
    <row r="602" spans="1:9">
      <c r="A602" s="13" t="s">
        <v>1141</v>
      </c>
      <c r="B602" s="139" t="s">
        <v>561</v>
      </c>
      <c r="C602" s="139" t="s">
        <v>458</v>
      </c>
      <c r="D602" s="18">
        <v>16005575.68</v>
      </c>
      <c r="E602" s="93">
        <v>0.94935886349999998</v>
      </c>
      <c r="F602" s="18">
        <v>15195035.140000001</v>
      </c>
      <c r="G602" s="18">
        <v>0.03</v>
      </c>
      <c r="H602" s="13"/>
      <c r="I602" s="13"/>
    </row>
    <row r="603" spans="1:9">
      <c r="A603" s="13" t="s">
        <v>1142</v>
      </c>
      <c r="B603" s="139" t="s">
        <v>557</v>
      </c>
      <c r="C603" s="139" t="s">
        <v>458</v>
      </c>
      <c r="D603" s="18">
        <v>16005575.68</v>
      </c>
      <c r="E603" s="93">
        <v>0.95017446439999997</v>
      </c>
      <c r="F603" s="151">
        <v>15208089.300000001</v>
      </c>
      <c r="G603" s="18">
        <v>0.03</v>
      </c>
      <c r="H603" s="13"/>
      <c r="I603" s="13"/>
    </row>
    <row r="604" spans="1:9">
      <c r="A604" s="13" t="s">
        <v>1143</v>
      </c>
      <c r="B604" s="139" t="s">
        <v>563</v>
      </c>
      <c r="C604" s="139" t="s">
        <v>458</v>
      </c>
      <c r="D604" s="18">
        <v>16005575.68</v>
      </c>
      <c r="E604" s="93">
        <v>0.95099146629999998</v>
      </c>
      <c r="F604" s="18">
        <v>15221165.880000001</v>
      </c>
      <c r="G604" s="18">
        <v>0.03</v>
      </c>
      <c r="H604" s="13"/>
      <c r="I604" s="13"/>
    </row>
    <row r="605" spans="1:9">
      <c r="A605" s="13" t="s">
        <v>1144</v>
      </c>
      <c r="B605" s="139" t="s">
        <v>713</v>
      </c>
      <c r="C605" s="139" t="s">
        <v>458</v>
      </c>
      <c r="D605" s="18">
        <v>16005575.68</v>
      </c>
      <c r="E605" s="154">
        <v>0.95180987299999997</v>
      </c>
      <c r="F605" s="18">
        <v>15234264.960000001</v>
      </c>
      <c r="G605" s="18">
        <v>0.03</v>
      </c>
      <c r="H605" s="13"/>
      <c r="I605" s="13"/>
    </row>
    <row r="606" spans="1:9">
      <c r="A606" s="13" t="s">
        <v>1145</v>
      </c>
      <c r="B606" s="139" t="s">
        <v>855</v>
      </c>
      <c r="C606" s="139" t="s">
        <v>458</v>
      </c>
      <c r="D606" s="18">
        <v>16005575.68</v>
      </c>
      <c r="E606" s="93">
        <v>0.95427341619999995</v>
      </c>
      <c r="F606" s="18">
        <v>15273695.380000001</v>
      </c>
      <c r="G606" s="18">
        <v>0.03</v>
      </c>
      <c r="H606" s="13"/>
      <c r="I606" s="13"/>
    </row>
    <row r="607" spans="1:9">
      <c r="A607" s="13" t="s">
        <v>1146</v>
      </c>
      <c r="B607" s="139" t="s">
        <v>688</v>
      </c>
      <c r="C607" s="139" t="s">
        <v>458</v>
      </c>
      <c r="D607" s="18">
        <v>16005575.68</v>
      </c>
      <c r="E607" s="93">
        <v>0.95509748309999998</v>
      </c>
      <c r="F607" s="18">
        <v>15286885.050000001</v>
      </c>
      <c r="G607" s="18">
        <v>0.03</v>
      </c>
      <c r="H607" s="13"/>
      <c r="I607" s="13"/>
    </row>
    <row r="608" spans="1:9">
      <c r="A608" s="13" t="s">
        <v>1147</v>
      </c>
      <c r="B608" s="139" t="s">
        <v>559</v>
      </c>
      <c r="C608" s="139" t="s">
        <v>458</v>
      </c>
      <c r="D608" s="18">
        <v>15230335.939999999</v>
      </c>
      <c r="E608" s="93">
        <v>0.96090574240000004</v>
      </c>
      <c r="F608" s="18">
        <v>14634917.26</v>
      </c>
      <c r="G608" s="18">
        <v>0.03</v>
      </c>
      <c r="H608" s="13"/>
      <c r="I608" s="13"/>
    </row>
    <row r="609" spans="1:9">
      <c r="A609" s="13" t="s">
        <v>1155</v>
      </c>
      <c r="B609" s="139" t="s">
        <v>571</v>
      </c>
      <c r="C609" s="139" t="s">
        <v>458</v>
      </c>
      <c r="D609" s="15">
        <v>3900000</v>
      </c>
      <c r="E609" s="93">
        <v>0.97273680019999997</v>
      </c>
      <c r="F609" s="18">
        <v>3793673.52</v>
      </c>
      <c r="G609" s="18">
        <v>0.01</v>
      </c>
      <c r="H609" s="13"/>
      <c r="I609" s="13"/>
    </row>
    <row r="610" spans="1:9">
      <c r="A610" s="13" t="s">
        <v>1156</v>
      </c>
      <c r="B610" s="139" t="s">
        <v>533</v>
      </c>
      <c r="C610" s="139" t="s">
        <v>458</v>
      </c>
      <c r="D610" s="15">
        <v>3900000</v>
      </c>
      <c r="E610" s="93">
        <v>0.97962916389999999</v>
      </c>
      <c r="F610" s="18">
        <v>3820553.74</v>
      </c>
      <c r="G610" s="18">
        <v>0.01</v>
      </c>
      <c r="H610" s="13"/>
      <c r="I610" s="13"/>
    </row>
    <row r="611" spans="1:9">
      <c r="A611" s="13" t="s">
        <v>1157</v>
      </c>
      <c r="B611" s="139" t="s">
        <v>604</v>
      </c>
      <c r="C611" s="139" t="s">
        <v>458</v>
      </c>
      <c r="D611" s="15">
        <v>3900000</v>
      </c>
      <c r="E611" s="154">
        <v>0.96763077600000003</v>
      </c>
      <c r="F611" s="18">
        <v>3773760.03</v>
      </c>
      <c r="G611" s="18">
        <v>0.01</v>
      </c>
      <c r="H611" s="13"/>
      <c r="I611" s="13"/>
    </row>
    <row r="612" spans="1:9">
      <c r="A612" s="13" t="s">
        <v>1158</v>
      </c>
      <c r="B612" s="139" t="s">
        <v>488</v>
      </c>
      <c r="C612" s="139" t="s">
        <v>458</v>
      </c>
      <c r="D612" s="151">
        <v>3812810.4</v>
      </c>
      <c r="E612" s="93">
        <v>0.96174116009999999</v>
      </c>
      <c r="F612" s="151">
        <v>3666936.7</v>
      </c>
      <c r="G612" s="18">
        <v>0.01</v>
      </c>
      <c r="H612" s="13"/>
      <c r="I612" s="13"/>
    </row>
    <row r="613" spans="1:9">
      <c r="A613" s="13" t="s">
        <v>1179</v>
      </c>
      <c r="B613" s="139" t="s">
        <v>192</v>
      </c>
      <c r="C613" s="139" t="s">
        <v>458</v>
      </c>
      <c r="D613" s="18">
        <v>6747533.79</v>
      </c>
      <c r="E613" s="93">
        <v>0.98661982150000005</v>
      </c>
      <c r="F613" s="18">
        <v>6657250.5800000001</v>
      </c>
      <c r="G613" s="18">
        <v>0.01</v>
      </c>
      <c r="H613" s="13"/>
      <c r="I613" s="13"/>
    </row>
    <row r="614" spans="1:9">
      <c r="A614" s="13" t="s">
        <v>1160</v>
      </c>
      <c r="B614" s="139" t="s">
        <v>557</v>
      </c>
      <c r="C614" s="139" t="s">
        <v>458</v>
      </c>
      <c r="D614" s="15">
        <v>3424300</v>
      </c>
      <c r="E614" s="93">
        <v>0.95017446149999996</v>
      </c>
      <c r="F614" s="18">
        <v>3253682.41</v>
      </c>
      <c r="G614" s="18">
        <v>0.01</v>
      </c>
      <c r="H614" s="13"/>
      <c r="I614" s="13"/>
    </row>
    <row r="615" spans="1:9">
      <c r="A615" s="13" t="s">
        <v>1162</v>
      </c>
      <c r="B615" s="139" t="s">
        <v>713</v>
      </c>
      <c r="C615" s="139" t="s">
        <v>458</v>
      </c>
      <c r="D615" s="15">
        <v>1524900</v>
      </c>
      <c r="E615" s="93">
        <v>0.95180986609999996</v>
      </c>
      <c r="F615" s="18">
        <v>1451414.86</v>
      </c>
      <c r="G615" s="15">
        <v>0</v>
      </c>
      <c r="H615" s="13"/>
      <c r="I615" s="13"/>
    </row>
    <row r="616" spans="1:9">
      <c r="A616" s="13" t="s">
        <v>1173</v>
      </c>
      <c r="B616" s="139" t="s">
        <v>713</v>
      </c>
      <c r="C616" s="139" t="s">
        <v>458</v>
      </c>
      <c r="D616" s="18">
        <v>2333401.2200000002</v>
      </c>
      <c r="E616" s="93">
        <v>0.94765826490000005</v>
      </c>
      <c r="F616" s="18">
        <v>2211266.9500000002</v>
      </c>
      <c r="G616" s="15">
        <v>0</v>
      </c>
      <c r="H616" s="13"/>
      <c r="I616" s="13"/>
    </row>
    <row r="617" spans="1:9">
      <c r="A617" s="13" t="s">
        <v>1174</v>
      </c>
      <c r="B617" s="139" t="s">
        <v>594</v>
      </c>
      <c r="C617" s="139" t="s">
        <v>458</v>
      </c>
      <c r="D617" s="18">
        <v>2333401.2200000002</v>
      </c>
      <c r="E617" s="93">
        <v>0.95300269429999995</v>
      </c>
      <c r="F617" s="18">
        <v>2223737.65</v>
      </c>
      <c r="G617" s="15">
        <v>0</v>
      </c>
      <c r="H617" s="13"/>
      <c r="I617" s="13"/>
    </row>
    <row r="618" spans="1:9">
      <c r="A618" s="13" t="s">
        <v>1175</v>
      </c>
      <c r="B618" s="139" t="s">
        <v>813</v>
      </c>
      <c r="C618" s="139" t="s">
        <v>458</v>
      </c>
      <c r="D618" s="18">
        <v>2333401.2200000002</v>
      </c>
      <c r="E618" s="93">
        <v>0.95210771490000001</v>
      </c>
      <c r="F618" s="151">
        <v>2221649.2999999998</v>
      </c>
      <c r="G618" s="15">
        <v>0</v>
      </c>
      <c r="H618" s="13"/>
      <c r="I618" s="13"/>
    </row>
    <row r="619" spans="1:9">
      <c r="A619" s="13" t="s">
        <v>1176</v>
      </c>
      <c r="B619" s="139" t="s">
        <v>688</v>
      </c>
      <c r="C619" s="139" t="s">
        <v>458</v>
      </c>
      <c r="D619" s="18">
        <v>2333401.2200000002</v>
      </c>
      <c r="E619" s="93">
        <v>0.95121458319999996</v>
      </c>
      <c r="F619" s="18">
        <v>2219565.27</v>
      </c>
      <c r="G619" s="15">
        <v>0</v>
      </c>
      <c r="H619" s="13"/>
      <c r="I619" s="13"/>
    </row>
    <row r="620" spans="1:9">
      <c r="A620" s="13" t="s">
        <v>1177</v>
      </c>
      <c r="B620" s="139" t="s">
        <v>855</v>
      </c>
      <c r="C620" s="139" t="s">
        <v>458</v>
      </c>
      <c r="D620" s="18">
        <v>2333401.2200000002</v>
      </c>
      <c r="E620" s="93">
        <v>0.95032295830000002</v>
      </c>
      <c r="F620" s="18">
        <v>2217484.75</v>
      </c>
      <c r="G620" s="15">
        <v>0</v>
      </c>
      <c r="H620" s="13"/>
      <c r="I620" s="13"/>
    </row>
    <row r="621" spans="1:9">
      <c r="A621" s="13" t="s">
        <v>1178</v>
      </c>
      <c r="B621" s="139" t="s">
        <v>852</v>
      </c>
      <c r="C621" s="139" t="s">
        <v>458</v>
      </c>
      <c r="D621" s="18">
        <v>2333401.2200000002</v>
      </c>
      <c r="E621" s="93">
        <v>0.95389934980000002</v>
      </c>
      <c r="F621" s="18">
        <v>2225829.91</v>
      </c>
      <c r="G621" s="15">
        <v>0</v>
      </c>
      <c r="H621" s="13"/>
      <c r="I621" s="13"/>
    </row>
    <row r="622" spans="1:9">
      <c r="A622" s="13" t="s">
        <v>1164</v>
      </c>
      <c r="B622" s="139" t="s">
        <v>559</v>
      </c>
      <c r="C622" s="139" t="s">
        <v>458</v>
      </c>
      <c r="D622" s="18">
        <v>2067824.35</v>
      </c>
      <c r="E622" s="93">
        <v>0.95750274989999995</v>
      </c>
      <c r="F622" s="151">
        <v>1979947.5</v>
      </c>
      <c r="G622" s="15">
        <v>0</v>
      </c>
      <c r="H622" s="13"/>
      <c r="I622" s="13"/>
    </row>
    <row r="623" spans="1:9">
      <c r="A623" s="13" t="s">
        <v>1165</v>
      </c>
      <c r="B623" s="139" t="s">
        <v>546</v>
      </c>
      <c r="C623" s="139" t="s">
        <v>458</v>
      </c>
      <c r="D623" s="18">
        <v>2067824.35</v>
      </c>
      <c r="E623" s="93">
        <v>0.95659931649999996</v>
      </c>
      <c r="F623" s="18">
        <v>1978079.36</v>
      </c>
      <c r="G623" s="15">
        <v>0</v>
      </c>
      <c r="H623" s="13"/>
      <c r="I623" s="13"/>
    </row>
    <row r="624" spans="1:9">
      <c r="A624" s="13" t="s">
        <v>1166</v>
      </c>
      <c r="B624" s="139" t="s">
        <v>852</v>
      </c>
      <c r="C624" s="139" t="s">
        <v>458</v>
      </c>
      <c r="D624" s="18">
        <v>2067824.35</v>
      </c>
      <c r="E624" s="93">
        <v>0.95389935219999999</v>
      </c>
      <c r="F624" s="18">
        <v>1972496.31</v>
      </c>
      <c r="G624" s="15">
        <v>0</v>
      </c>
      <c r="H624" s="13"/>
      <c r="I624" s="13"/>
    </row>
    <row r="625" spans="1:9">
      <c r="A625" s="13" t="s">
        <v>1167</v>
      </c>
      <c r="B625" s="139" t="s">
        <v>594</v>
      </c>
      <c r="C625" s="139" t="s">
        <v>458</v>
      </c>
      <c r="D625" s="18">
        <v>2067824.35</v>
      </c>
      <c r="E625" s="93">
        <v>0.95300269930000003</v>
      </c>
      <c r="F625" s="18">
        <v>1970642.19</v>
      </c>
      <c r="G625" s="15">
        <v>0</v>
      </c>
      <c r="H625" s="13"/>
      <c r="I625" s="13"/>
    </row>
    <row r="626" spans="1:9">
      <c r="A626" s="13" t="s">
        <v>1169</v>
      </c>
      <c r="B626" s="139" t="s">
        <v>192</v>
      </c>
      <c r="C626" s="139" t="s">
        <v>458</v>
      </c>
      <c r="D626" s="15">
        <v>13000000</v>
      </c>
      <c r="E626" s="93">
        <v>0.98661981990000003</v>
      </c>
      <c r="F626" s="18">
        <v>12826057.66</v>
      </c>
      <c r="G626" s="18">
        <v>0.02</v>
      </c>
      <c r="H626" s="13"/>
      <c r="I626" s="13"/>
    </row>
    <row r="627" spans="1:9">
      <c r="A627" s="13" t="s">
        <v>1170</v>
      </c>
      <c r="B627" s="139" t="s">
        <v>192</v>
      </c>
      <c r="C627" s="139" t="s">
        <v>458</v>
      </c>
      <c r="D627" s="15">
        <v>13000000</v>
      </c>
      <c r="E627" s="93">
        <v>0.98661981990000003</v>
      </c>
      <c r="F627" s="18">
        <v>12826057.66</v>
      </c>
      <c r="G627" s="18">
        <v>0.02</v>
      </c>
      <c r="H627" s="13"/>
      <c r="I627" s="13"/>
    </row>
    <row r="628" spans="1:9">
      <c r="A628" s="13" t="s">
        <v>1171</v>
      </c>
      <c r="B628" s="139" t="s">
        <v>192</v>
      </c>
      <c r="C628" s="139" t="s">
        <v>458</v>
      </c>
      <c r="D628" s="15">
        <v>13000000</v>
      </c>
      <c r="E628" s="93">
        <v>0.98661981990000003</v>
      </c>
      <c r="F628" s="18">
        <v>12826057.66</v>
      </c>
      <c r="G628" s="18">
        <v>0.02</v>
      </c>
      <c r="H628" s="13"/>
      <c r="I628" s="13"/>
    </row>
    <row r="629" spans="1:9">
      <c r="A629" s="13" t="s">
        <v>1180</v>
      </c>
      <c r="B629" s="139" t="s">
        <v>533</v>
      </c>
      <c r="C629" s="139" t="s">
        <v>398</v>
      </c>
      <c r="D629" s="15">
        <v>10000000</v>
      </c>
      <c r="E629" s="93">
        <v>0.98144664120000003</v>
      </c>
      <c r="F629" s="18">
        <v>9814466.4100000001</v>
      </c>
      <c r="G629" s="18">
        <v>0.02</v>
      </c>
      <c r="H629" s="13"/>
      <c r="I629" s="13"/>
    </row>
    <row r="630" spans="1:9">
      <c r="A630" s="13" t="s">
        <v>1181</v>
      </c>
      <c r="B630" s="139" t="s">
        <v>571</v>
      </c>
      <c r="C630" s="139" t="s">
        <v>398</v>
      </c>
      <c r="D630" s="15">
        <v>10000000</v>
      </c>
      <c r="E630" s="93">
        <v>0.97515372430000002</v>
      </c>
      <c r="F630" s="18">
        <v>9751537.2400000002</v>
      </c>
      <c r="G630" s="18">
        <v>0.02</v>
      </c>
      <c r="H630" s="13"/>
      <c r="I630" s="13"/>
    </row>
    <row r="631" spans="1:9">
      <c r="A631" s="13" t="s">
        <v>1182</v>
      </c>
      <c r="B631" s="139" t="s">
        <v>852</v>
      </c>
      <c r="C631" s="139" t="s">
        <v>398</v>
      </c>
      <c r="D631" s="15">
        <v>30000000</v>
      </c>
      <c r="E631" s="93">
        <v>0.95512234269999996</v>
      </c>
      <c r="F631" s="18">
        <v>28653670.280000001</v>
      </c>
      <c r="G631" s="18">
        <v>0.05</v>
      </c>
      <c r="H631" s="13"/>
      <c r="I631" s="13"/>
    </row>
    <row r="632" spans="1:9">
      <c r="A632" s="13" t="s">
        <v>1183</v>
      </c>
      <c r="B632" s="139" t="s">
        <v>746</v>
      </c>
      <c r="C632" s="139" t="s">
        <v>319</v>
      </c>
      <c r="D632" s="18">
        <v>9478811.3499999996</v>
      </c>
      <c r="E632" s="154">
        <v>0.90480924299999999</v>
      </c>
      <c r="F632" s="18">
        <v>8576516.1199999992</v>
      </c>
      <c r="G632" s="18">
        <v>0.02</v>
      </c>
      <c r="H632" s="13"/>
      <c r="I632" s="13"/>
    </row>
    <row r="633" spans="1:9">
      <c r="A633" s="13" t="s">
        <v>1184</v>
      </c>
      <c r="B633" s="139" t="s">
        <v>763</v>
      </c>
      <c r="C633" s="139" t="s">
        <v>319</v>
      </c>
      <c r="D633" s="15">
        <v>20000000</v>
      </c>
      <c r="E633" s="93">
        <v>0.93274046820000001</v>
      </c>
      <c r="F633" s="18">
        <v>18654809.359999999</v>
      </c>
      <c r="G633" s="18">
        <v>0.04</v>
      </c>
      <c r="H633" s="13"/>
      <c r="I633" s="13"/>
    </row>
    <row r="634" spans="1:9">
      <c r="A634" s="13" t="s">
        <v>1185</v>
      </c>
      <c r="B634" s="139" t="s">
        <v>677</v>
      </c>
      <c r="C634" s="139" t="s">
        <v>319</v>
      </c>
      <c r="D634" s="15">
        <v>9000000</v>
      </c>
      <c r="E634" s="93">
        <v>0.95574770320000002</v>
      </c>
      <c r="F634" s="18">
        <v>8601729.3300000001</v>
      </c>
      <c r="G634" s="18">
        <v>0.02</v>
      </c>
      <c r="H634" s="13"/>
      <c r="I634" s="13"/>
    </row>
    <row r="635" spans="1:9">
      <c r="A635" s="13" t="s">
        <v>1186</v>
      </c>
      <c r="B635" s="139" t="s">
        <v>681</v>
      </c>
      <c r="C635" s="139" t="s">
        <v>319</v>
      </c>
      <c r="D635" s="15">
        <v>9000000</v>
      </c>
      <c r="E635" s="93">
        <v>0.94992719469999998</v>
      </c>
      <c r="F635" s="18">
        <v>8549344.75</v>
      </c>
      <c r="G635" s="18">
        <v>0.02</v>
      </c>
      <c r="H635" s="13"/>
      <c r="I635" s="13"/>
    </row>
    <row r="636" spans="1:9">
      <c r="A636" s="13" t="s">
        <v>1187</v>
      </c>
      <c r="B636" s="139" t="s">
        <v>557</v>
      </c>
      <c r="C636" s="139" t="s">
        <v>319</v>
      </c>
      <c r="D636" s="15">
        <v>9000000</v>
      </c>
      <c r="E636" s="93">
        <v>0.96032425070000005</v>
      </c>
      <c r="F636" s="18">
        <v>8642918.2599999998</v>
      </c>
      <c r="G636" s="18">
        <v>0.02</v>
      </c>
      <c r="H636" s="13"/>
      <c r="I636" s="13"/>
    </row>
    <row r="637" spans="1:9">
      <c r="A637" s="13" t="s">
        <v>1188</v>
      </c>
      <c r="B637" s="139" t="s">
        <v>681</v>
      </c>
      <c r="C637" s="139" t="s">
        <v>319</v>
      </c>
      <c r="D637" s="15">
        <v>9000000</v>
      </c>
      <c r="E637" s="93">
        <v>0.94992719469999998</v>
      </c>
      <c r="F637" s="18">
        <v>8549344.75</v>
      </c>
      <c r="G637" s="18">
        <v>0.02</v>
      </c>
      <c r="H637" s="13"/>
      <c r="I637" s="13"/>
    </row>
    <row r="638" spans="1:9">
      <c r="A638" s="13" t="s">
        <v>1189</v>
      </c>
      <c r="B638" s="139" t="s">
        <v>716</v>
      </c>
      <c r="C638" s="139" t="s">
        <v>319</v>
      </c>
      <c r="D638" s="15">
        <v>2000000</v>
      </c>
      <c r="E638" s="93">
        <v>0.93326528659999997</v>
      </c>
      <c r="F638" s="18">
        <v>1866530.57</v>
      </c>
      <c r="G638" s="15">
        <v>0</v>
      </c>
      <c r="H638" s="13"/>
      <c r="I638" s="13"/>
    </row>
    <row r="639" spans="1:9">
      <c r="A639" s="13" t="s">
        <v>1190</v>
      </c>
      <c r="B639" s="139" t="s">
        <v>720</v>
      </c>
      <c r="C639" s="139" t="s">
        <v>319</v>
      </c>
      <c r="D639" s="15">
        <v>2000000</v>
      </c>
      <c r="E639" s="93">
        <v>0.92969952020000002</v>
      </c>
      <c r="F639" s="18">
        <v>1859399.04</v>
      </c>
      <c r="G639" s="15">
        <v>0</v>
      </c>
      <c r="H639" s="13"/>
      <c r="I639" s="13"/>
    </row>
    <row r="640" spans="1:9">
      <c r="A640" s="13" t="s">
        <v>1191</v>
      </c>
      <c r="B640" s="139" t="s">
        <v>748</v>
      </c>
      <c r="C640" s="139" t="s">
        <v>319</v>
      </c>
      <c r="D640" s="15">
        <v>35000000</v>
      </c>
      <c r="E640" s="93">
        <v>0.91694728049999996</v>
      </c>
      <c r="F640" s="18">
        <v>32093154.82</v>
      </c>
      <c r="G640" s="18">
        <v>0.06</v>
      </c>
      <c r="H640" s="13"/>
      <c r="I640" s="13"/>
    </row>
    <row r="641" spans="1:9">
      <c r="A641" s="13" t="s">
        <v>1192</v>
      </c>
      <c r="B641" s="139" t="s">
        <v>634</v>
      </c>
      <c r="C641" s="139" t="s">
        <v>319</v>
      </c>
      <c r="D641" s="15">
        <v>35000000</v>
      </c>
      <c r="E641" s="93">
        <v>0.91295662619999995</v>
      </c>
      <c r="F641" s="18">
        <v>31953481.920000002</v>
      </c>
      <c r="G641" s="18">
        <v>0.06</v>
      </c>
      <c r="H641" s="13"/>
      <c r="I641" s="13"/>
    </row>
    <row r="642" spans="1:9">
      <c r="A642" s="13" t="s">
        <v>1193</v>
      </c>
      <c r="B642" s="139" t="s">
        <v>746</v>
      </c>
      <c r="C642" s="139" t="s">
        <v>319</v>
      </c>
      <c r="D642" s="15">
        <v>30000000</v>
      </c>
      <c r="E642" s="93">
        <v>0.90768936259999999</v>
      </c>
      <c r="F642" s="18">
        <v>27230680.879999999</v>
      </c>
      <c r="G642" s="18">
        <v>0.05</v>
      </c>
      <c r="H642" s="13"/>
      <c r="I642" s="13"/>
    </row>
    <row r="643" spans="1:9">
      <c r="A643" s="13" t="s">
        <v>1194</v>
      </c>
      <c r="B643" s="139" t="s">
        <v>445</v>
      </c>
      <c r="C643" s="139" t="s">
        <v>319</v>
      </c>
      <c r="D643" s="15">
        <v>2500000</v>
      </c>
      <c r="E643" s="93">
        <v>0.99509270380000003</v>
      </c>
      <c r="F643" s="18">
        <v>2487731.7599999998</v>
      </c>
      <c r="G643" s="15">
        <v>0</v>
      </c>
      <c r="H643" s="13"/>
      <c r="I643" s="13"/>
    </row>
    <row r="644" spans="1:9">
      <c r="A644" s="13" t="s">
        <v>1195</v>
      </c>
      <c r="B644" s="139" t="s">
        <v>443</v>
      </c>
      <c r="C644" s="139" t="s">
        <v>319</v>
      </c>
      <c r="D644" s="15">
        <v>2500000</v>
      </c>
      <c r="E644" s="93">
        <v>0.99781302449999998</v>
      </c>
      <c r="F644" s="18">
        <v>2494532.56</v>
      </c>
      <c r="G644" s="15">
        <v>0</v>
      </c>
      <c r="H644" s="13"/>
      <c r="I644" s="13"/>
    </row>
    <row r="645" spans="1:9">
      <c r="A645" s="13" t="s">
        <v>1196</v>
      </c>
      <c r="B645" s="139" t="s">
        <v>452</v>
      </c>
      <c r="C645" s="139" t="s">
        <v>319</v>
      </c>
      <c r="D645" s="15">
        <v>2500000</v>
      </c>
      <c r="E645" s="154">
        <v>0.99890531100000002</v>
      </c>
      <c r="F645" s="18">
        <v>2497263.2799999998</v>
      </c>
      <c r="G645" s="15">
        <v>0</v>
      </c>
      <c r="H645" s="13"/>
      <c r="I645" s="13"/>
    </row>
    <row r="646" spans="1:9">
      <c r="A646" s="13" t="s">
        <v>1197</v>
      </c>
      <c r="B646" s="139" t="s">
        <v>571</v>
      </c>
      <c r="C646" s="139" t="s">
        <v>319</v>
      </c>
      <c r="D646" s="15">
        <v>2500000</v>
      </c>
      <c r="E646" s="154">
        <v>0.983297431</v>
      </c>
      <c r="F646" s="18">
        <v>2458243.58</v>
      </c>
      <c r="G646" s="15">
        <v>0</v>
      </c>
      <c r="H646" s="13"/>
      <c r="I646" s="13"/>
    </row>
    <row r="647" spans="1:9">
      <c r="A647" s="13" t="s">
        <v>1199</v>
      </c>
      <c r="B647" s="139" t="s">
        <v>571</v>
      </c>
      <c r="C647" s="139" t="s">
        <v>319</v>
      </c>
      <c r="D647" s="15">
        <v>2500000</v>
      </c>
      <c r="E647" s="154">
        <v>0.983297431</v>
      </c>
      <c r="F647" s="18">
        <v>2458243.58</v>
      </c>
      <c r="G647" s="15">
        <v>0</v>
      </c>
      <c r="H647" s="13"/>
      <c r="I647" s="13"/>
    </row>
    <row r="648" spans="1:9">
      <c r="A648" s="13" t="s">
        <v>1200</v>
      </c>
      <c r="B648" s="139" t="s">
        <v>387</v>
      </c>
      <c r="C648" s="139" t="s">
        <v>319</v>
      </c>
      <c r="D648" s="15">
        <v>2500000</v>
      </c>
      <c r="E648" s="93">
        <v>0.98648653980000001</v>
      </c>
      <c r="F648" s="18">
        <v>2466216.35</v>
      </c>
      <c r="G648" s="15">
        <v>0</v>
      </c>
      <c r="H648" s="13"/>
      <c r="I648" s="13"/>
    </row>
    <row r="649" spans="1:9">
      <c r="A649" s="13" t="s">
        <v>1201</v>
      </c>
      <c r="B649" s="139" t="s">
        <v>505</v>
      </c>
      <c r="C649" s="139" t="s">
        <v>319</v>
      </c>
      <c r="D649" s="15">
        <v>2500000</v>
      </c>
      <c r="E649" s="93">
        <v>0.98065563079999996</v>
      </c>
      <c r="F649" s="18">
        <v>2451639.08</v>
      </c>
      <c r="G649" s="15">
        <v>0</v>
      </c>
      <c r="H649" s="13"/>
      <c r="I649" s="13"/>
    </row>
    <row r="650" spans="1:9">
      <c r="A650" s="13" t="s">
        <v>1202</v>
      </c>
      <c r="B650" s="139" t="s">
        <v>604</v>
      </c>
      <c r="C650" s="139" t="s">
        <v>319</v>
      </c>
      <c r="D650" s="15">
        <v>2500000</v>
      </c>
      <c r="E650" s="93">
        <v>0.98012894620000002</v>
      </c>
      <c r="F650" s="18">
        <v>2450322.37</v>
      </c>
      <c r="G650" s="15">
        <v>0</v>
      </c>
      <c r="H650" s="13"/>
      <c r="I650" s="13"/>
    </row>
    <row r="651" spans="1:9">
      <c r="A651" s="13" t="s">
        <v>1203</v>
      </c>
      <c r="B651" s="139" t="s">
        <v>190</v>
      </c>
      <c r="C651" s="139" t="s">
        <v>319</v>
      </c>
      <c r="D651" s="15">
        <v>2500000</v>
      </c>
      <c r="E651" s="93">
        <v>0.9769808056</v>
      </c>
      <c r="F651" s="18">
        <v>2442452.0099999998</v>
      </c>
      <c r="G651" s="15">
        <v>0</v>
      </c>
      <c r="H651" s="13"/>
      <c r="I651" s="13"/>
    </row>
    <row r="652" spans="1:9">
      <c r="A652" s="13" t="s">
        <v>1204</v>
      </c>
      <c r="B652" s="139" t="s">
        <v>490</v>
      </c>
      <c r="C652" s="139" t="s">
        <v>319</v>
      </c>
      <c r="D652" s="15">
        <v>2500000</v>
      </c>
      <c r="E652" s="154">
        <v>0.99130909099999998</v>
      </c>
      <c r="F652" s="18">
        <v>2478272.73</v>
      </c>
      <c r="G652" s="15">
        <v>0</v>
      </c>
      <c r="H652" s="13"/>
      <c r="I652" s="13"/>
    </row>
    <row r="653" spans="1:9">
      <c r="A653" s="13" t="s">
        <v>1205</v>
      </c>
      <c r="B653" s="139" t="s">
        <v>842</v>
      </c>
      <c r="C653" s="139" t="s">
        <v>319</v>
      </c>
      <c r="D653" s="15">
        <v>2500000</v>
      </c>
      <c r="E653" s="93">
        <v>0.98862405310000001</v>
      </c>
      <c r="F653" s="18">
        <v>2471560.13</v>
      </c>
      <c r="G653" s="15">
        <v>0</v>
      </c>
      <c r="H653" s="13"/>
      <c r="I653" s="13"/>
    </row>
    <row r="654" spans="1:9">
      <c r="A654" s="13" t="s">
        <v>1206</v>
      </c>
      <c r="B654" s="139" t="s">
        <v>533</v>
      </c>
      <c r="C654" s="139" t="s">
        <v>319</v>
      </c>
      <c r="D654" s="15">
        <v>2500000</v>
      </c>
      <c r="E654" s="93">
        <v>0.98755413839999995</v>
      </c>
      <c r="F654" s="18">
        <v>2468885.35</v>
      </c>
      <c r="G654" s="15">
        <v>0</v>
      </c>
      <c r="H654" s="13"/>
      <c r="I654" s="13"/>
    </row>
    <row r="655" spans="1:9">
      <c r="A655" s="13" t="s">
        <v>1207</v>
      </c>
      <c r="B655" s="139" t="s">
        <v>329</v>
      </c>
      <c r="C655" s="139" t="s">
        <v>319</v>
      </c>
      <c r="D655" s="15">
        <v>2500000</v>
      </c>
      <c r="E655" s="93">
        <v>0.99455040979999998</v>
      </c>
      <c r="F655" s="18">
        <v>2486376.02</v>
      </c>
      <c r="G655" s="15">
        <v>0</v>
      </c>
      <c r="H655" s="13"/>
      <c r="I655" s="13"/>
    </row>
    <row r="656" spans="1:9">
      <c r="A656" s="13" t="s">
        <v>1208</v>
      </c>
      <c r="B656" s="139" t="s">
        <v>192</v>
      </c>
      <c r="C656" s="139" t="s">
        <v>319</v>
      </c>
      <c r="D656" s="15">
        <v>2500000</v>
      </c>
      <c r="E656" s="93">
        <v>0.99184784989999997</v>
      </c>
      <c r="F656" s="18">
        <v>2479619.62</v>
      </c>
      <c r="G656" s="15">
        <v>0</v>
      </c>
      <c r="H656" s="13"/>
      <c r="I656" s="13"/>
    </row>
    <row r="657" spans="1:9">
      <c r="A657" s="13" t="s">
        <v>1209</v>
      </c>
      <c r="B657" s="139" t="s">
        <v>604</v>
      </c>
      <c r="C657" s="139" t="s">
        <v>319</v>
      </c>
      <c r="D657" s="151">
        <v>169949.7</v>
      </c>
      <c r="E657" s="93">
        <v>0.97624905319999999</v>
      </c>
      <c r="F657" s="18">
        <v>165913.23000000001</v>
      </c>
      <c r="G657" s="15">
        <v>0</v>
      </c>
      <c r="H657" s="13"/>
      <c r="I657" s="13"/>
    </row>
    <row r="658" spans="1:9">
      <c r="A658" s="13" t="s">
        <v>1210</v>
      </c>
      <c r="B658" s="139" t="s">
        <v>677</v>
      </c>
      <c r="C658" s="139" t="s">
        <v>319</v>
      </c>
      <c r="D658" s="18">
        <v>685765.71</v>
      </c>
      <c r="E658" s="93">
        <v>0.9590122123</v>
      </c>
      <c r="F658" s="18">
        <v>657657.68999999994</v>
      </c>
      <c r="G658" s="15">
        <v>0</v>
      </c>
      <c r="H658" s="13"/>
      <c r="I658" s="13"/>
    </row>
    <row r="659" spans="1:9">
      <c r="A659" s="13" t="s">
        <v>1211</v>
      </c>
      <c r="B659" s="139" t="s">
        <v>449</v>
      </c>
      <c r="C659" s="139" t="s">
        <v>319</v>
      </c>
      <c r="D659" s="18">
        <v>1068909.47</v>
      </c>
      <c r="E659" s="93">
        <v>0.99541837690000001</v>
      </c>
      <c r="F659" s="18">
        <v>1064012.1299999999</v>
      </c>
      <c r="G659" s="15">
        <v>0</v>
      </c>
      <c r="H659" s="13"/>
      <c r="I659" s="13"/>
    </row>
    <row r="660" spans="1:9">
      <c r="A660" s="13" t="s">
        <v>1212</v>
      </c>
      <c r="B660" s="139" t="s">
        <v>449</v>
      </c>
      <c r="C660" s="139" t="s">
        <v>319</v>
      </c>
      <c r="D660" s="18">
        <v>505653.95</v>
      </c>
      <c r="E660" s="93">
        <v>0.99541838829999996</v>
      </c>
      <c r="F660" s="18">
        <v>503337.24</v>
      </c>
      <c r="G660" s="15">
        <v>0</v>
      </c>
      <c r="H660" s="13"/>
      <c r="I660" s="13"/>
    </row>
    <row r="661" spans="1:9">
      <c r="A661" s="13" t="s">
        <v>1213</v>
      </c>
      <c r="B661" s="139" t="s">
        <v>604</v>
      </c>
      <c r="C661" s="139" t="s">
        <v>319</v>
      </c>
      <c r="D661" s="151">
        <v>169949.7</v>
      </c>
      <c r="E661" s="93">
        <v>0.97624905319999999</v>
      </c>
      <c r="F661" s="18">
        <v>165913.23000000001</v>
      </c>
      <c r="G661" s="15">
        <v>0</v>
      </c>
      <c r="H661" s="13"/>
      <c r="I661" s="13"/>
    </row>
    <row r="662" spans="1:9">
      <c r="A662" s="13" t="s">
        <v>1214</v>
      </c>
      <c r="B662" s="139" t="s">
        <v>677</v>
      </c>
      <c r="C662" s="139" t="s">
        <v>319</v>
      </c>
      <c r="D662" s="18">
        <v>535280.22</v>
      </c>
      <c r="E662" s="93">
        <v>0.95901218939999999</v>
      </c>
      <c r="F662" s="18">
        <v>513340.26</v>
      </c>
      <c r="G662" s="15">
        <v>0</v>
      </c>
      <c r="H662" s="13"/>
      <c r="I662" s="13"/>
    </row>
    <row r="663" spans="1:9">
      <c r="A663" s="13" t="s">
        <v>1215</v>
      </c>
      <c r="B663" s="139" t="s">
        <v>677</v>
      </c>
      <c r="C663" s="139" t="s">
        <v>319</v>
      </c>
      <c r="D663" s="18">
        <v>535280.22</v>
      </c>
      <c r="E663" s="93">
        <v>0.95901218939999999</v>
      </c>
      <c r="F663" s="18">
        <v>513340.26</v>
      </c>
      <c r="G663" s="15">
        <v>0</v>
      </c>
      <c r="H663" s="13"/>
      <c r="I663" s="13"/>
    </row>
    <row r="664" spans="1:9">
      <c r="A664" s="13" t="s">
        <v>1216</v>
      </c>
      <c r="B664" s="139" t="s">
        <v>677</v>
      </c>
      <c r="C664" s="139" t="s">
        <v>319</v>
      </c>
      <c r="D664" s="18">
        <v>689115.82</v>
      </c>
      <c r="E664" s="93">
        <v>0.9590122123</v>
      </c>
      <c r="F664" s="18">
        <v>660870.49</v>
      </c>
      <c r="G664" s="15">
        <v>0</v>
      </c>
      <c r="H664" s="13"/>
      <c r="I664" s="13"/>
    </row>
    <row r="665" spans="1:9">
      <c r="A665" s="13" t="s">
        <v>1217</v>
      </c>
      <c r="B665" s="139" t="s">
        <v>677</v>
      </c>
      <c r="C665" s="139" t="s">
        <v>319</v>
      </c>
      <c r="D665" s="18">
        <v>2688265.68</v>
      </c>
      <c r="E665" s="93">
        <v>0.95901220249999997</v>
      </c>
      <c r="F665" s="18">
        <v>2578079.59</v>
      </c>
      <c r="G665" s="15">
        <v>0</v>
      </c>
      <c r="H665" s="13"/>
      <c r="I665" s="13"/>
    </row>
    <row r="666" spans="1:9">
      <c r="A666" s="13" t="s">
        <v>1218</v>
      </c>
      <c r="B666" s="139" t="s">
        <v>449</v>
      </c>
      <c r="C666" s="139" t="s">
        <v>319</v>
      </c>
      <c r="D666" s="151">
        <v>8802443.9000000004</v>
      </c>
      <c r="E666" s="93">
        <v>0.9954183727</v>
      </c>
      <c r="F666" s="18">
        <v>8762114.3800000008</v>
      </c>
      <c r="G666" s="18">
        <v>0.02</v>
      </c>
      <c r="H666" s="13"/>
      <c r="I666" s="13"/>
    </row>
    <row r="667" spans="1:9">
      <c r="A667" s="13" t="s">
        <v>1219</v>
      </c>
      <c r="B667" s="139" t="s">
        <v>449</v>
      </c>
      <c r="C667" s="139" t="s">
        <v>319</v>
      </c>
      <c r="D667" s="18">
        <v>970094.59</v>
      </c>
      <c r="E667" s="93">
        <v>0.99541836719999999</v>
      </c>
      <c r="F667" s="18">
        <v>965649.97</v>
      </c>
      <c r="G667" s="15">
        <v>0</v>
      </c>
      <c r="H667" s="13"/>
      <c r="I667" s="13"/>
    </row>
    <row r="668" spans="1:9">
      <c r="A668" s="13" t="s">
        <v>1220</v>
      </c>
      <c r="B668" s="139" t="s">
        <v>449</v>
      </c>
      <c r="C668" s="139" t="s">
        <v>319</v>
      </c>
      <c r="D668" s="151">
        <v>1044096.2</v>
      </c>
      <c r="E668" s="93">
        <v>0.99541837749999995</v>
      </c>
      <c r="F668" s="18">
        <v>1039312.55</v>
      </c>
      <c r="G668" s="15">
        <v>0</v>
      </c>
      <c r="H668" s="13"/>
      <c r="I668" s="13"/>
    </row>
    <row r="669" spans="1:9">
      <c r="A669" s="13" t="s">
        <v>1221</v>
      </c>
      <c r="B669" s="139" t="s">
        <v>449</v>
      </c>
      <c r="C669" s="139" t="s">
        <v>319</v>
      </c>
      <c r="D669" s="18">
        <v>3745855.84</v>
      </c>
      <c r="E669" s="93">
        <v>0.99541837290000001</v>
      </c>
      <c r="F669" s="18">
        <v>3728693.73</v>
      </c>
      <c r="G669" s="18">
        <v>0.01</v>
      </c>
      <c r="H669" s="13"/>
      <c r="I669" s="13"/>
    </row>
    <row r="670" spans="1:9">
      <c r="A670" s="13" t="s">
        <v>1222</v>
      </c>
      <c r="B670" s="139" t="s">
        <v>449</v>
      </c>
      <c r="C670" s="139" t="s">
        <v>319</v>
      </c>
      <c r="D670" s="18">
        <v>128742.88</v>
      </c>
      <c r="E670" s="93">
        <v>0.99541839570000001</v>
      </c>
      <c r="F670" s="18">
        <v>128153.03</v>
      </c>
      <c r="G670" s="15">
        <v>0</v>
      </c>
      <c r="H670" s="13"/>
      <c r="I670" s="13"/>
    </row>
    <row r="671" spans="1:9">
      <c r="A671" s="13" t="s">
        <v>1223</v>
      </c>
      <c r="B671" s="139" t="s">
        <v>449</v>
      </c>
      <c r="C671" s="139" t="s">
        <v>319</v>
      </c>
      <c r="D671" s="18">
        <v>84170.31</v>
      </c>
      <c r="E671" s="93">
        <v>0.99541845920000005</v>
      </c>
      <c r="F671" s="18">
        <v>83784.679999999993</v>
      </c>
      <c r="G671" s="15">
        <v>0</v>
      </c>
      <c r="H671" s="13"/>
      <c r="I671" s="13"/>
    </row>
    <row r="672" spans="1:9">
      <c r="A672" s="13" t="s">
        <v>1224</v>
      </c>
      <c r="B672" s="139" t="s">
        <v>449</v>
      </c>
      <c r="C672" s="139" t="s">
        <v>319</v>
      </c>
      <c r="D672" s="151">
        <v>1044096.2</v>
      </c>
      <c r="E672" s="93">
        <v>0.99541837749999995</v>
      </c>
      <c r="F672" s="18">
        <v>1039312.55</v>
      </c>
      <c r="G672" s="15">
        <v>0</v>
      </c>
      <c r="H672" s="13"/>
      <c r="I672" s="13"/>
    </row>
    <row r="673" spans="1:9">
      <c r="A673" s="13" t="s">
        <v>1225</v>
      </c>
      <c r="B673" s="139" t="s">
        <v>604</v>
      </c>
      <c r="C673" s="139" t="s">
        <v>319</v>
      </c>
      <c r="D673" s="18">
        <v>2382065.5699999998</v>
      </c>
      <c r="E673" s="93">
        <v>0.97624911989999996</v>
      </c>
      <c r="F673" s="18">
        <v>2325489.42</v>
      </c>
      <c r="G673" s="15">
        <v>0</v>
      </c>
      <c r="H673" s="13"/>
      <c r="I673" s="13"/>
    </row>
    <row r="674" spans="1:9">
      <c r="A674" s="13" t="s">
        <v>1226</v>
      </c>
      <c r="B674" s="139" t="s">
        <v>490</v>
      </c>
      <c r="C674" s="139" t="s">
        <v>319</v>
      </c>
      <c r="D674" s="18">
        <v>1484637.46</v>
      </c>
      <c r="E674" s="93">
        <v>0.98958898640000004</v>
      </c>
      <c r="F674" s="18">
        <v>1469180.88</v>
      </c>
      <c r="G674" s="15">
        <v>0</v>
      </c>
      <c r="H674" s="13"/>
      <c r="I674" s="13"/>
    </row>
    <row r="675" spans="1:9">
      <c r="A675" s="13" t="s">
        <v>1227</v>
      </c>
      <c r="B675" s="139" t="s">
        <v>445</v>
      </c>
      <c r="C675" s="139" t="s">
        <v>319</v>
      </c>
      <c r="D675" s="15">
        <v>100000000</v>
      </c>
      <c r="E675" s="28">
        <v>0.99265707000000003</v>
      </c>
      <c r="F675" s="15">
        <v>99265707</v>
      </c>
      <c r="G675" s="18">
        <v>0.19</v>
      </c>
      <c r="H675" s="13"/>
      <c r="I675" s="13"/>
    </row>
    <row r="676" spans="1:9">
      <c r="A676" s="13" t="s">
        <v>1228</v>
      </c>
      <c r="B676" s="139" t="s">
        <v>385</v>
      </c>
      <c r="C676" s="139" t="s">
        <v>319</v>
      </c>
      <c r="D676" s="15">
        <v>100000000</v>
      </c>
      <c r="E676" s="93">
        <v>0.9910399513</v>
      </c>
      <c r="F676" s="18">
        <v>99103995.129999995</v>
      </c>
      <c r="G676" s="18">
        <v>0.19</v>
      </c>
      <c r="H676" s="13"/>
      <c r="I676" s="13"/>
    </row>
    <row r="677" spans="1:9">
      <c r="A677" s="13" t="s">
        <v>1229</v>
      </c>
      <c r="B677" s="139" t="s">
        <v>329</v>
      </c>
      <c r="C677" s="139" t="s">
        <v>319</v>
      </c>
      <c r="D677" s="15">
        <v>100000000</v>
      </c>
      <c r="E677" s="93">
        <v>0.99184782660000004</v>
      </c>
      <c r="F677" s="18">
        <v>99184782.659999996</v>
      </c>
      <c r="G677" s="18">
        <v>0.19</v>
      </c>
      <c r="H677" s="13"/>
      <c r="I677" s="13"/>
    </row>
    <row r="678" spans="1:9">
      <c r="A678" s="13" t="s">
        <v>1230</v>
      </c>
      <c r="B678" s="139" t="s">
        <v>443</v>
      </c>
      <c r="C678" s="139" t="s">
        <v>319</v>
      </c>
      <c r="D678" s="18">
        <v>2429673.98</v>
      </c>
      <c r="E678" s="93">
        <v>0.99639660880000003</v>
      </c>
      <c r="F678" s="18">
        <v>2420918.91</v>
      </c>
      <c r="G678" s="15">
        <v>0</v>
      </c>
      <c r="H678" s="13"/>
      <c r="I678" s="13"/>
    </row>
    <row r="679" spans="1:9">
      <c r="A679" s="13" t="s">
        <v>1231</v>
      </c>
      <c r="B679" s="139" t="s">
        <v>445</v>
      </c>
      <c r="C679" s="139" t="s">
        <v>319</v>
      </c>
      <c r="D679" s="18">
        <v>1573636.95</v>
      </c>
      <c r="E679" s="28">
        <v>0.99192871000000005</v>
      </c>
      <c r="F679" s="18">
        <v>1560935.67</v>
      </c>
      <c r="G679" s="15">
        <v>0</v>
      </c>
      <c r="H679" s="13"/>
      <c r="I679" s="13"/>
    </row>
    <row r="680" spans="1:9">
      <c r="A680" s="13" t="s">
        <v>1233</v>
      </c>
      <c r="B680" s="139" t="s">
        <v>168</v>
      </c>
      <c r="C680" s="139" t="s">
        <v>319</v>
      </c>
      <c r="D680" s="15">
        <v>1000000</v>
      </c>
      <c r="E680" s="93">
        <v>0.99909670880000001</v>
      </c>
      <c r="F680" s="18">
        <v>999096.71</v>
      </c>
      <c r="G680" s="15">
        <v>0</v>
      </c>
      <c r="H680" s="13"/>
      <c r="I680" s="13"/>
    </row>
    <row r="681" spans="1:9">
      <c r="A681" s="13" t="s">
        <v>1234</v>
      </c>
      <c r="B681" s="139" t="s">
        <v>454</v>
      </c>
      <c r="C681" s="139" t="s">
        <v>319</v>
      </c>
      <c r="D681" s="18">
        <v>1215528.29</v>
      </c>
      <c r="E681" s="154">
        <v>0.99281908500000005</v>
      </c>
      <c r="F681" s="18">
        <v>1206799.68</v>
      </c>
      <c r="G681" s="15">
        <v>0</v>
      </c>
      <c r="H681" s="13"/>
      <c r="I681" s="13"/>
    </row>
    <row r="682" spans="1:9">
      <c r="A682" s="13" t="s">
        <v>1235</v>
      </c>
      <c r="B682" s="139" t="s">
        <v>452</v>
      </c>
      <c r="C682" s="139" t="s">
        <v>319</v>
      </c>
      <c r="D682" s="15">
        <v>1666000</v>
      </c>
      <c r="E682" s="93">
        <v>0.99819504719999996</v>
      </c>
      <c r="F682" s="18">
        <v>1662992.95</v>
      </c>
      <c r="G682" s="15">
        <v>0</v>
      </c>
      <c r="H682" s="13"/>
      <c r="I682" s="13"/>
    </row>
    <row r="683" spans="1:9">
      <c r="A683" s="13" t="s">
        <v>1236</v>
      </c>
      <c r="B683" s="139" t="s">
        <v>445</v>
      </c>
      <c r="C683" s="139" t="s">
        <v>319</v>
      </c>
      <c r="D683" s="18">
        <v>1103671.3799999999</v>
      </c>
      <c r="E683" s="93">
        <v>0.99192870509999997</v>
      </c>
      <c r="F683" s="18">
        <v>1094763.32</v>
      </c>
      <c r="G683" s="15">
        <v>0</v>
      </c>
      <c r="H683" s="13"/>
      <c r="I683" s="13"/>
    </row>
    <row r="684" spans="1:9">
      <c r="A684" s="13" t="s">
        <v>1237</v>
      </c>
      <c r="B684" s="139" t="s">
        <v>188</v>
      </c>
      <c r="C684" s="139" t="s">
        <v>319</v>
      </c>
      <c r="D684" s="15">
        <v>3000000</v>
      </c>
      <c r="E684" s="93">
        <v>0.97359302039999995</v>
      </c>
      <c r="F684" s="18">
        <v>2920779.06</v>
      </c>
      <c r="G684" s="18">
        <v>0.01</v>
      </c>
      <c r="H684" s="13"/>
      <c r="I684" s="13"/>
    </row>
    <row r="685" spans="1:9">
      <c r="A685" s="13" t="s">
        <v>1238</v>
      </c>
      <c r="B685" s="139" t="s">
        <v>505</v>
      </c>
      <c r="C685" s="139" t="s">
        <v>319</v>
      </c>
      <c r="D685" s="15">
        <v>3000000</v>
      </c>
      <c r="E685" s="93">
        <v>0.96847814119999998</v>
      </c>
      <c r="F685" s="18">
        <v>2905434.42</v>
      </c>
      <c r="G685" s="18">
        <v>0.01</v>
      </c>
      <c r="H685" s="13"/>
      <c r="I685" s="13"/>
    </row>
    <row r="686" spans="1:9">
      <c r="A686" s="13" t="s">
        <v>1239</v>
      </c>
      <c r="B686" s="139" t="s">
        <v>454</v>
      </c>
      <c r="C686" s="139" t="s">
        <v>319</v>
      </c>
      <c r="D686" s="15">
        <v>3000000</v>
      </c>
      <c r="E686" s="93">
        <v>0.99281908829999999</v>
      </c>
      <c r="F686" s="18">
        <v>2978457.26</v>
      </c>
      <c r="G686" s="18">
        <v>0.01</v>
      </c>
      <c r="H686" s="13"/>
      <c r="I686" s="13"/>
    </row>
    <row r="687" spans="1:9">
      <c r="A687" s="13" t="s">
        <v>1240</v>
      </c>
      <c r="B687" s="139" t="s">
        <v>190</v>
      </c>
      <c r="C687" s="139" t="s">
        <v>319</v>
      </c>
      <c r="D687" s="15">
        <v>3000000</v>
      </c>
      <c r="E687" s="154">
        <v>0.96257825699999999</v>
      </c>
      <c r="F687" s="18">
        <v>2887734.77</v>
      </c>
      <c r="G687" s="18">
        <v>0.01</v>
      </c>
      <c r="H687" s="13"/>
      <c r="I687" s="13"/>
    </row>
    <row r="688" spans="1:9">
      <c r="A688" s="13" t="s">
        <v>1241</v>
      </c>
      <c r="B688" s="139" t="s">
        <v>192</v>
      </c>
      <c r="C688" s="139" t="s">
        <v>319</v>
      </c>
      <c r="D688" s="15">
        <v>3000000</v>
      </c>
      <c r="E688" s="93">
        <v>0.98661985669999996</v>
      </c>
      <c r="F688" s="18">
        <v>2959859.57</v>
      </c>
      <c r="G688" s="18">
        <v>0.01</v>
      </c>
      <c r="H688" s="13"/>
      <c r="I688" s="13"/>
    </row>
    <row r="689" spans="1:9">
      <c r="A689" s="13" t="s">
        <v>1242</v>
      </c>
      <c r="B689" s="139" t="s">
        <v>501</v>
      </c>
      <c r="C689" s="139" t="s">
        <v>319</v>
      </c>
      <c r="D689" s="15">
        <v>3000000</v>
      </c>
      <c r="E689" s="93">
        <v>0.98049757069999999</v>
      </c>
      <c r="F689" s="18">
        <v>2941492.71</v>
      </c>
      <c r="G689" s="18">
        <v>0.01</v>
      </c>
      <c r="H689" s="13"/>
      <c r="I689" s="13"/>
    </row>
    <row r="690" spans="1:9">
      <c r="A690" s="13" t="s">
        <v>1243</v>
      </c>
      <c r="B690" s="139" t="s">
        <v>426</v>
      </c>
      <c r="C690" s="139" t="s">
        <v>319</v>
      </c>
      <c r="D690" s="15">
        <v>1701000</v>
      </c>
      <c r="E690" s="154">
        <v>0.98398669299999997</v>
      </c>
      <c r="F690" s="18">
        <v>1673761.36</v>
      </c>
      <c r="G690" s="15">
        <v>0</v>
      </c>
      <c r="H690" s="13"/>
      <c r="I690" s="13"/>
    </row>
    <row r="691" spans="1:9">
      <c r="A691" s="13" t="s">
        <v>1244</v>
      </c>
      <c r="B691" s="139" t="s">
        <v>391</v>
      </c>
      <c r="C691" s="139" t="s">
        <v>319</v>
      </c>
      <c r="D691" s="15">
        <v>1701000</v>
      </c>
      <c r="E691" s="93">
        <v>0.9744507925</v>
      </c>
      <c r="F691" s="151">
        <v>1657540.8</v>
      </c>
      <c r="G691" s="15">
        <v>0</v>
      </c>
      <c r="H691" s="13"/>
      <c r="I691" s="13"/>
    </row>
    <row r="692" spans="1:9">
      <c r="A692" s="13" t="s">
        <v>1245</v>
      </c>
      <c r="B692" s="139" t="s">
        <v>549</v>
      </c>
      <c r="C692" s="139" t="s">
        <v>319</v>
      </c>
      <c r="D692" s="18">
        <v>1698044.02</v>
      </c>
      <c r="E692" s="93">
        <v>0.97188209969999995</v>
      </c>
      <c r="F692" s="18">
        <v>1650298.59</v>
      </c>
      <c r="G692" s="15">
        <v>0</v>
      </c>
      <c r="H692" s="13"/>
      <c r="I692" s="13"/>
    </row>
    <row r="693" spans="1:9">
      <c r="A693" s="13" t="s">
        <v>1246</v>
      </c>
      <c r="B693" s="139" t="s">
        <v>452</v>
      </c>
      <c r="C693" s="139" t="s">
        <v>319</v>
      </c>
      <c r="D693" s="15">
        <v>1701000</v>
      </c>
      <c r="E693" s="93">
        <v>0.99819504879999998</v>
      </c>
      <c r="F693" s="18">
        <v>1697929.78</v>
      </c>
      <c r="G693" s="15">
        <v>0</v>
      </c>
      <c r="H693" s="13"/>
      <c r="I693" s="13"/>
    </row>
    <row r="694" spans="1:9">
      <c r="A694" s="13" t="s">
        <v>1247</v>
      </c>
      <c r="B694" s="139" t="s">
        <v>445</v>
      </c>
      <c r="C694" s="139" t="s">
        <v>319</v>
      </c>
      <c r="D694" s="15">
        <v>1701000</v>
      </c>
      <c r="E694" s="93">
        <v>0.99192870460000004</v>
      </c>
      <c r="F694" s="18">
        <v>1687270.73</v>
      </c>
      <c r="G694" s="15">
        <v>0</v>
      </c>
      <c r="H694" s="13"/>
      <c r="I694" s="13"/>
    </row>
    <row r="695" spans="1:9">
      <c r="A695" s="13" t="s">
        <v>1248</v>
      </c>
      <c r="B695" s="139" t="s">
        <v>452</v>
      </c>
      <c r="C695" s="139" t="s">
        <v>319</v>
      </c>
      <c r="D695" s="15">
        <v>2300000</v>
      </c>
      <c r="E695" s="93">
        <v>0.99819504469999998</v>
      </c>
      <c r="F695" s="151">
        <v>2295848.6</v>
      </c>
      <c r="G695" s="15">
        <v>0</v>
      </c>
      <c r="H695" s="13"/>
      <c r="I695" s="13"/>
    </row>
    <row r="696" spans="1:9">
      <c r="A696" s="13" t="s">
        <v>1249</v>
      </c>
      <c r="B696" s="139" t="s">
        <v>445</v>
      </c>
      <c r="C696" s="139" t="s">
        <v>319</v>
      </c>
      <c r="D696" s="15">
        <v>2300000</v>
      </c>
      <c r="E696" s="93">
        <v>0.99192870710000003</v>
      </c>
      <c r="F696" s="18">
        <v>2281436.0299999998</v>
      </c>
      <c r="G696" s="15">
        <v>0</v>
      </c>
      <c r="H696" s="13"/>
      <c r="I696" s="13"/>
    </row>
    <row r="697" spans="1:9">
      <c r="A697" s="13" t="s">
        <v>1251</v>
      </c>
      <c r="B697" s="139" t="s">
        <v>616</v>
      </c>
      <c r="C697" s="139" t="s">
        <v>319</v>
      </c>
      <c r="D697" s="15">
        <v>1319000</v>
      </c>
      <c r="E697" s="93">
        <v>0.98486280240000001</v>
      </c>
      <c r="F697" s="18">
        <v>1299034.04</v>
      </c>
      <c r="G697" s="15">
        <v>0</v>
      </c>
      <c r="H697" s="13"/>
      <c r="I697" s="13"/>
    </row>
    <row r="698" spans="1:9">
      <c r="A698" s="13" t="s">
        <v>1252</v>
      </c>
      <c r="B698" s="139" t="s">
        <v>445</v>
      </c>
      <c r="C698" s="139" t="s">
        <v>319</v>
      </c>
      <c r="D698" s="15">
        <v>1318130</v>
      </c>
      <c r="E698" s="93">
        <v>0.99192870629999996</v>
      </c>
      <c r="F698" s="18">
        <v>1307490.99</v>
      </c>
      <c r="G698" s="15">
        <v>0</v>
      </c>
      <c r="H698" s="13"/>
      <c r="I698" s="13"/>
    </row>
    <row r="699" spans="1:9">
      <c r="A699" s="13" t="s">
        <v>1253</v>
      </c>
      <c r="B699" s="139" t="s">
        <v>557</v>
      </c>
      <c r="C699" s="139" t="s">
        <v>319</v>
      </c>
      <c r="D699" s="15">
        <v>40000000</v>
      </c>
      <c r="E699" s="93">
        <v>0.9501745519</v>
      </c>
      <c r="F699" s="18">
        <v>38006982.079999998</v>
      </c>
      <c r="G699" s="18">
        <v>7.0000000000000007E-2</v>
      </c>
      <c r="H699" s="13"/>
      <c r="I699" s="13"/>
    </row>
    <row r="700" spans="1:9">
      <c r="A700" s="13" t="s">
        <v>1254</v>
      </c>
      <c r="B700" s="139" t="s">
        <v>561</v>
      </c>
      <c r="C700" s="139" t="s">
        <v>319</v>
      </c>
      <c r="D700" s="15">
        <v>40000000</v>
      </c>
      <c r="E700" s="93">
        <v>0.9493589509</v>
      </c>
      <c r="F700" s="18">
        <v>37974358.039999999</v>
      </c>
      <c r="G700" s="18">
        <v>7.0000000000000007E-2</v>
      </c>
      <c r="H700" s="13"/>
      <c r="I700" s="13"/>
    </row>
    <row r="701" spans="1:9">
      <c r="A701" s="13" t="s">
        <v>1255</v>
      </c>
      <c r="B701" s="139" t="s">
        <v>168</v>
      </c>
      <c r="C701" s="139" t="s">
        <v>319</v>
      </c>
      <c r="D701" s="18">
        <v>1583767.68</v>
      </c>
      <c r="E701" s="93">
        <v>0.99909670859999999</v>
      </c>
      <c r="F701" s="18">
        <v>1582337.08</v>
      </c>
      <c r="G701" s="15">
        <v>0</v>
      </c>
      <c r="H701" s="13"/>
      <c r="I701" s="13"/>
    </row>
    <row r="702" spans="1:9">
      <c r="A702" s="13" t="s">
        <v>1257</v>
      </c>
      <c r="B702" s="139" t="s">
        <v>606</v>
      </c>
      <c r="C702" s="139" t="s">
        <v>319</v>
      </c>
      <c r="D702" s="15">
        <v>2387682</v>
      </c>
      <c r="E702" s="93">
        <v>0.99729502150000005</v>
      </c>
      <c r="F702" s="18">
        <v>2381223.37</v>
      </c>
      <c r="G702" s="15">
        <v>0</v>
      </c>
      <c r="H702" s="13"/>
      <c r="I702" s="13"/>
    </row>
    <row r="703" spans="1:9">
      <c r="A703" s="13" t="s">
        <v>1258</v>
      </c>
      <c r="B703" s="139" t="s">
        <v>168</v>
      </c>
      <c r="C703" s="139" t="s">
        <v>319</v>
      </c>
      <c r="D703" s="15">
        <v>1100000</v>
      </c>
      <c r="E703" s="93">
        <v>0.99909671109999998</v>
      </c>
      <c r="F703" s="18">
        <v>1099006.3799999999</v>
      </c>
      <c r="G703" s="15">
        <v>0</v>
      </c>
      <c r="H703" s="13"/>
      <c r="I703" s="13"/>
    </row>
    <row r="704" spans="1:9">
      <c r="A704" s="13" t="s">
        <v>1259</v>
      </c>
      <c r="B704" s="139" t="s">
        <v>443</v>
      </c>
      <c r="C704" s="139" t="s">
        <v>319</v>
      </c>
      <c r="D704" s="151">
        <v>1134249.7</v>
      </c>
      <c r="E704" s="93">
        <v>0.9963966071</v>
      </c>
      <c r="F704" s="18">
        <v>1130162.55</v>
      </c>
      <c r="G704" s="15">
        <v>0</v>
      </c>
      <c r="H704" s="13"/>
      <c r="I704" s="13"/>
    </row>
    <row r="705" spans="1:9">
      <c r="A705" s="13" t="s">
        <v>1260</v>
      </c>
      <c r="B705" s="139" t="s">
        <v>452</v>
      </c>
      <c r="C705" s="139" t="s">
        <v>319</v>
      </c>
      <c r="D705" s="151">
        <v>1211666.8</v>
      </c>
      <c r="E705" s="93">
        <v>0.99819504739999998</v>
      </c>
      <c r="F705" s="151">
        <v>1209479.8</v>
      </c>
      <c r="G705" s="15">
        <v>0</v>
      </c>
      <c r="H705" s="13"/>
      <c r="I705" s="13"/>
    </row>
    <row r="706" spans="1:9">
      <c r="A706" s="13" t="s">
        <v>1261</v>
      </c>
      <c r="B706" s="139" t="s">
        <v>452</v>
      </c>
      <c r="C706" s="139" t="s">
        <v>319</v>
      </c>
      <c r="D706" s="18">
        <v>2368425.38</v>
      </c>
      <c r="E706" s="93">
        <v>0.9981950477</v>
      </c>
      <c r="F706" s="18">
        <v>2364150.4900000002</v>
      </c>
      <c r="G706" s="15">
        <v>0</v>
      </c>
      <c r="H706" s="13"/>
      <c r="I706" s="13"/>
    </row>
    <row r="707" spans="1:9">
      <c r="A707" s="13" t="s">
        <v>1262</v>
      </c>
      <c r="B707" s="139" t="s">
        <v>449</v>
      </c>
      <c r="C707" s="139" t="s">
        <v>319</v>
      </c>
      <c r="D707" s="18">
        <v>1041333.16</v>
      </c>
      <c r="E707" s="93">
        <v>0.99371107179999996</v>
      </c>
      <c r="F707" s="18">
        <v>1034784.29</v>
      </c>
      <c r="G707" s="15">
        <v>0</v>
      </c>
      <c r="H707" s="13"/>
      <c r="I707" s="13"/>
    </row>
    <row r="708" spans="1:9">
      <c r="A708" s="13" t="s">
        <v>1282</v>
      </c>
      <c r="B708" s="139" t="s">
        <v>445</v>
      </c>
      <c r="C708" s="139" t="s">
        <v>368</v>
      </c>
      <c r="D708" s="15">
        <v>1450000</v>
      </c>
      <c r="E708" s="154">
        <v>0.99192868599999995</v>
      </c>
      <c r="F708" s="18">
        <v>1438296.59</v>
      </c>
      <c r="G708" s="15">
        <v>0</v>
      </c>
      <c r="H708" s="13"/>
      <c r="I708" s="13"/>
    </row>
    <row r="709" spans="1:9">
      <c r="A709" s="13" t="s">
        <v>1283</v>
      </c>
      <c r="B709" s="139" t="s">
        <v>718</v>
      </c>
      <c r="C709" s="139" t="s">
        <v>368</v>
      </c>
      <c r="D709" s="15">
        <v>10000000</v>
      </c>
      <c r="E709" s="93">
        <v>0.95300263190000001</v>
      </c>
      <c r="F709" s="18">
        <v>9530026.3200000003</v>
      </c>
      <c r="G709" s="18">
        <v>0.02</v>
      </c>
      <c r="H709" s="13"/>
      <c r="I709" s="13"/>
    </row>
    <row r="710" spans="1:9">
      <c r="A710" s="13" t="s">
        <v>1284</v>
      </c>
      <c r="B710" s="139" t="s">
        <v>785</v>
      </c>
      <c r="C710" s="139" t="s">
        <v>368</v>
      </c>
      <c r="D710" s="15">
        <v>10000000</v>
      </c>
      <c r="E710" s="93">
        <v>0.94780579939999998</v>
      </c>
      <c r="F710" s="18">
        <v>9478057.9900000002</v>
      </c>
      <c r="G710" s="18">
        <v>0.02</v>
      </c>
      <c r="H710" s="13"/>
      <c r="I710" s="13"/>
    </row>
    <row r="711" spans="1:9">
      <c r="A711" s="13" t="s">
        <v>1285</v>
      </c>
      <c r="B711" s="139" t="s">
        <v>604</v>
      </c>
      <c r="C711" s="139" t="s">
        <v>368</v>
      </c>
      <c r="D711" s="15">
        <v>10000000</v>
      </c>
      <c r="E711" s="93">
        <v>0.97048662620000004</v>
      </c>
      <c r="F711" s="18">
        <v>9704866.2599999998</v>
      </c>
      <c r="G711" s="18">
        <v>0.02</v>
      </c>
      <c r="H711" s="13"/>
      <c r="I711" s="13"/>
    </row>
    <row r="712" spans="1:9">
      <c r="A712" s="13" t="s">
        <v>1286</v>
      </c>
      <c r="B712" s="139" t="s">
        <v>681</v>
      </c>
      <c r="C712" s="139" t="s">
        <v>368</v>
      </c>
      <c r="D712" s="15">
        <v>10000000</v>
      </c>
      <c r="E712" s="93">
        <v>0.94266533789999996</v>
      </c>
      <c r="F712" s="18">
        <v>9426653.3800000008</v>
      </c>
      <c r="G712" s="18">
        <v>0.02</v>
      </c>
      <c r="H712" s="13"/>
      <c r="I712" s="13"/>
    </row>
    <row r="713" spans="1:9">
      <c r="A713" s="13" t="s">
        <v>1287</v>
      </c>
      <c r="B713" s="139" t="s">
        <v>631</v>
      </c>
      <c r="C713" s="139" t="s">
        <v>368</v>
      </c>
      <c r="D713" s="15">
        <v>25000000</v>
      </c>
      <c r="E713" s="93">
        <v>0.93333690869999997</v>
      </c>
      <c r="F713" s="18">
        <v>23333422.719999999</v>
      </c>
      <c r="G713" s="18">
        <v>0.04</v>
      </c>
      <c r="H713" s="13"/>
      <c r="I713" s="13"/>
    </row>
    <row r="714" spans="1:9">
      <c r="A714" s="13" t="s">
        <v>1289</v>
      </c>
      <c r="B714" s="139" t="s">
        <v>192</v>
      </c>
      <c r="C714" s="139" t="s">
        <v>368</v>
      </c>
      <c r="D714" s="15">
        <v>776145000</v>
      </c>
      <c r="E714" s="93">
        <v>0.99265707680000004</v>
      </c>
      <c r="F714" s="18">
        <v>770445826.87</v>
      </c>
      <c r="G714" s="18">
        <v>1.47</v>
      </c>
      <c r="H714" s="13"/>
      <c r="I714" s="13"/>
    </row>
    <row r="715" spans="1:9">
      <c r="A715" s="13" t="s">
        <v>1311</v>
      </c>
      <c r="B715" s="139" t="s">
        <v>387</v>
      </c>
      <c r="C715" s="139" t="s">
        <v>174</v>
      </c>
      <c r="D715" s="15">
        <v>10000000</v>
      </c>
      <c r="E715" s="93">
        <v>0.97986577249999995</v>
      </c>
      <c r="F715" s="18">
        <v>9798657.7300000004</v>
      </c>
      <c r="G715" s="18">
        <v>0.02</v>
      </c>
      <c r="H715" s="13"/>
      <c r="I715" s="13"/>
    </row>
    <row r="716" spans="1:9">
      <c r="A716" s="13" t="s">
        <v>1312</v>
      </c>
      <c r="B716" s="139" t="s">
        <v>557</v>
      </c>
      <c r="C716" s="139" t="s">
        <v>174</v>
      </c>
      <c r="D716" s="15">
        <v>10000000</v>
      </c>
      <c r="E716" s="93">
        <v>0.95449805129999998</v>
      </c>
      <c r="F716" s="18">
        <v>9544980.5099999998</v>
      </c>
      <c r="G716" s="18">
        <v>0.02</v>
      </c>
      <c r="H716" s="13"/>
      <c r="I716" s="13"/>
    </row>
    <row r="717" spans="1:9">
      <c r="A717" s="13" t="s">
        <v>1313</v>
      </c>
      <c r="B717" s="139" t="s">
        <v>677</v>
      </c>
      <c r="C717" s="139" t="s">
        <v>174</v>
      </c>
      <c r="D717" s="15">
        <v>10000000</v>
      </c>
      <c r="E717" s="93">
        <v>0.94928479190000004</v>
      </c>
      <c r="F717" s="18">
        <v>9492847.9199999999</v>
      </c>
      <c r="G717" s="18">
        <v>0.02</v>
      </c>
      <c r="H717" s="13"/>
      <c r="I717" s="13"/>
    </row>
    <row r="718" spans="1:9">
      <c r="A718" s="13" t="s">
        <v>1314</v>
      </c>
      <c r="B718" s="139" t="s">
        <v>424</v>
      </c>
      <c r="C718" s="139" t="s">
        <v>174</v>
      </c>
      <c r="D718" s="15">
        <v>10000000</v>
      </c>
      <c r="E718" s="93">
        <v>0.96894082280000005</v>
      </c>
      <c r="F718" s="18">
        <v>9689408.2300000004</v>
      </c>
      <c r="G718" s="18">
        <v>0.02</v>
      </c>
      <c r="H718" s="13"/>
      <c r="I718" s="13"/>
    </row>
    <row r="719" spans="1:9">
      <c r="A719" s="13" t="s">
        <v>1315</v>
      </c>
      <c r="B719" s="139" t="s">
        <v>755</v>
      </c>
      <c r="C719" s="139" t="s">
        <v>174</v>
      </c>
      <c r="D719" s="15">
        <v>10000000</v>
      </c>
      <c r="E719" s="93">
        <v>0.94412831730000002</v>
      </c>
      <c r="F719" s="18">
        <v>9441283.1699999999</v>
      </c>
      <c r="G719" s="18">
        <v>0.02</v>
      </c>
      <c r="H719" s="13"/>
      <c r="I719" s="13"/>
    </row>
    <row r="720" spans="1:9">
      <c r="A720" s="13" t="s">
        <v>1316</v>
      </c>
      <c r="B720" s="139" t="s">
        <v>488</v>
      </c>
      <c r="C720" s="139" t="s">
        <v>174</v>
      </c>
      <c r="D720" s="15">
        <v>10000000</v>
      </c>
      <c r="E720" s="93">
        <v>0.96509793850000003</v>
      </c>
      <c r="F720" s="18">
        <v>9650979.3900000006</v>
      </c>
      <c r="G720" s="18">
        <v>0.02</v>
      </c>
      <c r="H720" s="13"/>
      <c r="I720" s="13"/>
    </row>
    <row r="721" spans="1:9">
      <c r="A721" s="13" t="s">
        <v>1317</v>
      </c>
      <c r="B721" s="139" t="s">
        <v>549</v>
      </c>
      <c r="C721" s="139" t="s">
        <v>174</v>
      </c>
      <c r="D721" s="15">
        <v>10000000</v>
      </c>
      <c r="E721" s="93">
        <v>0.97437267329999999</v>
      </c>
      <c r="F721" s="18">
        <v>9743726.7300000004</v>
      </c>
      <c r="G721" s="18">
        <v>0.02</v>
      </c>
      <c r="H721" s="13"/>
      <c r="I721" s="13"/>
    </row>
    <row r="722" spans="1:9">
      <c r="A722" s="13" t="s">
        <v>1318</v>
      </c>
      <c r="B722" s="139" t="s">
        <v>454</v>
      </c>
      <c r="C722" s="139" t="s">
        <v>174</v>
      </c>
      <c r="D722" s="15">
        <v>10000000</v>
      </c>
      <c r="E722" s="93">
        <v>0.99346763940000005</v>
      </c>
      <c r="F722" s="18">
        <v>9934676.3900000006</v>
      </c>
      <c r="G722" s="18">
        <v>0.02</v>
      </c>
      <c r="H722" s="13"/>
      <c r="I722" s="13"/>
    </row>
    <row r="723" spans="1:9">
      <c r="A723" s="13" t="s">
        <v>1319</v>
      </c>
      <c r="B723" s="139" t="s">
        <v>518</v>
      </c>
      <c r="C723" s="139" t="s">
        <v>174</v>
      </c>
      <c r="D723" s="15">
        <v>10000000</v>
      </c>
      <c r="E723" s="93">
        <v>0.98862405239999995</v>
      </c>
      <c r="F723" s="18">
        <v>9886240.5199999996</v>
      </c>
      <c r="G723" s="18">
        <v>0.02</v>
      </c>
      <c r="H723" s="13"/>
      <c r="I723" s="13"/>
    </row>
    <row r="724" spans="1:9">
      <c r="A724" s="13" t="s">
        <v>1320</v>
      </c>
      <c r="B724" s="139" t="s">
        <v>616</v>
      </c>
      <c r="C724" s="139" t="s">
        <v>174</v>
      </c>
      <c r="D724" s="18">
        <v>1718406.99</v>
      </c>
      <c r="E724" s="28">
        <v>0.98396011999999999</v>
      </c>
      <c r="F724" s="18">
        <v>1690843.95</v>
      </c>
      <c r="G724" s="15">
        <v>0</v>
      </c>
      <c r="H724" s="13"/>
      <c r="I724" s="13"/>
    </row>
    <row r="725" spans="1:9">
      <c r="A725" s="13" t="s">
        <v>1321</v>
      </c>
      <c r="B725" s="139" t="s">
        <v>426</v>
      </c>
      <c r="C725" s="139" t="s">
        <v>174</v>
      </c>
      <c r="D725" s="15">
        <v>4104000</v>
      </c>
      <c r="E725" s="93">
        <v>0.98303266919999999</v>
      </c>
      <c r="F725" s="18">
        <v>4034366.07</v>
      </c>
      <c r="G725" s="18">
        <v>0.01</v>
      </c>
      <c r="H725" s="13"/>
      <c r="I725" s="13"/>
    </row>
    <row r="726" spans="1:9">
      <c r="A726" s="13" t="s">
        <v>1322</v>
      </c>
      <c r="B726" s="139" t="s">
        <v>490</v>
      </c>
      <c r="C726" s="139" t="s">
        <v>174</v>
      </c>
      <c r="D726" s="15">
        <v>2000000</v>
      </c>
      <c r="E726" s="154">
        <v>0.98488940599999997</v>
      </c>
      <c r="F726" s="18">
        <v>1969778.81</v>
      </c>
      <c r="G726" s="15">
        <v>0</v>
      </c>
      <c r="H726" s="13"/>
      <c r="I726" s="13"/>
    </row>
    <row r="727" spans="1:9">
      <c r="A727" s="13" t="s">
        <v>1323</v>
      </c>
      <c r="B727" s="139" t="s">
        <v>426</v>
      </c>
      <c r="C727" s="139" t="s">
        <v>174</v>
      </c>
      <c r="D727" s="15">
        <v>5500000</v>
      </c>
      <c r="E727" s="93">
        <v>0.98303266919999999</v>
      </c>
      <c r="F727" s="18">
        <v>5406679.6799999997</v>
      </c>
      <c r="G727" s="18">
        <v>0.01</v>
      </c>
      <c r="H727" s="13"/>
      <c r="I727" s="13"/>
    </row>
    <row r="728" spans="1:9">
      <c r="A728" s="13" t="s">
        <v>1324</v>
      </c>
      <c r="B728" s="139" t="s">
        <v>490</v>
      </c>
      <c r="C728" s="139" t="s">
        <v>174</v>
      </c>
      <c r="D728" s="15">
        <v>346128566</v>
      </c>
      <c r="E728" s="93">
        <v>0.99217138090000001</v>
      </c>
      <c r="F728" s="151">
        <v>343418857.30000001</v>
      </c>
      <c r="G728" s="18">
        <v>0.66</v>
      </c>
      <c r="H728" s="13"/>
      <c r="I728" s="13"/>
    </row>
    <row r="729" spans="1:9">
      <c r="A729" s="13" t="s">
        <v>1325</v>
      </c>
      <c r="B729" s="139" t="s">
        <v>1326</v>
      </c>
      <c r="C729" s="139" t="s">
        <v>174</v>
      </c>
      <c r="D729" s="15">
        <v>15000000</v>
      </c>
      <c r="E729" s="93">
        <v>0.87416794360000005</v>
      </c>
      <c r="F729" s="18">
        <v>13112519.15</v>
      </c>
      <c r="G729" s="18">
        <v>0.03</v>
      </c>
      <c r="H729" s="13"/>
      <c r="I729" s="13"/>
    </row>
    <row r="730" spans="1:9">
      <c r="A730" s="13" t="s">
        <v>1327</v>
      </c>
      <c r="B730" s="139" t="s">
        <v>1326</v>
      </c>
      <c r="C730" s="139" t="s">
        <v>174</v>
      </c>
      <c r="D730" s="15">
        <v>15000000</v>
      </c>
      <c r="E730" s="93">
        <v>0.87416794360000005</v>
      </c>
      <c r="F730" s="18">
        <v>13112519.15</v>
      </c>
      <c r="G730" s="18">
        <v>0.03</v>
      </c>
      <c r="H730" s="13"/>
      <c r="I730" s="13"/>
    </row>
    <row r="731" spans="1:9">
      <c r="A731" s="13" t="s">
        <v>1328</v>
      </c>
      <c r="B731" s="139" t="s">
        <v>317</v>
      </c>
      <c r="C731" s="139" t="s">
        <v>174</v>
      </c>
      <c r="D731" s="15">
        <v>15000000</v>
      </c>
      <c r="E731" s="93">
        <v>0.87339393340000004</v>
      </c>
      <c r="F731" s="15">
        <v>13100909</v>
      </c>
      <c r="G731" s="18">
        <v>0.03</v>
      </c>
      <c r="H731" s="13"/>
      <c r="I731" s="13"/>
    </row>
    <row r="732" spans="1:9">
      <c r="A732" s="13" t="s">
        <v>1329</v>
      </c>
      <c r="B732" s="139" t="s">
        <v>1330</v>
      </c>
      <c r="C732" s="139" t="s">
        <v>174</v>
      </c>
      <c r="D732" s="15">
        <v>15000000</v>
      </c>
      <c r="E732" s="93">
        <v>0.87262129479999995</v>
      </c>
      <c r="F732" s="18">
        <v>13089319.42</v>
      </c>
      <c r="G732" s="18">
        <v>0.03</v>
      </c>
      <c r="H732" s="13"/>
      <c r="I732" s="13"/>
    </row>
    <row r="733" spans="1:9">
      <c r="A733" s="13" t="s">
        <v>1331</v>
      </c>
      <c r="B733" s="139" t="s">
        <v>792</v>
      </c>
      <c r="C733" s="139" t="s">
        <v>174</v>
      </c>
      <c r="D733" s="18">
        <v>17106704.170000002</v>
      </c>
      <c r="E733" s="93">
        <v>0.94530203189999995</v>
      </c>
      <c r="F733" s="18">
        <v>16171002.210000001</v>
      </c>
      <c r="G733" s="18">
        <v>0.03</v>
      </c>
      <c r="H733" s="13"/>
      <c r="I733" s="13"/>
    </row>
    <row r="734" spans="1:9">
      <c r="A734" s="13" t="s">
        <v>1332</v>
      </c>
      <c r="B734" s="139" t="s">
        <v>748</v>
      </c>
      <c r="C734" s="139" t="s">
        <v>174</v>
      </c>
      <c r="D734" s="18">
        <v>5448062.4299999997</v>
      </c>
      <c r="E734" s="93">
        <v>0.90656213689999998</v>
      </c>
      <c r="F734" s="18">
        <v>4939007.12</v>
      </c>
      <c r="G734" s="18">
        <v>0.01</v>
      </c>
      <c r="H734" s="13"/>
      <c r="I734" s="13"/>
    </row>
    <row r="735" spans="1:9">
      <c r="A735" s="13" t="s">
        <v>1333</v>
      </c>
      <c r="B735" s="139" t="s">
        <v>767</v>
      </c>
      <c r="C735" s="139" t="s">
        <v>174</v>
      </c>
      <c r="D735" s="18">
        <v>6500236.5700000003</v>
      </c>
      <c r="E735" s="93">
        <v>0.91860874820000005</v>
      </c>
      <c r="F735" s="18">
        <v>5971174.1799999997</v>
      </c>
      <c r="G735" s="18">
        <v>0.01</v>
      </c>
      <c r="H735" s="13"/>
      <c r="I735" s="13"/>
    </row>
    <row r="736" spans="1:9">
      <c r="A736" s="13" t="s">
        <v>1334</v>
      </c>
      <c r="B736" s="139" t="s">
        <v>1335</v>
      </c>
      <c r="C736" s="139" t="s">
        <v>174</v>
      </c>
      <c r="D736" s="18">
        <v>5448062.4299999997</v>
      </c>
      <c r="E736" s="93">
        <v>0.89555178359999998</v>
      </c>
      <c r="F736" s="18">
        <v>4879022.03</v>
      </c>
      <c r="G736" s="18">
        <v>0.01</v>
      </c>
      <c r="H736" s="13"/>
      <c r="I736" s="13"/>
    </row>
    <row r="737" spans="1:9">
      <c r="A737" s="13" t="s">
        <v>1336</v>
      </c>
      <c r="B737" s="139" t="s">
        <v>636</v>
      </c>
      <c r="C737" s="139" t="s">
        <v>174</v>
      </c>
      <c r="D737" s="151">
        <v>7261808.2000000002</v>
      </c>
      <c r="E737" s="93">
        <v>0.9263020327</v>
      </c>
      <c r="F737" s="151">
        <v>6726627.7000000002</v>
      </c>
      <c r="G737" s="18">
        <v>0.01</v>
      </c>
      <c r="H737" s="13"/>
      <c r="I737" s="13"/>
    </row>
    <row r="738" spans="1:9">
      <c r="A738" s="13" t="s">
        <v>1337</v>
      </c>
      <c r="B738" s="139" t="s">
        <v>792</v>
      </c>
      <c r="C738" s="139" t="s">
        <v>174</v>
      </c>
      <c r="D738" s="18">
        <v>5134985.93</v>
      </c>
      <c r="E738" s="93">
        <v>0.94530203189999995</v>
      </c>
      <c r="F738" s="18">
        <v>4854112.63</v>
      </c>
      <c r="G738" s="18">
        <v>0.01</v>
      </c>
      <c r="H738" s="13"/>
      <c r="I738" s="13"/>
    </row>
    <row r="739" spans="1:9">
      <c r="A739" s="13" t="s">
        <v>1338</v>
      </c>
      <c r="B739" s="139" t="s">
        <v>716</v>
      </c>
      <c r="C739" s="139" t="s">
        <v>174</v>
      </c>
      <c r="D739" s="18">
        <v>5134985.93</v>
      </c>
      <c r="E739" s="93">
        <v>0.92707830840000005</v>
      </c>
      <c r="F739" s="18">
        <v>4760534.07</v>
      </c>
      <c r="G739" s="18">
        <v>0.01</v>
      </c>
      <c r="H739" s="13"/>
      <c r="I739" s="13"/>
    </row>
    <row r="740" spans="1:9">
      <c r="A740" s="13" t="s">
        <v>1339</v>
      </c>
      <c r="B740" s="139" t="s">
        <v>681</v>
      </c>
      <c r="C740" s="139" t="s">
        <v>174</v>
      </c>
      <c r="D740" s="18">
        <v>3772034.12</v>
      </c>
      <c r="E740" s="93">
        <v>0.93729145609999998</v>
      </c>
      <c r="F740" s="18">
        <v>3535495.35</v>
      </c>
      <c r="G740" s="18">
        <v>0.01</v>
      </c>
      <c r="H740" s="13"/>
      <c r="I740" s="13"/>
    </row>
    <row r="741" spans="1:9">
      <c r="A741" s="13" t="s">
        <v>1340</v>
      </c>
      <c r="B741" s="139" t="s">
        <v>1341</v>
      </c>
      <c r="C741" s="139" t="s">
        <v>174</v>
      </c>
      <c r="D741" s="151">
        <v>1655023.2</v>
      </c>
      <c r="E741" s="93">
        <v>0.91254577240000001</v>
      </c>
      <c r="F741" s="18">
        <v>1510284.42</v>
      </c>
      <c r="G741" s="15">
        <v>0</v>
      </c>
      <c r="H741" s="13"/>
      <c r="I741" s="13"/>
    </row>
    <row r="742" spans="1:9">
      <c r="A742" s="13" t="s">
        <v>1342</v>
      </c>
      <c r="B742" s="139" t="s">
        <v>1341</v>
      </c>
      <c r="C742" s="139" t="s">
        <v>174</v>
      </c>
      <c r="D742" s="18">
        <v>3772034.12</v>
      </c>
      <c r="E742" s="93">
        <v>0.91254577960000005</v>
      </c>
      <c r="F742" s="18">
        <v>3442153.82</v>
      </c>
      <c r="G742" s="18">
        <v>0.01</v>
      </c>
      <c r="H742" s="13"/>
      <c r="I742" s="13"/>
    </row>
    <row r="743" spans="1:9">
      <c r="A743" s="13" t="s">
        <v>1343</v>
      </c>
      <c r="B743" s="139" t="s">
        <v>636</v>
      </c>
      <c r="C743" s="139" t="s">
        <v>174</v>
      </c>
      <c r="D743" s="15">
        <v>7190687</v>
      </c>
      <c r="E743" s="93">
        <v>0.92630203479999995</v>
      </c>
      <c r="F743" s="15">
        <v>6660748</v>
      </c>
      <c r="G743" s="18">
        <v>0.01</v>
      </c>
      <c r="H743" s="13"/>
      <c r="I743" s="13"/>
    </row>
    <row r="744" spans="1:9">
      <c r="A744" s="13" t="s">
        <v>1344</v>
      </c>
      <c r="B744" s="139" t="s">
        <v>677</v>
      </c>
      <c r="C744" s="139" t="s">
        <v>174</v>
      </c>
      <c r="D744" s="18">
        <v>6625114.5199999996</v>
      </c>
      <c r="E744" s="93">
        <v>0.94449476789999998</v>
      </c>
      <c r="F744" s="15">
        <v>6257386</v>
      </c>
      <c r="G744" s="18">
        <v>0.01</v>
      </c>
      <c r="H744" s="13"/>
      <c r="I744" s="13"/>
    </row>
    <row r="745" spans="1:9">
      <c r="A745" s="13" t="s">
        <v>1355</v>
      </c>
      <c r="B745" s="139" t="s">
        <v>616</v>
      </c>
      <c r="C745" s="139" t="s">
        <v>351</v>
      </c>
      <c r="D745" s="15">
        <v>20000000</v>
      </c>
      <c r="E745" s="93">
        <v>0.98260920929999995</v>
      </c>
      <c r="F745" s="18">
        <v>19652184.190000001</v>
      </c>
      <c r="G745" s="18">
        <v>0.04</v>
      </c>
      <c r="H745" s="13"/>
      <c r="I745" s="13"/>
    </row>
    <row r="746" spans="1:9">
      <c r="A746" s="13" t="s">
        <v>1356</v>
      </c>
      <c r="B746" s="139" t="s">
        <v>575</v>
      </c>
      <c r="C746" s="139" t="s">
        <v>351</v>
      </c>
      <c r="D746" s="15">
        <v>10000000</v>
      </c>
      <c r="E746" s="93">
        <v>0.96932685470000002</v>
      </c>
      <c r="F746" s="18">
        <v>9693268.5500000007</v>
      </c>
      <c r="G746" s="18">
        <v>0.02</v>
      </c>
      <c r="H746" s="13"/>
      <c r="I746" s="13"/>
    </row>
    <row r="747" spans="1:9">
      <c r="A747" s="13" t="s">
        <v>1357</v>
      </c>
      <c r="B747" s="139" t="s">
        <v>624</v>
      </c>
      <c r="C747" s="139" t="s">
        <v>351</v>
      </c>
      <c r="D747" s="15">
        <v>10000000</v>
      </c>
      <c r="E747" s="93">
        <v>0.96341665519999997</v>
      </c>
      <c r="F747" s="18">
        <v>9634166.5500000007</v>
      </c>
      <c r="G747" s="18">
        <v>0.02</v>
      </c>
      <c r="H747" s="13"/>
      <c r="I747" s="13"/>
    </row>
    <row r="748" spans="1:9">
      <c r="A748" s="13" t="s">
        <v>1358</v>
      </c>
      <c r="B748" s="139" t="s">
        <v>490</v>
      </c>
      <c r="C748" s="139" t="s">
        <v>351</v>
      </c>
      <c r="D748" s="15">
        <v>100000000</v>
      </c>
      <c r="E748" s="154">
        <v>0.98744729899999995</v>
      </c>
      <c r="F748" s="151">
        <v>98744729.900000006</v>
      </c>
      <c r="G748" s="18">
        <v>0.19</v>
      </c>
      <c r="H748" s="13"/>
      <c r="I748" s="13"/>
    </row>
    <row r="749" spans="1:9">
      <c r="A749" s="13" t="s">
        <v>1359</v>
      </c>
      <c r="B749" s="139" t="s">
        <v>616</v>
      </c>
      <c r="C749" s="139" t="s">
        <v>351</v>
      </c>
      <c r="D749" s="15">
        <v>100000000</v>
      </c>
      <c r="E749" s="93">
        <v>0.98667318930000003</v>
      </c>
      <c r="F749" s="18">
        <v>98667318.930000007</v>
      </c>
      <c r="G749" s="18">
        <v>0.19</v>
      </c>
      <c r="H749" s="13"/>
      <c r="I749" s="13"/>
    </row>
    <row r="750" spans="1:9">
      <c r="A750" s="13" t="s">
        <v>1360</v>
      </c>
      <c r="B750" s="139" t="s">
        <v>842</v>
      </c>
      <c r="C750" s="139" t="s">
        <v>351</v>
      </c>
      <c r="D750" s="15">
        <v>100000000</v>
      </c>
      <c r="E750" s="93">
        <v>0.98358891910000001</v>
      </c>
      <c r="F750" s="18">
        <v>98358891.909999996</v>
      </c>
      <c r="G750" s="18">
        <v>0.19</v>
      </c>
      <c r="H750" s="13"/>
      <c r="I750" s="13"/>
    </row>
    <row r="751" spans="1:9">
      <c r="A751" s="13" t="s">
        <v>1361</v>
      </c>
      <c r="B751" s="139" t="s">
        <v>501</v>
      </c>
      <c r="C751" s="139" t="s">
        <v>351</v>
      </c>
      <c r="D751" s="15">
        <v>100000000</v>
      </c>
      <c r="E751" s="93">
        <v>0.98282083909999995</v>
      </c>
      <c r="F751" s="18">
        <v>98282083.909999996</v>
      </c>
      <c r="G751" s="18">
        <v>0.19</v>
      </c>
      <c r="H751" s="13"/>
      <c r="I751" s="13"/>
    </row>
    <row r="752" spans="1:9">
      <c r="A752" s="13" t="s">
        <v>1362</v>
      </c>
      <c r="B752" s="139" t="s">
        <v>387</v>
      </c>
      <c r="C752" s="139" t="s">
        <v>351</v>
      </c>
      <c r="D752" s="15">
        <v>100000000</v>
      </c>
      <c r="E752" s="93">
        <v>0.9805238678</v>
      </c>
      <c r="F752" s="18">
        <v>98052386.780000001</v>
      </c>
      <c r="G752" s="18">
        <v>0.19</v>
      </c>
      <c r="H752" s="13"/>
      <c r="I752" s="13"/>
    </row>
    <row r="753" spans="1:9">
      <c r="A753" s="13" t="s">
        <v>1363</v>
      </c>
      <c r="B753" s="139" t="s">
        <v>449</v>
      </c>
      <c r="C753" s="139" t="s">
        <v>351</v>
      </c>
      <c r="D753" s="15">
        <v>100000000</v>
      </c>
      <c r="E753" s="93">
        <v>0.99446912460000003</v>
      </c>
      <c r="F753" s="18">
        <v>99446912.459999993</v>
      </c>
      <c r="G753" s="18">
        <v>0.19</v>
      </c>
      <c r="H753" s="13"/>
      <c r="I753" s="13"/>
    </row>
    <row r="754" spans="1:9">
      <c r="A754" s="13" t="s">
        <v>1364</v>
      </c>
      <c r="B754" s="139" t="s">
        <v>454</v>
      </c>
      <c r="C754" s="139" t="s">
        <v>351</v>
      </c>
      <c r="D754" s="15">
        <v>100000000</v>
      </c>
      <c r="E754" s="28">
        <v>0.99368402</v>
      </c>
      <c r="F754" s="15">
        <v>99368402</v>
      </c>
      <c r="G754" s="18">
        <v>0.19</v>
      </c>
      <c r="H754" s="13"/>
      <c r="I754" s="13"/>
    </row>
    <row r="755" spans="1:9">
      <c r="A755" s="13" t="s">
        <v>1365</v>
      </c>
      <c r="B755" s="139" t="s">
        <v>329</v>
      </c>
      <c r="C755" s="139" t="s">
        <v>351</v>
      </c>
      <c r="D755" s="15">
        <v>100000000</v>
      </c>
      <c r="E755" s="93">
        <v>0.99211744239999999</v>
      </c>
      <c r="F755" s="18">
        <v>99211744.239999995</v>
      </c>
      <c r="G755" s="18">
        <v>0.19</v>
      </c>
      <c r="H755" s="13"/>
      <c r="I755" s="13"/>
    </row>
    <row r="756" spans="1:9">
      <c r="A756" s="13" t="s">
        <v>1366</v>
      </c>
      <c r="B756" s="139" t="s">
        <v>518</v>
      </c>
      <c r="C756" s="139" t="s">
        <v>351</v>
      </c>
      <c r="D756" s="15">
        <v>100000000</v>
      </c>
      <c r="E756" s="93">
        <v>0.98899909750000004</v>
      </c>
      <c r="F756" s="18">
        <v>98899909.75</v>
      </c>
      <c r="G756" s="18">
        <v>0.19</v>
      </c>
      <c r="H756" s="13"/>
      <c r="I756" s="13"/>
    </row>
    <row r="757" spans="1:9">
      <c r="A757" s="13" t="s">
        <v>1367</v>
      </c>
      <c r="B757" s="139" t="s">
        <v>533</v>
      </c>
      <c r="C757" s="139" t="s">
        <v>351</v>
      </c>
      <c r="D757" s="15">
        <v>100000000</v>
      </c>
      <c r="E757" s="154">
        <v>0.98205404799999996</v>
      </c>
      <c r="F757" s="151">
        <v>98205404.799999997</v>
      </c>
      <c r="G757" s="18">
        <v>0.19</v>
      </c>
      <c r="H757" s="13"/>
      <c r="I757" s="13"/>
    </row>
    <row r="758" spans="1:9">
      <c r="A758" s="13" t="s">
        <v>1368</v>
      </c>
      <c r="B758" s="139" t="s">
        <v>1369</v>
      </c>
      <c r="C758" s="139" t="s">
        <v>351</v>
      </c>
      <c r="D758" s="15">
        <v>15000000</v>
      </c>
      <c r="E758" s="93">
        <v>0.86421228589999999</v>
      </c>
      <c r="F758" s="18">
        <v>12963184.289999999</v>
      </c>
      <c r="G758" s="18">
        <v>0.02</v>
      </c>
      <c r="H758" s="13"/>
      <c r="I758" s="13"/>
    </row>
    <row r="759" spans="1:9">
      <c r="A759" s="13" t="s">
        <v>1370</v>
      </c>
      <c r="B759" s="139" t="s">
        <v>488</v>
      </c>
      <c r="C759" s="139" t="s">
        <v>351</v>
      </c>
      <c r="D759" s="15">
        <v>50000000</v>
      </c>
      <c r="E759" s="93">
        <v>0.96174115670000004</v>
      </c>
      <c r="F759" s="18">
        <v>48087057.840000004</v>
      </c>
      <c r="G759" s="18">
        <v>0.09</v>
      </c>
      <c r="H759" s="13"/>
      <c r="I759" s="13"/>
    </row>
    <row r="760" spans="1:9">
      <c r="A760" s="13" t="s">
        <v>1371</v>
      </c>
      <c r="B760" s="139" t="s">
        <v>694</v>
      </c>
      <c r="C760" s="139" t="s">
        <v>351</v>
      </c>
      <c r="D760" s="15">
        <v>2200000</v>
      </c>
      <c r="E760" s="93">
        <v>0.97876226209999995</v>
      </c>
      <c r="F760" s="18">
        <v>2153276.98</v>
      </c>
      <c r="G760" s="15">
        <v>0</v>
      </c>
      <c r="H760" s="13"/>
      <c r="I760" s="13"/>
    </row>
    <row r="761" spans="1:9">
      <c r="A761" s="13" t="s">
        <v>1372</v>
      </c>
      <c r="B761" s="139" t="s">
        <v>575</v>
      </c>
      <c r="C761" s="139" t="s">
        <v>351</v>
      </c>
      <c r="D761" s="15">
        <v>2200000</v>
      </c>
      <c r="E761" s="93">
        <v>0.96932685470000002</v>
      </c>
      <c r="F761" s="18">
        <v>2132519.08</v>
      </c>
      <c r="G761" s="15">
        <v>0</v>
      </c>
      <c r="H761" s="13"/>
      <c r="I761" s="13"/>
    </row>
    <row r="762" spans="1:9">
      <c r="A762" s="13" t="s">
        <v>1373</v>
      </c>
      <c r="B762" s="139" t="s">
        <v>559</v>
      </c>
      <c r="C762" s="139" t="s">
        <v>351</v>
      </c>
      <c r="D762" s="15">
        <v>2200000</v>
      </c>
      <c r="E762" s="93">
        <v>0.96090574240000004</v>
      </c>
      <c r="F762" s="18">
        <v>2113992.63</v>
      </c>
      <c r="G762" s="15">
        <v>0</v>
      </c>
      <c r="H762" s="13"/>
      <c r="I762" s="13"/>
    </row>
    <row r="763" spans="1:9">
      <c r="A763" s="13" t="s">
        <v>1374</v>
      </c>
      <c r="B763" s="139" t="s">
        <v>604</v>
      </c>
      <c r="C763" s="139" t="s">
        <v>351</v>
      </c>
      <c r="D763" s="15">
        <v>2200000</v>
      </c>
      <c r="E763" s="93">
        <v>0.96763090220000003</v>
      </c>
      <c r="F763" s="18">
        <v>2128787.98</v>
      </c>
      <c r="G763" s="15">
        <v>0</v>
      </c>
      <c r="H763" s="13"/>
      <c r="I763" s="13"/>
    </row>
    <row r="764" spans="1:9">
      <c r="A764" s="13" t="s">
        <v>1375</v>
      </c>
      <c r="B764" s="139" t="s">
        <v>798</v>
      </c>
      <c r="C764" s="139" t="s">
        <v>351</v>
      </c>
      <c r="D764" s="15">
        <v>2200000</v>
      </c>
      <c r="E764" s="93">
        <v>0.96678507179999995</v>
      </c>
      <c r="F764" s="18">
        <v>2126927.16</v>
      </c>
      <c r="G764" s="15">
        <v>0</v>
      </c>
      <c r="H764" s="13"/>
      <c r="I764" s="13"/>
    </row>
    <row r="765" spans="1:9">
      <c r="A765" s="13" t="s">
        <v>1376</v>
      </c>
      <c r="B765" s="139" t="s">
        <v>424</v>
      </c>
      <c r="C765" s="139" t="s">
        <v>351</v>
      </c>
      <c r="D765" s="15">
        <v>2200000</v>
      </c>
      <c r="E765" s="93">
        <v>0.96594072519999996</v>
      </c>
      <c r="F765" s="151">
        <v>2125069.6</v>
      </c>
      <c r="G765" s="15">
        <v>0</v>
      </c>
      <c r="H765" s="13"/>
      <c r="I765" s="13"/>
    </row>
    <row r="766" spans="1:9">
      <c r="A766" s="13" t="s">
        <v>1377</v>
      </c>
      <c r="B766" s="139" t="s">
        <v>624</v>
      </c>
      <c r="C766" s="139" t="s">
        <v>351</v>
      </c>
      <c r="D766" s="15">
        <v>2200000</v>
      </c>
      <c r="E766" s="93">
        <v>0.96341665310000002</v>
      </c>
      <c r="F766" s="18">
        <v>2119516.64</v>
      </c>
      <c r="G766" s="15">
        <v>0</v>
      </c>
      <c r="H766" s="13"/>
      <c r="I766" s="13"/>
    </row>
    <row r="767" spans="1:9">
      <c r="A767" s="13" t="s">
        <v>1378</v>
      </c>
      <c r="B767" s="139" t="s">
        <v>190</v>
      </c>
      <c r="C767" s="139" t="s">
        <v>351</v>
      </c>
      <c r="D767" s="15">
        <v>2200000</v>
      </c>
      <c r="E767" s="93">
        <v>0.96257816959999998</v>
      </c>
      <c r="F767" s="18">
        <v>2117671.9700000002</v>
      </c>
      <c r="G767" s="15">
        <v>0</v>
      </c>
      <c r="H767" s="13"/>
      <c r="I767" s="13"/>
    </row>
    <row r="768" spans="1:9">
      <c r="A768" s="13" t="s">
        <v>1379</v>
      </c>
      <c r="B768" s="139" t="s">
        <v>488</v>
      </c>
      <c r="C768" s="139" t="s">
        <v>351</v>
      </c>
      <c r="D768" s="15">
        <v>2200000</v>
      </c>
      <c r="E768" s="93">
        <v>0.96174115670000004</v>
      </c>
      <c r="F768" s="18">
        <v>2115830.54</v>
      </c>
      <c r="G768" s="15">
        <v>0</v>
      </c>
      <c r="H768" s="13"/>
      <c r="I768" s="13"/>
    </row>
    <row r="769" spans="1:9">
      <c r="A769" s="13" t="s">
        <v>1380</v>
      </c>
      <c r="B769" s="139" t="s">
        <v>533</v>
      </c>
      <c r="C769" s="139" t="s">
        <v>351</v>
      </c>
      <c r="D769" s="15">
        <v>2000000</v>
      </c>
      <c r="E769" s="28">
        <v>0.97962917000000005</v>
      </c>
      <c r="F769" s="18">
        <v>1959258.34</v>
      </c>
      <c r="G769" s="15">
        <v>0</v>
      </c>
      <c r="H769" s="13"/>
      <c r="I769" s="13"/>
    </row>
    <row r="770" spans="1:9">
      <c r="A770" s="13" t="s">
        <v>1381</v>
      </c>
      <c r="B770" s="139" t="s">
        <v>387</v>
      </c>
      <c r="C770" s="139" t="s">
        <v>351</v>
      </c>
      <c r="D770" s="15">
        <v>2200000</v>
      </c>
      <c r="E770" s="93">
        <v>0.97789689059999996</v>
      </c>
      <c r="F770" s="18">
        <v>2151373.16</v>
      </c>
      <c r="G770" s="15">
        <v>0</v>
      </c>
      <c r="H770" s="13"/>
      <c r="I770" s="13"/>
    </row>
    <row r="771" spans="1:9">
      <c r="A771" s="13" t="s">
        <v>1382</v>
      </c>
      <c r="B771" s="139" t="s">
        <v>391</v>
      </c>
      <c r="C771" s="139" t="s">
        <v>351</v>
      </c>
      <c r="D771" s="15">
        <v>2200000</v>
      </c>
      <c r="E771" s="93">
        <v>0.9744507254</v>
      </c>
      <c r="F771" s="151">
        <v>2143791.6</v>
      </c>
      <c r="G771" s="15">
        <v>0</v>
      </c>
      <c r="H771" s="13"/>
      <c r="I771" s="13"/>
    </row>
    <row r="772" spans="1:9">
      <c r="A772" s="13" t="s">
        <v>1383</v>
      </c>
      <c r="B772" s="139" t="s">
        <v>188</v>
      </c>
      <c r="C772" s="139" t="s">
        <v>351</v>
      </c>
      <c r="D772" s="15">
        <v>2200000</v>
      </c>
      <c r="E772" s="93">
        <v>0.97359307110000004</v>
      </c>
      <c r="F772" s="18">
        <v>2141904.7599999998</v>
      </c>
      <c r="G772" s="15">
        <v>0</v>
      </c>
      <c r="H772" s="13"/>
      <c r="I772" s="13"/>
    </row>
    <row r="773" spans="1:9">
      <c r="A773" s="13" t="s">
        <v>1384</v>
      </c>
      <c r="B773" s="139" t="s">
        <v>571</v>
      </c>
      <c r="C773" s="139" t="s">
        <v>351</v>
      </c>
      <c r="D773" s="15">
        <v>2200000</v>
      </c>
      <c r="E773" s="93">
        <v>0.97273679940000002</v>
      </c>
      <c r="F773" s="18">
        <v>2140020.96</v>
      </c>
      <c r="G773" s="15">
        <v>0</v>
      </c>
      <c r="H773" s="13"/>
      <c r="I773" s="13"/>
    </row>
    <row r="774" spans="1:9">
      <c r="A774" s="13" t="s">
        <v>1385</v>
      </c>
      <c r="B774" s="139" t="s">
        <v>549</v>
      </c>
      <c r="C774" s="139" t="s">
        <v>351</v>
      </c>
      <c r="D774" s="15">
        <v>2200000</v>
      </c>
      <c r="E774" s="93">
        <v>0.97188203510000004</v>
      </c>
      <c r="F774" s="18">
        <v>2138140.48</v>
      </c>
      <c r="G774" s="15">
        <v>0</v>
      </c>
      <c r="H774" s="13"/>
      <c r="I774" s="13"/>
    </row>
    <row r="775" spans="1:9">
      <c r="A775" s="13" t="s">
        <v>1386</v>
      </c>
      <c r="B775" s="139" t="s">
        <v>505</v>
      </c>
      <c r="C775" s="139" t="s">
        <v>351</v>
      </c>
      <c r="D775" s="15">
        <v>2200000</v>
      </c>
      <c r="E775" s="93">
        <v>0.96847806439999995</v>
      </c>
      <c r="F775" s="18">
        <v>2130651.7400000002</v>
      </c>
      <c r="G775" s="15">
        <v>0</v>
      </c>
      <c r="H775" s="13"/>
      <c r="I775" s="13"/>
    </row>
    <row r="776" spans="1:9">
      <c r="A776" s="13" t="s">
        <v>1387</v>
      </c>
      <c r="B776" s="139" t="s">
        <v>694</v>
      </c>
      <c r="C776" s="139" t="s">
        <v>351</v>
      </c>
      <c r="D776" s="15">
        <v>31000000</v>
      </c>
      <c r="E776" s="93">
        <v>0.98830285959999997</v>
      </c>
      <c r="F776" s="18">
        <v>30637388.649999999</v>
      </c>
      <c r="G776" s="18">
        <v>0.06</v>
      </c>
      <c r="H776" s="13"/>
      <c r="I776" s="13"/>
    </row>
    <row r="777" spans="1:9">
      <c r="A777" s="13" t="s">
        <v>1390</v>
      </c>
      <c r="B777" s="139" t="s">
        <v>612</v>
      </c>
      <c r="C777" s="139" t="s">
        <v>373</v>
      </c>
      <c r="D777" s="15">
        <v>10000000</v>
      </c>
      <c r="E777" s="93">
        <v>0.95547238869999995</v>
      </c>
      <c r="F777" s="18">
        <v>9554723.8900000006</v>
      </c>
      <c r="G777" s="18">
        <v>0.02</v>
      </c>
      <c r="H777" s="13"/>
      <c r="I777" s="13"/>
    </row>
    <row r="778" spans="1:9">
      <c r="A778" s="13" t="s">
        <v>1391</v>
      </c>
      <c r="B778" s="139" t="s">
        <v>677</v>
      </c>
      <c r="C778" s="139" t="s">
        <v>373</v>
      </c>
      <c r="D778" s="15">
        <v>10000000</v>
      </c>
      <c r="E778" s="93">
        <v>0.95412372830000003</v>
      </c>
      <c r="F778" s="18">
        <v>9541237.2799999993</v>
      </c>
      <c r="G778" s="18">
        <v>0.02</v>
      </c>
      <c r="H778" s="13"/>
      <c r="I778" s="13"/>
    </row>
    <row r="779" spans="1:9">
      <c r="A779" s="13" t="s">
        <v>1393</v>
      </c>
      <c r="B779" s="139" t="s">
        <v>1392</v>
      </c>
      <c r="C779" s="139" t="s">
        <v>373</v>
      </c>
      <c r="D779" s="15">
        <v>8000000</v>
      </c>
      <c r="E779" s="93">
        <v>0.9534507539</v>
      </c>
      <c r="F779" s="18">
        <v>7627606.0300000003</v>
      </c>
      <c r="G779" s="18">
        <v>0.01</v>
      </c>
      <c r="H779" s="13"/>
      <c r="I779" s="13"/>
    </row>
    <row r="780" spans="1:9">
      <c r="A780" s="13" t="s">
        <v>1394</v>
      </c>
      <c r="B780" s="139" t="s">
        <v>677</v>
      </c>
      <c r="C780" s="139" t="s">
        <v>373</v>
      </c>
      <c r="D780" s="15">
        <v>10000000</v>
      </c>
      <c r="E780" s="93">
        <v>0.95412372830000003</v>
      </c>
      <c r="F780" s="18">
        <v>9541237.2799999993</v>
      </c>
      <c r="G780" s="18">
        <v>0.02</v>
      </c>
      <c r="H780" s="13"/>
      <c r="I780" s="13"/>
    </row>
    <row r="781" spans="1:9">
      <c r="A781" s="13" t="s">
        <v>1395</v>
      </c>
      <c r="B781" s="139" t="s">
        <v>612</v>
      </c>
      <c r="C781" s="139" t="s">
        <v>373</v>
      </c>
      <c r="D781" s="15">
        <v>10000000</v>
      </c>
      <c r="E781" s="93">
        <v>0.95547238869999995</v>
      </c>
      <c r="F781" s="18">
        <v>9554723.8900000006</v>
      </c>
      <c r="G781" s="18">
        <v>0.02</v>
      </c>
      <c r="H781" s="13"/>
      <c r="I781" s="13"/>
    </row>
    <row r="782" spans="1:9">
      <c r="A782" s="13" t="s">
        <v>1396</v>
      </c>
      <c r="B782" s="139" t="s">
        <v>792</v>
      </c>
      <c r="C782" s="139" t="s">
        <v>373</v>
      </c>
      <c r="D782" s="15">
        <v>5000000</v>
      </c>
      <c r="E782" s="93">
        <v>0.95479765530000005</v>
      </c>
      <c r="F782" s="18">
        <v>4773988.28</v>
      </c>
      <c r="G782" s="18">
        <v>0.01</v>
      </c>
      <c r="H782" s="13"/>
      <c r="I782" s="13"/>
    </row>
    <row r="783" spans="1:9">
      <c r="A783" s="13" t="s">
        <v>1397</v>
      </c>
      <c r="B783" s="139" t="s">
        <v>677</v>
      </c>
      <c r="C783" s="139" t="s">
        <v>373</v>
      </c>
      <c r="D783" s="15">
        <v>5000000</v>
      </c>
      <c r="E783" s="93">
        <v>0.95412373149999996</v>
      </c>
      <c r="F783" s="18">
        <v>4770618.66</v>
      </c>
      <c r="G783" s="18">
        <v>0.01</v>
      </c>
      <c r="H783" s="13"/>
      <c r="I783" s="13"/>
    </row>
    <row r="784" spans="1:9">
      <c r="A784" s="13" t="s">
        <v>1398</v>
      </c>
      <c r="B784" s="139" t="s">
        <v>1392</v>
      </c>
      <c r="C784" s="139" t="s">
        <v>373</v>
      </c>
      <c r="D784" s="15">
        <v>5000000</v>
      </c>
      <c r="E784" s="93">
        <v>0.95345075560000003</v>
      </c>
      <c r="F784" s="18">
        <v>4767253.78</v>
      </c>
      <c r="G784" s="18">
        <v>0.01</v>
      </c>
      <c r="H784" s="13"/>
      <c r="I784" s="13"/>
    </row>
    <row r="785" spans="1:9">
      <c r="A785" s="13" t="s">
        <v>1399</v>
      </c>
      <c r="B785" s="139" t="s">
        <v>677</v>
      </c>
      <c r="C785" s="139" t="s">
        <v>373</v>
      </c>
      <c r="D785" s="15">
        <v>5000000</v>
      </c>
      <c r="E785" s="93">
        <v>0.95412373149999996</v>
      </c>
      <c r="F785" s="18">
        <v>4770618.66</v>
      </c>
      <c r="G785" s="18">
        <v>0.01</v>
      </c>
      <c r="H785" s="13"/>
      <c r="I785" s="13"/>
    </row>
    <row r="786" spans="1:9">
      <c r="A786" s="13" t="s">
        <v>1400</v>
      </c>
      <c r="B786" s="139" t="s">
        <v>604</v>
      </c>
      <c r="C786" s="139" t="s">
        <v>373</v>
      </c>
      <c r="D786" s="15">
        <v>100000000</v>
      </c>
      <c r="E786" s="93">
        <v>0.97432067379999998</v>
      </c>
      <c r="F786" s="18">
        <v>97432067.379999995</v>
      </c>
      <c r="G786" s="18">
        <v>0.19</v>
      </c>
      <c r="H786" s="13"/>
      <c r="I786" s="13"/>
    </row>
    <row r="787" spans="1:9">
      <c r="A787" s="13" t="s">
        <v>1401</v>
      </c>
      <c r="B787" s="139" t="s">
        <v>785</v>
      </c>
      <c r="C787" s="139" t="s">
        <v>373</v>
      </c>
      <c r="D787" s="15">
        <v>5000000</v>
      </c>
      <c r="E787" s="93">
        <v>0.95277872539999997</v>
      </c>
      <c r="F787" s="18">
        <v>4763893.63</v>
      </c>
      <c r="G787" s="18">
        <v>0.01</v>
      </c>
      <c r="H787" s="13"/>
      <c r="I787" s="13"/>
    </row>
    <row r="788" spans="1:9">
      <c r="A788" s="13" t="s">
        <v>1403</v>
      </c>
      <c r="B788" s="139" t="s">
        <v>1402</v>
      </c>
      <c r="C788" s="139" t="s">
        <v>373</v>
      </c>
      <c r="D788" s="15">
        <v>5000000</v>
      </c>
      <c r="E788" s="93">
        <v>0.9507684622</v>
      </c>
      <c r="F788" s="18">
        <v>4753842.3099999996</v>
      </c>
      <c r="G788" s="18">
        <v>0.01</v>
      </c>
      <c r="H788" s="13"/>
      <c r="I788" s="13"/>
    </row>
    <row r="789" spans="1:9">
      <c r="A789" s="13" t="s">
        <v>1404</v>
      </c>
      <c r="B789" s="139" t="s">
        <v>612</v>
      </c>
      <c r="C789" s="139" t="s">
        <v>373</v>
      </c>
      <c r="D789" s="15">
        <v>5000000</v>
      </c>
      <c r="E789" s="93">
        <v>0.95547239029999997</v>
      </c>
      <c r="F789" s="18">
        <v>4777361.95</v>
      </c>
      <c r="G789" s="18">
        <v>0.01</v>
      </c>
      <c r="H789" s="13"/>
      <c r="I789" s="13"/>
    </row>
    <row r="790" spans="1:9">
      <c r="A790" s="13" t="s">
        <v>1405</v>
      </c>
      <c r="B790" s="139" t="s">
        <v>727</v>
      </c>
      <c r="C790" s="139" t="s">
        <v>373</v>
      </c>
      <c r="D790" s="15">
        <v>5000000</v>
      </c>
      <c r="E790" s="93">
        <v>0.95010035829999995</v>
      </c>
      <c r="F790" s="18">
        <v>4750501.79</v>
      </c>
      <c r="G790" s="18">
        <v>0.01</v>
      </c>
      <c r="H790" s="13"/>
      <c r="I790" s="13"/>
    </row>
    <row r="791" spans="1:9">
      <c r="A791" s="13" t="s">
        <v>1406</v>
      </c>
      <c r="B791" s="139" t="s">
        <v>190</v>
      </c>
      <c r="C791" s="139" t="s">
        <v>373</v>
      </c>
      <c r="D791" s="15">
        <v>120000000</v>
      </c>
      <c r="E791" s="93">
        <v>0.97028025819999997</v>
      </c>
      <c r="F791" s="18">
        <v>116433630.98</v>
      </c>
      <c r="G791" s="18">
        <v>0.22</v>
      </c>
      <c r="H791" s="13"/>
      <c r="I791" s="13"/>
    </row>
    <row r="792" spans="1:9">
      <c r="A792" s="13" t="s">
        <v>1407</v>
      </c>
      <c r="B792" s="139" t="s">
        <v>624</v>
      </c>
      <c r="C792" s="139" t="s">
        <v>373</v>
      </c>
      <c r="D792" s="15">
        <v>27000000</v>
      </c>
      <c r="E792" s="93">
        <v>0.97095137040000001</v>
      </c>
      <c r="F792" s="15">
        <v>26215687</v>
      </c>
      <c r="G792" s="18">
        <v>0.05</v>
      </c>
      <c r="H792" s="13"/>
      <c r="I792" s="13"/>
    </row>
    <row r="793" spans="1:9">
      <c r="A793" s="13" t="s">
        <v>1450</v>
      </c>
      <c r="B793" s="139" t="s">
        <v>454</v>
      </c>
      <c r="C793" s="139" t="s">
        <v>373</v>
      </c>
      <c r="D793" s="15">
        <v>128000000</v>
      </c>
      <c r="E793" s="93">
        <v>0.9913090832</v>
      </c>
      <c r="F793" s="18">
        <v>126887562.65000001</v>
      </c>
      <c r="G793" s="18">
        <v>0.24</v>
      </c>
      <c r="H793" s="13"/>
      <c r="I793" s="13"/>
    </row>
    <row r="794" spans="1:9">
      <c r="A794" s="13" t="s">
        <v>1490</v>
      </c>
      <c r="B794" s="139" t="s">
        <v>616</v>
      </c>
      <c r="C794" s="139" t="s">
        <v>373</v>
      </c>
      <c r="D794" s="15">
        <v>20000000</v>
      </c>
      <c r="E794" s="93">
        <v>0.9826092367</v>
      </c>
      <c r="F794" s="18">
        <v>19652184.73</v>
      </c>
      <c r="G794" s="18">
        <v>0.04</v>
      </c>
      <c r="H794" s="13"/>
      <c r="I794" s="13"/>
    </row>
    <row r="795" spans="1:9">
      <c r="A795" s="13" t="s">
        <v>1491</v>
      </c>
      <c r="B795" s="139" t="s">
        <v>426</v>
      </c>
      <c r="C795" s="139" t="s">
        <v>373</v>
      </c>
      <c r="D795" s="15">
        <v>20000000</v>
      </c>
      <c r="E795" s="93">
        <v>0.98160503939999999</v>
      </c>
      <c r="F795" s="18">
        <v>19632100.789999999</v>
      </c>
      <c r="G795" s="18">
        <v>0.04</v>
      </c>
      <c r="H795" s="13"/>
      <c r="I795" s="13"/>
    </row>
    <row r="796" spans="1:9">
      <c r="A796" s="13" t="s">
        <v>1492</v>
      </c>
      <c r="B796" s="139" t="s">
        <v>426</v>
      </c>
      <c r="C796" s="139" t="s">
        <v>373</v>
      </c>
      <c r="D796" s="15">
        <v>20000000</v>
      </c>
      <c r="E796" s="93">
        <v>0.98160503939999999</v>
      </c>
      <c r="F796" s="18">
        <v>19632100.789999999</v>
      </c>
      <c r="G796" s="18">
        <v>0.04</v>
      </c>
      <c r="H796" s="13"/>
      <c r="I796" s="13"/>
    </row>
    <row r="797" spans="1:9">
      <c r="A797" s="13" t="s">
        <v>1493</v>
      </c>
      <c r="B797" s="139" t="s">
        <v>842</v>
      </c>
      <c r="C797" s="139" t="s">
        <v>373</v>
      </c>
      <c r="D797" s="15">
        <v>20000000</v>
      </c>
      <c r="E797" s="93">
        <v>0.97860482419999995</v>
      </c>
      <c r="F797" s="18">
        <v>19572096.48</v>
      </c>
      <c r="G797" s="18">
        <v>0.04</v>
      </c>
      <c r="H797" s="13"/>
      <c r="I797" s="13"/>
    </row>
    <row r="798" spans="1:9">
      <c r="A798" s="13" t="s">
        <v>1416</v>
      </c>
      <c r="B798" s="139" t="s">
        <v>192</v>
      </c>
      <c r="C798" s="139" t="s">
        <v>373</v>
      </c>
      <c r="D798" s="15">
        <v>60000000</v>
      </c>
      <c r="E798" s="93">
        <v>0.98382752070000001</v>
      </c>
      <c r="F798" s="18">
        <v>59029651.240000002</v>
      </c>
      <c r="G798" s="18">
        <v>0.11</v>
      </c>
      <c r="H798" s="13"/>
      <c r="I798" s="13"/>
    </row>
    <row r="799" spans="1:9">
      <c r="A799" s="13" t="s">
        <v>1453</v>
      </c>
      <c r="B799" s="139" t="s">
        <v>385</v>
      </c>
      <c r="C799" s="139" t="s">
        <v>373</v>
      </c>
      <c r="D799" s="18">
        <v>2662911.02</v>
      </c>
      <c r="E799" s="93">
        <v>0.99044830409999995</v>
      </c>
      <c r="F799" s="151">
        <v>2637475.7000000002</v>
      </c>
      <c r="G799" s="18">
        <v>0.01</v>
      </c>
      <c r="H799" s="13"/>
      <c r="I799" s="13"/>
    </row>
    <row r="800" spans="1:9">
      <c r="A800" s="13" t="s">
        <v>1454</v>
      </c>
      <c r="B800" s="139" t="s">
        <v>518</v>
      </c>
      <c r="C800" s="139" t="s">
        <v>373</v>
      </c>
      <c r="D800" s="18">
        <v>5606107.5899999999</v>
      </c>
      <c r="E800" s="93">
        <v>0.98787489269999995</v>
      </c>
      <c r="F800" s="18">
        <v>5538132.9299999997</v>
      </c>
      <c r="G800" s="18">
        <v>0.01</v>
      </c>
      <c r="H800" s="13"/>
      <c r="I800" s="13"/>
    </row>
    <row r="801" spans="1:9">
      <c r="A801" s="13" t="s">
        <v>1456</v>
      </c>
      <c r="B801" s="139" t="s">
        <v>490</v>
      </c>
      <c r="C801" s="139" t="s">
        <v>373</v>
      </c>
      <c r="D801" s="15">
        <v>1000000</v>
      </c>
      <c r="E801" s="93">
        <v>0.98616664610000004</v>
      </c>
      <c r="F801" s="18">
        <v>986166.65</v>
      </c>
      <c r="G801" s="15">
        <v>0</v>
      </c>
      <c r="H801" s="13"/>
      <c r="I801" s="13"/>
    </row>
    <row r="802" spans="1:9">
      <c r="A802" s="13" t="s">
        <v>1417</v>
      </c>
      <c r="B802" s="139" t="s">
        <v>557</v>
      </c>
      <c r="C802" s="139" t="s">
        <v>373</v>
      </c>
      <c r="D802" s="15">
        <v>10000000</v>
      </c>
      <c r="E802" s="93">
        <v>0.95161130319999998</v>
      </c>
      <c r="F802" s="18">
        <v>9516113.0299999993</v>
      </c>
      <c r="G802" s="18">
        <v>0.02</v>
      </c>
      <c r="H802" s="13"/>
      <c r="I802" s="13"/>
    </row>
    <row r="803" spans="1:9">
      <c r="A803" s="13" t="s">
        <v>1418</v>
      </c>
      <c r="B803" s="139" t="s">
        <v>561</v>
      </c>
      <c r="C803" s="139" t="s">
        <v>373</v>
      </c>
      <c r="D803" s="15">
        <v>10000000</v>
      </c>
      <c r="E803" s="93">
        <v>0.95081800189999999</v>
      </c>
      <c r="F803" s="18">
        <v>9508180.0199999996</v>
      </c>
      <c r="G803" s="18">
        <v>0.02</v>
      </c>
      <c r="H803" s="13"/>
      <c r="I803" s="13"/>
    </row>
    <row r="804" spans="1:9">
      <c r="A804" s="13" t="s">
        <v>1419</v>
      </c>
      <c r="B804" s="139" t="s">
        <v>718</v>
      </c>
      <c r="C804" s="139" t="s">
        <v>373</v>
      </c>
      <c r="D804" s="15">
        <v>10000000</v>
      </c>
      <c r="E804" s="93">
        <v>0.95002618539999995</v>
      </c>
      <c r="F804" s="18">
        <v>9500261.8499999996</v>
      </c>
      <c r="G804" s="18">
        <v>0.02</v>
      </c>
      <c r="H804" s="13"/>
      <c r="I804" s="13"/>
    </row>
    <row r="805" spans="1:9">
      <c r="A805" s="13" t="s">
        <v>1420</v>
      </c>
      <c r="B805" s="139" t="s">
        <v>612</v>
      </c>
      <c r="C805" s="139" t="s">
        <v>373</v>
      </c>
      <c r="D805" s="15">
        <v>10000000</v>
      </c>
      <c r="E805" s="93">
        <v>0.94765813939999999</v>
      </c>
      <c r="F805" s="18">
        <v>9476581.3900000006</v>
      </c>
      <c r="G805" s="18">
        <v>0.02</v>
      </c>
      <c r="H805" s="13"/>
      <c r="I805" s="13"/>
    </row>
    <row r="806" spans="1:9">
      <c r="A806" s="13" t="s">
        <v>1421</v>
      </c>
      <c r="B806" s="139" t="s">
        <v>612</v>
      </c>
      <c r="C806" s="139" t="s">
        <v>373</v>
      </c>
      <c r="D806" s="15">
        <v>10000000</v>
      </c>
      <c r="E806" s="93">
        <v>0.94765813939999999</v>
      </c>
      <c r="F806" s="18">
        <v>9476581.3900000006</v>
      </c>
      <c r="G806" s="18">
        <v>0.02</v>
      </c>
      <c r="H806" s="13"/>
      <c r="I806" s="13"/>
    </row>
    <row r="807" spans="1:9">
      <c r="A807" s="13" t="s">
        <v>1422</v>
      </c>
      <c r="B807" s="139" t="s">
        <v>612</v>
      </c>
      <c r="C807" s="139" t="s">
        <v>373</v>
      </c>
      <c r="D807" s="15">
        <v>40000000</v>
      </c>
      <c r="E807" s="93">
        <v>0.94765813939999999</v>
      </c>
      <c r="F807" s="18">
        <v>37906325.579999998</v>
      </c>
      <c r="G807" s="18">
        <v>7.0000000000000007E-2</v>
      </c>
      <c r="H807" s="13"/>
      <c r="I807" s="13"/>
    </row>
    <row r="808" spans="1:9">
      <c r="A808" s="13" t="s">
        <v>1423</v>
      </c>
      <c r="B808" s="139" t="s">
        <v>792</v>
      </c>
      <c r="C808" s="139" t="s">
        <v>373</v>
      </c>
      <c r="D808" s="15">
        <v>40000000</v>
      </c>
      <c r="E808" s="93">
        <v>0.94687157759999996</v>
      </c>
      <c r="F808" s="151">
        <v>37874863.100000001</v>
      </c>
      <c r="G808" s="18">
        <v>7.0000000000000007E-2</v>
      </c>
      <c r="H808" s="13"/>
      <c r="I808" s="13"/>
    </row>
    <row r="809" spans="1:9">
      <c r="A809" s="13" t="s">
        <v>1458</v>
      </c>
      <c r="B809" s="139" t="s">
        <v>192</v>
      </c>
      <c r="C809" s="139" t="s">
        <v>373</v>
      </c>
      <c r="D809" s="151">
        <v>1341865.8</v>
      </c>
      <c r="E809" s="93">
        <v>0.98702003319999998</v>
      </c>
      <c r="F809" s="18">
        <v>1324448.43</v>
      </c>
      <c r="G809" s="15">
        <v>0</v>
      </c>
      <c r="H809" s="13"/>
      <c r="I809" s="13"/>
    </row>
    <row r="810" spans="1:9">
      <c r="A810" s="13" t="s">
        <v>1460</v>
      </c>
      <c r="B810" s="139" t="s">
        <v>445</v>
      </c>
      <c r="C810" s="139" t="s">
        <v>373</v>
      </c>
      <c r="D810" s="18">
        <v>1204873.98</v>
      </c>
      <c r="E810" s="93">
        <v>0.99217140729999997</v>
      </c>
      <c r="F810" s="18">
        <v>1195441.51</v>
      </c>
      <c r="G810" s="15">
        <v>0</v>
      </c>
      <c r="H810" s="13"/>
      <c r="I810" s="13"/>
    </row>
    <row r="811" spans="1:9">
      <c r="A811" s="13" t="s">
        <v>1462</v>
      </c>
      <c r="B811" s="139" t="s">
        <v>490</v>
      </c>
      <c r="C811" s="139" t="s">
        <v>373</v>
      </c>
      <c r="D811" s="15">
        <v>5000000</v>
      </c>
      <c r="E811" s="93">
        <v>0.98616665290000005</v>
      </c>
      <c r="F811" s="18">
        <v>4930833.26</v>
      </c>
      <c r="G811" s="18">
        <v>0.01</v>
      </c>
      <c r="H811" s="13"/>
      <c r="I811" s="13"/>
    </row>
    <row r="812" spans="1:9">
      <c r="A812" s="13" t="s">
        <v>1463</v>
      </c>
      <c r="B812" s="139" t="s">
        <v>557</v>
      </c>
      <c r="C812" s="139" t="s">
        <v>373</v>
      </c>
      <c r="D812" s="15">
        <v>13000000</v>
      </c>
      <c r="E812" s="93">
        <v>0.95161130319999998</v>
      </c>
      <c r="F812" s="18">
        <v>12370946.939999999</v>
      </c>
      <c r="G812" s="18">
        <v>0.02</v>
      </c>
      <c r="H812" s="13"/>
      <c r="I812" s="13"/>
    </row>
    <row r="813" spans="1:9">
      <c r="A813" s="13" t="s">
        <v>1464</v>
      </c>
      <c r="B813" s="139" t="s">
        <v>571</v>
      </c>
      <c r="C813" s="139" t="s">
        <v>373</v>
      </c>
      <c r="D813" s="15">
        <v>13000000</v>
      </c>
      <c r="E813" s="93">
        <v>0.97354113239999995</v>
      </c>
      <c r="F813" s="18">
        <v>12656034.720000001</v>
      </c>
      <c r="G813" s="18">
        <v>0.02</v>
      </c>
      <c r="H813" s="13"/>
      <c r="I813" s="13"/>
    </row>
    <row r="814" spans="1:9">
      <c r="A814" s="13" t="s">
        <v>1465</v>
      </c>
      <c r="B814" s="139" t="s">
        <v>445</v>
      </c>
      <c r="C814" s="139" t="s">
        <v>373</v>
      </c>
      <c r="D814" s="15">
        <v>5000000</v>
      </c>
      <c r="E814" s="93">
        <v>0.99217140879999999</v>
      </c>
      <c r="F814" s="18">
        <v>4960857.04</v>
      </c>
      <c r="G814" s="18">
        <v>0.01</v>
      </c>
      <c r="H814" s="13"/>
      <c r="I814" s="13"/>
    </row>
    <row r="815" spans="1:9">
      <c r="A815" s="13" t="s">
        <v>1466</v>
      </c>
      <c r="B815" s="139" t="s">
        <v>488</v>
      </c>
      <c r="C815" s="139" t="s">
        <v>373</v>
      </c>
      <c r="D815" s="15">
        <v>13000000</v>
      </c>
      <c r="E815" s="93">
        <v>0.96285749350000005</v>
      </c>
      <c r="F815" s="18">
        <v>12517147.42</v>
      </c>
      <c r="G815" s="18">
        <v>0.02</v>
      </c>
      <c r="H815" s="13"/>
      <c r="I815" s="13"/>
    </row>
    <row r="816" spans="1:9">
      <c r="A816" s="13" t="s">
        <v>1468</v>
      </c>
      <c r="B816" s="139" t="s">
        <v>571</v>
      </c>
      <c r="C816" s="139" t="s">
        <v>373</v>
      </c>
      <c r="D816" s="15">
        <v>1000000</v>
      </c>
      <c r="E816" s="93">
        <v>0.97354115809999997</v>
      </c>
      <c r="F816" s="18">
        <v>973541.16</v>
      </c>
      <c r="G816" s="15">
        <v>0</v>
      </c>
      <c r="H816" s="13"/>
      <c r="I816" s="13"/>
    </row>
    <row r="817" spans="1:9">
      <c r="A817" s="13" t="s">
        <v>1469</v>
      </c>
      <c r="B817" s="139" t="s">
        <v>563</v>
      </c>
      <c r="C817" s="139" t="s">
        <v>373</v>
      </c>
      <c r="D817" s="15">
        <v>1000000</v>
      </c>
      <c r="E817" s="93">
        <v>0.95240591929999996</v>
      </c>
      <c r="F817" s="18">
        <v>952405.92</v>
      </c>
      <c r="G817" s="15">
        <v>0</v>
      </c>
      <c r="H817" s="13"/>
      <c r="I817" s="13"/>
    </row>
    <row r="818" spans="1:9">
      <c r="A818" s="13" t="s">
        <v>1470</v>
      </c>
      <c r="B818" s="139" t="s">
        <v>792</v>
      </c>
      <c r="C818" s="139" t="s">
        <v>373</v>
      </c>
      <c r="D818" s="15">
        <v>1000000</v>
      </c>
      <c r="E818" s="93">
        <v>0.94687155720000005</v>
      </c>
      <c r="F818" s="18">
        <v>946871.56</v>
      </c>
      <c r="G818" s="15">
        <v>0</v>
      </c>
      <c r="H818" s="13"/>
      <c r="I818" s="13"/>
    </row>
    <row r="819" spans="1:9">
      <c r="A819" s="13" t="s">
        <v>1471</v>
      </c>
      <c r="B819" s="139" t="s">
        <v>505</v>
      </c>
      <c r="C819" s="139" t="s">
        <v>373</v>
      </c>
      <c r="D819" s="15">
        <v>1000000</v>
      </c>
      <c r="E819" s="154">
        <v>0.96940407500000003</v>
      </c>
      <c r="F819" s="18">
        <v>969404.08</v>
      </c>
      <c r="G819" s="15">
        <v>0</v>
      </c>
      <c r="H819" s="13"/>
      <c r="I819" s="13"/>
    </row>
    <row r="820" spans="1:9">
      <c r="A820" s="13" t="s">
        <v>1472</v>
      </c>
      <c r="B820" s="139" t="s">
        <v>604</v>
      </c>
      <c r="C820" s="139" t="s">
        <v>373</v>
      </c>
      <c r="D820" s="15">
        <v>1000000</v>
      </c>
      <c r="E820" s="93">
        <v>0.96858086710000002</v>
      </c>
      <c r="F820" s="18">
        <v>968580.87</v>
      </c>
      <c r="G820" s="15">
        <v>0</v>
      </c>
      <c r="H820" s="13"/>
      <c r="I820" s="13"/>
    </row>
    <row r="821" spans="1:9">
      <c r="A821" s="13" t="s">
        <v>1473</v>
      </c>
      <c r="B821" s="139" t="s">
        <v>727</v>
      </c>
      <c r="C821" s="139" t="s">
        <v>373</v>
      </c>
      <c r="D821" s="151">
        <v>1008513.5</v>
      </c>
      <c r="E821" s="93">
        <v>0.94140117479999996</v>
      </c>
      <c r="F821" s="18">
        <v>949415.79</v>
      </c>
      <c r="G821" s="15">
        <v>0</v>
      </c>
      <c r="H821" s="13"/>
      <c r="I821" s="13"/>
    </row>
    <row r="822" spans="1:9">
      <c r="A822" s="13" t="s">
        <v>1474</v>
      </c>
      <c r="B822" s="139" t="s">
        <v>488</v>
      </c>
      <c r="C822" s="139" t="s">
        <v>373</v>
      </c>
      <c r="D822" s="15">
        <v>1000000</v>
      </c>
      <c r="E822" s="93">
        <v>0.96285747450000003</v>
      </c>
      <c r="F822" s="18">
        <v>962857.47</v>
      </c>
      <c r="G822" s="15">
        <v>0</v>
      </c>
      <c r="H822" s="13"/>
      <c r="I822" s="13"/>
    </row>
    <row r="823" spans="1:9">
      <c r="A823" s="13" t="s">
        <v>1475</v>
      </c>
      <c r="B823" s="139" t="s">
        <v>549</v>
      </c>
      <c r="C823" s="139" t="s">
        <v>373</v>
      </c>
      <c r="D823" s="15">
        <v>1000000</v>
      </c>
      <c r="E823" s="93">
        <v>0.9727108606</v>
      </c>
      <c r="F823" s="18">
        <v>972710.86</v>
      </c>
      <c r="G823" s="15">
        <v>0</v>
      </c>
      <c r="H823" s="13"/>
      <c r="I823" s="13"/>
    </row>
    <row r="824" spans="1:9">
      <c r="A824" s="13" t="s">
        <v>1476</v>
      </c>
      <c r="B824" s="139" t="s">
        <v>604</v>
      </c>
      <c r="C824" s="139" t="s">
        <v>373</v>
      </c>
      <c r="D824" s="15">
        <v>1000000</v>
      </c>
      <c r="E824" s="93">
        <v>0.96858086710000002</v>
      </c>
      <c r="F824" s="18">
        <v>968580.87</v>
      </c>
      <c r="G824" s="15">
        <v>0</v>
      </c>
      <c r="H824" s="13"/>
      <c r="I824" s="13"/>
    </row>
    <row r="825" spans="1:9">
      <c r="A825" s="13" t="s">
        <v>1477</v>
      </c>
      <c r="B825" s="139" t="s">
        <v>855</v>
      </c>
      <c r="C825" s="139" t="s">
        <v>373</v>
      </c>
      <c r="D825" s="15">
        <v>1000000</v>
      </c>
      <c r="E825" s="93">
        <v>0.95559757469999995</v>
      </c>
      <c r="F825" s="18">
        <v>955597.57</v>
      </c>
      <c r="G825" s="15">
        <v>0</v>
      </c>
      <c r="H825" s="13"/>
      <c r="I825" s="13"/>
    </row>
    <row r="826" spans="1:9">
      <c r="A826" s="13" t="s">
        <v>1478</v>
      </c>
      <c r="B826" s="139" t="s">
        <v>561</v>
      </c>
      <c r="C826" s="139" t="s">
        <v>373</v>
      </c>
      <c r="D826" s="15">
        <v>1000000</v>
      </c>
      <c r="E826" s="93">
        <v>0.95081799460000005</v>
      </c>
      <c r="F826" s="18">
        <v>950817.99</v>
      </c>
      <c r="G826" s="15">
        <v>0</v>
      </c>
      <c r="H826" s="13"/>
      <c r="I826" s="13"/>
    </row>
    <row r="827" spans="1:9">
      <c r="A827" s="13" t="s">
        <v>1479</v>
      </c>
      <c r="B827" s="139" t="s">
        <v>1392</v>
      </c>
      <c r="C827" s="139" t="s">
        <v>373</v>
      </c>
      <c r="D827" s="15">
        <v>1000000</v>
      </c>
      <c r="E827" s="93">
        <v>0.94530202870000002</v>
      </c>
      <c r="F827" s="18">
        <v>945302.03</v>
      </c>
      <c r="G827" s="15">
        <v>0</v>
      </c>
      <c r="H827" s="13"/>
      <c r="I827" s="13"/>
    </row>
    <row r="828" spans="1:9">
      <c r="A828" s="13" t="s">
        <v>1480</v>
      </c>
      <c r="B828" s="139" t="s">
        <v>190</v>
      </c>
      <c r="C828" s="139" t="s">
        <v>373</v>
      </c>
      <c r="D828" s="15">
        <v>1000000</v>
      </c>
      <c r="E828" s="154">
        <v>0.96367101700000002</v>
      </c>
      <c r="F828" s="18">
        <v>963671.02</v>
      </c>
      <c r="G828" s="15">
        <v>0</v>
      </c>
      <c r="H828" s="13"/>
      <c r="I828" s="13"/>
    </row>
    <row r="829" spans="1:9">
      <c r="A829" s="13" t="s">
        <v>1482</v>
      </c>
      <c r="B829" s="139" t="s">
        <v>329</v>
      </c>
      <c r="C829" s="139" t="s">
        <v>373</v>
      </c>
      <c r="D829" s="15">
        <v>27063960</v>
      </c>
      <c r="E829" s="154">
        <v>0.99130910800000005</v>
      </c>
      <c r="F829" s="18">
        <v>26828750.050000001</v>
      </c>
      <c r="G829" s="18">
        <v>0.05</v>
      </c>
      <c r="H829" s="13"/>
      <c r="I829" s="13"/>
    </row>
    <row r="830" spans="1:9">
      <c r="A830" s="13" t="s">
        <v>1484</v>
      </c>
      <c r="B830" s="139" t="s">
        <v>329</v>
      </c>
      <c r="C830" s="139" t="s">
        <v>373</v>
      </c>
      <c r="D830" s="18">
        <v>1084567.1200000001</v>
      </c>
      <c r="E830" s="93">
        <v>0.99130911290000001</v>
      </c>
      <c r="F830" s="18">
        <v>1075141.27</v>
      </c>
      <c r="G830" s="15">
        <v>0</v>
      </c>
      <c r="H830" s="13"/>
      <c r="I830" s="13"/>
    </row>
    <row r="831" spans="1:9">
      <c r="A831" s="13" t="s">
        <v>1494</v>
      </c>
      <c r="B831" s="139" t="s">
        <v>385</v>
      </c>
      <c r="C831" s="139" t="s">
        <v>373</v>
      </c>
      <c r="D831" s="15">
        <v>2700000</v>
      </c>
      <c r="E831" s="93">
        <v>0.9904483006</v>
      </c>
      <c r="F831" s="18">
        <v>2674210.41</v>
      </c>
      <c r="G831" s="18">
        <v>0.01</v>
      </c>
      <c r="H831" s="13"/>
      <c r="I831" s="13"/>
    </row>
    <row r="832" spans="1:9">
      <c r="A832" s="13" t="s">
        <v>1495</v>
      </c>
      <c r="B832" s="139" t="s">
        <v>518</v>
      </c>
      <c r="C832" s="139" t="s">
        <v>373</v>
      </c>
      <c r="D832" s="18">
        <v>2885565.11</v>
      </c>
      <c r="E832" s="93">
        <v>0.98787489230000003</v>
      </c>
      <c r="F832" s="18">
        <v>2850577.32</v>
      </c>
      <c r="G832" s="18">
        <v>0.01</v>
      </c>
      <c r="H832" s="13"/>
      <c r="I832" s="13"/>
    </row>
    <row r="833" spans="1:9">
      <c r="A833" s="13" t="s">
        <v>1485</v>
      </c>
      <c r="B833" s="139" t="s">
        <v>533</v>
      </c>
      <c r="C833" s="139" t="s">
        <v>373</v>
      </c>
      <c r="D833" s="18">
        <v>2899135.68</v>
      </c>
      <c r="E833" s="93">
        <v>0.98023418740000001</v>
      </c>
      <c r="F833" s="18">
        <v>2841831.91</v>
      </c>
      <c r="G833" s="18">
        <v>0.01</v>
      </c>
      <c r="H833" s="13"/>
      <c r="I833" s="13"/>
    </row>
    <row r="834" spans="1:9">
      <c r="A834" s="13" t="s">
        <v>1430</v>
      </c>
      <c r="B834" s="139" t="s">
        <v>452</v>
      </c>
      <c r="C834" s="139" t="s">
        <v>373</v>
      </c>
      <c r="D834" s="18">
        <v>5188161.21</v>
      </c>
      <c r="E834" s="93">
        <v>0.99824965649999997</v>
      </c>
      <c r="F834" s="18">
        <v>5179080.1500000004</v>
      </c>
      <c r="G834" s="18">
        <v>0.01</v>
      </c>
      <c r="H834" s="13"/>
      <c r="I834" s="13"/>
    </row>
    <row r="835" spans="1:9">
      <c r="A835" s="13" t="s">
        <v>1426</v>
      </c>
      <c r="B835" s="139" t="s">
        <v>557</v>
      </c>
      <c r="C835" s="139" t="s">
        <v>373</v>
      </c>
      <c r="D835" s="18">
        <v>15355310.449999999</v>
      </c>
      <c r="E835" s="93">
        <v>0.95161130319999998</v>
      </c>
      <c r="F835" s="18">
        <v>14612286.99</v>
      </c>
      <c r="G835" s="18">
        <v>0.03</v>
      </c>
      <c r="H835" s="13"/>
      <c r="I835" s="13"/>
    </row>
    <row r="836" spans="1:9">
      <c r="A836" s="13" t="s">
        <v>1427</v>
      </c>
      <c r="B836" s="139" t="s">
        <v>561</v>
      </c>
      <c r="C836" s="139" t="s">
        <v>373</v>
      </c>
      <c r="D836" s="18">
        <v>15355310.449999999</v>
      </c>
      <c r="E836" s="93">
        <v>0.95081800189999999</v>
      </c>
      <c r="F836" s="151">
        <v>14600105.6</v>
      </c>
      <c r="G836" s="18">
        <v>0.03</v>
      </c>
      <c r="H836" s="13"/>
      <c r="I836" s="13"/>
    </row>
    <row r="837" spans="1:9">
      <c r="A837" s="13" t="s">
        <v>1428</v>
      </c>
      <c r="B837" s="139" t="s">
        <v>718</v>
      </c>
      <c r="C837" s="139" t="s">
        <v>373</v>
      </c>
      <c r="D837" s="18">
        <v>15355310.449999999</v>
      </c>
      <c r="E837" s="93">
        <v>0.95002618539999995</v>
      </c>
      <c r="F837" s="18">
        <v>14587947.01</v>
      </c>
      <c r="G837" s="18">
        <v>0.03</v>
      </c>
      <c r="H837" s="13"/>
      <c r="I837" s="13"/>
    </row>
    <row r="838" spans="1:9">
      <c r="A838" s="13" t="s">
        <v>1408</v>
      </c>
      <c r="B838" s="139" t="s">
        <v>612</v>
      </c>
      <c r="C838" s="139" t="s">
        <v>373</v>
      </c>
      <c r="D838" s="18">
        <v>15355310.449999999</v>
      </c>
      <c r="E838" s="93">
        <v>0.94765813939999999</v>
      </c>
      <c r="F838" s="18">
        <v>14551584.93</v>
      </c>
      <c r="G838" s="18">
        <v>0.03</v>
      </c>
      <c r="H838" s="13"/>
      <c r="I838" s="13"/>
    </row>
    <row r="839" spans="1:9">
      <c r="A839" s="13" t="s">
        <v>1409</v>
      </c>
      <c r="B839" s="139" t="s">
        <v>792</v>
      </c>
      <c r="C839" s="139" t="s">
        <v>373</v>
      </c>
      <c r="D839" s="18">
        <v>15355310.449999999</v>
      </c>
      <c r="E839" s="93">
        <v>0.94687157759999996</v>
      </c>
      <c r="F839" s="18">
        <v>14539507.029999999</v>
      </c>
      <c r="G839" s="18">
        <v>0.03</v>
      </c>
      <c r="H839" s="13"/>
      <c r="I839" s="13"/>
    </row>
    <row r="840" spans="1:9">
      <c r="A840" s="13" t="s">
        <v>1410</v>
      </c>
      <c r="B840" s="139" t="s">
        <v>677</v>
      </c>
      <c r="C840" s="139" t="s">
        <v>373</v>
      </c>
      <c r="D840" s="18">
        <v>15355310.449999999</v>
      </c>
      <c r="E840" s="93">
        <v>0.94608615380000005</v>
      </c>
      <c r="F840" s="151">
        <v>14527446.6</v>
      </c>
      <c r="G840" s="18">
        <v>0.03</v>
      </c>
      <c r="H840" s="13"/>
      <c r="I840" s="13"/>
    </row>
    <row r="841" spans="1:9">
      <c r="A841" s="13" t="s">
        <v>1411</v>
      </c>
      <c r="B841" s="139" t="s">
        <v>1392</v>
      </c>
      <c r="C841" s="139" t="s">
        <v>373</v>
      </c>
      <c r="D841" s="18">
        <v>15355310.449999999</v>
      </c>
      <c r="E841" s="154">
        <v>0.94530203199999996</v>
      </c>
      <c r="F841" s="18">
        <v>14515406.17</v>
      </c>
      <c r="G841" s="18">
        <v>0.03</v>
      </c>
      <c r="H841" s="13"/>
      <c r="I841" s="13"/>
    </row>
    <row r="842" spans="1:9">
      <c r="A842" s="13" t="s">
        <v>1412</v>
      </c>
      <c r="B842" s="139" t="s">
        <v>713</v>
      </c>
      <c r="C842" s="139" t="s">
        <v>373</v>
      </c>
      <c r="D842" s="18">
        <v>15355310.449999999</v>
      </c>
      <c r="E842" s="93">
        <v>0.95320172150000004</v>
      </c>
      <c r="F842" s="18">
        <v>14636708.359999999</v>
      </c>
      <c r="G842" s="18">
        <v>0.03</v>
      </c>
      <c r="H842" s="13"/>
      <c r="I842" s="13"/>
    </row>
    <row r="843" spans="1:9">
      <c r="A843" s="13" t="s">
        <v>1413</v>
      </c>
      <c r="B843" s="139" t="s">
        <v>563</v>
      </c>
      <c r="C843" s="139" t="s">
        <v>373</v>
      </c>
      <c r="D843" s="18">
        <v>15355310.449999999</v>
      </c>
      <c r="E843" s="93">
        <v>0.9524059278</v>
      </c>
      <c r="F843" s="151">
        <v>14624488.699999999</v>
      </c>
      <c r="G843" s="18">
        <v>0.03</v>
      </c>
      <c r="H843" s="13"/>
      <c r="I843" s="13"/>
    </row>
    <row r="844" spans="1:9">
      <c r="A844" s="13" t="s">
        <v>1414</v>
      </c>
      <c r="B844" s="139" t="s">
        <v>855</v>
      </c>
      <c r="C844" s="139" t="s">
        <v>373</v>
      </c>
      <c r="D844" s="18">
        <v>15355310.449999999</v>
      </c>
      <c r="E844" s="93">
        <v>0.95559758130000005</v>
      </c>
      <c r="F844" s="18">
        <v>14673497.529999999</v>
      </c>
      <c r="G844" s="18">
        <v>0.03</v>
      </c>
      <c r="H844" s="13"/>
      <c r="I844" s="13"/>
    </row>
    <row r="845" spans="1:9">
      <c r="A845" s="13" t="s">
        <v>1432</v>
      </c>
      <c r="B845" s="139" t="s">
        <v>426</v>
      </c>
      <c r="C845" s="139" t="s">
        <v>373</v>
      </c>
      <c r="D845" s="18">
        <v>3847875.41</v>
      </c>
      <c r="E845" s="93">
        <v>0.98446438510000001</v>
      </c>
      <c r="F845" s="151">
        <v>3788096.3</v>
      </c>
      <c r="G845" s="18">
        <v>0.01</v>
      </c>
      <c r="H845" s="13"/>
      <c r="I845" s="13"/>
    </row>
    <row r="846" spans="1:9">
      <c r="A846" s="13" t="s">
        <v>1434</v>
      </c>
      <c r="B846" s="139" t="s">
        <v>426</v>
      </c>
      <c r="C846" s="139" t="s">
        <v>373</v>
      </c>
      <c r="D846" s="15">
        <v>3300000</v>
      </c>
      <c r="E846" s="93">
        <v>0.98446438169999995</v>
      </c>
      <c r="F846" s="18">
        <v>3248732.46</v>
      </c>
      <c r="G846" s="18">
        <v>0.01</v>
      </c>
      <c r="H846" s="13"/>
      <c r="I846" s="13"/>
    </row>
    <row r="847" spans="1:9">
      <c r="A847" s="13" t="s">
        <v>1435</v>
      </c>
      <c r="B847" s="139" t="s">
        <v>533</v>
      </c>
      <c r="C847" s="139" t="s">
        <v>373</v>
      </c>
      <c r="D847" s="15">
        <v>3300000</v>
      </c>
      <c r="E847" s="93">
        <v>0.98023419349999996</v>
      </c>
      <c r="F847" s="18">
        <v>3234772.84</v>
      </c>
      <c r="G847" s="18">
        <v>0.01</v>
      </c>
      <c r="H847" s="13"/>
      <c r="I847" s="13"/>
    </row>
    <row r="848" spans="1:9">
      <c r="A848" s="13" t="s">
        <v>1436</v>
      </c>
      <c r="B848" s="139" t="s">
        <v>391</v>
      </c>
      <c r="C848" s="139" t="s">
        <v>373</v>
      </c>
      <c r="D848" s="15">
        <v>3300000</v>
      </c>
      <c r="E848" s="154">
        <v>0.97520578499999999</v>
      </c>
      <c r="F848" s="18">
        <v>3218179.09</v>
      </c>
      <c r="G848" s="18">
        <v>0.01</v>
      </c>
      <c r="H848" s="13"/>
      <c r="I848" s="13"/>
    </row>
    <row r="849" spans="1:9">
      <c r="A849" s="13" t="s">
        <v>1437</v>
      </c>
      <c r="B849" s="139" t="s">
        <v>549</v>
      </c>
      <c r="C849" s="139" t="s">
        <v>373</v>
      </c>
      <c r="D849" s="18">
        <v>3090647.25</v>
      </c>
      <c r="E849" s="93">
        <v>0.97271087889999996</v>
      </c>
      <c r="F849" s="151">
        <v>3006306.2</v>
      </c>
      <c r="G849" s="18">
        <v>0.01</v>
      </c>
      <c r="H849" s="13"/>
      <c r="I849" s="13"/>
    </row>
    <row r="850" spans="1:9">
      <c r="A850" s="13" t="s">
        <v>1439</v>
      </c>
      <c r="B850" s="139" t="s">
        <v>452</v>
      </c>
      <c r="C850" s="139" t="s">
        <v>373</v>
      </c>
      <c r="D850" s="15">
        <v>1050000</v>
      </c>
      <c r="E850" s="93">
        <v>0.99824965649999997</v>
      </c>
      <c r="F850" s="18">
        <v>1048162.14</v>
      </c>
      <c r="G850" s="15">
        <v>0</v>
      </c>
      <c r="H850" s="13"/>
      <c r="I850" s="13"/>
    </row>
    <row r="851" spans="1:9">
      <c r="A851" s="13" t="s">
        <v>1440</v>
      </c>
      <c r="B851" s="139" t="s">
        <v>454</v>
      </c>
      <c r="C851" s="139" t="s">
        <v>373</v>
      </c>
      <c r="D851" s="18">
        <v>1062257.1599999999</v>
      </c>
      <c r="E851" s="93">
        <v>0.99303515310000001</v>
      </c>
      <c r="F851" s="151">
        <v>1054858.7</v>
      </c>
      <c r="G851" s="15">
        <v>0</v>
      </c>
      <c r="H851" s="13"/>
      <c r="I851" s="13"/>
    </row>
    <row r="852" spans="1:9">
      <c r="A852" s="13" t="s">
        <v>1441</v>
      </c>
      <c r="B852" s="139" t="s">
        <v>445</v>
      </c>
      <c r="C852" s="139" t="s">
        <v>373</v>
      </c>
      <c r="D852" s="15">
        <v>1050000</v>
      </c>
      <c r="E852" s="28">
        <v>0.99217140999999998</v>
      </c>
      <c r="F852" s="18">
        <v>1041779.98</v>
      </c>
      <c r="G852" s="15">
        <v>0</v>
      </c>
      <c r="H852" s="13"/>
      <c r="I852" s="13"/>
    </row>
    <row r="853" spans="1:9">
      <c r="A853" s="13" t="s">
        <v>1451</v>
      </c>
      <c r="B853" s="139" t="s">
        <v>445</v>
      </c>
      <c r="C853" s="139" t="s">
        <v>373</v>
      </c>
      <c r="D853" s="18">
        <v>1177029.06</v>
      </c>
      <c r="E853" s="93">
        <v>0.99217141220000005</v>
      </c>
      <c r="F853" s="18">
        <v>1167814.58</v>
      </c>
      <c r="G853" s="15">
        <v>0</v>
      </c>
      <c r="H853" s="13"/>
      <c r="I853" s="13"/>
    </row>
    <row r="854" spans="1:9">
      <c r="A854" s="13" t="s">
        <v>1443</v>
      </c>
      <c r="B854" s="139" t="s">
        <v>192</v>
      </c>
      <c r="C854" s="139" t="s">
        <v>373</v>
      </c>
      <c r="D854" s="15">
        <v>2000000</v>
      </c>
      <c r="E854" s="93">
        <v>0.98702003279999995</v>
      </c>
      <c r="F854" s="18">
        <v>1974040.07</v>
      </c>
      <c r="G854" s="15">
        <v>0</v>
      </c>
      <c r="H854" s="13"/>
      <c r="I854" s="13"/>
    </row>
    <row r="855" spans="1:9">
      <c r="A855" s="13" t="s">
        <v>1487</v>
      </c>
      <c r="B855" s="139" t="s">
        <v>490</v>
      </c>
      <c r="C855" s="139" t="s">
        <v>373</v>
      </c>
      <c r="D855" s="18">
        <v>1017218.53</v>
      </c>
      <c r="E855" s="93">
        <v>0.98616666190000002</v>
      </c>
      <c r="F855" s="15">
        <v>1003147</v>
      </c>
      <c r="G855" s="15">
        <v>0</v>
      </c>
      <c r="H855" s="13"/>
      <c r="I855" s="13"/>
    </row>
    <row r="856" spans="1:9">
      <c r="A856" s="13" t="s">
        <v>1445</v>
      </c>
      <c r="B856" s="139" t="s">
        <v>490</v>
      </c>
      <c r="C856" s="139" t="s">
        <v>373</v>
      </c>
      <c r="D856" s="18">
        <v>2046492.39</v>
      </c>
      <c r="E856" s="93">
        <v>0.98616664610000004</v>
      </c>
      <c r="F856" s="18">
        <v>2018182.54</v>
      </c>
      <c r="G856" s="15">
        <v>0</v>
      </c>
      <c r="H856" s="13"/>
      <c r="I856" s="13"/>
    </row>
    <row r="857" spans="1:9">
      <c r="A857" s="13" t="s">
        <v>1447</v>
      </c>
      <c r="B857" s="139" t="s">
        <v>452</v>
      </c>
      <c r="C857" s="139" t="s">
        <v>373</v>
      </c>
      <c r="D857" s="18">
        <v>1982063.64</v>
      </c>
      <c r="E857" s="93">
        <v>0.99824965619999995</v>
      </c>
      <c r="F857" s="18">
        <v>1978594.35</v>
      </c>
      <c r="G857" s="15">
        <v>0</v>
      </c>
      <c r="H857" s="13"/>
      <c r="I857" s="13"/>
    </row>
    <row r="858" spans="1:9">
      <c r="A858" s="13" t="s">
        <v>1489</v>
      </c>
      <c r="B858" s="139" t="s">
        <v>490</v>
      </c>
      <c r="C858" s="139" t="s">
        <v>373</v>
      </c>
      <c r="D858" s="18">
        <v>1110641.67</v>
      </c>
      <c r="E858" s="93">
        <v>0.98616664649999997</v>
      </c>
      <c r="F858" s="18">
        <v>1095277.77</v>
      </c>
      <c r="G858" s="15">
        <v>0</v>
      </c>
      <c r="H858" s="13"/>
      <c r="I858" s="13"/>
    </row>
    <row r="859" spans="1:9">
      <c r="A859" s="13" t="s">
        <v>1448</v>
      </c>
      <c r="B859" s="139" t="s">
        <v>688</v>
      </c>
      <c r="C859" s="139" t="s">
        <v>373</v>
      </c>
      <c r="D859" s="15">
        <v>50000000</v>
      </c>
      <c r="E859" s="93">
        <v>0.95639872380000002</v>
      </c>
      <c r="F859" s="18">
        <v>47819936.189999998</v>
      </c>
      <c r="G859" s="18">
        <v>0.09</v>
      </c>
      <c r="H859" s="13"/>
      <c r="I859" s="13"/>
    </row>
    <row r="860" spans="1:9">
      <c r="A860" s="13" t="s">
        <v>1449</v>
      </c>
      <c r="B860" s="139" t="s">
        <v>561</v>
      </c>
      <c r="C860" s="139" t="s">
        <v>373</v>
      </c>
      <c r="D860" s="15">
        <v>50000000</v>
      </c>
      <c r="E860" s="93">
        <v>0.95081800189999999</v>
      </c>
      <c r="F860" s="151">
        <v>47540900.100000001</v>
      </c>
      <c r="G860" s="18">
        <v>0.09</v>
      </c>
      <c r="H860" s="13"/>
      <c r="I860" s="13"/>
    </row>
    <row r="861" spans="1:9">
      <c r="A861" s="13" t="s">
        <v>1496</v>
      </c>
      <c r="B861" s="139" t="s">
        <v>604</v>
      </c>
      <c r="C861" s="139" t="s">
        <v>343</v>
      </c>
      <c r="D861" s="18">
        <v>16545572.09</v>
      </c>
      <c r="E861" s="93">
        <v>0.97239989370000002</v>
      </c>
      <c r="F861" s="18">
        <v>16088912.539999999</v>
      </c>
      <c r="G861" s="18">
        <v>0.03</v>
      </c>
      <c r="H861" s="13"/>
      <c r="I861" s="13"/>
    </row>
    <row r="862" spans="1:9">
      <c r="A862" s="13" t="s">
        <v>1497</v>
      </c>
      <c r="B862" s="139" t="s">
        <v>792</v>
      </c>
      <c r="C862" s="139" t="s">
        <v>343</v>
      </c>
      <c r="D862" s="15">
        <v>10000000</v>
      </c>
      <c r="E862" s="93">
        <v>0.95320173389999996</v>
      </c>
      <c r="F862" s="18">
        <v>9532017.3399999999</v>
      </c>
      <c r="G862" s="18">
        <v>0.02</v>
      </c>
      <c r="H862" s="13"/>
      <c r="I862" s="13"/>
    </row>
    <row r="863" spans="1:9">
      <c r="A863" s="13" t="s">
        <v>1498</v>
      </c>
      <c r="B863" s="139" t="s">
        <v>533</v>
      </c>
      <c r="C863" s="139" t="s">
        <v>343</v>
      </c>
      <c r="D863" s="15">
        <v>10000000</v>
      </c>
      <c r="E863" s="93">
        <v>0.98144666189999996</v>
      </c>
      <c r="F863" s="18">
        <v>9814466.6199999992</v>
      </c>
      <c r="G863" s="18">
        <v>0.02</v>
      </c>
      <c r="H863" s="13"/>
      <c r="I863" s="13"/>
    </row>
    <row r="864" spans="1:9">
      <c r="A864" s="13" t="s">
        <v>1499</v>
      </c>
      <c r="B864" s="139" t="s">
        <v>452</v>
      </c>
      <c r="C864" s="139" t="s">
        <v>343</v>
      </c>
      <c r="D864" s="15">
        <v>10000000</v>
      </c>
      <c r="E864" s="93">
        <v>0.99835886429999998</v>
      </c>
      <c r="F864" s="18">
        <v>9983588.6400000006</v>
      </c>
      <c r="G864" s="18">
        <v>0.02</v>
      </c>
      <c r="H864" s="13"/>
      <c r="I864" s="13"/>
    </row>
    <row r="865" spans="1:9">
      <c r="A865" s="13" t="s">
        <v>1500</v>
      </c>
      <c r="B865" s="139" t="s">
        <v>424</v>
      </c>
      <c r="C865" s="139" t="s">
        <v>343</v>
      </c>
      <c r="D865" s="15">
        <v>10000000</v>
      </c>
      <c r="E865" s="93">
        <v>0.96894093010000004</v>
      </c>
      <c r="F865" s="151">
        <v>9689409.3000000007</v>
      </c>
      <c r="G865" s="18">
        <v>0.02</v>
      </c>
      <c r="H865" s="13"/>
      <c r="I865" s="13"/>
    </row>
    <row r="866" spans="1:9">
      <c r="A866" s="13" t="s">
        <v>1501</v>
      </c>
      <c r="B866" s="139" t="s">
        <v>549</v>
      </c>
      <c r="C866" s="139" t="s">
        <v>343</v>
      </c>
      <c r="D866" s="15">
        <v>10000000</v>
      </c>
      <c r="E866" s="93">
        <v>0.97437277150000001</v>
      </c>
      <c r="F866" s="18">
        <v>9743727.7200000007</v>
      </c>
      <c r="G866" s="18">
        <v>0.02</v>
      </c>
      <c r="H866" s="13"/>
      <c r="I866" s="13"/>
    </row>
    <row r="867" spans="1:9">
      <c r="A867" s="13" t="s">
        <v>1502</v>
      </c>
      <c r="B867" s="139" t="s">
        <v>445</v>
      </c>
      <c r="C867" s="139" t="s">
        <v>343</v>
      </c>
      <c r="D867" s="15">
        <v>10000000</v>
      </c>
      <c r="E867" s="93">
        <v>0.99265706710000001</v>
      </c>
      <c r="F867" s="18">
        <v>9926570.6699999999</v>
      </c>
      <c r="G867" s="18">
        <v>0.02</v>
      </c>
      <c r="H867" s="13"/>
      <c r="I867" s="13"/>
    </row>
    <row r="868" spans="1:9">
      <c r="A868" s="13" t="s">
        <v>1503</v>
      </c>
      <c r="B868" s="139" t="s">
        <v>677</v>
      </c>
      <c r="C868" s="139" t="s">
        <v>343</v>
      </c>
      <c r="D868" s="15">
        <v>10000000</v>
      </c>
      <c r="E868" s="93">
        <v>0.94608620160000001</v>
      </c>
      <c r="F868" s="18">
        <v>9460862.0199999996</v>
      </c>
      <c r="G868" s="18">
        <v>0.02</v>
      </c>
      <c r="H868" s="13"/>
      <c r="I868" s="13"/>
    </row>
    <row r="869" spans="1:9">
      <c r="A869" s="13" t="s">
        <v>1504</v>
      </c>
      <c r="B869" s="139" t="s">
        <v>634</v>
      </c>
      <c r="C869" s="139" t="s">
        <v>343</v>
      </c>
      <c r="D869" s="15">
        <v>15000000</v>
      </c>
      <c r="E869" s="93">
        <v>0.90480927320000004</v>
      </c>
      <c r="F869" s="151">
        <v>13572139.1</v>
      </c>
      <c r="G869" s="18">
        <v>0.03</v>
      </c>
      <c r="H869" s="13"/>
      <c r="I869" s="13"/>
    </row>
    <row r="870" spans="1:9">
      <c r="A870" s="13" t="s">
        <v>1505</v>
      </c>
      <c r="B870" s="139" t="s">
        <v>792</v>
      </c>
      <c r="C870" s="139" t="s">
        <v>343</v>
      </c>
      <c r="D870" s="15">
        <v>10000000</v>
      </c>
      <c r="E870" s="93">
        <v>0.94687145660000005</v>
      </c>
      <c r="F870" s="18">
        <v>9468714.5700000003</v>
      </c>
      <c r="G870" s="18">
        <v>0.02</v>
      </c>
      <c r="H870" s="13"/>
      <c r="I870" s="13"/>
    </row>
    <row r="871" spans="1:9">
      <c r="A871" s="13" t="s">
        <v>1506</v>
      </c>
      <c r="B871" s="139" t="s">
        <v>771</v>
      </c>
      <c r="C871" s="139" t="s">
        <v>343</v>
      </c>
      <c r="D871" s="15">
        <v>15000000</v>
      </c>
      <c r="E871" s="93">
        <v>0.91865498840000004</v>
      </c>
      <c r="F871" s="18">
        <v>13779824.83</v>
      </c>
      <c r="G871" s="18">
        <v>0.03</v>
      </c>
      <c r="H871" s="13"/>
      <c r="I871" s="13"/>
    </row>
    <row r="872" spans="1:9">
      <c r="A872" s="13" t="s">
        <v>1509</v>
      </c>
      <c r="B872" s="139" t="s">
        <v>842</v>
      </c>
      <c r="C872" s="139" t="s">
        <v>459</v>
      </c>
      <c r="D872" s="15">
        <v>20000000</v>
      </c>
      <c r="E872" s="93">
        <v>0.97860484069999998</v>
      </c>
      <c r="F872" s="18">
        <v>19572096.809999999</v>
      </c>
      <c r="G872" s="18">
        <v>0.04</v>
      </c>
      <c r="H872" s="13"/>
      <c r="I872" s="13"/>
    </row>
    <row r="873" spans="1:9">
      <c r="A873" s="13" t="s">
        <v>1510</v>
      </c>
      <c r="B873" s="139" t="s">
        <v>501</v>
      </c>
      <c r="C873" s="139" t="s">
        <v>459</v>
      </c>
      <c r="D873" s="15">
        <v>20000000</v>
      </c>
      <c r="E873" s="93">
        <v>0.97760880039999998</v>
      </c>
      <c r="F873" s="18">
        <v>19552176.010000002</v>
      </c>
      <c r="G873" s="18">
        <v>0.04</v>
      </c>
      <c r="H873" s="13"/>
      <c r="I873" s="13"/>
    </row>
    <row r="874" spans="1:9">
      <c r="A874" s="13" t="s">
        <v>1511</v>
      </c>
      <c r="B874" s="139" t="s">
        <v>533</v>
      </c>
      <c r="C874" s="139" t="s">
        <v>459</v>
      </c>
      <c r="D874" s="15">
        <v>42000000</v>
      </c>
      <c r="E874" s="93">
        <v>0.97661478359999998</v>
      </c>
      <c r="F874" s="18">
        <v>41017820.909999996</v>
      </c>
      <c r="G874" s="18">
        <v>0.08</v>
      </c>
      <c r="H874" s="13"/>
      <c r="I874" s="13"/>
    </row>
    <row r="875" spans="1:9">
      <c r="A875" s="13" t="s">
        <v>1512</v>
      </c>
      <c r="B875" s="139" t="s">
        <v>716</v>
      </c>
      <c r="C875" s="139" t="s">
        <v>459</v>
      </c>
      <c r="D875" s="15">
        <v>25000000</v>
      </c>
      <c r="E875" s="93">
        <v>0.92707843130000001</v>
      </c>
      <c r="F875" s="18">
        <v>23176960.780000001</v>
      </c>
      <c r="G875" s="18">
        <v>0.04</v>
      </c>
      <c r="H875" s="13"/>
      <c r="I875" s="13"/>
    </row>
    <row r="876" spans="1:9">
      <c r="A876" s="13" t="s">
        <v>1513</v>
      </c>
      <c r="B876" s="139" t="s">
        <v>192</v>
      </c>
      <c r="C876" s="139" t="s">
        <v>459</v>
      </c>
      <c r="D876" s="18">
        <v>24341349.530000001</v>
      </c>
      <c r="E876" s="154">
        <v>0.98582042599999997</v>
      </c>
      <c r="F876" s="18">
        <v>23996199.559999999</v>
      </c>
      <c r="G876" s="18">
        <v>0.05</v>
      </c>
      <c r="H876" s="13"/>
      <c r="I876" s="13"/>
    </row>
    <row r="877" spans="1:9">
      <c r="A877" s="13" t="s">
        <v>1514</v>
      </c>
      <c r="B877" s="139" t="s">
        <v>616</v>
      </c>
      <c r="C877" s="139" t="s">
        <v>459</v>
      </c>
      <c r="D877" s="15">
        <v>25000000</v>
      </c>
      <c r="E877" s="28">
        <v>0.98171069</v>
      </c>
      <c r="F877" s="18">
        <v>24542767.25</v>
      </c>
      <c r="G877" s="18">
        <v>0.05</v>
      </c>
      <c r="H877" s="13"/>
      <c r="I877" s="13"/>
    </row>
    <row r="878" spans="1:9">
      <c r="A878" s="13" t="s">
        <v>1515</v>
      </c>
      <c r="B878" s="139" t="s">
        <v>501</v>
      </c>
      <c r="C878" s="139" t="s">
        <v>459</v>
      </c>
      <c r="D878" s="15">
        <v>25000000</v>
      </c>
      <c r="E878" s="93">
        <v>0.9764580598</v>
      </c>
      <c r="F878" s="151">
        <v>24411451.5</v>
      </c>
      <c r="G878" s="18">
        <v>0.05</v>
      </c>
      <c r="H878" s="13"/>
      <c r="I878" s="13"/>
    </row>
    <row r="879" spans="1:9">
      <c r="A879" s="13" t="s">
        <v>1522</v>
      </c>
      <c r="B879" s="139" t="s">
        <v>711</v>
      </c>
      <c r="C879" s="139" t="s">
        <v>485</v>
      </c>
      <c r="D879" s="15">
        <v>800000000</v>
      </c>
      <c r="E879" s="93">
        <v>0.92785605559999995</v>
      </c>
      <c r="F879" s="18">
        <v>742284844.48000002</v>
      </c>
      <c r="G879" s="18">
        <v>1.42</v>
      </c>
      <c r="H879" s="13"/>
      <c r="I879" s="13"/>
    </row>
    <row r="880" spans="1:9">
      <c r="A880" s="13" t="s">
        <v>1517</v>
      </c>
      <c r="B880" s="139" t="s">
        <v>711</v>
      </c>
      <c r="C880" s="139" t="s">
        <v>485</v>
      </c>
      <c r="D880" s="15">
        <v>650000000</v>
      </c>
      <c r="E880" s="93">
        <v>0.92785605559999995</v>
      </c>
      <c r="F880" s="18">
        <v>603106436.13999999</v>
      </c>
      <c r="G880" s="18">
        <v>1.1499999999999999</v>
      </c>
      <c r="H880" s="13"/>
      <c r="I880" s="13"/>
    </row>
    <row r="881" spans="1:9">
      <c r="A881" s="13" t="s">
        <v>1518</v>
      </c>
      <c r="B881" s="139" t="s">
        <v>571</v>
      </c>
      <c r="C881" s="139" t="s">
        <v>485</v>
      </c>
      <c r="D881" s="15">
        <v>15000000</v>
      </c>
      <c r="E881" s="93">
        <v>0.97113213980000002</v>
      </c>
      <c r="F881" s="151">
        <v>14566982.1</v>
      </c>
      <c r="G881" s="18">
        <v>0.03</v>
      </c>
      <c r="H881" s="13"/>
      <c r="I881" s="13"/>
    </row>
    <row r="882" spans="1:9">
      <c r="A882" s="13" t="s">
        <v>1519</v>
      </c>
      <c r="B882" s="139" t="s">
        <v>505</v>
      </c>
      <c r="C882" s="139" t="s">
        <v>485</v>
      </c>
      <c r="D882" s="15">
        <v>15000000</v>
      </c>
      <c r="E882" s="93">
        <v>0.96663149420000005</v>
      </c>
      <c r="F882" s="18">
        <v>14499472.41</v>
      </c>
      <c r="G882" s="18">
        <v>0.03</v>
      </c>
      <c r="H882" s="13"/>
      <c r="I882" s="13"/>
    </row>
    <row r="883" spans="1:9">
      <c r="A883" s="13" t="s">
        <v>1520</v>
      </c>
      <c r="B883" s="139" t="s">
        <v>798</v>
      </c>
      <c r="C883" s="139" t="s">
        <v>485</v>
      </c>
      <c r="D883" s="15">
        <v>15000000</v>
      </c>
      <c r="E883" s="93">
        <v>0.96484277269999996</v>
      </c>
      <c r="F883" s="18">
        <v>14472641.59</v>
      </c>
      <c r="G883" s="18">
        <v>0.03</v>
      </c>
      <c r="H883" s="13"/>
      <c r="I883" s="13"/>
    </row>
    <row r="884" spans="1:9">
      <c r="A884" s="13" t="s">
        <v>1521</v>
      </c>
      <c r="B884" s="139" t="s">
        <v>190</v>
      </c>
      <c r="C884" s="139" t="s">
        <v>485</v>
      </c>
      <c r="D884" s="15">
        <v>20000000</v>
      </c>
      <c r="E884" s="93">
        <v>0.96040011039999995</v>
      </c>
      <c r="F884" s="18">
        <v>19208002.210000001</v>
      </c>
      <c r="G884" s="18">
        <v>0.04</v>
      </c>
      <c r="H884" s="13"/>
      <c r="I884" s="13"/>
    </row>
    <row r="885" spans="1:9">
      <c r="A885" s="13" t="s">
        <v>1523</v>
      </c>
      <c r="B885" s="139" t="s">
        <v>192</v>
      </c>
      <c r="C885" s="139" t="s">
        <v>485</v>
      </c>
      <c r="D885" s="15">
        <v>149000000</v>
      </c>
      <c r="E885" s="93">
        <v>0.98382756130000004</v>
      </c>
      <c r="F885" s="18">
        <v>146590306.63</v>
      </c>
      <c r="G885" s="18">
        <v>0.28000000000000003</v>
      </c>
      <c r="H885" s="13"/>
      <c r="I885" s="13"/>
    </row>
    <row r="886" spans="1:9">
      <c r="A886" s="13" t="s">
        <v>1531</v>
      </c>
      <c r="B886" s="139" t="s">
        <v>713</v>
      </c>
      <c r="C886" s="139" t="s">
        <v>401</v>
      </c>
      <c r="D886" s="15">
        <v>440000000</v>
      </c>
      <c r="E886" s="93">
        <v>0.9504219558</v>
      </c>
      <c r="F886" s="18">
        <v>418185660.55000001</v>
      </c>
      <c r="G886" s="151">
        <v>0.8</v>
      </c>
      <c r="H886" s="13"/>
      <c r="I886" s="13"/>
    </row>
    <row r="887" spans="1:9">
      <c r="A887" s="13" t="s">
        <v>1525</v>
      </c>
      <c r="B887" s="139" t="s">
        <v>533</v>
      </c>
      <c r="C887" s="139" t="s">
        <v>401</v>
      </c>
      <c r="D887" s="15">
        <v>29200000</v>
      </c>
      <c r="E887" s="93">
        <v>0.98449096219999999</v>
      </c>
      <c r="F887" s="151">
        <v>28747136.100000001</v>
      </c>
      <c r="G887" s="18">
        <v>0.05</v>
      </c>
      <c r="H887" s="13"/>
      <c r="I887" s="13"/>
    </row>
    <row r="888" spans="1:9">
      <c r="A888" s="13" t="s">
        <v>1528</v>
      </c>
      <c r="B888" s="139" t="s">
        <v>694</v>
      </c>
      <c r="C888" s="139" t="s">
        <v>401</v>
      </c>
      <c r="D888" s="15">
        <v>42000000</v>
      </c>
      <c r="E888" s="154">
        <v>0.97562285800000004</v>
      </c>
      <c r="F888" s="18">
        <v>40976160.039999999</v>
      </c>
      <c r="G888" s="18">
        <v>0.08</v>
      </c>
      <c r="H888" s="13"/>
      <c r="I888" s="13"/>
    </row>
    <row r="889" spans="1:9">
      <c r="A889" s="13" t="s">
        <v>1529</v>
      </c>
      <c r="B889" s="139" t="s">
        <v>387</v>
      </c>
      <c r="C889" s="139" t="s">
        <v>401</v>
      </c>
      <c r="D889" s="15">
        <v>42000000</v>
      </c>
      <c r="E889" s="93">
        <v>0.97463287050000003</v>
      </c>
      <c r="F889" s="18">
        <v>40934580.560000002</v>
      </c>
      <c r="G889" s="18">
        <v>0.08</v>
      </c>
      <c r="H889" s="13"/>
      <c r="I889" s="13"/>
    </row>
    <row r="890" spans="1:9">
      <c r="A890" s="13" t="s">
        <v>1530</v>
      </c>
      <c r="B890" s="139" t="s">
        <v>391</v>
      </c>
      <c r="C890" s="139" t="s">
        <v>401</v>
      </c>
      <c r="D890" s="15">
        <v>43000000</v>
      </c>
      <c r="E890" s="93">
        <v>0.97069306249999998</v>
      </c>
      <c r="F890" s="18">
        <v>41739801.689999998</v>
      </c>
      <c r="G890" s="18">
        <v>0.08</v>
      </c>
      <c r="H890" s="13"/>
      <c r="I890" s="13"/>
    </row>
    <row r="891" spans="1:9">
      <c r="A891" s="13" t="s">
        <v>1527</v>
      </c>
      <c r="B891" s="139" t="s">
        <v>711</v>
      </c>
      <c r="C891" s="139" t="s">
        <v>401</v>
      </c>
      <c r="D891" s="15">
        <v>650000000</v>
      </c>
      <c r="E891" s="93">
        <v>0.92785611040000004</v>
      </c>
      <c r="F891" s="18">
        <v>603106471.75999999</v>
      </c>
      <c r="G891" s="18">
        <v>1.1499999999999999</v>
      </c>
      <c r="H891" s="13"/>
      <c r="I891" s="13"/>
    </row>
    <row r="892" spans="1:9">
      <c r="A892" s="13" t="s">
        <v>1532</v>
      </c>
      <c r="B892" s="139" t="s">
        <v>713</v>
      </c>
      <c r="C892" s="139" t="s">
        <v>400</v>
      </c>
      <c r="D892" s="15">
        <v>115000000</v>
      </c>
      <c r="E892" s="93">
        <v>0.94903814249999996</v>
      </c>
      <c r="F892" s="18">
        <v>109139386.39</v>
      </c>
      <c r="G892" s="18">
        <v>0.21</v>
      </c>
      <c r="H892" s="13"/>
      <c r="I892" s="13"/>
    </row>
    <row r="893" spans="1:9">
      <c r="A893" s="13" t="s">
        <v>1533</v>
      </c>
      <c r="B893" s="139" t="s">
        <v>490</v>
      </c>
      <c r="C893" s="139" t="s">
        <v>400</v>
      </c>
      <c r="D893" s="18">
        <v>5511345.0499999998</v>
      </c>
      <c r="E893" s="93">
        <v>0.98488945660000005</v>
      </c>
      <c r="F893" s="18">
        <v>5428065.6299999999</v>
      </c>
      <c r="G893" s="18">
        <v>0.01</v>
      </c>
      <c r="H893" s="13"/>
      <c r="I893" s="13"/>
    </row>
    <row r="894" spans="1:9">
      <c r="A894" s="13" t="s">
        <v>1534</v>
      </c>
      <c r="B894" s="139" t="s">
        <v>452</v>
      </c>
      <c r="C894" s="139" t="s">
        <v>400</v>
      </c>
      <c r="D894" s="18">
        <v>2501996.42</v>
      </c>
      <c r="E894" s="93">
        <v>0.99808587449999997</v>
      </c>
      <c r="F894" s="18">
        <v>2497207.2799999998</v>
      </c>
      <c r="G894" s="15">
        <v>0</v>
      </c>
      <c r="H894" s="13"/>
      <c r="I894" s="13"/>
    </row>
    <row r="895" spans="1:9">
      <c r="A895" s="13" t="s">
        <v>1535</v>
      </c>
      <c r="B895" s="139" t="s">
        <v>563</v>
      </c>
      <c r="C895" s="139" t="s">
        <v>400</v>
      </c>
      <c r="D895" s="15">
        <v>42000000</v>
      </c>
      <c r="E895" s="93">
        <v>0.94958127039999995</v>
      </c>
      <c r="F895" s="18">
        <v>39882413.359999999</v>
      </c>
      <c r="G895" s="18">
        <v>0.08</v>
      </c>
      <c r="H895" s="13"/>
      <c r="I895" s="13"/>
    </row>
    <row r="896" spans="1:9">
      <c r="A896" s="13" t="s">
        <v>1536</v>
      </c>
      <c r="B896" s="139" t="s">
        <v>488</v>
      </c>
      <c r="C896" s="139" t="s">
        <v>400</v>
      </c>
      <c r="D896" s="15">
        <v>5000000</v>
      </c>
      <c r="E896" s="93">
        <v>0.95840778120000003</v>
      </c>
      <c r="F896" s="18">
        <v>4792038.91</v>
      </c>
      <c r="G896" s="18">
        <v>0.01</v>
      </c>
      <c r="H896" s="13"/>
      <c r="I896" s="13"/>
    </row>
    <row r="897" spans="1:9">
      <c r="A897" s="13" t="s">
        <v>1537</v>
      </c>
      <c r="B897" s="139" t="s">
        <v>546</v>
      </c>
      <c r="C897" s="139" t="s">
        <v>400</v>
      </c>
      <c r="D897" s="15">
        <v>6000000</v>
      </c>
      <c r="E897" s="93">
        <v>0.95659934989999995</v>
      </c>
      <c r="F897" s="151">
        <v>5739596.0999999996</v>
      </c>
      <c r="G897" s="18">
        <v>0.01</v>
      </c>
      <c r="H897" s="13"/>
      <c r="I897" s="13"/>
    </row>
    <row r="898" spans="1:9">
      <c r="A898" s="13" t="s">
        <v>1538</v>
      </c>
      <c r="B898" s="139" t="s">
        <v>329</v>
      </c>
      <c r="C898" s="139" t="s">
        <v>400</v>
      </c>
      <c r="D898" s="15">
        <v>60000000</v>
      </c>
      <c r="E898" s="93">
        <v>0.99184786089999999</v>
      </c>
      <c r="F898" s="18">
        <v>59510871.649999999</v>
      </c>
      <c r="G898" s="18">
        <v>0.11</v>
      </c>
      <c r="H898" s="13"/>
      <c r="I898" s="13"/>
    </row>
    <row r="899" spans="1:9">
      <c r="A899" s="13" t="s">
        <v>1539</v>
      </c>
      <c r="B899" s="139" t="s">
        <v>445</v>
      </c>
      <c r="C899" s="139" t="s">
        <v>400</v>
      </c>
      <c r="D899" s="15">
        <v>30000000</v>
      </c>
      <c r="E899" s="93">
        <v>0.99144375949999997</v>
      </c>
      <c r="F899" s="18">
        <v>29743312.789999999</v>
      </c>
      <c r="G899" s="18">
        <v>0.06</v>
      </c>
      <c r="H899" s="13"/>
      <c r="I899" s="13"/>
    </row>
    <row r="900" spans="1:9">
      <c r="A900" s="13" t="s">
        <v>1540</v>
      </c>
      <c r="B900" s="139" t="s">
        <v>594</v>
      </c>
      <c r="C900" s="139" t="s">
        <v>400</v>
      </c>
      <c r="D900" s="15">
        <v>30000000</v>
      </c>
      <c r="E900" s="93">
        <v>0.95424847580000005</v>
      </c>
      <c r="F900" s="18">
        <v>28627454.27</v>
      </c>
      <c r="G900" s="18">
        <v>0.05</v>
      </c>
      <c r="H900" s="13"/>
      <c r="I900" s="13"/>
    </row>
    <row r="901" spans="1:9">
      <c r="A901" s="13" t="s">
        <v>1541</v>
      </c>
      <c r="B901" s="139" t="s">
        <v>533</v>
      </c>
      <c r="C901" s="139" t="s">
        <v>400</v>
      </c>
      <c r="D901" s="15">
        <v>30000000</v>
      </c>
      <c r="E901" s="154">
        <v>0.978421125</v>
      </c>
      <c r="F901" s="18">
        <v>29352633.75</v>
      </c>
      <c r="G901" s="18">
        <v>0.06</v>
      </c>
      <c r="H901" s="13"/>
      <c r="I901" s="13"/>
    </row>
    <row r="902" spans="1:9">
      <c r="A902" s="13" t="s">
        <v>1542</v>
      </c>
      <c r="B902" s="139" t="s">
        <v>533</v>
      </c>
      <c r="C902" s="139" t="s">
        <v>400</v>
      </c>
      <c r="D902" s="15">
        <v>20000000</v>
      </c>
      <c r="E902" s="154">
        <v>0.978421125</v>
      </c>
      <c r="F902" s="151">
        <v>19568422.5</v>
      </c>
      <c r="G902" s="18">
        <v>0.04</v>
      </c>
      <c r="H902" s="13"/>
      <c r="I902" s="13"/>
    </row>
    <row r="903" spans="1:9">
      <c r="A903" s="13" t="s">
        <v>1543</v>
      </c>
      <c r="B903" s="139" t="s">
        <v>391</v>
      </c>
      <c r="C903" s="139" t="s">
        <v>400</v>
      </c>
      <c r="D903" s="15">
        <v>50000000</v>
      </c>
      <c r="E903" s="93">
        <v>0.97294420829999995</v>
      </c>
      <c r="F903" s="18">
        <v>48647210.420000002</v>
      </c>
      <c r="G903" s="18">
        <v>0.09</v>
      </c>
      <c r="H903" s="13"/>
      <c r="I903" s="13"/>
    </row>
    <row r="904" spans="1:9">
      <c r="A904" s="13" t="s">
        <v>1544</v>
      </c>
      <c r="B904" s="139" t="s">
        <v>842</v>
      </c>
      <c r="C904" s="139" t="s">
        <v>400</v>
      </c>
      <c r="D904" s="18">
        <v>4190169.08</v>
      </c>
      <c r="E904" s="93">
        <v>0.98081373650000003</v>
      </c>
      <c r="F904" s="18">
        <v>4109775.39</v>
      </c>
      <c r="G904" s="18">
        <v>0.01</v>
      </c>
      <c r="H904" s="13"/>
      <c r="I904" s="13"/>
    </row>
    <row r="905" spans="1:9">
      <c r="A905" s="13" t="s">
        <v>1545</v>
      </c>
      <c r="B905" s="139" t="s">
        <v>1330</v>
      </c>
      <c r="C905" s="139" t="s">
        <v>400</v>
      </c>
      <c r="D905" s="15">
        <v>4000000</v>
      </c>
      <c r="E905" s="93">
        <v>0.88172788410000003</v>
      </c>
      <c r="F905" s="18">
        <v>3526911.54</v>
      </c>
      <c r="G905" s="18">
        <v>0.01</v>
      </c>
      <c r="H905" s="13"/>
      <c r="I905" s="13"/>
    </row>
    <row r="906" spans="1:9">
      <c r="A906" s="13" t="s">
        <v>1546</v>
      </c>
      <c r="B906" s="139" t="s">
        <v>533</v>
      </c>
      <c r="C906" s="139" t="s">
        <v>400</v>
      </c>
      <c r="D906" s="15">
        <v>4000000</v>
      </c>
      <c r="E906" s="93">
        <v>0.97902473219999997</v>
      </c>
      <c r="F906" s="18">
        <v>3916098.93</v>
      </c>
      <c r="G906" s="18">
        <v>0.01</v>
      </c>
      <c r="H906" s="13"/>
      <c r="I906" s="13"/>
    </row>
    <row r="907" spans="1:9">
      <c r="A907" s="13" t="s">
        <v>1547</v>
      </c>
      <c r="B907" s="139" t="s">
        <v>741</v>
      </c>
      <c r="C907" s="139" t="s">
        <v>400</v>
      </c>
      <c r="D907" s="15">
        <v>4000000</v>
      </c>
      <c r="E907" s="93">
        <v>0.90324193890000004</v>
      </c>
      <c r="F907" s="18">
        <v>3612967.76</v>
      </c>
      <c r="G907" s="18">
        <v>0.01</v>
      </c>
      <c r="H907" s="13"/>
      <c r="I907" s="13"/>
    </row>
    <row r="908" spans="1:9">
      <c r="A908" s="13" t="s">
        <v>1548</v>
      </c>
      <c r="B908" s="139" t="s">
        <v>716</v>
      </c>
      <c r="C908" s="139" t="s">
        <v>400</v>
      </c>
      <c r="D908" s="15">
        <v>4000000</v>
      </c>
      <c r="E908" s="93">
        <v>0.92503430949999998</v>
      </c>
      <c r="F908" s="18">
        <v>3700137.24</v>
      </c>
      <c r="G908" s="18">
        <v>0.01</v>
      </c>
      <c r="H908" s="13"/>
      <c r="I908" s="13"/>
    </row>
    <row r="909" spans="1:9">
      <c r="A909" s="13" t="s">
        <v>1549</v>
      </c>
      <c r="B909" s="139" t="s">
        <v>1550</v>
      </c>
      <c r="C909" s="139" t="s">
        <v>400</v>
      </c>
      <c r="D909" s="15">
        <v>4000000</v>
      </c>
      <c r="E909" s="93">
        <v>0.87312230980000005</v>
      </c>
      <c r="F909" s="18">
        <v>3492489.24</v>
      </c>
      <c r="G909" s="18">
        <v>0.01</v>
      </c>
      <c r="H909" s="13"/>
      <c r="I909" s="13"/>
    </row>
    <row r="910" spans="1:9">
      <c r="A910" s="13" t="s">
        <v>1551</v>
      </c>
      <c r="B910" s="139" t="s">
        <v>1335</v>
      </c>
      <c r="C910" s="139" t="s">
        <v>400</v>
      </c>
      <c r="D910" s="15">
        <v>4000000</v>
      </c>
      <c r="E910" s="93">
        <v>0.89272631930000002</v>
      </c>
      <c r="F910" s="18">
        <v>3570905.28</v>
      </c>
      <c r="G910" s="18">
        <v>0.01</v>
      </c>
      <c r="H910" s="13"/>
      <c r="I910" s="13"/>
    </row>
    <row r="911" spans="1:9">
      <c r="A911" s="13" t="s">
        <v>1556</v>
      </c>
      <c r="B911" s="139" t="s">
        <v>711</v>
      </c>
      <c r="C911" s="139" t="s">
        <v>381</v>
      </c>
      <c r="D911" s="15">
        <v>40000000</v>
      </c>
      <c r="E911" s="93">
        <v>0.94437257860000001</v>
      </c>
      <c r="F911" s="18">
        <v>37774903.140000001</v>
      </c>
      <c r="G911" s="18">
        <v>7.0000000000000007E-2</v>
      </c>
      <c r="H911" s="13"/>
      <c r="I911" s="13"/>
    </row>
    <row r="912" spans="1:9">
      <c r="A912" s="13" t="s">
        <v>1557</v>
      </c>
      <c r="B912" s="139" t="s">
        <v>1402</v>
      </c>
      <c r="C912" s="139" t="s">
        <v>381</v>
      </c>
      <c r="D912" s="15">
        <v>40000000</v>
      </c>
      <c r="E912" s="93">
        <v>0.94217870159999995</v>
      </c>
      <c r="F912" s="18">
        <v>37687148.060000002</v>
      </c>
      <c r="G912" s="18">
        <v>7.0000000000000007E-2</v>
      </c>
      <c r="H912" s="13"/>
      <c r="I912" s="13"/>
    </row>
    <row r="913" spans="1:9">
      <c r="A913" s="13" t="s">
        <v>1558</v>
      </c>
      <c r="B913" s="139" t="s">
        <v>727</v>
      </c>
      <c r="C913" s="139" t="s">
        <v>381</v>
      </c>
      <c r="D913" s="15">
        <v>40000000</v>
      </c>
      <c r="E913" s="93">
        <v>0.94140103689999999</v>
      </c>
      <c r="F913" s="18">
        <v>37656041.479999997</v>
      </c>
      <c r="G913" s="18">
        <v>7.0000000000000007E-2</v>
      </c>
      <c r="H913" s="13"/>
      <c r="I913" s="13"/>
    </row>
    <row r="914" spans="1:9">
      <c r="A914" s="13" t="s">
        <v>1559</v>
      </c>
      <c r="B914" s="139" t="s">
        <v>755</v>
      </c>
      <c r="C914" s="139" t="s">
        <v>381</v>
      </c>
      <c r="D914" s="15">
        <v>40000000</v>
      </c>
      <c r="E914" s="93">
        <v>0.9406248384</v>
      </c>
      <c r="F914" s="18">
        <v>37624993.539999999</v>
      </c>
      <c r="G914" s="18">
        <v>7.0000000000000007E-2</v>
      </c>
      <c r="H914" s="13"/>
      <c r="I914" s="13"/>
    </row>
    <row r="915" spans="1:9">
      <c r="A915" s="13" t="s">
        <v>1560</v>
      </c>
      <c r="B915" s="139" t="s">
        <v>716</v>
      </c>
      <c r="C915" s="139" t="s">
        <v>381</v>
      </c>
      <c r="D915" s="18">
        <v>14479899.68</v>
      </c>
      <c r="E915" s="154">
        <v>0.92913159700000003</v>
      </c>
      <c r="F915" s="18">
        <v>13453732.310000001</v>
      </c>
      <c r="G915" s="18">
        <v>0.03</v>
      </c>
      <c r="H915" s="13"/>
      <c r="I915" s="13"/>
    </row>
    <row r="916" spans="1:9">
      <c r="A916" s="13" t="s">
        <v>1561</v>
      </c>
      <c r="B916" s="139" t="s">
        <v>711</v>
      </c>
      <c r="C916" s="139" t="s">
        <v>381</v>
      </c>
      <c r="D916" s="18">
        <v>14479899.68</v>
      </c>
      <c r="E916" s="154">
        <v>0.92988892899999998</v>
      </c>
      <c r="F916" s="18">
        <v>13464698.41</v>
      </c>
      <c r="G916" s="18">
        <v>0.03</v>
      </c>
      <c r="H916" s="13"/>
      <c r="I916" s="13"/>
    </row>
    <row r="917" spans="1:9">
      <c r="A917" s="13" t="s">
        <v>1562</v>
      </c>
      <c r="B917" s="139" t="s">
        <v>631</v>
      </c>
      <c r="C917" s="139" t="s">
        <v>381</v>
      </c>
      <c r="D917" s="18">
        <v>14479899.689999999</v>
      </c>
      <c r="E917" s="93">
        <v>0.93522616950000004</v>
      </c>
      <c r="F917" s="18">
        <v>13541981.119999999</v>
      </c>
      <c r="G917" s="18">
        <v>0.03</v>
      </c>
      <c r="H917" s="13"/>
      <c r="I917" s="13"/>
    </row>
    <row r="918" spans="1:9">
      <c r="A918" s="13" t="s">
        <v>1563</v>
      </c>
      <c r="B918" s="139" t="s">
        <v>626</v>
      </c>
      <c r="C918" s="139" t="s">
        <v>381</v>
      </c>
      <c r="D918" s="18">
        <v>14479899.68</v>
      </c>
      <c r="E918" s="93">
        <v>0.93445993169999997</v>
      </c>
      <c r="F918" s="18">
        <v>13530886.07</v>
      </c>
      <c r="G918" s="18">
        <v>0.03</v>
      </c>
      <c r="H918" s="13"/>
      <c r="I918" s="13"/>
    </row>
    <row r="919" spans="1:9">
      <c r="A919" s="13" t="s">
        <v>1564</v>
      </c>
      <c r="B919" s="139" t="s">
        <v>759</v>
      </c>
      <c r="C919" s="139" t="s">
        <v>381</v>
      </c>
      <c r="D919" s="18">
        <v>14479899.68</v>
      </c>
      <c r="E919" s="93">
        <v>0.93369494909999995</v>
      </c>
      <c r="F919" s="18">
        <v>13519809.189999999</v>
      </c>
      <c r="G919" s="18">
        <v>0.03</v>
      </c>
      <c r="H919" s="13"/>
      <c r="I919" s="13"/>
    </row>
    <row r="920" spans="1:9">
      <c r="A920" s="13" t="s">
        <v>1565</v>
      </c>
      <c r="B920" s="139" t="s">
        <v>1023</v>
      </c>
      <c r="C920" s="139" t="s">
        <v>381</v>
      </c>
      <c r="D920" s="18">
        <v>14479899.68</v>
      </c>
      <c r="E920" s="93">
        <v>0.93064768730000003</v>
      </c>
      <c r="F920" s="18">
        <v>13475685.15</v>
      </c>
      <c r="G920" s="18">
        <v>0.03</v>
      </c>
      <c r="H920" s="13"/>
      <c r="I920" s="13"/>
    </row>
    <row r="921" spans="1:9">
      <c r="A921" s="13" t="s">
        <v>1566</v>
      </c>
      <c r="B921" s="139" t="s">
        <v>1341</v>
      </c>
      <c r="C921" s="139" t="s">
        <v>381</v>
      </c>
      <c r="D921" s="15">
        <v>3517425</v>
      </c>
      <c r="E921" s="93">
        <v>0.91497052950000002</v>
      </c>
      <c r="F921" s="18">
        <v>3218340.21</v>
      </c>
      <c r="G921" s="18">
        <v>0.01</v>
      </c>
      <c r="H921" s="13"/>
      <c r="I921" s="13"/>
    </row>
    <row r="922" spans="1:9">
      <c r="A922" s="13" t="s">
        <v>1567</v>
      </c>
      <c r="B922" s="139" t="s">
        <v>716</v>
      </c>
      <c r="C922" s="139" t="s">
        <v>381</v>
      </c>
      <c r="D922" s="15">
        <v>3413365</v>
      </c>
      <c r="E922" s="154">
        <v>0.92913159499999998</v>
      </c>
      <c r="F922" s="18">
        <v>3171465.27</v>
      </c>
      <c r="G922" s="18">
        <v>0.01</v>
      </c>
      <c r="H922" s="13"/>
      <c r="I922" s="13"/>
    </row>
    <row r="923" spans="1:9">
      <c r="A923" s="13" t="s">
        <v>1568</v>
      </c>
      <c r="B923" s="139" t="s">
        <v>190</v>
      </c>
      <c r="C923" s="139" t="s">
        <v>381</v>
      </c>
      <c r="D923" s="151">
        <v>22266654.899999999</v>
      </c>
      <c r="E923" s="93">
        <v>0.96367105310000001</v>
      </c>
      <c r="F923" s="18">
        <v>21457730.780000001</v>
      </c>
      <c r="G923" s="18">
        <v>0.04</v>
      </c>
      <c r="H923" s="13"/>
      <c r="I923" s="13"/>
    </row>
    <row r="924" spans="1:9">
      <c r="A924" s="13" t="s">
        <v>1569</v>
      </c>
      <c r="B924" s="139" t="s">
        <v>168</v>
      </c>
      <c r="C924" s="139" t="s">
        <v>381</v>
      </c>
      <c r="D924" s="18">
        <v>4190169.08</v>
      </c>
      <c r="E924" s="93">
        <v>0.99909670969999997</v>
      </c>
      <c r="F924" s="18">
        <v>4186384.14</v>
      </c>
      <c r="G924" s="18">
        <v>0.01</v>
      </c>
      <c r="H924" s="13"/>
      <c r="I924" s="13"/>
    </row>
    <row r="925" spans="1:9">
      <c r="A925" s="13" t="s">
        <v>1570</v>
      </c>
      <c r="B925" s="139" t="s">
        <v>1392</v>
      </c>
      <c r="C925" s="139" t="s">
        <v>381</v>
      </c>
      <c r="D925" s="15">
        <v>115000000</v>
      </c>
      <c r="E925" s="93">
        <v>0.94047935709999997</v>
      </c>
      <c r="F925" s="18">
        <v>108155126.06999999</v>
      </c>
      <c r="G925" s="18">
        <v>0.21</v>
      </c>
      <c r="H925" s="13"/>
      <c r="I925" s="13"/>
    </row>
    <row r="926" spans="1:9">
      <c r="A926" s="13" t="s">
        <v>1571</v>
      </c>
      <c r="B926" s="139" t="s">
        <v>426</v>
      </c>
      <c r="C926" s="139" t="s">
        <v>381</v>
      </c>
      <c r="D926" s="15">
        <v>268000000</v>
      </c>
      <c r="E926" s="93">
        <v>0.98160506879999998</v>
      </c>
      <c r="F926" s="18">
        <v>263070158.44</v>
      </c>
      <c r="G926" s="151">
        <v>0.5</v>
      </c>
      <c r="H926" s="13"/>
      <c r="I926" s="13"/>
    </row>
    <row r="927" spans="1:9">
      <c r="A927" s="13" t="s">
        <v>1572</v>
      </c>
      <c r="B927" s="139" t="s">
        <v>188</v>
      </c>
      <c r="C927" s="139" t="s">
        <v>381</v>
      </c>
      <c r="D927" s="15">
        <v>42000000</v>
      </c>
      <c r="E927" s="93">
        <v>0.96971312919999997</v>
      </c>
      <c r="F927" s="18">
        <v>40727951.43</v>
      </c>
      <c r="G927" s="18">
        <v>0.08</v>
      </c>
      <c r="H927" s="13"/>
      <c r="I927" s="13"/>
    </row>
    <row r="928" spans="1:9">
      <c r="A928" s="13" t="s">
        <v>1573</v>
      </c>
      <c r="B928" s="139" t="s">
        <v>571</v>
      </c>
      <c r="C928" s="139" t="s">
        <v>381</v>
      </c>
      <c r="D928" s="15">
        <v>40400000</v>
      </c>
      <c r="E928" s="154">
        <v>0.96873508600000002</v>
      </c>
      <c r="F928" s="18">
        <v>39136897.469999999</v>
      </c>
      <c r="G928" s="18">
        <v>7.0000000000000007E-2</v>
      </c>
      <c r="H928" s="13"/>
      <c r="I928" s="13"/>
    </row>
    <row r="929" spans="1:9">
      <c r="A929" s="13" t="s">
        <v>1574</v>
      </c>
      <c r="B929" s="139" t="s">
        <v>549</v>
      </c>
      <c r="C929" s="139" t="s">
        <v>381</v>
      </c>
      <c r="D929" s="15">
        <v>40400000</v>
      </c>
      <c r="E929" s="93">
        <v>0.96775917509999998</v>
      </c>
      <c r="F929" s="18">
        <v>39097470.670000002</v>
      </c>
      <c r="G929" s="18">
        <v>7.0000000000000007E-2</v>
      </c>
      <c r="H929" s="13"/>
      <c r="I929" s="13"/>
    </row>
    <row r="930" spans="1:9">
      <c r="A930" s="13" t="s">
        <v>1575</v>
      </c>
      <c r="B930" s="139" t="s">
        <v>842</v>
      </c>
      <c r="C930" s="139" t="s">
        <v>381</v>
      </c>
      <c r="D930" s="15">
        <v>18000000</v>
      </c>
      <c r="E930" s="93">
        <v>0.9808137697</v>
      </c>
      <c r="F930" s="18">
        <v>17654647.850000001</v>
      </c>
      <c r="G930" s="18">
        <v>0.03</v>
      </c>
      <c r="H930" s="13"/>
      <c r="I930" s="13"/>
    </row>
    <row r="931" spans="1:9">
      <c r="A931" s="13" t="s">
        <v>1577</v>
      </c>
      <c r="B931" s="139" t="s">
        <v>518</v>
      </c>
      <c r="C931" s="139" t="s">
        <v>381</v>
      </c>
      <c r="D931" s="15">
        <v>10000000</v>
      </c>
      <c r="E931" s="93">
        <v>0.98712685180000004</v>
      </c>
      <c r="F931" s="18">
        <v>9871268.5199999996</v>
      </c>
      <c r="G931" s="18">
        <v>0.02</v>
      </c>
      <c r="H931" s="13"/>
      <c r="I931" s="13"/>
    </row>
    <row r="932" spans="1:9">
      <c r="A932" s="13" t="s">
        <v>1578</v>
      </c>
      <c r="B932" s="139" t="s">
        <v>452</v>
      </c>
      <c r="C932" s="139" t="s">
        <v>381</v>
      </c>
      <c r="D932" s="15">
        <v>8750000</v>
      </c>
      <c r="E932" s="93">
        <v>0.9983588632</v>
      </c>
      <c r="F932" s="18">
        <v>8735640.0500000007</v>
      </c>
      <c r="G932" s="18">
        <v>0.02</v>
      </c>
      <c r="H932" s="13"/>
      <c r="I932" s="13"/>
    </row>
    <row r="933" spans="1:9">
      <c r="A933" s="13" t="s">
        <v>1579</v>
      </c>
      <c r="B933" s="139" t="s">
        <v>798</v>
      </c>
      <c r="C933" s="139" t="s">
        <v>381</v>
      </c>
      <c r="D933" s="15">
        <v>8750000</v>
      </c>
      <c r="E933" s="93">
        <v>0.96971309670000005</v>
      </c>
      <c r="F933" s="151">
        <v>8484989.5999999996</v>
      </c>
      <c r="G933" s="18">
        <v>0.02</v>
      </c>
      <c r="H933" s="13"/>
      <c r="I933" s="13"/>
    </row>
    <row r="934" spans="1:9">
      <c r="A934" s="13" t="s">
        <v>1580</v>
      </c>
      <c r="B934" s="139" t="s">
        <v>842</v>
      </c>
      <c r="C934" s="139" t="s">
        <v>381</v>
      </c>
      <c r="D934" s="15">
        <v>8750000</v>
      </c>
      <c r="E934" s="93">
        <v>0.98303267220000001</v>
      </c>
      <c r="F934" s="18">
        <v>8601535.8800000008</v>
      </c>
      <c r="G934" s="18">
        <v>0.02</v>
      </c>
      <c r="H934" s="13"/>
      <c r="I934" s="13"/>
    </row>
    <row r="935" spans="1:9">
      <c r="A935" s="13" t="s">
        <v>1581</v>
      </c>
      <c r="B935" s="139" t="s">
        <v>713</v>
      </c>
      <c r="C935" s="139" t="s">
        <v>381</v>
      </c>
      <c r="D935" s="15">
        <v>9600000</v>
      </c>
      <c r="E935" s="93">
        <v>0.9630607202</v>
      </c>
      <c r="F935" s="18">
        <v>9245382.9100000001</v>
      </c>
      <c r="G935" s="18">
        <v>0.02</v>
      </c>
      <c r="H935" s="13"/>
      <c r="I935" s="13"/>
    </row>
    <row r="936" spans="1:9">
      <c r="A936" s="13" t="s">
        <v>1582</v>
      </c>
      <c r="B936" s="139" t="s">
        <v>557</v>
      </c>
      <c r="C936" s="139" t="s">
        <v>381</v>
      </c>
      <c r="D936" s="15">
        <v>9600000</v>
      </c>
      <c r="E936" s="93">
        <v>0.96179192840000005</v>
      </c>
      <c r="F936" s="18">
        <v>9233202.5099999998</v>
      </c>
      <c r="G936" s="18">
        <v>0.02</v>
      </c>
      <c r="H936" s="13"/>
      <c r="I936" s="13"/>
    </row>
    <row r="937" spans="1:9">
      <c r="A937" s="13" t="s">
        <v>1583</v>
      </c>
      <c r="B937" s="139" t="s">
        <v>557</v>
      </c>
      <c r="C937" s="139" t="s">
        <v>381</v>
      </c>
      <c r="D937" s="15">
        <v>9600000</v>
      </c>
      <c r="E937" s="93">
        <v>0.96179192840000005</v>
      </c>
      <c r="F937" s="18">
        <v>9233202.5099999998</v>
      </c>
      <c r="G937" s="18">
        <v>0.02</v>
      </c>
      <c r="H937" s="13"/>
      <c r="I937" s="13"/>
    </row>
    <row r="938" spans="1:9">
      <c r="A938" s="13" t="s">
        <v>1613</v>
      </c>
      <c r="B938" s="139" t="s">
        <v>624</v>
      </c>
      <c r="C938" s="139" t="s">
        <v>389</v>
      </c>
      <c r="D938" s="15">
        <v>1606134</v>
      </c>
      <c r="E938" s="93">
        <v>0.96663138709999996</v>
      </c>
      <c r="F938" s="18">
        <v>1552539.54</v>
      </c>
      <c r="G938" s="15">
        <v>0</v>
      </c>
      <c r="H938" s="13"/>
      <c r="I938" s="13"/>
    </row>
    <row r="939" spans="1:9">
      <c r="A939" s="13" t="s">
        <v>1614</v>
      </c>
      <c r="B939" s="139" t="s">
        <v>549</v>
      </c>
      <c r="C939" s="139" t="s">
        <v>389</v>
      </c>
      <c r="D939" s="15">
        <v>1606134</v>
      </c>
      <c r="E939" s="93">
        <v>0.97437278989999998</v>
      </c>
      <c r="F939" s="18">
        <v>1564973.27</v>
      </c>
      <c r="G939" s="15">
        <v>0</v>
      </c>
      <c r="H939" s="13"/>
      <c r="I939" s="13"/>
    </row>
    <row r="940" spans="1:9">
      <c r="A940" s="13" t="s">
        <v>1615</v>
      </c>
      <c r="B940" s="139" t="s">
        <v>452</v>
      </c>
      <c r="C940" s="139" t="s">
        <v>389</v>
      </c>
      <c r="D940" s="15">
        <v>1606134</v>
      </c>
      <c r="E940" s="93">
        <v>0.99835886370000004</v>
      </c>
      <c r="F940" s="18">
        <v>1603498.12</v>
      </c>
      <c r="G940" s="15">
        <v>0</v>
      </c>
      <c r="H940" s="13"/>
      <c r="I940" s="13"/>
    </row>
    <row r="941" spans="1:9">
      <c r="A941" s="13" t="s">
        <v>1595</v>
      </c>
      <c r="B941" s="139" t="s">
        <v>188</v>
      </c>
      <c r="C941" s="139" t="s">
        <v>389</v>
      </c>
      <c r="D941" s="15">
        <v>2500000</v>
      </c>
      <c r="E941" s="93">
        <v>0.9759358923</v>
      </c>
      <c r="F941" s="18">
        <v>2439839.73</v>
      </c>
      <c r="G941" s="15">
        <v>0</v>
      </c>
      <c r="H941" s="13"/>
      <c r="I941" s="13"/>
    </row>
    <row r="942" spans="1:9">
      <c r="A942" s="13" t="s">
        <v>1602</v>
      </c>
      <c r="B942" s="139" t="s">
        <v>445</v>
      </c>
      <c r="C942" s="139" t="s">
        <v>389</v>
      </c>
      <c r="D942" s="151">
        <v>1770042.5</v>
      </c>
      <c r="E942" s="93">
        <v>0.99265707319999996</v>
      </c>
      <c r="F942" s="18">
        <v>1757045.21</v>
      </c>
      <c r="G942" s="15">
        <v>0</v>
      </c>
      <c r="H942" s="13"/>
      <c r="I942" s="13"/>
    </row>
    <row r="943" spans="1:9">
      <c r="A943" s="13" t="s">
        <v>1603</v>
      </c>
      <c r="B943" s="139" t="s">
        <v>533</v>
      </c>
      <c r="C943" s="139" t="s">
        <v>389</v>
      </c>
      <c r="D943" s="151">
        <v>1770042.5</v>
      </c>
      <c r="E943" s="93">
        <v>0.98144666120000001</v>
      </c>
      <c r="F943" s="151">
        <v>1737202.3</v>
      </c>
      <c r="G943" s="15">
        <v>0</v>
      </c>
      <c r="H943" s="13"/>
      <c r="I943" s="13"/>
    </row>
    <row r="944" spans="1:9">
      <c r="A944" s="13" t="s">
        <v>1589</v>
      </c>
      <c r="B944" s="139" t="s">
        <v>798</v>
      </c>
      <c r="C944" s="139" t="s">
        <v>389</v>
      </c>
      <c r="D944" s="18">
        <v>1770042.53</v>
      </c>
      <c r="E944" s="93">
        <v>0.96971310840000002</v>
      </c>
      <c r="F944" s="18">
        <v>1716433.44</v>
      </c>
      <c r="G944" s="15">
        <v>0</v>
      </c>
      <c r="H944" s="13"/>
      <c r="I944" s="13"/>
    </row>
    <row r="945" spans="1:9">
      <c r="A945" s="13" t="s">
        <v>1591</v>
      </c>
      <c r="B945" s="139" t="s">
        <v>501</v>
      </c>
      <c r="C945" s="139" t="s">
        <v>389</v>
      </c>
      <c r="D945" s="18">
        <v>3533450.77</v>
      </c>
      <c r="E945" s="93">
        <v>0.98223904049999999</v>
      </c>
      <c r="F945" s="18">
        <v>3470693.29</v>
      </c>
      <c r="G945" s="18">
        <v>0.01</v>
      </c>
      <c r="H945" s="13"/>
      <c r="I945" s="13"/>
    </row>
    <row r="946" spans="1:9">
      <c r="A946" s="13" t="s">
        <v>1592</v>
      </c>
      <c r="B946" s="139" t="s">
        <v>452</v>
      </c>
      <c r="C946" s="139" t="s">
        <v>389</v>
      </c>
      <c r="D946" s="18">
        <v>3533450.77</v>
      </c>
      <c r="E946" s="93">
        <v>0.99835886429999998</v>
      </c>
      <c r="F946" s="151">
        <v>3527651.9</v>
      </c>
      <c r="G946" s="18">
        <v>0.01</v>
      </c>
      <c r="H946" s="13"/>
      <c r="I946" s="13"/>
    </row>
    <row r="947" spans="1:9">
      <c r="A947" s="13" t="s">
        <v>1593</v>
      </c>
      <c r="B947" s="139" t="s">
        <v>505</v>
      </c>
      <c r="C947" s="139" t="s">
        <v>389</v>
      </c>
      <c r="D947" s="18">
        <v>3533450.77</v>
      </c>
      <c r="E947" s="93">
        <v>0.97126142920000003</v>
      </c>
      <c r="F947" s="18">
        <v>3431904.44</v>
      </c>
      <c r="G947" s="18">
        <v>0.01</v>
      </c>
      <c r="H947" s="13"/>
      <c r="I947" s="13"/>
    </row>
    <row r="948" spans="1:9">
      <c r="A948" s="13" t="s">
        <v>1618</v>
      </c>
      <c r="B948" s="139" t="s">
        <v>792</v>
      </c>
      <c r="C948" s="139" t="s">
        <v>389</v>
      </c>
      <c r="D948" s="15">
        <v>7250000</v>
      </c>
      <c r="E948" s="93">
        <v>0.95800527189999996</v>
      </c>
      <c r="F948" s="18">
        <v>6945538.2199999997</v>
      </c>
      <c r="G948" s="18">
        <v>0.01</v>
      </c>
      <c r="H948" s="13"/>
      <c r="I948" s="13"/>
    </row>
    <row r="949" spans="1:9">
      <c r="A949" s="13" t="s">
        <v>1619</v>
      </c>
      <c r="B949" s="139" t="s">
        <v>785</v>
      </c>
      <c r="C949" s="139" t="s">
        <v>389</v>
      </c>
      <c r="D949" s="15">
        <v>7250000</v>
      </c>
      <c r="E949" s="93">
        <v>0.95612316590000002</v>
      </c>
      <c r="F949" s="18">
        <v>6931892.9500000002</v>
      </c>
      <c r="G949" s="18">
        <v>0.01</v>
      </c>
      <c r="H949" s="13"/>
      <c r="I949" s="13"/>
    </row>
    <row r="950" spans="1:9">
      <c r="A950" s="13" t="s">
        <v>1606</v>
      </c>
      <c r="B950" s="139" t="s">
        <v>688</v>
      </c>
      <c r="C950" s="139" t="s">
        <v>389</v>
      </c>
      <c r="D950" s="15">
        <v>10000000</v>
      </c>
      <c r="E950" s="93">
        <v>0.95901215959999997</v>
      </c>
      <c r="F950" s="151">
        <v>9590121.5999999996</v>
      </c>
      <c r="G950" s="18">
        <v>0.02</v>
      </c>
      <c r="H950" s="13"/>
      <c r="I950" s="13"/>
    </row>
    <row r="951" spans="1:9">
      <c r="A951" s="13" t="s">
        <v>1607</v>
      </c>
      <c r="B951" s="139" t="s">
        <v>563</v>
      </c>
      <c r="C951" s="139" t="s">
        <v>389</v>
      </c>
      <c r="D951" s="15">
        <v>10000000</v>
      </c>
      <c r="E951" s="93">
        <v>0.95524732889999997</v>
      </c>
      <c r="F951" s="18">
        <v>9552473.2899999991</v>
      </c>
      <c r="G951" s="18">
        <v>0.02</v>
      </c>
      <c r="H951" s="13"/>
      <c r="I951" s="13"/>
    </row>
    <row r="952" spans="1:9">
      <c r="A952" s="13" t="s">
        <v>1608</v>
      </c>
      <c r="B952" s="139" t="s">
        <v>387</v>
      </c>
      <c r="C952" s="139" t="s">
        <v>389</v>
      </c>
      <c r="D952" s="15">
        <v>10000000</v>
      </c>
      <c r="E952" s="93">
        <v>0.9798658737</v>
      </c>
      <c r="F952" s="18">
        <v>9798658.7400000002</v>
      </c>
      <c r="G952" s="18">
        <v>0.02</v>
      </c>
      <c r="H952" s="13"/>
      <c r="I952" s="13"/>
    </row>
    <row r="953" spans="1:9">
      <c r="A953" s="13" t="s">
        <v>1609</v>
      </c>
      <c r="B953" s="139" t="s">
        <v>387</v>
      </c>
      <c r="C953" s="139" t="s">
        <v>389</v>
      </c>
      <c r="D953" s="15">
        <v>5000000</v>
      </c>
      <c r="E953" s="93">
        <v>0.97986587510000001</v>
      </c>
      <c r="F953" s="18">
        <v>4899329.38</v>
      </c>
      <c r="G953" s="18">
        <v>0.01</v>
      </c>
      <c r="H953" s="13"/>
      <c r="I953" s="13"/>
    </row>
    <row r="954" spans="1:9">
      <c r="A954" s="13" t="s">
        <v>1610</v>
      </c>
      <c r="B954" s="139" t="s">
        <v>561</v>
      </c>
      <c r="C954" s="139" t="s">
        <v>389</v>
      </c>
      <c r="D954" s="15">
        <v>10000000</v>
      </c>
      <c r="E954" s="93">
        <v>0.95374976310000004</v>
      </c>
      <c r="F954" s="18">
        <v>9537497.6300000008</v>
      </c>
      <c r="G954" s="18">
        <v>0.02</v>
      </c>
      <c r="H954" s="13"/>
      <c r="I954" s="13"/>
    </row>
    <row r="955" spans="1:9">
      <c r="A955" s="13" t="s">
        <v>1611</v>
      </c>
      <c r="B955" s="139" t="s">
        <v>798</v>
      </c>
      <c r="C955" s="139" t="s">
        <v>389</v>
      </c>
      <c r="D955" s="15">
        <v>10000000</v>
      </c>
      <c r="E955" s="93">
        <v>0.96971311230000001</v>
      </c>
      <c r="F955" s="18">
        <v>9697131.1199999992</v>
      </c>
      <c r="G955" s="18">
        <v>0.02</v>
      </c>
      <c r="H955" s="13"/>
      <c r="I955" s="13"/>
    </row>
    <row r="956" spans="1:9">
      <c r="A956" s="13" t="s">
        <v>1605</v>
      </c>
      <c r="B956" s="139" t="s">
        <v>798</v>
      </c>
      <c r="C956" s="139" t="s">
        <v>389</v>
      </c>
      <c r="D956" s="15">
        <v>5000000</v>
      </c>
      <c r="E956" s="93">
        <v>0.96971311130000004</v>
      </c>
      <c r="F956" s="18">
        <v>4848565.5599999996</v>
      </c>
      <c r="G956" s="18">
        <v>0.01</v>
      </c>
      <c r="H956" s="13"/>
      <c r="I956" s="13"/>
    </row>
    <row r="957" spans="1:9">
      <c r="A957" s="13" t="s">
        <v>1601</v>
      </c>
      <c r="B957" s="139" t="s">
        <v>681</v>
      </c>
      <c r="C957" s="139" t="s">
        <v>389</v>
      </c>
      <c r="D957" s="15">
        <v>100000000</v>
      </c>
      <c r="E957" s="93">
        <v>0.94266536489999997</v>
      </c>
      <c r="F957" s="18">
        <v>94266536.489999995</v>
      </c>
      <c r="G957" s="18">
        <v>0.18</v>
      </c>
      <c r="H957" s="13"/>
      <c r="I957" s="13"/>
    </row>
    <row r="958" spans="1:9">
      <c r="A958" s="13" t="s">
        <v>1598</v>
      </c>
      <c r="B958" s="139" t="s">
        <v>563</v>
      </c>
      <c r="C958" s="139" t="s">
        <v>389</v>
      </c>
      <c r="D958" s="15">
        <v>19470985</v>
      </c>
      <c r="E958" s="93">
        <v>0.9509913887</v>
      </c>
      <c r="F958" s="18">
        <v>18516739.059999999</v>
      </c>
      <c r="G958" s="18">
        <v>0.04</v>
      </c>
      <c r="H958" s="13"/>
      <c r="I958" s="13"/>
    </row>
    <row r="959" spans="1:9">
      <c r="A959" s="13" t="s">
        <v>1599</v>
      </c>
      <c r="B959" s="139" t="s">
        <v>612</v>
      </c>
      <c r="C959" s="139" t="s">
        <v>389</v>
      </c>
      <c r="D959" s="15">
        <v>19470985</v>
      </c>
      <c r="E959" s="93">
        <v>0.94611066020000001</v>
      </c>
      <c r="F959" s="18">
        <v>18421706.469999999</v>
      </c>
      <c r="G959" s="18">
        <v>0.04</v>
      </c>
      <c r="H959" s="13"/>
      <c r="I959" s="13"/>
    </row>
    <row r="960" spans="1:9">
      <c r="A960" s="13" t="s">
        <v>1600</v>
      </c>
      <c r="B960" s="139" t="s">
        <v>1402</v>
      </c>
      <c r="C960" s="139" t="s">
        <v>389</v>
      </c>
      <c r="D960" s="18">
        <v>19470986.34</v>
      </c>
      <c r="E960" s="154">
        <v>0.94047935800000004</v>
      </c>
      <c r="F960" s="18">
        <v>18312060.73</v>
      </c>
      <c r="G960" s="18">
        <v>0.03</v>
      </c>
      <c r="H960" s="13"/>
      <c r="I960" s="13"/>
    </row>
    <row r="961" spans="1:9">
      <c r="A961" s="13" t="s">
        <v>1604</v>
      </c>
      <c r="B961" s="139" t="s">
        <v>426</v>
      </c>
      <c r="C961" s="139" t="s">
        <v>389</v>
      </c>
      <c r="D961" s="15">
        <v>320500000</v>
      </c>
      <c r="E961" s="93">
        <v>0.98160508690000003</v>
      </c>
      <c r="F961" s="18">
        <v>314604430.35000002</v>
      </c>
      <c r="G961" s="151">
        <v>0.6</v>
      </c>
      <c r="H961" s="13"/>
      <c r="I961" s="13"/>
    </row>
    <row r="962" spans="1:9">
      <c r="A962" s="13" t="s">
        <v>1616</v>
      </c>
      <c r="B962" s="139" t="s">
        <v>426</v>
      </c>
      <c r="C962" s="139" t="s">
        <v>389</v>
      </c>
      <c r="D962" s="15">
        <v>136500000</v>
      </c>
      <c r="E962" s="93">
        <v>0.98160508690000003</v>
      </c>
      <c r="F962" s="18">
        <v>133989094.36</v>
      </c>
      <c r="G962" s="18">
        <v>0.26</v>
      </c>
      <c r="H962" s="13"/>
      <c r="I962" s="13"/>
    </row>
    <row r="963" spans="1:9">
      <c r="A963" s="13" t="s">
        <v>1617</v>
      </c>
      <c r="B963" s="139" t="s">
        <v>501</v>
      </c>
      <c r="C963" s="139" t="s">
        <v>389</v>
      </c>
      <c r="D963" s="15">
        <v>136200000</v>
      </c>
      <c r="E963" s="93">
        <v>0.97760883610000004</v>
      </c>
      <c r="F963" s="18">
        <v>133150323.48</v>
      </c>
      <c r="G963" s="18">
        <v>0.25</v>
      </c>
      <c r="H963" s="13"/>
      <c r="I963" s="13"/>
    </row>
    <row r="964" spans="1:9">
      <c r="A964" s="13" t="s">
        <v>1596</v>
      </c>
      <c r="B964" s="139" t="s">
        <v>718</v>
      </c>
      <c r="C964" s="139" t="s">
        <v>389</v>
      </c>
      <c r="D964" s="15">
        <v>50000000</v>
      </c>
      <c r="E964" s="93">
        <v>0.94559590490000001</v>
      </c>
      <c r="F964" s="18">
        <v>47279795.25</v>
      </c>
      <c r="G964" s="18">
        <v>0.09</v>
      </c>
      <c r="H964" s="13"/>
      <c r="I964" s="13"/>
    </row>
    <row r="965" spans="1:9">
      <c r="A965" s="13" t="s">
        <v>1620</v>
      </c>
      <c r="B965" s="139" t="s">
        <v>559</v>
      </c>
      <c r="C965" s="139" t="s">
        <v>170</v>
      </c>
      <c r="D965" s="15">
        <v>20000000</v>
      </c>
      <c r="E965" s="154">
        <v>0.95412377299999995</v>
      </c>
      <c r="F965" s="18">
        <v>19082475.460000001</v>
      </c>
      <c r="G965" s="18">
        <v>0.04</v>
      </c>
      <c r="H965" s="13"/>
      <c r="I965" s="13"/>
    </row>
    <row r="966" spans="1:9">
      <c r="A966" s="13" t="s">
        <v>1621</v>
      </c>
      <c r="B966" s="139" t="s">
        <v>688</v>
      </c>
      <c r="C966" s="139" t="s">
        <v>170</v>
      </c>
      <c r="D966" s="15">
        <v>20000000</v>
      </c>
      <c r="E966" s="154">
        <v>0.94736310899999998</v>
      </c>
      <c r="F966" s="18">
        <v>18947262.18</v>
      </c>
      <c r="G966" s="18">
        <v>0.04</v>
      </c>
      <c r="H966" s="13"/>
      <c r="I966" s="13"/>
    </row>
    <row r="967" spans="1:9">
      <c r="A967" s="13" t="s">
        <v>1622</v>
      </c>
      <c r="B967" s="139" t="s">
        <v>559</v>
      </c>
      <c r="C967" s="139" t="s">
        <v>170</v>
      </c>
      <c r="D967" s="15">
        <v>2700000</v>
      </c>
      <c r="E967" s="93">
        <v>0.96433299959999996</v>
      </c>
      <c r="F967" s="151">
        <v>2603699.1</v>
      </c>
      <c r="G967" s="15">
        <v>0</v>
      </c>
      <c r="H967" s="13"/>
      <c r="I967" s="13"/>
    </row>
    <row r="968" spans="1:9">
      <c r="A968" s="13" t="s">
        <v>1623</v>
      </c>
      <c r="B968" s="139" t="s">
        <v>490</v>
      </c>
      <c r="C968" s="139" t="s">
        <v>170</v>
      </c>
      <c r="D968" s="15">
        <v>2700000</v>
      </c>
      <c r="E968" s="93">
        <v>0.98702006760000005</v>
      </c>
      <c r="F968" s="18">
        <v>2664954.1800000002</v>
      </c>
      <c r="G968" s="18">
        <v>0.01</v>
      </c>
      <c r="H968" s="13"/>
      <c r="I968" s="13"/>
    </row>
    <row r="969" spans="1:9">
      <c r="A969" s="13" t="s">
        <v>1624</v>
      </c>
      <c r="B969" s="139" t="s">
        <v>813</v>
      </c>
      <c r="C969" s="139" t="s">
        <v>170</v>
      </c>
      <c r="D969" s="15">
        <v>2700000</v>
      </c>
      <c r="E969" s="93">
        <v>0.95976877490000001</v>
      </c>
      <c r="F969" s="18">
        <v>2591375.69</v>
      </c>
      <c r="G969" s="15">
        <v>0</v>
      </c>
      <c r="H969" s="13"/>
      <c r="I969" s="13"/>
    </row>
    <row r="970" spans="1:9">
      <c r="A970" s="13" t="s">
        <v>1625</v>
      </c>
      <c r="B970" s="139" t="s">
        <v>501</v>
      </c>
      <c r="C970" s="139" t="s">
        <v>170</v>
      </c>
      <c r="D970" s="15">
        <v>2700000</v>
      </c>
      <c r="E970" s="93">
        <v>0.98223907359999996</v>
      </c>
      <c r="F970" s="151">
        <v>2652045.5</v>
      </c>
      <c r="G970" s="18">
        <v>0.01</v>
      </c>
      <c r="H970" s="13"/>
      <c r="I970" s="13"/>
    </row>
    <row r="971" spans="1:9">
      <c r="A971" s="13" t="s">
        <v>1626</v>
      </c>
      <c r="B971" s="139" t="s">
        <v>563</v>
      </c>
      <c r="C971" s="139" t="s">
        <v>170</v>
      </c>
      <c r="D971" s="15">
        <v>2700000</v>
      </c>
      <c r="E971" s="93">
        <v>0.95524737449999997</v>
      </c>
      <c r="F971" s="18">
        <v>2579167.91</v>
      </c>
      <c r="G971" s="15">
        <v>0</v>
      </c>
      <c r="H971" s="13"/>
      <c r="I971" s="13"/>
    </row>
    <row r="972" spans="1:9">
      <c r="A972" s="13" t="s">
        <v>1627</v>
      </c>
      <c r="B972" s="139" t="s">
        <v>387</v>
      </c>
      <c r="C972" s="139" t="s">
        <v>170</v>
      </c>
      <c r="D972" s="15">
        <v>2700000</v>
      </c>
      <c r="E972" s="154">
        <v>0.97986578300000005</v>
      </c>
      <c r="F972" s="18">
        <v>2645637.61</v>
      </c>
      <c r="G972" s="18">
        <v>0.01</v>
      </c>
      <c r="H972" s="13"/>
      <c r="I972" s="13"/>
    </row>
    <row r="973" spans="1:9">
      <c r="A973" s="13" t="s">
        <v>1628</v>
      </c>
      <c r="B973" s="139" t="s">
        <v>718</v>
      </c>
      <c r="C973" s="139" t="s">
        <v>170</v>
      </c>
      <c r="D973" s="18">
        <v>2868835.67</v>
      </c>
      <c r="E973" s="93">
        <v>0.95300269910000002</v>
      </c>
      <c r="F973" s="18">
        <v>2734008.14</v>
      </c>
      <c r="G973" s="18">
        <v>0.01</v>
      </c>
      <c r="H973" s="13"/>
      <c r="I973" s="13"/>
    </row>
    <row r="974" spans="1:9">
      <c r="A974" s="13" t="s">
        <v>1629</v>
      </c>
      <c r="B974" s="139" t="s">
        <v>571</v>
      </c>
      <c r="C974" s="139" t="s">
        <v>170</v>
      </c>
      <c r="D974" s="15">
        <v>2700000</v>
      </c>
      <c r="E974" s="93">
        <v>0.97515368869999997</v>
      </c>
      <c r="F974" s="18">
        <v>2632914.96</v>
      </c>
      <c r="G974" s="18">
        <v>0.01</v>
      </c>
      <c r="H974" s="13"/>
      <c r="I974" s="13"/>
    </row>
    <row r="975" spans="1:9">
      <c r="A975" s="13" t="s">
        <v>1630</v>
      </c>
      <c r="B975" s="139" t="s">
        <v>452</v>
      </c>
      <c r="C975" s="139" t="s">
        <v>170</v>
      </c>
      <c r="D975" s="15">
        <v>2700000</v>
      </c>
      <c r="E975" s="93">
        <v>0.99835886920000005</v>
      </c>
      <c r="F975" s="18">
        <v>2695568.95</v>
      </c>
      <c r="G975" s="18">
        <v>0.01</v>
      </c>
      <c r="H975" s="13"/>
      <c r="I975" s="13"/>
    </row>
    <row r="976" spans="1:9">
      <c r="A976" s="13" t="s">
        <v>1631</v>
      </c>
      <c r="B976" s="139" t="s">
        <v>604</v>
      </c>
      <c r="C976" s="139" t="s">
        <v>170</v>
      </c>
      <c r="D976" s="15">
        <v>2700000</v>
      </c>
      <c r="E976" s="93">
        <v>0.97048669779999996</v>
      </c>
      <c r="F976" s="18">
        <v>2620314.08</v>
      </c>
      <c r="G976" s="18">
        <v>0.01</v>
      </c>
      <c r="H976" s="13"/>
      <c r="I976" s="13"/>
    </row>
    <row r="977" spans="1:9">
      <c r="A977" s="13" t="s">
        <v>1632</v>
      </c>
      <c r="B977" s="139" t="s">
        <v>449</v>
      </c>
      <c r="C977" s="139" t="s">
        <v>170</v>
      </c>
      <c r="D977" s="15">
        <v>2700000</v>
      </c>
      <c r="E977" s="93">
        <v>0.99427949029999996</v>
      </c>
      <c r="F977" s="18">
        <v>2684554.62</v>
      </c>
      <c r="G977" s="18">
        <v>0.01</v>
      </c>
      <c r="H977" s="13"/>
      <c r="I977" s="13"/>
    </row>
    <row r="978" spans="1:9">
      <c r="A978" s="13" t="s">
        <v>1633</v>
      </c>
      <c r="B978" s="139" t="s">
        <v>624</v>
      </c>
      <c r="C978" s="139" t="s">
        <v>170</v>
      </c>
      <c r="D978" s="15">
        <v>2700000</v>
      </c>
      <c r="E978" s="154">
        <v>0.96663142800000001</v>
      </c>
      <c r="F978" s="18">
        <v>2609904.86</v>
      </c>
      <c r="G978" s="15">
        <v>0</v>
      </c>
      <c r="H978" s="13"/>
      <c r="I978" s="13"/>
    </row>
    <row r="979" spans="1:9">
      <c r="A979" s="13" t="s">
        <v>1634</v>
      </c>
      <c r="B979" s="139" t="s">
        <v>329</v>
      </c>
      <c r="C979" s="139" t="s">
        <v>170</v>
      </c>
      <c r="D979" s="15">
        <v>2700000</v>
      </c>
      <c r="E979" s="93">
        <v>0.9918478436</v>
      </c>
      <c r="F979" s="18">
        <v>2677989.1800000002</v>
      </c>
      <c r="G979" s="18">
        <v>0.01</v>
      </c>
      <c r="H979" s="13"/>
      <c r="I979" s="13"/>
    </row>
    <row r="980" spans="1:9">
      <c r="A980" s="13" t="s">
        <v>1635</v>
      </c>
      <c r="B980" s="139" t="s">
        <v>571</v>
      </c>
      <c r="C980" s="139" t="s">
        <v>170</v>
      </c>
      <c r="D980" s="18">
        <v>14731164.33</v>
      </c>
      <c r="E980" s="93">
        <v>0.97515368469999997</v>
      </c>
      <c r="F980" s="18">
        <v>14365149.18</v>
      </c>
      <c r="G980" s="18">
        <v>0.03</v>
      </c>
      <c r="H980" s="13"/>
      <c r="I980" s="13"/>
    </row>
    <row r="981" spans="1:9">
      <c r="A981" s="13" t="s">
        <v>1636</v>
      </c>
      <c r="B981" s="139" t="s">
        <v>694</v>
      </c>
      <c r="C981" s="139" t="s">
        <v>170</v>
      </c>
      <c r="D981" s="18">
        <v>3345657.98</v>
      </c>
      <c r="E981" s="93">
        <v>0.97687619459999997</v>
      </c>
      <c r="F981" s="18">
        <v>3268293.64</v>
      </c>
      <c r="G981" s="18">
        <v>0.01</v>
      </c>
      <c r="H981" s="13"/>
      <c r="I981" s="13"/>
    </row>
    <row r="982" spans="1:9">
      <c r="A982" s="13" t="s">
        <v>1637</v>
      </c>
      <c r="B982" s="139" t="s">
        <v>387</v>
      </c>
      <c r="C982" s="139" t="s">
        <v>170</v>
      </c>
      <c r="D982" s="18">
        <v>3345657.98</v>
      </c>
      <c r="E982" s="93">
        <v>0.9759358413</v>
      </c>
      <c r="F982" s="18">
        <v>3265147.54</v>
      </c>
      <c r="G982" s="18">
        <v>0.01</v>
      </c>
      <c r="H982" s="13"/>
      <c r="I982" s="13"/>
    </row>
    <row r="983" spans="1:9">
      <c r="A983" s="13" t="s">
        <v>1638</v>
      </c>
      <c r="B983" s="139" t="s">
        <v>391</v>
      </c>
      <c r="C983" s="139" t="s">
        <v>170</v>
      </c>
      <c r="D983" s="18">
        <v>3345657.98</v>
      </c>
      <c r="E983" s="93">
        <v>0.9721926326</v>
      </c>
      <c r="F983" s="18">
        <v>3252624.04</v>
      </c>
      <c r="G983" s="18">
        <v>0.01</v>
      </c>
      <c r="H983" s="13"/>
      <c r="I983" s="13"/>
    </row>
    <row r="984" spans="1:9">
      <c r="A984" s="13" t="s">
        <v>1639</v>
      </c>
      <c r="B984" s="139" t="s">
        <v>188</v>
      </c>
      <c r="C984" s="139" t="s">
        <v>170</v>
      </c>
      <c r="D984" s="18">
        <v>3345657.98</v>
      </c>
      <c r="E984" s="93">
        <v>0.97126142709999996</v>
      </c>
      <c r="F984" s="18">
        <v>3249508.54</v>
      </c>
      <c r="G984" s="18">
        <v>0.01</v>
      </c>
      <c r="H984" s="13"/>
      <c r="I984" s="13"/>
    </row>
    <row r="985" spans="1:9">
      <c r="A985" s="13" t="s">
        <v>1640</v>
      </c>
      <c r="B985" s="139" t="s">
        <v>571</v>
      </c>
      <c r="C985" s="139" t="s">
        <v>170</v>
      </c>
      <c r="D985" s="18">
        <v>3345657.98</v>
      </c>
      <c r="E985" s="93">
        <v>0.97033184729999999</v>
      </c>
      <c r="F985" s="18">
        <v>3246398.49</v>
      </c>
      <c r="G985" s="18">
        <v>0.01</v>
      </c>
      <c r="H985" s="13"/>
      <c r="I985" s="13"/>
    </row>
    <row r="986" spans="1:9">
      <c r="A986" s="13" t="s">
        <v>1641</v>
      </c>
      <c r="B986" s="139" t="s">
        <v>571</v>
      </c>
      <c r="C986" s="139" t="s">
        <v>170</v>
      </c>
      <c r="D986" s="18">
        <v>3345657.98</v>
      </c>
      <c r="E986" s="93">
        <v>0.97033184729999999</v>
      </c>
      <c r="F986" s="18">
        <v>3246398.49</v>
      </c>
      <c r="G986" s="18">
        <v>0.01</v>
      </c>
      <c r="H986" s="13"/>
      <c r="I986" s="13"/>
    </row>
    <row r="987" spans="1:9">
      <c r="A987" s="13" t="s">
        <v>1642</v>
      </c>
      <c r="B987" s="139" t="s">
        <v>549</v>
      </c>
      <c r="C987" s="139" t="s">
        <v>170</v>
      </c>
      <c r="D987" s="18">
        <v>3345657.98</v>
      </c>
      <c r="E987" s="93">
        <v>0.96940404290000004</v>
      </c>
      <c r="F987" s="18">
        <v>3243294.37</v>
      </c>
      <c r="G987" s="18">
        <v>0.01</v>
      </c>
      <c r="H987" s="13"/>
      <c r="I987" s="13"/>
    </row>
    <row r="988" spans="1:9">
      <c r="A988" s="13" t="s">
        <v>1643</v>
      </c>
      <c r="B988" s="139" t="s">
        <v>387</v>
      </c>
      <c r="C988" s="139" t="s">
        <v>170</v>
      </c>
      <c r="D988" s="18">
        <v>2197564.35</v>
      </c>
      <c r="E988" s="93">
        <v>0.97593584519999999</v>
      </c>
      <c r="F988" s="18">
        <v>2144681.8199999998</v>
      </c>
      <c r="G988" s="15">
        <v>0</v>
      </c>
      <c r="H988" s="13"/>
      <c r="I988" s="13"/>
    </row>
    <row r="989" spans="1:9">
      <c r="A989" s="13" t="s">
        <v>1644</v>
      </c>
      <c r="B989" s="139" t="s">
        <v>391</v>
      </c>
      <c r="C989" s="139" t="s">
        <v>170</v>
      </c>
      <c r="D989" s="15">
        <v>2304789</v>
      </c>
      <c r="E989" s="93">
        <v>0.97219263410000001</v>
      </c>
      <c r="F989" s="18">
        <v>2240698.89</v>
      </c>
      <c r="G989" s="15">
        <v>0</v>
      </c>
      <c r="H989" s="13"/>
      <c r="I989" s="13"/>
    </row>
    <row r="990" spans="1:9">
      <c r="A990" s="13" t="s">
        <v>1645</v>
      </c>
      <c r="B990" s="139" t="s">
        <v>571</v>
      </c>
      <c r="C990" s="139" t="s">
        <v>170</v>
      </c>
      <c r="D990" s="15">
        <v>2304789</v>
      </c>
      <c r="E990" s="93">
        <v>0.97033184409999995</v>
      </c>
      <c r="F990" s="18">
        <v>2236410.16</v>
      </c>
      <c r="G990" s="15">
        <v>0</v>
      </c>
      <c r="H990" s="13"/>
      <c r="I990" s="13"/>
    </row>
    <row r="991" spans="1:9">
      <c r="A991" s="13" t="s">
        <v>1646</v>
      </c>
      <c r="B991" s="139" t="s">
        <v>571</v>
      </c>
      <c r="C991" s="139" t="s">
        <v>170</v>
      </c>
      <c r="D991" s="15">
        <v>2304789</v>
      </c>
      <c r="E991" s="93">
        <v>0.97033184409999995</v>
      </c>
      <c r="F991" s="18">
        <v>2236410.16</v>
      </c>
      <c r="G991" s="15">
        <v>0</v>
      </c>
      <c r="H991" s="13"/>
      <c r="I991" s="13"/>
    </row>
    <row r="992" spans="1:9">
      <c r="A992" s="13" t="s">
        <v>1647</v>
      </c>
      <c r="B992" s="139" t="s">
        <v>490</v>
      </c>
      <c r="C992" s="139" t="s">
        <v>170</v>
      </c>
      <c r="D992" s="151">
        <v>2273100.5</v>
      </c>
      <c r="E992" s="93">
        <v>0.98446440810000002</v>
      </c>
      <c r="F992" s="18">
        <v>2237786.54</v>
      </c>
      <c r="G992" s="15">
        <v>0</v>
      </c>
      <c r="H992" s="13"/>
      <c r="I992" s="13"/>
    </row>
    <row r="993" spans="1:9">
      <c r="A993" s="13" t="s">
        <v>1648</v>
      </c>
      <c r="B993" s="139" t="s">
        <v>616</v>
      </c>
      <c r="C993" s="139" t="s">
        <v>170</v>
      </c>
      <c r="D993" s="151">
        <v>2273100.5</v>
      </c>
      <c r="E993" s="93">
        <v>0.98350940809999998</v>
      </c>
      <c r="F993" s="18">
        <v>2235615.73</v>
      </c>
      <c r="G993" s="15">
        <v>0</v>
      </c>
      <c r="H993" s="13"/>
      <c r="I993" s="13"/>
    </row>
    <row r="994" spans="1:9">
      <c r="A994" s="13" t="s">
        <v>1649</v>
      </c>
      <c r="B994" s="139" t="s">
        <v>426</v>
      </c>
      <c r="C994" s="139" t="s">
        <v>170</v>
      </c>
      <c r="D994" s="151">
        <v>2273100.5</v>
      </c>
      <c r="E994" s="93">
        <v>0.98255627329999995</v>
      </c>
      <c r="F994" s="18">
        <v>2233449.16</v>
      </c>
      <c r="G994" s="15">
        <v>0</v>
      </c>
      <c r="H994" s="13"/>
      <c r="I994" s="13"/>
    </row>
    <row r="995" spans="1:9">
      <c r="A995" s="13" t="s">
        <v>1650</v>
      </c>
      <c r="B995" s="139" t="s">
        <v>842</v>
      </c>
      <c r="C995" s="139" t="s">
        <v>170</v>
      </c>
      <c r="D995" s="18">
        <v>2197564.35</v>
      </c>
      <c r="E995" s="93">
        <v>0.97970799689999999</v>
      </c>
      <c r="F995" s="18">
        <v>2152971.37</v>
      </c>
      <c r="G995" s="15">
        <v>0</v>
      </c>
      <c r="H995" s="13"/>
      <c r="I995" s="13"/>
    </row>
    <row r="996" spans="1:9">
      <c r="A996" s="13" t="s">
        <v>1651</v>
      </c>
      <c r="B996" s="139" t="s">
        <v>501</v>
      </c>
      <c r="C996" s="139" t="s">
        <v>170</v>
      </c>
      <c r="D996" s="18">
        <v>2197564.35</v>
      </c>
      <c r="E996" s="93">
        <v>0.97876233150000003</v>
      </c>
      <c r="F996" s="18">
        <v>2150893.21</v>
      </c>
      <c r="G996" s="15">
        <v>0</v>
      </c>
      <c r="H996" s="13"/>
      <c r="I996" s="13"/>
    </row>
    <row r="997" spans="1:9">
      <c r="A997" s="13" t="s">
        <v>1652</v>
      </c>
      <c r="B997" s="139" t="s">
        <v>533</v>
      </c>
      <c r="C997" s="139" t="s">
        <v>170</v>
      </c>
      <c r="D997" s="18">
        <v>2197564.35</v>
      </c>
      <c r="E997" s="93">
        <v>0.97781835250000004</v>
      </c>
      <c r="F997" s="18">
        <v>2148818.75</v>
      </c>
      <c r="G997" s="15">
        <v>0</v>
      </c>
      <c r="H997" s="13"/>
      <c r="I997" s="13"/>
    </row>
    <row r="998" spans="1:9">
      <c r="A998" s="13" t="s">
        <v>1653</v>
      </c>
      <c r="B998" s="139" t="s">
        <v>694</v>
      </c>
      <c r="C998" s="139" t="s">
        <v>170</v>
      </c>
      <c r="D998" s="18">
        <v>2197564.35</v>
      </c>
      <c r="E998" s="93">
        <v>0.97687619459999997</v>
      </c>
      <c r="F998" s="151">
        <v>2146748.2999999998</v>
      </c>
      <c r="G998" s="15">
        <v>0</v>
      </c>
      <c r="H998" s="13"/>
      <c r="I998" s="13"/>
    </row>
    <row r="999" spans="1:9">
      <c r="A999" s="13" t="s">
        <v>1654</v>
      </c>
      <c r="B999" s="139" t="s">
        <v>445</v>
      </c>
      <c r="C999" s="139" t="s">
        <v>170</v>
      </c>
      <c r="D999" s="151">
        <v>2502456.9</v>
      </c>
      <c r="E999" s="93">
        <v>0.99120143009999995</v>
      </c>
      <c r="F999" s="18">
        <v>2480438.86</v>
      </c>
      <c r="G999" s="15">
        <v>0</v>
      </c>
      <c r="H999" s="13"/>
      <c r="I999" s="13"/>
    </row>
    <row r="1000" spans="1:9">
      <c r="A1000" s="13" t="s">
        <v>1655</v>
      </c>
      <c r="B1000" s="139" t="s">
        <v>192</v>
      </c>
      <c r="C1000" s="139" t="s">
        <v>170</v>
      </c>
      <c r="D1000" s="151">
        <v>2273100.5</v>
      </c>
      <c r="E1000" s="93">
        <v>0.98542126249999995</v>
      </c>
      <c r="F1000" s="18">
        <v>2239961.56</v>
      </c>
      <c r="G1000" s="15">
        <v>0</v>
      </c>
      <c r="H1000" s="13"/>
      <c r="I1000" s="13"/>
    </row>
    <row r="1001" spans="1:9">
      <c r="A1001" s="13" t="s">
        <v>1659</v>
      </c>
      <c r="B1001" s="139" t="s">
        <v>452</v>
      </c>
      <c r="C1001" s="139" t="s">
        <v>394</v>
      </c>
      <c r="D1001" s="15">
        <v>70000000</v>
      </c>
      <c r="E1001" s="93">
        <v>0.99824965730000004</v>
      </c>
      <c r="F1001" s="18">
        <v>69877476.010000005</v>
      </c>
      <c r="G1001" s="18">
        <v>0.13</v>
      </c>
      <c r="H1001" s="13"/>
      <c r="I1001" s="13"/>
    </row>
    <row r="1002" spans="1:9">
      <c r="A1002" s="13" t="s">
        <v>1658</v>
      </c>
      <c r="B1002" s="139" t="s">
        <v>720</v>
      </c>
      <c r="C1002" s="139" t="s">
        <v>394</v>
      </c>
      <c r="D1002" s="15">
        <v>45000000</v>
      </c>
      <c r="E1002" s="93">
        <v>0.92320923349999995</v>
      </c>
      <c r="F1002" s="18">
        <v>41544415.509999998</v>
      </c>
      <c r="G1002" s="18">
        <v>0.08</v>
      </c>
      <c r="H1002" s="13"/>
      <c r="I1002" s="13"/>
    </row>
    <row r="1003" spans="1:9">
      <c r="A1003" s="13" t="s">
        <v>1661</v>
      </c>
      <c r="B1003" s="139" t="s">
        <v>606</v>
      </c>
      <c r="C1003" s="139" t="s">
        <v>394</v>
      </c>
      <c r="D1003" s="15">
        <v>100000000</v>
      </c>
      <c r="E1003" s="154">
        <v>0.99754032199999998</v>
      </c>
      <c r="F1003" s="151">
        <v>99754032.200000003</v>
      </c>
      <c r="G1003" s="18">
        <v>0.19</v>
      </c>
      <c r="H1003" s="13"/>
      <c r="I1003" s="13"/>
    </row>
    <row r="1004" spans="1:9">
      <c r="A1004" s="13" t="s">
        <v>1662</v>
      </c>
      <c r="B1004" s="139" t="s">
        <v>792</v>
      </c>
      <c r="C1004" s="139" t="s">
        <v>477</v>
      </c>
      <c r="D1004" s="15">
        <v>50000000</v>
      </c>
      <c r="E1004" s="93">
        <v>0.94217883059999996</v>
      </c>
      <c r="F1004" s="18">
        <v>47108941.530000001</v>
      </c>
      <c r="G1004" s="18">
        <v>0.09</v>
      </c>
      <c r="H1004" s="13"/>
      <c r="I1004" s="13"/>
    </row>
    <row r="1005" spans="1:9">
      <c r="A1005" s="13" t="s">
        <v>1663</v>
      </c>
      <c r="B1005" s="139" t="s">
        <v>443</v>
      </c>
      <c r="C1005" s="139" t="s">
        <v>477</v>
      </c>
      <c r="D1005" s="15">
        <v>100000000</v>
      </c>
      <c r="E1005" s="154">
        <v>0.99672311599999996</v>
      </c>
      <c r="F1005" s="151">
        <v>99672311.599999994</v>
      </c>
      <c r="G1005" s="18">
        <v>0.19</v>
      </c>
      <c r="H1005" s="13"/>
      <c r="I1005" s="13"/>
    </row>
    <row r="1006" spans="1:9">
      <c r="A1006" s="13" t="s">
        <v>1664</v>
      </c>
      <c r="B1006" s="139" t="s">
        <v>575</v>
      </c>
      <c r="C1006" s="139" t="s">
        <v>477</v>
      </c>
      <c r="D1006" s="15">
        <v>15000000</v>
      </c>
      <c r="E1006" s="93">
        <v>0.96663151989999996</v>
      </c>
      <c r="F1006" s="151">
        <v>14499472.800000001</v>
      </c>
      <c r="G1006" s="18">
        <v>0.03</v>
      </c>
      <c r="H1006" s="13"/>
      <c r="I1006" s="13"/>
    </row>
    <row r="1007" spans="1:9">
      <c r="A1007" s="13" t="s">
        <v>1665</v>
      </c>
      <c r="B1007" s="139" t="s">
        <v>505</v>
      </c>
      <c r="C1007" s="139" t="s">
        <v>477</v>
      </c>
      <c r="D1007" s="15">
        <v>15000000</v>
      </c>
      <c r="E1007" s="93">
        <v>0.96571077309999998</v>
      </c>
      <c r="F1007" s="151">
        <v>14485661.6</v>
      </c>
      <c r="G1007" s="18">
        <v>0.03</v>
      </c>
      <c r="H1007" s="13"/>
      <c r="I1007" s="13"/>
    </row>
    <row r="1008" spans="1:9">
      <c r="A1008" s="13" t="s">
        <v>1669</v>
      </c>
      <c r="B1008" s="139" t="s">
        <v>546</v>
      </c>
      <c r="C1008" s="139" t="s">
        <v>383</v>
      </c>
      <c r="D1008" s="15">
        <v>10000000</v>
      </c>
      <c r="E1008" s="93">
        <v>0.96827260559999995</v>
      </c>
      <c r="F1008" s="18">
        <v>9682726.0600000005</v>
      </c>
      <c r="G1008" s="18">
        <v>0.02</v>
      </c>
      <c r="H1008" s="13"/>
      <c r="I1008" s="13"/>
    </row>
    <row r="1009" spans="1:9">
      <c r="A1009" s="13" t="s">
        <v>1670</v>
      </c>
      <c r="B1009" s="139" t="s">
        <v>387</v>
      </c>
      <c r="C1009" s="139" t="s">
        <v>383</v>
      </c>
      <c r="D1009" s="15">
        <v>10000000</v>
      </c>
      <c r="E1009" s="93">
        <v>0.98250342160000004</v>
      </c>
      <c r="F1009" s="18">
        <v>9825034.2200000007</v>
      </c>
      <c r="G1009" s="18">
        <v>0.02</v>
      </c>
      <c r="H1009" s="13"/>
      <c r="I1009" s="13"/>
    </row>
    <row r="1010" spans="1:9">
      <c r="A1010" s="13" t="s">
        <v>1671</v>
      </c>
      <c r="B1010" s="139" t="s">
        <v>1392</v>
      </c>
      <c r="C1010" s="139" t="s">
        <v>383</v>
      </c>
      <c r="D1010" s="15">
        <v>50000000</v>
      </c>
      <c r="E1010" s="154">
        <v>0.93729141199999999</v>
      </c>
      <c r="F1010" s="151">
        <v>46864570.600000001</v>
      </c>
      <c r="G1010" s="18">
        <v>0.09</v>
      </c>
      <c r="H1010" s="13"/>
      <c r="I1010" s="13"/>
    </row>
    <row r="1011" spans="1:9">
      <c r="A1011" s="13" t="s">
        <v>1672</v>
      </c>
      <c r="B1011" s="139" t="s">
        <v>677</v>
      </c>
      <c r="C1011" s="139" t="s">
        <v>383</v>
      </c>
      <c r="D1011" s="18">
        <v>603640.62</v>
      </c>
      <c r="E1011" s="93">
        <v>0.96560852539999997</v>
      </c>
      <c r="F1011" s="18">
        <v>582880.53</v>
      </c>
      <c r="G1011" s="15">
        <v>0</v>
      </c>
      <c r="H1011" s="13"/>
      <c r="I1011" s="13"/>
    </row>
    <row r="1012" spans="1:9">
      <c r="A1012" s="13" t="s">
        <v>1673</v>
      </c>
      <c r="B1012" s="139" t="s">
        <v>763</v>
      </c>
      <c r="C1012" s="139" t="s">
        <v>383</v>
      </c>
      <c r="D1012" s="15">
        <v>45000000</v>
      </c>
      <c r="E1012" s="93">
        <v>0.92167074739999999</v>
      </c>
      <c r="F1012" s="18">
        <v>41475183.630000003</v>
      </c>
      <c r="G1012" s="18">
        <v>0.08</v>
      </c>
      <c r="H1012" s="13"/>
      <c r="I1012" s="13"/>
    </row>
    <row r="1013" spans="1:9">
      <c r="A1013" s="13" t="s">
        <v>1674</v>
      </c>
      <c r="B1013" s="139" t="s">
        <v>561</v>
      </c>
      <c r="C1013" s="139" t="s">
        <v>383</v>
      </c>
      <c r="D1013" s="15">
        <v>85000000</v>
      </c>
      <c r="E1013" s="93">
        <v>0.94500832109999999</v>
      </c>
      <c r="F1013" s="18">
        <v>80325707.290000007</v>
      </c>
      <c r="G1013" s="18">
        <v>0.15</v>
      </c>
      <c r="H1013" s="13"/>
      <c r="I1013" s="13"/>
    </row>
    <row r="1014" spans="1:9">
      <c r="A1014" s="13" t="s">
        <v>1675</v>
      </c>
      <c r="B1014" s="139" t="s">
        <v>563</v>
      </c>
      <c r="C1014" s="139" t="s">
        <v>383</v>
      </c>
      <c r="D1014" s="15">
        <v>60000000</v>
      </c>
      <c r="E1014" s="93">
        <v>0.94398195419999997</v>
      </c>
      <c r="F1014" s="18">
        <v>56638917.25</v>
      </c>
      <c r="G1014" s="18">
        <v>0.11</v>
      </c>
      <c r="H1014" s="13"/>
      <c r="I1014" s="13"/>
    </row>
    <row r="1015" spans="1:9">
      <c r="A1015" s="13" t="s">
        <v>1676</v>
      </c>
      <c r="B1015" s="139" t="s">
        <v>594</v>
      </c>
      <c r="C1015" s="139" t="s">
        <v>383</v>
      </c>
      <c r="D1015" s="15">
        <v>60000000</v>
      </c>
      <c r="E1015" s="154">
        <v>0.95052097199999996</v>
      </c>
      <c r="F1015" s="18">
        <v>57031258.32</v>
      </c>
      <c r="G1015" s="18">
        <v>0.11</v>
      </c>
      <c r="H1015" s="13"/>
      <c r="I1015" s="13"/>
    </row>
    <row r="1016" spans="1:9">
      <c r="A1016" s="13" t="s">
        <v>1677</v>
      </c>
      <c r="B1016" s="139" t="s">
        <v>688</v>
      </c>
      <c r="C1016" s="139" t="s">
        <v>383</v>
      </c>
      <c r="D1016" s="15">
        <v>60000000</v>
      </c>
      <c r="E1016" s="93">
        <v>0.94864332809999996</v>
      </c>
      <c r="F1016" s="18">
        <v>56918599.689999998</v>
      </c>
      <c r="G1016" s="18">
        <v>0.11</v>
      </c>
      <c r="H1016" s="13"/>
      <c r="I1016" s="13"/>
    </row>
    <row r="1017" spans="1:9">
      <c r="A1017" s="13" t="s">
        <v>1678</v>
      </c>
      <c r="B1017" s="139" t="s">
        <v>718</v>
      </c>
      <c r="C1017" s="139" t="s">
        <v>383</v>
      </c>
      <c r="D1017" s="15">
        <v>60000000</v>
      </c>
      <c r="E1017" s="93">
        <v>0.94120701149999997</v>
      </c>
      <c r="F1017" s="18">
        <v>56472420.689999998</v>
      </c>
      <c r="G1017" s="18">
        <v>0.11</v>
      </c>
      <c r="H1017" s="13"/>
      <c r="I1017" s="13"/>
    </row>
    <row r="1018" spans="1:9">
      <c r="A1018" s="13" t="s">
        <v>1679</v>
      </c>
      <c r="B1018" s="139" t="s">
        <v>488</v>
      </c>
      <c r="C1018" s="139" t="s">
        <v>383</v>
      </c>
      <c r="D1018" s="15">
        <v>40000000</v>
      </c>
      <c r="E1018" s="93">
        <v>0.95619831889999996</v>
      </c>
      <c r="F1018" s="18">
        <v>38247932.759999998</v>
      </c>
      <c r="G1018" s="18">
        <v>7.0000000000000007E-2</v>
      </c>
      <c r="H1018" s="13"/>
      <c r="I1018" s="13"/>
    </row>
    <row r="1019" spans="1:9">
      <c r="A1019" s="13" t="s">
        <v>1680</v>
      </c>
      <c r="B1019" s="139" t="s">
        <v>855</v>
      </c>
      <c r="C1019" s="139" t="s">
        <v>383</v>
      </c>
      <c r="D1019" s="15">
        <v>10000000</v>
      </c>
      <c r="E1019" s="154">
        <v>0.95427347299999998</v>
      </c>
      <c r="F1019" s="18">
        <v>9542734.7300000004</v>
      </c>
      <c r="G1019" s="18">
        <v>0.02</v>
      </c>
      <c r="H1019" s="13"/>
      <c r="I1019" s="13"/>
    </row>
    <row r="1020" spans="1:9">
      <c r="A1020" s="13" t="s">
        <v>1681</v>
      </c>
      <c r="B1020" s="139" t="s">
        <v>694</v>
      </c>
      <c r="C1020" s="139" t="s">
        <v>383</v>
      </c>
      <c r="D1020" s="15">
        <v>10000000</v>
      </c>
      <c r="E1020" s="93">
        <v>0.97876231120000001</v>
      </c>
      <c r="F1020" s="18">
        <v>9787623.1099999994</v>
      </c>
      <c r="G1020" s="18">
        <v>0.02</v>
      </c>
      <c r="H1020" s="13"/>
      <c r="I1020" s="13"/>
    </row>
    <row r="1021" spans="1:9">
      <c r="A1021" s="13" t="s">
        <v>1682</v>
      </c>
      <c r="B1021" s="139" t="s">
        <v>571</v>
      </c>
      <c r="C1021" s="139" t="s">
        <v>383</v>
      </c>
      <c r="D1021" s="15">
        <v>10000000</v>
      </c>
      <c r="E1021" s="93">
        <v>0.97273685730000004</v>
      </c>
      <c r="F1021" s="18">
        <v>9727368.5700000003</v>
      </c>
      <c r="G1021" s="18">
        <v>0.02</v>
      </c>
      <c r="H1021" s="13"/>
      <c r="I1021" s="13"/>
    </row>
    <row r="1022" spans="1:9">
      <c r="A1022" s="13" t="s">
        <v>1683</v>
      </c>
      <c r="B1022" s="139" t="s">
        <v>190</v>
      </c>
      <c r="C1022" s="139" t="s">
        <v>383</v>
      </c>
      <c r="D1022" s="15">
        <v>10000000</v>
      </c>
      <c r="E1022" s="93">
        <v>0.96257822859999997</v>
      </c>
      <c r="F1022" s="18">
        <v>9625782.2899999991</v>
      </c>
      <c r="G1022" s="18">
        <v>0.02</v>
      </c>
      <c r="H1022" s="13"/>
      <c r="I1022" s="13"/>
    </row>
    <row r="1023" spans="1:9">
      <c r="A1023" s="13" t="s">
        <v>1684</v>
      </c>
      <c r="B1023" s="139" t="s">
        <v>561</v>
      </c>
      <c r="C1023" s="139" t="s">
        <v>383</v>
      </c>
      <c r="D1023" s="15">
        <v>10000000</v>
      </c>
      <c r="E1023" s="93">
        <v>0.94935889120000005</v>
      </c>
      <c r="F1023" s="18">
        <v>9493588.9100000001</v>
      </c>
      <c r="G1023" s="18">
        <v>0.02</v>
      </c>
      <c r="H1023" s="13"/>
      <c r="I1023" s="13"/>
    </row>
    <row r="1024" spans="1:9">
      <c r="A1024" s="13" t="s">
        <v>1685</v>
      </c>
      <c r="B1024" s="139" t="s">
        <v>449</v>
      </c>
      <c r="C1024" s="139" t="s">
        <v>383</v>
      </c>
      <c r="D1024" s="15">
        <v>100000000</v>
      </c>
      <c r="E1024" s="93">
        <v>0.9942795123</v>
      </c>
      <c r="F1024" s="18">
        <v>99427951.230000004</v>
      </c>
      <c r="G1024" s="18">
        <v>0.19</v>
      </c>
      <c r="H1024" s="13"/>
      <c r="I1024" s="13"/>
    </row>
    <row r="1025" spans="1:9">
      <c r="A1025" s="13" t="s">
        <v>1689</v>
      </c>
      <c r="B1025" s="139" t="s">
        <v>454</v>
      </c>
      <c r="C1025" s="139" t="s">
        <v>354</v>
      </c>
      <c r="D1025" s="15">
        <v>100000000</v>
      </c>
      <c r="E1025" s="93">
        <v>0.99346763810000005</v>
      </c>
      <c r="F1025" s="18">
        <v>99346763.810000002</v>
      </c>
      <c r="G1025" s="18">
        <v>0.19</v>
      </c>
      <c r="H1025" s="13"/>
      <c r="I1025" s="13"/>
    </row>
    <row r="1026" spans="1:9">
      <c r="A1026" s="13" t="s">
        <v>1690</v>
      </c>
      <c r="B1026" s="139" t="s">
        <v>694</v>
      </c>
      <c r="C1026" s="139" t="s">
        <v>354</v>
      </c>
      <c r="D1026" s="15">
        <v>10000000</v>
      </c>
      <c r="E1026" s="154">
        <v>0.98065556600000003</v>
      </c>
      <c r="F1026" s="18">
        <v>9806555.6600000001</v>
      </c>
      <c r="G1026" s="18">
        <v>0.02</v>
      </c>
      <c r="H1026" s="13"/>
      <c r="I1026" s="13"/>
    </row>
    <row r="1027" spans="1:9">
      <c r="A1027" s="13" t="s">
        <v>1691</v>
      </c>
      <c r="B1027" s="139" t="s">
        <v>688</v>
      </c>
      <c r="C1027" s="139" t="s">
        <v>354</v>
      </c>
      <c r="D1027" s="15">
        <v>10000000</v>
      </c>
      <c r="E1027" s="93">
        <v>0.95901215039999999</v>
      </c>
      <c r="F1027" s="151">
        <v>9590121.5</v>
      </c>
      <c r="G1027" s="18">
        <v>0.02</v>
      </c>
      <c r="H1027" s="13"/>
      <c r="I1027" s="13"/>
    </row>
    <row r="1028" spans="1:9">
      <c r="A1028" s="13" t="s">
        <v>1692</v>
      </c>
      <c r="B1028" s="139" t="s">
        <v>1402</v>
      </c>
      <c r="C1028" s="139" t="s">
        <v>354</v>
      </c>
      <c r="D1028" s="15">
        <v>10000000</v>
      </c>
      <c r="E1028" s="93">
        <v>0.94559593720000001</v>
      </c>
      <c r="F1028" s="18">
        <v>9455959.3699999992</v>
      </c>
      <c r="G1028" s="18">
        <v>0.02</v>
      </c>
      <c r="H1028" s="13"/>
      <c r="I1028" s="13"/>
    </row>
    <row r="1029" spans="1:9">
      <c r="A1029" s="13" t="s">
        <v>1693</v>
      </c>
      <c r="B1029" s="139" t="s">
        <v>1694</v>
      </c>
      <c r="C1029" s="139" t="s">
        <v>354</v>
      </c>
      <c r="D1029" s="15">
        <v>10000000</v>
      </c>
      <c r="E1029" s="93">
        <v>0.94339634390000005</v>
      </c>
      <c r="F1029" s="18">
        <v>9433963.4399999995</v>
      </c>
      <c r="G1029" s="18">
        <v>0.02</v>
      </c>
      <c r="H1029" s="13"/>
      <c r="I1029" s="13"/>
    </row>
    <row r="1030" spans="1:9">
      <c r="A1030" s="13" t="s">
        <v>1695</v>
      </c>
      <c r="B1030" s="139" t="s">
        <v>718</v>
      </c>
      <c r="C1030" s="139" t="s">
        <v>354</v>
      </c>
      <c r="D1030" s="15">
        <v>10000000</v>
      </c>
      <c r="E1030" s="93">
        <v>0.95300264229999998</v>
      </c>
      <c r="F1030" s="18">
        <v>9530026.4199999999</v>
      </c>
      <c r="G1030" s="18">
        <v>0.02</v>
      </c>
      <c r="H1030" s="13"/>
      <c r="I1030" s="13"/>
    </row>
    <row r="1031" spans="1:9">
      <c r="A1031" s="13" t="s">
        <v>1696</v>
      </c>
      <c r="B1031" s="139" t="s">
        <v>571</v>
      </c>
      <c r="C1031" s="139" t="s">
        <v>354</v>
      </c>
      <c r="D1031" s="15">
        <v>10000000</v>
      </c>
      <c r="E1031" s="93">
        <v>0.97515363619999995</v>
      </c>
      <c r="F1031" s="18">
        <v>9751536.3599999994</v>
      </c>
      <c r="G1031" s="18">
        <v>0.02</v>
      </c>
      <c r="H1031" s="13"/>
      <c r="I1031" s="13"/>
    </row>
    <row r="1032" spans="1:9">
      <c r="A1032" s="13" t="s">
        <v>1697</v>
      </c>
      <c r="B1032" s="139" t="s">
        <v>604</v>
      </c>
      <c r="C1032" s="139" t="s">
        <v>354</v>
      </c>
      <c r="D1032" s="15">
        <v>10000000</v>
      </c>
      <c r="E1032" s="93">
        <v>0.97048664910000004</v>
      </c>
      <c r="F1032" s="18">
        <v>9704866.4900000002</v>
      </c>
      <c r="G1032" s="18">
        <v>0.02</v>
      </c>
      <c r="H1032" s="13"/>
      <c r="I1032" s="13"/>
    </row>
    <row r="1033" spans="1:9">
      <c r="A1033" s="13" t="s">
        <v>1698</v>
      </c>
      <c r="B1033" s="139" t="s">
        <v>624</v>
      </c>
      <c r="C1033" s="139" t="s">
        <v>354</v>
      </c>
      <c r="D1033" s="15">
        <v>10000000</v>
      </c>
      <c r="E1033" s="93">
        <v>0.96663137210000005</v>
      </c>
      <c r="F1033" s="18">
        <v>9666313.7200000007</v>
      </c>
      <c r="G1033" s="18">
        <v>0.02</v>
      </c>
      <c r="H1033" s="13"/>
      <c r="I1033" s="13"/>
    </row>
    <row r="1034" spans="1:9">
      <c r="A1034" s="13" t="s">
        <v>1699</v>
      </c>
      <c r="B1034" s="139" t="s">
        <v>1424</v>
      </c>
      <c r="C1034" s="139" t="s">
        <v>354</v>
      </c>
      <c r="D1034" s="15">
        <v>933333333</v>
      </c>
      <c r="E1034" s="93">
        <v>0.91179342350000003</v>
      </c>
      <c r="F1034" s="18">
        <v>851007194.96000004</v>
      </c>
      <c r="G1034" s="18">
        <v>1.63</v>
      </c>
      <c r="H1034" s="13"/>
      <c r="I1034" s="13"/>
    </row>
    <row r="1035" spans="1:9">
      <c r="A1035" s="13" t="s">
        <v>1700</v>
      </c>
      <c r="B1035" s="139" t="s">
        <v>559</v>
      </c>
      <c r="C1035" s="139" t="s">
        <v>484</v>
      </c>
      <c r="D1035" s="18">
        <v>248941.88</v>
      </c>
      <c r="E1035" s="93">
        <v>0.97534906639999996</v>
      </c>
      <c r="F1035" s="18">
        <v>242805.23</v>
      </c>
      <c r="G1035" s="15">
        <v>0</v>
      </c>
      <c r="H1035" s="13"/>
      <c r="I1035" s="13"/>
    </row>
    <row r="1036" spans="1:9">
      <c r="A1036" s="13" t="s">
        <v>1701</v>
      </c>
      <c r="B1036" s="139" t="s">
        <v>559</v>
      </c>
      <c r="C1036" s="139" t="s">
        <v>484</v>
      </c>
      <c r="D1036" s="18">
        <v>1236587.72</v>
      </c>
      <c r="E1036" s="93">
        <v>0.97534911690000003</v>
      </c>
      <c r="F1036" s="18">
        <v>1206104.74</v>
      </c>
      <c r="G1036" s="15">
        <v>0</v>
      </c>
      <c r="H1036" s="13"/>
      <c r="I1036" s="13"/>
    </row>
    <row r="1037" spans="1:9">
      <c r="A1037" s="13" t="s">
        <v>1702</v>
      </c>
      <c r="B1037" s="139" t="s">
        <v>1036</v>
      </c>
      <c r="C1037" s="139" t="s">
        <v>484</v>
      </c>
      <c r="D1037" s="15">
        <v>933333333</v>
      </c>
      <c r="E1037" s="93">
        <v>0.90730587890000003</v>
      </c>
      <c r="F1037" s="15">
        <v>846818820</v>
      </c>
      <c r="G1037" s="18">
        <v>1.62</v>
      </c>
      <c r="H1037" s="13"/>
      <c r="I1037" s="13"/>
    </row>
    <row r="1038" spans="1:9">
      <c r="A1038" s="13" t="s">
        <v>1703</v>
      </c>
      <c r="B1038" s="139" t="s">
        <v>549</v>
      </c>
      <c r="C1038" s="139" t="s">
        <v>484</v>
      </c>
      <c r="D1038" s="15">
        <v>10000000</v>
      </c>
      <c r="E1038" s="93">
        <v>0.97437268170000002</v>
      </c>
      <c r="F1038" s="18">
        <v>9743726.8200000003</v>
      </c>
      <c r="G1038" s="18">
        <v>0.02</v>
      </c>
      <c r="H1038" s="13"/>
      <c r="I1038" s="13"/>
    </row>
    <row r="1039" spans="1:9">
      <c r="A1039" s="13" t="s">
        <v>1704</v>
      </c>
      <c r="B1039" s="139" t="s">
        <v>501</v>
      </c>
      <c r="C1039" s="139" t="s">
        <v>484</v>
      </c>
      <c r="D1039" s="15">
        <v>2000000</v>
      </c>
      <c r="E1039" s="93">
        <v>0.98049762809999996</v>
      </c>
      <c r="F1039" s="18">
        <v>1960995.26</v>
      </c>
      <c r="G1039" s="15">
        <v>0</v>
      </c>
      <c r="H1039" s="13"/>
      <c r="I1039" s="13"/>
    </row>
    <row r="1040" spans="1:9">
      <c r="A1040" s="13" t="s">
        <v>1705</v>
      </c>
      <c r="B1040" s="139" t="s">
        <v>188</v>
      </c>
      <c r="C1040" s="139" t="s">
        <v>484</v>
      </c>
      <c r="D1040" s="15">
        <v>2000000</v>
      </c>
      <c r="E1040" s="93">
        <v>0.97359307340000001</v>
      </c>
      <c r="F1040" s="18">
        <v>1947186.15</v>
      </c>
      <c r="G1040" s="15">
        <v>0</v>
      </c>
      <c r="H1040" s="13"/>
      <c r="I1040" s="13"/>
    </row>
    <row r="1041" spans="1:9">
      <c r="A1041" s="13" t="s">
        <v>1706</v>
      </c>
      <c r="B1041" s="139" t="s">
        <v>505</v>
      </c>
      <c r="C1041" s="139" t="s">
        <v>484</v>
      </c>
      <c r="D1041" s="15">
        <v>2000000</v>
      </c>
      <c r="E1041" s="93">
        <v>0.96847802829999996</v>
      </c>
      <c r="F1041" s="18">
        <v>1936956.06</v>
      </c>
      <c r="G1041" s="15">
        <v>0</v>
      </c>
      <c r="H1041" s="13"/>
      <c r="I1041" s="13"/>
    </row>
    <row r="1042" spans="1:9">
      <c r="A1042" s="13" t="s">
        <v>1707</v>
      </c>
      <c r="B1042" s="139" t="s">
        <v>798</v>
      </c>
      <c r="C1042" s="139" t="s">
        <v>484</v>
      </c>
      <c r="D1042" s="15">
        <v>2000000</v>
      </c>
      <c r="E1042" s="93">
        <v>0.96678506890000004</v>
      </c>
      <c r="F1042" s="18">
        <v>1933570.14</v>
      </c>
      <c r="G1042" s="15">
        <v>0</v>
      </c>
      <c r="H1042" s="13"/>
      <c r="I1042" s="13"/>
    </row>
    <row r="1043" spans="1:9">
      <c r="A1043" s="13" t="s">
        <v>1708</v>
      </c>
      <c r="B1043" s="139" t="s">
        <v>391</v>
      </c>
      <c r="C1043" s="139" t="s">
        <v>484</v>
      </c>
      <c r="D1043" s="15">
        <v>215000000</v>
      </c>
      <c r="E1043" s="93">
        <v>0.97069322420000004</v>
      </c>
      <c r="F1043" s="151">
        <v>208699043.19999999</v>
      </c>
      <c r="G1043" s="151">
        <v>0.4</v>
      </c>
      <c r="H1043" s="13"/>
      <c r="I1043" s="13"/>
    </row>
    <row r="1044" spans="1:9">
      <c r="A1044" s="13" t="s">
        <v>1709</v>
      </c>
      <c r="B1044" s="139" t="s">
        <v>571</v>
      </c>
      <c r="C1044" s="139" t="s">
        <v>484</v>
      </c>
      <c r="D1044" s="15">
        <v>200000000</v>
      </c>
      <c r="E1044" s="93">
        <v>0.97596198160000003</v>
      </c>
      <c r="F1044" s="18">
        <v>195192396.31999999</v>
      </c>
      <c r="G1044" s="18">
        <v>0.37</v>
      </c>
      <c r="H1044" s="13"/>
      <c r="I1044" s="13"/>
    </row>
    <row r="1045" spans="1:9">
      <c r="A1045" s="13" t="s">
        <v>1710</v>
      </c>
      <c r="B1045" s="139" t="s">
        <v>575</v>
      </c>
      <c r="C1045" s="139" t="s">
        <v>484</v>
      </c>
      <c r="D1045" s="15">
        <v>200000000</v>
      </c>
      <c r="E1045" s="93">
        <v>0.97294420110000002</v>
      </c>
      <c r="F1045" s="18">
        <v>194588840.22</v>
      </c>
      <c r="G1045" s="18">
        <v>0.37</v>
      </c>
      <c r="H1045" s="13"/>
      <c r="I1045" s="13"/>
    </row>
    <row r="1046" spans="1:9">
      <c r="A1046" s="13" t="s">
        <v>1711</v>
      </c>
      <c r="B1046" s="139" t="s">
        <v>798</v>
      </c>
      <c r="C1046" s="139" t="s">
        <v>484</v>
      </c>
      <c r="D1046" s="15">
        <v>200000000</v>
      </c>
      <c r="E1046" s="93">
        <v>0.97069312379999995</v>
      </c>
      <c r="F1046" s="18">
        <v>194138624.75999999</v>
      </c>
      <c r="G1046" s="18">
        <v>0.37</v>
      </c>
      <c r="H1046" s="13"/>
      <c r="I1046" s="13"/>
    </row>
    <row r="1047" spans="1:9">
      <c r="A1047" s="13" t="s">
        <v>1712</v>
      </c>
      <c r="B1047" s="139" t="s">
        <v>424</v>
      </c>
      <c r="C1047" s="139" t="s">
        <v>484</v>
      </c>
      <c r="D1047" s="15">
        <v>200000000</v>
      </c>
      <c r="E1047" s="93">
        <v>0.96994502329999999</v>
      </c>
      <c r="F1047" s="18">
        <v>193989004.66</v>
      </c>
      <c r="G1047" s="18">
        <v>0.37</v>
      </c>
      <c r="H1047" s="13"/>
      <c r="I1047" s="13"/>
    </row>
    <row r="1048" spans="1:9">
      <c r="A1048" s="13" t="s">
        <v>1713</v>
      </c>
      <c r="B1048" s="139" t="s">
        <v>604</v>
      </c>
      <c r="C1048" s="139" t="s">
        <v>484</v>
      </c>
      <c r="D1048" s="15">
        <v>200000000</v>
      </c>
      <c r="E1048" s="93">
        <v>0.97144237769999997</v>
      </c>
      <c r="F1048" s="18">
        <v>194288475.53999999</v>
      </c>
      <c r="G1048" s="18">
        <v>0.37</v>
      </c>
      <c r="H1048" s="13"/>
      <c r="I1048" s="13"/>
    </row>
    <row r="1049" spans="1:9">
      <c r="A1049" s="13" t="s">
        <v>1715</v>
      </c>
      <c r="B1049" s="139" t="s">
        <v>776</v>
      </c>
      <c r="C1049" s="139" t="s">
        <v>457</v>
      </c>
      <c r="D1049" s="15">
        <v>50000000</v>
      </c>
      <c r="E1049" s="93">
        <v>0.93176423009999998</v>
      </c>
      <c r="F1049" s="18">
        <v>46588211.509999998</v>
      </c>
      <c r="G1049" s="18">
        <v>0.09</v>
      </c>
      <c r="H1049" s="13"/>
      <c r="I1049" s="13"/>
    </row>
    <row r="1050" spans="1:9">
      <c r="A1050" s="13" t="s">
        <v>1716</v>
      </c>
      <c r="B1050" s="139" t="s">
        <v>454</v>
      </c>
      <c r="C1050" s="139" t="s">
        <v>457</v>
      </c>
      <c r="D1050" s="15">
        <v>50000000</v>
      </c>
      <c r="E1050" s="93">
        <v>0.99411706820000001</v>
      </c>
      <c r="F1050" s="18">
        <v>49705853.409999996</v>
      </c>
      <c r="G1050" s="18">
        <v>0.09</v>
      </c>
      <c r="H1050" s="13"/>
      <c r="I1050" s="13"/>
    </row>
    <row r="1051" spans="1:9">
      <c r="A1051" s="13" t="s">
        <v>1717</v>
      </c>
      <c r="B1051" s="139" t="s">
        <v>785</v>
      </c>
      <c r="C1051" s="139" t="s">
        <v>457</v>
      </c>
      <c r="D1051" s="15">
        <v>35000000</v>
      </c>
      <c r="E1051" s="154">
        <v>0.95277886199999995</v>
      </c>
      <c r="F1051" s="18">
        <v>33347260.170000002</v>
      </c>
      <c r="G1051" s="18">
        <v>0.06</v>
      </c>
      <c r="H1051" s="13"/>
      <c r="I1051" s="13"/>
    </row>
    <row r="1052" spans="1:9">
      <c r="A1052" s="13" t="s">
        <v>1718</v>
      </c>
      <c r="B1052" s="139" t="s">
        <v>677</v>
      </c>
      <c r="C1052" s="139" t="s">
        <v>457</v>
      </c>
      <c r="D1052" s="15">
        <v>35000000</v>
      </c>
      <c r="E1052" s="154">
        <v>0.95412370400000002</v>
      </c>
      <c r="F1052" s="18">
        <v>33394329.640000001</v>
      </c>
      <c r="G1052" s="18">
        <v>0.06</v>
      </c>
      <c r="H1052" s="13"/>
      <c r="I1052" s="13"/>
    </row>
    <row r="1053" spans="1:9">
      <c r="A1053" s="13" t="s">
        <v>1719</v>
      </c>
      <c r="B1053" s="139" t="s">
        <v>727</v>
      </c>
      <c r="C1053" s="139" t="s">
        <v>457</v>
      </c>
      <c r="D1053" s="15">
        <v>30000000</v>
      </c>
      <c r="E1053" s="93">
        <v>0.95010034249999997</v>
      </c>
      <c r="F1053" s="18">
        <v>28503010.280000001</v>
      </c>
      <c r="G1053" s="18">
        <v>0.05</v>
      </c>
      <c r="H1053" s="13"/>
      <c r="I1053" s="13"/>
    </row>
    <row r="1054" spans="1:9">
      <c r="A1054" s="13" t="s">
        <v>1720</v>
      </c>
      <c r="B1054" s="139" t="s">
        <v>490</v>
      </c>
      <c r="C1054" s="139" t="s">
        <v>457</v>
      </c>
      <c r="D1054" s="15">
        <v>5800000</v>
      </c>
      <c r="E1054" s="93">
        <v>0.9883029056</v>
      </c>
      <c r="F1054" s="18">
        <v>5732156.8499999996</v>
      </c>
      <c r="G1054" s="18">
        <v>0.01</v>
      </c>
      <c r="H1054" s="13"/>
      <c r="I1054" s="13"/>
    </row>
    <row r="1055" spans="1:9">
      <c r="A1055" s="13" t="s">
        <v>1721</v>
      </c>
      <c r="B1055" s="139" t="s">
        <v>616</v>
      </c>
      <c r="C1055" s="139" t="s">
        <v>457</v>
      </c>
      <c r="D1055" s="15">
        <v>5800000</v>
      </c>
      <c r="E1055" s="93">
        <v>0.98758088509999997</v>
      </c>
      <c r="F1055" s="18">
        <v>5727969.1299999999</v>
      </c>
      <c r="G1055" s="18">
        <v>0.01</v>
      </c>
      <c r="H1055" s="13"/>
      <c r="I1055" s="13"/>
    </row>
    <row r="1056" spans="1:9">
      <c r="A1056" s="13" t="s">
        <v>1722</v>
      </c>
      <c r="B1056" s="139" t="s">
        <v>842</v>
      </c>
      <c r="C1056" s="139" t="s">
        <v>457</v>
      </c>
      <c r="D1056" s="15">
        <v>5800000</v>
      </c>
      <c r="E1056" s="93">
        <v>0.98470342239999997</v>
      </c>
      <c r="F1056" s="18">
        <v>5711279.8499999996</v>
      </c>
      <c r="G1056" s="18">
        <v>0.01</v>
      </c>
      <c r="H1056" s="13"/>
      <c r="I1056" s="13"/>
    </row>
    <row r="1057" spans="1:9">
      <c r="A1057" s="13" t="s">
        <v>1723</v>
      </c>
      <c r="B1057" s="139" t="s">
        <v>842</v>
      </c>
      <c r="C1057" s="139" t="s">
        <v>457</v>
      </c>
      <c r="D1057" s="15">
        <v>5800000</v>
      </c>
      <c r="E1057" s="93">
        <v>0.98470342239999997</v>
      </c>
      <c r="F1057" s="18">
        <v>5711279.8499999996</v>
      </c>
      <c r="G1057" s="18">
        <v>0.01</v>
      </c>
      <c r="H1057" s="13"/>
      <c r="I1057" s="13"/>
    </row>
    <row r="1058" spans="1:9">
      <c r="A1058" s="13" t="s">
        <v>1724</v>
      </c>
      <c r="B1058" s="139" t="s">
        <v>533</v>
      </c>
      <c r="C1058" s="139" t="s">
        <v>457</v>
      </c>
      <c r="D1058" s="15">
        <v>5900000</v>
      </c>
      <c r="E1058" s="93">
        <v>0.9832710308</v>
      </c>
      <c r="F1058" s="18">
        <v>5801299.0800000001</v>
      </c>
      <c r="G1058" s="18">
        <v>0.01</v>
      </c>
      <c r="H1058" s="13"/>
      <c r="I1058" s="13"/>
    </row>
    <row r="1059" spans="1:9">
      <c r="A1059" s="13" t="s">
        <v>1725</v>
      </c>
      <c r="B1059" s="139" t="s">
        <v>533</v>
      </c>
      <c r="C1059" s="139" t="s">
        <v>457</v>
      </c>
      <c r="D1059" s="15">
        <v>5900000</v>
      </c>
      <c r="E1059" s="93">
        <v>0.9832710308</v>
      </c>
      <c r="F1059" s="18">
        <v>5801299.0800000001</v>
      </c>
      <c r="G1059" s="18">
        <v>0.01</v>
      </c>
      <c r="H1059" s="13"/>
      <c r="I1059" s="13"/>
    </row>
    <row r="1060" spans="1:9">
      <c r="A1060" s="13" t="s">
        <v>1726</v>
      </c>
      <c r="B1060" s="139" t="s">
        <v>549</v>
      </c>
      <c r="C1060" s="139" t="s">
        <v>457</v>
      </c>
      <c r="D1060" s="15">
        <v>7250000</v>
      </c>
      <c r="E1060" s="93">
        <v>0.97687619520000002</v>
      </c>
      <c r="F1060" s="18">
        <v>7082352.4199999999</v>
      </c>
      <c r="G1060" s="18">
        <v>0.01</v>
      </c>
      <c r="H1060" s="13"/>
      <c r="I1060" s="13"/>
    </row>
    <row r="1061" spans="1:9">
      <c r="A1061" s="13" t="s">
        <v>1727</v>
      </c>
      <c r="B1061" s="139" t="s">
        <v>549</v>
      </c>
      <c r="C1061" s="139" t="s">
        <v>457</v>
      </c>
      <c r="D1061" s="15">
        <v>7250000</v>
      </c>
      <c r="E1061" s="93">
        <v>0.97687619520000002</v>
      </c>
      <c r="F1061" s="18">
        <v>7082352.4199999999</v>
      </c>
      <c r="G1061" s="18">
        <v>0.01</v>
      </c>
      <c r="H1061" s="13"/>
      <c r="I1061" s="13"/>
    </row>
    <row r="1062" spans="1:9">
      <c r="A1062" s="13" t="s">
        <v>1728</v>
      </c>
      <c r="B1062" s="139" t="s">
        <v>549</v>
      </c>
      <c r="C1062" s="139" t="s">
        <v>457</v>
      </c>
      <c r="D1062" s="15">
        <v>7250000</v>
      </c>
      <c r="E1062" s="93">
        <v>0.97687619520000002</v>
      </c>
      <c r="F1062" s="18">
        <v>7082352.4199999999</v>
      </c>
      <c r="G1062" s="18">
        <v>0.01</v>
      </c>
      <c r="H1062" s="13"/>
      <c r="I1062" s="13"/>
    </row>
    <row r="1063" spans="1:9">
      <c r="A1063" s="13" t="s">
        <v>1729</v>
      </c>
      <c r="B1063" s="139" t="s">
        <v>549</v>
      </c>
      <c r="C1063" s="139" t="s">
        <v>457</v>
      </c>
      <c r="D1063" s="15">
        <v>7250000</v>
      </c>
      <c r="E1063" s="93">
        <v>0.97687619520000002</v>
      </c>
      <c r="F1063" s="18">
        <v>7082352.4199999999</v>
      </c>
      <c r="G1063" s="18">
        <v>0.01</v>
      </c>
      <c r="H1063" s="13"/>
      <c r="I1063" s="13"/>
    </row>
    <row r="1064" spans="1:9">
      <c r="A1064" s="13" t="s">
        <v>1730</v>
      </c>
      <c r="B1064" s="139" t="s">
        <v>488</v>
      </c>
      <c r="C1064" s="139" t="s">
        <v>457</v>
      </c>
      <c r="D1064" s="15">
        <v>6250000</v>
      </c>
      <c r="E1064" s="93">
        <v>0.96847804709999996</v>
      </c>
      <c r="F1064" s="18">
        <v>6052987.79</v>
      </c>
      <c r="G1064" s="18">
        <v>0.01</v>
      </c>
      <c r="H1064" s="13"/>
      <c r="I1064" s="13"/>
    </row>
    <row r="1065" spans="1:9">
      <c r="A1065" s="13" t="s">
        <v>1731</v>
      </c>
      <c r="B1065" s="139" t="s">
        <v>488</v>
      </c>
      <c r="C1065" s="139" t="s">
        <v>457</v>
      </c>
      <c r="D1065" s="15">
        <v>6250000</v>
      </c>
      <c r="E1065" s="93">
        <v>0.96847804709999996</v>
      </c>
      <c r="F1065" s="18">
        <v>6052987.79</v>
      </c>
      <c r="G1065" s="18">
        <v>0.01</v>
      </c>
      <c r="H1065" s="13"/>
      <c r="I1065" s="13"/>
    </row>
    <row r="1066" spans="1:9">
      <c r="A1066" s="13" t="s">
        <v>1732</v>
      </c>
      <c r="B1066" s="139" t="s">
        <v>488</v>
      </c>
      <c r="C1066" s="139" t="s">
        <v>457</v>
      </c>
      <c r="D1066" s="15">
        <v>6250000</v>
      </c>
      <c r="E1066" s="93">
        <v>0.96847804709999996</v>
      </c>
      <c r="F1066" s="18">
        <v>6052987.79</v>
      </c>
      <c r="G1066" s="18">
        <v>0.01</v>
      </c>
      <c r="H1066" s="13"/>
      <c r="I1066" s="13"/>
    </row>
    <row r="1067" spans="1:9">
      <c r="A1067" s="13" t="s">
        <v>1733</v>
      </c>
      <c r="B1067" s="139" t="s">
        <v>488</v>
      </c>
      <c r="C1067" s="139" t="s">
        <v>457</v>
      </c>
      <c r="D1067" s="15">
        <v>6250000</v>
      </c>
      <c r="E1067" s="93">
        <v>0.96847804709999996</v>
      </c>
      <c r="F1067" s="18">
        <v>6052987.79</v>
      </c>
      <c r="G1067" s="18">
        <v>0.01</v>
      </c>
      <c r="H1067" s="13"/>
      <c r="I1067" s="13"/>
    </row>
    <row r="1068" spans="1:9">
      <c r="A1068" s="13" t="s">
        <v>1734</v>
      </c>
      <c r="B1068" s="139" t="s">
        <v>713</v>
      </c>
      <c r="C1068" s="139" t="s">
        <v>457</v>
      </c>
      <c r="D1068" s="15">
        <v>12500000</v>
      </c>
      <c r="E1068" s="93">
        <v>0.96022322609999999</v>
      </c>
      <c r="F1068" s="18">
        <v>12002790.33</v>
      </c>
      <c r="G1068" s="18">
        <v>0.02</v>
      </c>
      <c r="H1068" s="13"/>
      <c r="I1068" s="13"/>
    </row>
    <row r="1069" spans="1:9">
      <c r="A1069" s="13" t="s">
        <v>1735</v>
      </c>
      <c r="B1069" s="139" t="s">
        <v>1023</v>
      </c>
      <c r="C1069" s="139" t="s">
        <v>457</v>
      </c>
      <c r="D1069" s="15">
        <v>40000000</v>
      </c>
      <c r="E1069" s="93">
        <v>0.93064781429999999</v>
      </c>
      <c r="F1069" s="18">
        <v>37225912.57</v>
      </c>
      <c r="G1069" s="18">
        <v>7.0000000000000007E-2</v>
      </c>
      <c r="H1069" s="13"/>
      <c r="I1069" s="13"/>
    </row>
    <row r="1070" spans="1:9">
      <c r="A1070" s="13" t="s">
        <v>1736</v>
      </c>
      <c r="B1070" s="139" t="s">
        <v>711</v>
      </c>
      <c r="C1070" s="139" t="s">
        <v>457</v>
      </c>
      <c r="D1070" s="15">
        <v>40000000</v>
      </c>
      <c r="E1070" s="93">
        <v>0.92988904920000004</v>
      </c>
      <c r="F1070" s="18">
        <v>37195561.969999999</v>
      </c>
      <c r="G1070" s="18">
        <v>7.0000000000000007E-2</v>
      </c>
      <c r="H1070" s="13"/>
      <c r="I1070" s="13"/>
    </row>
    <row r="1071" spans="1:9">
      <c r="A1071" s="13" t="s">
        <v>1737</v>
      </c>
      <c r="B1071" s="139" t="s">
        <v>636</v>
      </c>
      <c r="C1071" s="139" t="s">
        <v>457</v>
      </c>
      <c r="D1071" s="15">
        <v>40000000</v>
      </c>
      <c r="E1071" s="93">
        <v>0.92837522449999998</v>
      </c>
      <c r="F1071" s="18">
        <v>37135008.979999997</v>
      </c>
      <c r="G1071" s="18">
        <v>7.0000000000000007E-2</v>
      </c>
      <c r="H1071" s="13"/>
      <c r="I1071" s="13"/>
    </row>
    <row r="1072" spans="1:9">
      <c r="A1072" s="13" t="s">
        <v>1738</v>
      </c>
      <c r="B1072" s="139" t="s">
        <v>785</v>
      </c>
      <c r="C1072" s="139" t="s">
        <v>457</v>
      </c>
      <c r="D1072" s="15">
        <v>50000000</v>
      </c>
      <c r="E1072" s="93">
        <v>0.9445193663</v>
      </c>
      <c r="F1072" s="18">
        <v>47225968.32</v>
      </c>
      <c r="G1072" s="18">
        <v>0.09</v>
      </c>
      <c r="H1072" s="13"/>
      <c r="I1072" s="13"/>
    </row>
    <row r="1073" spans="1:9">
      <c r="A1073" s="13" t="s">
        <v>1739</v>
      </c>
      <c r="B1073" s="139" t="s">
        <v>1392</v>
      </c>
      <c r="C1073" s="139" t="s">
        <v>457</v>
      </c>
      <c r="D1073" s="15">
        <v>50000000</v>
      </c>
      <c r="E1073" s="93">
        <v>0.95674968390000004</v>
      </c>
      <c r="F1073" s="151">
        <v>47837484.200000003</v>
      </c>
      <c r="G1073" s="18">
        <v>0.09</v>
      </c>
      <c r="H1073" s="13"/>
      <c r="I1073" s="13"/>
    </row>
    <row r="1074" spans="1:9">
      <c r="A1074" s="13" t="s">
        <v>1740</v>
      </c>
      <c r="B1074" s="139" t="s">
        <v>798</v>
      </c>
      <c r="C1074" s="139" t="s">
        <v>457</v>
      </c>
      <c r="D1074" s="15">
        <v>50000000</v>
      </c>
      <c r="E1074" s="93">
        <v>0.97463294960000002</v>
      </c>
      <c r="F1074" s="18">
        <v>48731647.479999997</v>
      </c>
      <c r="G1074" s="18">
        <v>0.09</v>
      </c>
      <c r="H1074" s="13"/>
      <c r="I1074" s="13"/>
    </row>
    <row r="1075" spans="1:9">
      <c r="A1075" s="13" t="s">
        <v>1741</v>
      </c>
      <c r="B1075" s="139" t="s">
        <v>387</v>
      </c>
      <c r="C1075" s="139" t="s">
        <v>457</v>
      </c>
      <c r="D1075" s="15">
        <v>50000000</v>
      </c>
      <c r="E1075" s="93">
        <v>0.98316501960000002</v>
      </c>
      <c r="F1075" s="18">
        <v>49158250.979999997</v>
      </c>
      <c r="G1075" s="18">
        <v>0.09</v>
      </c>
      <c r="H1075" s="13"/>
      <c r="I1075" s="13"/>
    </row>
    <row r="1076" spans="1:9">
      <c r="A1076" s="13" t="s">
        <v>1742</v>
      </c>
      <c r="B1076" s="139" t="s">
        <v>727</v>
      </c>
      <c r="C1076" s="139" t="s">
        <v>457</v>
      </c>
      <c r="D1076" s="15">
        <v>50000000</v>
      </c>
      <c r="E1076" s="93">
        <v>0.95362519840000004</v>
      </c>
      <c r="F1076" s="18">
        <v>47681259.920000002</v>
      </c>
      <c r="G1076" s="18">
        <v>0.09</v>
      </c>
      <c r="H1076" s="13"/>
      <c r="I1076" s="13"/>
    </row>
    <row r="1077" spans="1:9">
      <c r="A1077" s="13" t="s">
        <v>1743</v>
      </c>
      <c r="B1077" s="139" t="s">
        <v>168</v>
      </c>
      <c r="C1077" s="139" t="s">
        <v>457</v>
      </c>
      <c r="D1077" s="18">
        <v>15219785.369999999</v>
      </c>
      <c r="E1077" s="93">
        <v>0.99912406659999997</v>
      </c>
      <c r="F1077" s="18">
        <v>15206453.85</v>
      </c>
      <c r="G1077" s="18">
        <v>0.03</v>
      </c>
      <c r="H1077" s="13"/>
      <c r="I1077" s="13"/>
    </row>
    <row r="1078" spans="1:9">
      <c r="A1078" s="13" t="s">
        <v>1745</v>
      </c>
      <c r="B1078" s="139" t="s">
        <v>776</v>
      </c>
      <c r="C1078" s="139" t="s">
        <v>439</v>
      </c>
      <c r="D1078" s="15">
        <v>19922304</v>
      </c>
      <c r="E1078" s="93">
        <v>0.93649780729999998</v>
      </c>
      <c r="F1078" s="18">
        <v>18657194.010000002</v>
      </c>
      <c r="G1078" s="18">
        <v>0.04</v>
      </c>
      <c r="H1078" s="13"/>
      <c r="I1078" s="13"/>
    </row>
    <row r="1079" spans="1:9">
      <c r="A1079" s="13" t="s">
        <v>1746</v>
      </c>
      <c r="B1079" s="139" t="s">
        <v>1335</v>
      </c>
      <c r="C1079" s="139" t="s">
        <v>439</v>
      </c>
      <c r="D1079" s="15">
        <v>19922304</v>
      </c>
      <c r="E1079" s="93">
        <v>0.91881688090000002</v>
      </c>
      <c r="F1079" s="18">
        <v>18304949.219999999</v>
      </c>
      <c r="G1079" s="18">
        <v>0.03</v>
      </c>
      <c r="H1079" s="13"/>
      <c r="I1079" s="13"/>
    </row>
    <row r="1080" spans="1:9">
      <c r="A1080" s="13" t="s">
        <v>1747</v>
      </c>
      <c r="B1080" s="139" t="s">
        <v>718</v>
      </c>
      <c r="C1080" s="139" t="s">
        <v>439</v>
      </c>
      <c r="D1080" s="15">
        <v>5000000</v>
      </c>
      <c r="E1080" s="93">
        <v>0.9530028036</v>
      </c>
      <c r="F1080" s="18">
        <v>4765014.0199999996</v>
      </c>
      <c r="G1080" s="18">
        <v>0.01</v>
      </c>
      <c r="H1080" s="13"/>
      <c r="I1080" s="13"/>
    </row>
    <row r="1081" spans="1:9">
      <c r="A1081" s="13" t="s">
        <v>1748</v>
      </c>
      <c r="B1081" s="139" t="s">
        <v>1392</v>
      </c>
      <c r="C1081" s="139" t="s">
        <v>439</v>
      </c>
      <c r="D1081" s="15">
        <v>5000000</v>
      </c>
      <c r="E1081" s="93">
        <v>0.9485447669</v>
      </c>
      <c r="F1081" s="18">
        <v>4742723.83</v>
      </c>
      <c r="G1081" s="18">
        <v>0.01</v>
      </c>
      <c r="H1081" s="13"/>
      <c r="I1081" s="13"/>
    </row>
    <row r="1082" spans="1:9">
      <c r="A1082" s="13" t="s">
        <v>1749</v>
      </c>
      <c r="B1082" s="139" t="s">
        <v>813</v>
      </c>
      <c r="C1082" s="139" t="s">
        <v>439</v>
      </c>
      <c r="D1082" s="15">
        <v>5000000</v>
      </c>
      <c r="E1082" s="93">
        <v>0.95976868739999999</v>
      </c>
      <c r="F1082" s="18">
        <v>4798843.4400000004</v>
      </c>
      <c r="G1082" s="18">
        <v>0.01</v>
      </c>
      <c r="H1082" s="13"/>
      <c r="I1082" s="13"/>
    </row>
    <row r="1083" spans="1:9">
      <c r="A1083" s="13" t="s">
        <v>1750</v>
      </c>
      <c r="B1083" s="139" t="s">
        <v>798</v>
      </c>
      <c r="C1083" s="139" t="s">
        <v>439</v>
      </c>
      <c r="D1083" s="15">
        <v>5000000</v>
      </c>
      <c r="E1083" s="93">
        <v>0.96971307610000002</v>
      </c>
      <c r="F1083" s="18">
        <v>4848565.38</v>
      </c>
      <c r="G1083" s="18">
        <v>0.01</v>
      </c>
      <c r="H1083" s="13"/>
      <c r="I1083" s="13"/>
    </row>
    <row r="1084" spans="1:9">
      <c r="A1084" s="13" t="s">
        <v>1751</v>
      </c>
      <c r="B1084" s="139" t="s">
        <v>505</v>
      </c>
      <c r="C1084" s="139" t="s">
        <v>439</v>
      </c>
      <c r="D1084" s="15">
        <v>15000000</v>
      </c>
      <c r="E1084" s="93">
        <v>0.9638746306</v>
      </c>
      <c r="F1084" s="18">
        <v>14458119.460000001</v>
      </c>
      <c r="G1084" s="18">
        <v>0.03</v>
      </c>
      <c r="H1084" s="13"/>
      <c r="I1084" s="13"/>
    </row>
    <row r="1085" spans="1:9">
      <c r="A1085" s="13" t="s">
        <v>1752</v>
      </c>
      <c r="B1085" s="139" t="s">
        <v>445</v>
      </c>
      <c r="C1085" s="139" t="s">
        <v>439</v>
      </c>
      <c r="D1085" s="15">
        <v>700000000</v>
      </c>
      <c r="E1085" s="93">
        <v>0.99144379490000001</v>
      </c>
      <c r="F1085" s="18">
        <v>694010656.42999995</v>
      </c>
      <c r="G1085" s="18">
        <v>1.33</v>
      </c>
      <c r="H1085" s="13"/>
      <c r="I1085" s="13"/>
    </row>
    <row r="1086" spans="1:9">
      <c r="A1086" s="13" t="s">
        <v>1753</v>
      </c>
      <c r="B1086" s="139" t="s">
        <v>727</v>
      </c>
      <c r="C1086" s="139" t="s">
        <v>439</v>
      </c>
      <c r="D1086" s="15">
        <v>65000000</v>
      </c>
      <c r="E1086" s="93">
        <v>0.94140121789999998</v>
      </c>
      <c r="F1086" s="18">
        <v>61191079.159999996</v>
      </c>
      <c r="G1086" s="18">
        <v>0.12</v>
      </c>
      <c r="H1086" s="13"/>
      <c r="I1086" s="13"/>
    </row>
    <row r="1087" spans="1:9">
      <c r="A1087" s="13" t="s">
        <v>1754</v>
      </c>
      <c r="B1087" s="139" t="s">
        <v>424</v>
      </c>
      <c r="C1087" s="139" t="s">
        <v>439</v>
      </c>
      <c r="D1087" s="15">
        <v>65000000</v>
      </c>
      <c r="E1087" s="93">
        <v>0.96693878259999999</v>
      </c>
      <c r="F1087" s="18">
        <v>62851020.869999997</v>
      </c>
      <c r="G1087" s="18">
        <v>0.12</v>
      </c>
      <c r="H1087" s="13"/>
      <c r="I1087" s="13"/>
    </row>
    <row r="1088" spans="1:9">
      <c r="A1088" s="13" t="s">
        <v>1755</v>
      </c>
      <c r="B1088" s="139" t="s">
        <v>549</v>
      </c>
      <c r="C1088" s="139" t="s">
        <v>439</v>
      </c>
      <c r="D1088" s="15">
        <v>200000000</v>
      </c>
      <c r="E1088" s="93">
        <v>0.97687623450000005</v>
      </c>
      <c r="F1088" s="151">
        <v>195375246.90000001</v>
      </c>
      <c r="G1088" s="18">
        <v>0.37</v>
      </c>
      <c r="H1088" s="13"/>
      <c r="I1088" s="13"/>
    </row>
    <row r="1089" spans="1:9">
      <c r="A1089" s="13" t="s">
        <v>1756</v>
      </c>
      <c r="B1089" s="139" t="s">
        <v>624</v>
      </c>
      <c r="C1089" s="139" t="s">
        <v>439</v>
      </c>
      <c r="D1089" s="15">
        <v>200000000</v>
      </c>
      <c r="E1089" s="93">
        <v>0.96986782110000003</v>
      </c>
      <c r="F1089" s="18">
        <v>193973564.22</v>
      </c>
      <c r="G1089" s="18">
        <v>0.37</v>
      </c>
      <c r="H1089" s="13"/>
      <c r="I1089" s="13"/>
    </row>
    <row r="1090" spans="1:9">
      <c r="A1090" s="13" t="s">
        <v>1757</v>
      </c>
      <c r="B1090" s="139" t="s">
        <v>190</v>
      </c>
      <c r="C1090" s="139" t="s">
        <v>439</v>
      </c>
      <c r="D1090" s="15">
        <v>200000000</v>
      </c>
      <c r="E1090" s="93">
        <v>0.9691724585</v>
      </c>
      <c r="F1090" s="151">
        <v>193834491.69999999</v>
      </c>
      <c r="G1090" s="18">
        <v>0.37</v>
      </c>
      <c r="H1090" s="13"/>
      <c r="I1090" s="13"/>
    </row>
    <row r="1091" spans="1:9">
      <c r="A1091" s="13" t="s">
        <v>1758</v>
      </c>
      <c r="B1091" s="139" t="s">
        <v>488</v>
      </c>
      <c r="C1091" s="139" t="s">
        <v>439</v>
      </c>
      <c r="D1091" s="15">
        <v>200000000</v>
      </c>
      <c r="E1091" s="93">
        <v>0.96847809119999995</v>
      </c>
      <c r="F1091" s="18">
        <v>193695618.24000001</v>
      </c>
      <c r="G1091" s="18">
        <v>0.37</v>
      </c>
      <c r="H1091" s="13"/>
      <c r="I1091" s="13"/>
    </row>
    <row r="1092" spans="1:9">
      <c r="A1092" s="13" t="s">
        <v>1761</v>
      </c>
      <c r="B1092" s="139" t="s">
        <v>604</v>
      </c>
      <c r="C1092" s="139" t="s">
        <v>460</v>
      </c>
      <c r="D1092" s="15">
        <v>15000000</v>
      </c>
      <c r="E1092" s="93">
        <v>0.9629082712</v>
      </c>
      <c r="F1092" s="18">
        <v>14443624.07</v>
      </c>
      <c r="G1092" s="18">
        <v>0.03</v>
      </c>
      <c r="H1092" s="13"/>
      <c r="I1092" s="13"/>
    </row>
    <row r="1093" spans="1:9">
      <c r="A1093" s="13" t="s">
        <v>1762</v>
      </c>
      <c r="B1093" s="139" t="s">
        <v>612</v>
      </c>
      <c r="C1093" s="139" t="s">
        <v>460</v>
      </c>
      <c r="D1093" s="15">
        <v>10000000</v>
      </c>
      <c r="E1093" s="154">
        <v>0.95076862900000003</v>
      </c>
      <c r="F1093" s="18">
        <v>9507686.2899999991</v>
      </c>
      <c r="G1093" s="18">
        <v>0.02</v>
      </c>
      <c r="H1093" s="13"/>
      <c r="I1093" s="13"/>
    </row>
    <row r="1094" spans="1:9">
      <c r="A1094" s="13" t="s">
        <v>1763</v>
      </c>
      <c r="B1094" s="139" t="s">
        <v>424</v>
      </c>
      <c r="C1094" s="139" t="s">
        <v>460</v>
      </c>
      <c r="D1094" s="15">
        <v>10000000</v>
      </c>
      <c r="E1094" s="154">
        <v>0.96894090399999999</v>
      </c>
      <c r="F1094" s="18">
        <v>9689409.0399999991</v>
      </c>
      <c r="G1094" s="18">
        <v>0.02</v>
      </c>
      <c r="H1094" s="13"/>
      <c r="I1094" s="13"/>
    </row>
    <row r="1095" spans="1:9">
      <c r="A1095" s="13" t="s">
        <v>1764</v>
      </c>
      <c r="B1095" s="139" t="s">
        <v>713</v>
      </c>
      <c r="C1095" s="139" t="s">
        <v>460</v>
      </c>
      <c r="D1095" s="15">
        <v>10000000</v>
      </c>
      <c r="E1095" s="93">
        <v>0.95599808549999998</v>
      </c>
      <c r="F1095" s="18">
        <v>9559980.8599999994</v>
      </c>
      <c r="G1095" s="18">
        <v>0.02</v>
      </c>
      <c r="H1095" s="13"/>
      <c r="I1095" s="13"/>
    </row>
    <row r="1096" spans="1:9">
      <c r="A1096" s="13" t="s">
        <v>1765</v>
      </c>
      <c r="B1096" s="139" t="s">
        <v>563</v>
      </c>
      <c r="C1096" s="139" t="s">
        <v>460</v>
      </c>
      <c r="D1096" s="15">
        <v>20000000</v>
      </c>
      <c r="E1096" s="93">
        <v>0.95954163820000005</v>
      </c>
      <c r="F1096" s="18">
        <v>19190832.760000002</v>
      </c>
      <c r="G1096" s="18">
        <v>0.04</v>
      </c>
      <c r="H1096" s="13"/>
      <c r="I1096" s="13"/>
    </row>
    <row r="1097" spans="1:9">
      <c r="A1097" s="13" t="s">
        <v>1766</v>
      </c>
      <c r="B1097" s="139" t="s">
        <v>792</v>
      </c>
      <c r="C1097" s="139" t="s">
        <v>460</v>
      </c>
      <c r="D1097" s="15">
        <v>20000000</v>
      </c>
      <c r="E1097" s="93">
        <v>0.95479766330000004</v>
      </c>
      <c r="F1097" s="18">
        <v>19095953.27</v>
      </c>
      <c r="G1097" s="18">
        <v>0.04</v>
      </c>
      <c r="H1097" s="13"/>
      <c r="I1097" s="13"/>
    </row>
    <row r="1098" spans="1:9">
      <c r="A1098" s="13" t="s">
        <v>1767</v>
      </c>
      <c r="B1098" s="139" t="s">
        <v>727</v>
      </c>
      <c r="C1098" s="139" t="s">
        <v>460</v>
      </c>
      <c r="D1098" s="15">
        <v>20000000</v>
      </c>
      <c r="E1098" s="93">
        <v>0.95010036529999997</v>
      </c>
      <c r="F1098" s="18">
        <v>19002007.309999999</v>
      </c>
      <c r="G1098" s="18">
        <v>0.04</v>
      </c>
      <c r="H1098" s="13"/>
      <c r="I1098" s="13"/>
    </row>
    <row r="1099" spans="1:9">
      <c r="A1099" s="13" t="s">
        <v>1768</v>
      </c>
      <c r="B1099" s="139" t="s">
        <v>813</v>
      </c>
      <c r="C1099" s="139" t="s">
        <v>460</v>
      </c>
      <c r="D1099" s="15">
        <v>10000000</v>
      </c>
      <c r="E1099" s="93">
        <v>0.96364553210000004</v>
      </c>
      <c r="F1099" s="18">
        <v>9636455.3200000003</v>
      </c>
      <c r="G1099" s="18">
        <v>0.02</v>
      </c>
      <c r="H1099" s="13"/>
      <c r="I1099" s="13"/>
    </row>
    <row r="1100" spans="1:9">
      <c r="A1100" s="13" t="s">
        <v>1769</v>
      </c>
      <c r="B1100" s="139" t="s">
        <v>855</v>
      </c>
      <c r="C1100" s="139" t="s">
        <v>460</v>
      </c>
      <c r="D1100" s="15">
        <v>10000000</v>
      </c>
      <c r="E1100" s="93">
        <v>0.96227373250000003</v>
      </c>
      <c r="F1100" s="18">
        <v>9622737.3300000001</v>
      </c>
      <c r="G1100" s="18">
        <v>0.02</v>
      </c>
      <c r="H1100" s="13"/>
      <c r="I1100" s="13"/>
    </row>
    <row r="1101" spans="1:9">
      <c r="A1101" s="13" t="s">
        <v>1770</v>
      </c>
      <c r="B1101" s="139" t="s">
        <v>713</v>
      </c>
      <c r="C1101" s="139" t="s">
        <v>460</v>
      </c>
      <c r="D1101" s="15">
        <v>10000000</v>
      </c>
      <c r="E1101" s="93">
        <v>0.96022325149999999</v>
      </c>
      <c r="F1101" s="18">
        <v>9602232.5199999996</v>
      </c>
      <c r="G1101" s="18">
        <v>0.02</v>
      </c>
      <c r="H1101" s="13"/>
      <c r="I1101" s="13"/>
    </row>
    <row r="1102" spans="1:9">
      <c r="A1102" s="13" t="s">
        <v>1771</v>
      </c>
      <c r="B1102" s="139" t="s">
        <v>563</v>
      </c>
      <c r="C1102" s="139" t="s">
        <v>460</v>
      </c>
      <c r="D1102" s="15">
        <v>10000000</v>
      </c>
      <c r="E1102" s="93">
        <v>0.95954163820000005</v>
      </c>
      <c r="F1102" s="18">
        <v>9595416.3800000008</v>
      </c>
      <c r="G1102" s="18">
        <v>0.02</v>
      </c>
      <c r="H1102" s="13"/>
      <c r="I1102" s="13"/>
    </row>
    <row r="1103" spans="1:9">
      <c r="A1103" s="13" t="s">
        <v>1783</v>
      </c>
      <c r="B1103" s="139" t="s">
        <v>443</v>
      </c>
      <c r="C1103" s="139" t="s">
        <v>172</v>
      </c>
      <c r="D1103" s="15">
        <v>1754500</v>
      </c>
      <c r="E1103" s="154">
        <v>0.99726777499999997</v>
      </c>
      <c r="F1103" s="18">
        <v>1749706.31</v>
      </c>
      <c r="G1103" s="15">
        <v>0</v>
      </c>
      <c r="H1103" s="13"/>
      <c r="I1103" s="13"/>
    </row>
    <row r="1104" spans="1:9">
      <c r="A1104" s="13" t="s">
        <v>1784</v>
      </c>
      <c r="B1104" s="139" t="s">
        <v>443</v>
      </c>
      <c r="C1104" s="139" t="s">
        <v>172</v>
      </c>
      <c r="D1104" s="15">
        <v>1000000</v>
      </c>
      <c r="E1104" s="93">
        <v>0.99726777259999999</v>
      </c>
      <c r="F1104" s="18">
        <v>997267.77</v>
      </c>
      <c r="G1104" s="15">
        <v>0</v>
      </c>
      <c r="H1104" s="13"/>
      <c r="I1104" s="13"/>
    </row>
    <row r="1105" spans="1:9">
      <c r="A1105" s="13" t="s">
        <v>1785</v>
      </c>
      <c r="B1105" s="139" t="s">
        <v>449</v>
      </c>
      <c r="C1105" s="139" t="s">
        <v>172</v>
      </c>
      <c r="D1105" s="15">
        <v>250000</v>
      </c>
      <c r="E1105" s="93">
        <v>0.99522838609999997</v>
      </c>
      <c r="F1105" s="151">
        <v>248807.1</v>
      </c>
      <c r="G1105" s="15">
        <v>0</v>
      </c>
      <c r="H1105" s="13"/>
      <c r="I1105" s="13"/>
    </row>
    <row r="1106" spans="1:9">
      <c r="A1106" s="13" t="s">
        <v>1786</v>
      </c>
      <c r="B1106" s="139" t="s">
        <v>445</v>
      </c>
      <c r="C1106" s="139" t="s">
        <v>172</v>
      </c>
      <c r="D1106" s="15">
        <v>10291260</v>
      </c>
      <c r="E1106" s="93">
        <v>0.99387338759999999</v>
      </c>
      <c r="F1106" s="18">
        <v>10228209.439999999</v>
      </c>
      <c r="G1106" s="18">
        <v>0.02</v>
      </c>
      <c r="H1106" s="13"/>
      <c r="I1106" s="13"/>
    </row>
    <row r="1107" spans="1:9">
      <c r="A1107" s="13" t="s">
        <v>1787</v>
      </c>
      <c r="B1107" s="139" t="s">
        <v>445</v>
      </c>
      <c r="C1107" s="139" t="s">
        <v>172</v>
      </c>
      <c r="D1107" s="15">
        <v>10000000</v>
      </c>
      <c r="E1107" s="93">
        <v>0.99387338690000004</v>
      </c>
      <c r="F1107" s="18">
        <v>9938733.8699999992</v>
      </c>
      <c r="G1107" s="18">
        <v>0.02</v>
      </c>
      <c r="H1107" s="13"/>
      <c r="I1107" s="13"/>
    </row>
    <row r="1108" spans="1:9">
      <c r="A1108" s="13" t="s">
        <v>1788</v>
      </c>
      <c r="B1108" s="139" t="s">
        <v>454</v>
      </c>
      <c r="C1108" s="139" t="s">
        <v>172</v>
      </c>
      <c r="D1108" s="18">
        <v>21789857.329999998</v>
      </c>
      <c r="E1108" s="93">
        <v>0.99455043170000001</v>
      </c>
      <c r="F1108" s="18">
        <v>21671112.010000002</v>
      </c>
      <c r="G1108" s="18">
        <v>0.04</v>
      </c>
      <c r="H1108" s="13"/>
      <c r="I1108" s="13"/>
    </row>
    <row r="1109" spans="1:9">
      <c r="A1109" s="13" t="s">
        <v>1789</v>
      </c>
      <c r="B1109" s="139" t="s">
        <v>452</v>
      </c>
      <c r="C1109" s="139" t="s">
        <v>172</v>
      </c>
      <c r="D1109" s="18">
        <v>42634813.590000004</v>
      </c>
      <c r="E1109" s="154">
        <v>0.99863203300000003</v>
      </c>
      <c r="F1109" s="18">
        <v>42576490.57</v>
      </c>
      <c r="G1109" s="18">
        <v>0.08</v>
      </c>
      <c r="H1109" s="13"/>
      <c r="I1109" s="13"/>
    </row>
    <row r="1110" spans="1:9">
      <c r="A1110" s="13" t="s">
        <v>1790</v>
      </c>
      <c r="B1110" s="139" t="s">
        <v>168</v>
      </c>
      <c r="C1110" s="139" t="s">
        <v>172</v>
      </c>
      <c r="D1110" s="18">
        <v>464617.82</v>
      </c>
      <c r="E1110" s="93">
        <v>0.99931554680000001</v>
      </c>
      <c r="F1110" s="18">
        <v>464299.81</v>
      </c>
      <c r="G1110" s="15">
        <v>0</v>
      </c>
      <c r="H1110" s="13"/>
      <c r="I1110" s="13"/>
    </row>
    <row r="1111" spans="1:9">
      <c r="A1111" s="13" t="s">
        <v>1791</v>
      </c>
      <c r="B1111" s="139" t="s">
        <v>168</v>
      </c>
      <c r="C1111" s="139" t="s">
        <v>172</v>
      </c>
      <c r="D1111" s="151">
        <v>2931229.1</v>
      </c>
      <c r="E1111" s="93">
        <v>0.99931553920000005</v>
      </c>
      <c r="F1111" s="18">
        <v>2929222.79</v>
      </c>
      <c r="G1111" s="18">
        <v>0.01</v>
      </c>
      <c r="H1111" s="13"/>
      <c r="I1111" s="13"/>
    </row>
    <row r="1112" spans="1:9">
      <c r="A1112" s="13" t="s">
        <v>1792</v>
      </c>
      <c r="B1112" s="139" t="s">
        <v>168</v>
      </c>
      <c r="C1112" s="139" t="s">
        <v>172</v>
      </c>
      <c r="D1112" s="18">
        <v>16389480.369999999</v>
      </c>
      <c r="E1112" s="93">
        <v>0.99931554020000002</v>
      </c>
      <c r="F1112" s="18">
        <v>16378262.43</v>
      </c>
      <c r="G1112" s="18">
        <v>0.03</v>
      </c>
      <c r="H1112" s="13"/>
      <c r="I1112" s="13"/>
    </row>
    <row r="1113" spans="1:9">
      <c r="A1113" s="13" t="s">
        <v>1793</v>
      </c>
      <c r="B1113" s="139" t="s">
        <v>168</v>
      </c>
      <c r="C1113" s="139" t="s">
        <v>172</v>
      </c>
      <c r="D1113" s="18">
        <v>16877622.050000001</v>
      </c>
      <c r="E1113" s="93">
        <v>0.99931554010000001</v>
      </c>
      <c r="F1113" s="18">
        <v>16866069.989999998</v>
      </c>
      <c r="G1113" s="18">
        <v>0.03</v>
      </c>
      <c r="H1113" s="13"/>
      <c r="I1113" s="13"/>
    </row>
    <row r="1114" spans="1:9">
      <c r="A1114" s="13" t="s">
        <v>1794</v>
      </c>
      <c r="B1114" s="139" t="s">
        <v>168</v>
      </c>
      <c r="C1114" s="139" t="s">
        <v>172</v>
      </c>
      <c r="D1114" s="15">
        <v>600000</v>
      </c>
      <c r="E1114" s="93">
        <v>0.99931554330000005</v>
      </c>
      <c r="F1114" s="18">
        <v>599589.32999999996</v>
      </c>
      <c r="G1114" s="15">
        <v>0</v>
      </c>
      <c r="H1114" s="13"/>
      <c r="I1114" s="13"/>
    </row>
    <row r="1115" spans="1:9">
      <c r="A1115" s="13" t="s">
        <v>1795</v>
      </c>
      <c r="B1115" s="139" t="s">
        <v>168</v>
      </c>
      <c r="C1115" s="139" t="s">
        <v>172</v>
      </c>
      <c r="D1115" s="18">
        <v>121501.73</v>
      </c>
      <c r="E1115" s="93">
        <v>0.9993155413</v>
      </c>
      <c r="F1115" s="18">
        <v>121418.57</v>
      </c>
      <c r="G1115" s="15">
        <v>0</v>
      </c>
      <c r="H1115" s="13"/>
      <c r="I1115" s="13"/>
    </row>
    <row r="1116" spans="1:9">
      <c r="A1116" s="13" t="s">
        <v>1796</v>
      </c>
      <c r="B1116" s="139" t="s">
        <v>168</v>
      </c>
      <c r="C1116" s="139" t="s">
        <v>172</v>
      </c>
      <c r="D1116" s="15">
        <v>1500000</v>
      </c>
      <c r="E1116" s="93">
        <v>0.99931554079999996</v>
      </c>
      <c r="F1116" s="18">
        <v>1498973.31</v>
      </c>
      <c r="G1116" s="15">
        <v>0</v>
      </c>
      <c r="H1116" s="13"/>
      <c r="I1116" s="13"/>
    </row>
    <row r="1117" spans="1:9">
      <c r="A1117" s="13" t="s">
        <v>1799</v>
      </c>
      <c r="B1117" s="139" t="s">
        <v>192</v>
      </c>
      <c r="C1117" s="139" t="s">
        <v>172</v>
      </c>
      <c r="D1117" s="15">
        <v>9000000</v>
      </c>
      <c r="E1117" s="154">
        <v>0.98983055200000003</v>
      </c>
      <c r="F1117" s="18">
        <v>8908474.9700000007</v>
      </c>
      <c r="G1117" s="18">
        <v>0.02</v>
      </c>
      <c r="H1117" s="13"/>
      <c r="I1117" s="13"/>
    </row>
    <row r="1118" spans="1:9">
      <c r="A1118" s="13" t="s">
        <v>1800</v>
      </c>
      <c r="B1118" s="139" t="s">
        <v>329</v>
      </c>
      <c r="C1118" s="139" t="s">
        <v>172</v>
      </c>
      <c r="D1118" s="18">
        <v>548019.59</v>
      </c>
      <c r="E1118" s="93">
        <v>0.99319735109999996</v>
      </c>
      <c r="F1118" s="18">
        <v>544291.61</v>
      </c>
      <c r="G1118" s="15">
        <v>0</v>
      </c>
      <c r="H1118" s="13"/>
      <c r="I1118" s="13"/>
    </row>
    <row r="1119" spans="1:9">
      <c r="A1119" s="13" t="s">
        <v>1801</v>
      </c>
      <c r="B1119" s="139" t="s">
        <v>445</v>
      </c>
      <c r="C1119" s="139" t="s">
        <v>172</v>
      </c>
      <c r="D1119" s="18">
        <v>6666666.6699999999</v>
      </c>
      <c r="E1119" s="93">
        <v>0.99387338739999997</v>
      </c>
      <c r="F1119" s="18">
        <v>6625822.5899999999</v>
      </c>
      <c r="G1119" s="18">
        <v>0.01</v>
      </c>
      <c r="H1119" s="13"/>
      <c r="I1119" s="13"/>
    </row>
    <row r="1120" spans="1:9">
      <c r="A1120" s="13" t="s">
        <v>1802</v>
      </c>
      <c r="B1120" s="139" t="s">
        <v>798</v>
      </c>
      <c r="C1120" s="139" t="s">
        <v>172</v>
      </c>
      <c r="D1120" s="18">
        <v>456527.78</v>
      </c>
      <c r="E1120" s="93">
        <v>0.9746328487</v>
      </c>
      <c r="F1120" s="18">
        <v>444946.97</v>
      </c>
      <c r="G1120" s="15">
        <v>0</v>
      </c>
      <c r="H1120" s="13"/>
      <c r="I1120" s="13"/>
    </row>
    <row r="1121" spans="1:9">
      <c r="A1121" s="13" t="s">
        <v>1803</v>
      </c>
      <c r="B1121" s="139" t="s">
        <v>454</v>
      </c>
      <c r="C1121" s="139" t="s">
        <v>172</v>
      </c>
      <c r="D1121" s="18">
        <v>456527.78</v>
      </c>
      <c r="E1121" s="93">
        <v>0.99455042780000003</v>
      </c>
      <c r="F1121" s="151">
        <v>454039.9</v>
      </c>
      <c r="G1121" s="15">
        <v>0</v>
      </c>
      <c r="H1121" s="13"/>
      <c r="I1121" s="13"/>
    </row>
    <row r="1122" spans="1:9">
      <c r="A1122" s="13" t="s">
        <v>1804</v>
      </c>
      <c r="B1122" s="139" t="s">
        <v>449</v>
      </c>
      <c r="C1122" s="139" t="s">
        <v>172</v>
      </c>
      <c r="D1122" s="18">
        <v>2874076.13</v>
      </c>
      <c r="E1122" s="93">
        <v>0.99522839590000001</v>
      </c>
      <c r="F1122" s="18">
        <v>2860362.18</v>
      </c>
      <c r="G1122" s="18">
        <v>0.01</v>
      </c>
      <c r="H1122" s="13"/>
      <c r="I1122" s="13"/>
    </row>
    <row r="1123" spans="1:9">
      <c r="A1123" s="13" t="s">
        <v>1805</v>
      </c>
      <c r="B1123" s="139" t="s">
        <v>449</v>
      </c>
      <c r="C1123" s="139" t="s">
        <v>172</v>
      </c>
      <c r="D1123" s="18">
        <v>323998.15999999997</v>
      </c>
      <c r="E1123" s="93">
        <v>0.99522837689999999</v>
      </c>
      <c r="F1123" s="18">
        <v>322452.15999999997</v>
      </c>
      <c r="G1123" s="15">
        <v>0</v>
      </c>
      <c r="H1123" s="13"/>
      <c r="I1123" s="13"/>
    </row>
    <row r="1124" spans="1:9">
      <c r="A1124" s="13" t="s">
        <v>1806</v>
      </c>
      <c r="B1124" s="139" t="s">
        <v>452</v>
      </c>
      <c r="C1124" s="139" t="s">
        <v>172</v>
      </c>
      <c r="D1124" s="151">
        <v>9902875.5</v>
      </c>
      <c r="E1124" s="93">
        <v>0.99863203290000002</v>
      </c>
      <c r="F1124" s="18">
        <v>9889328.6899999995</v>
      </c>
      <c r="G1124" s="18">
        <v>0.02</v>
      </c>
      <c r="H1124" s="13"/>
      <c r="I1124" s="13"/>
    </row>
    <row r="1125" spans="1:9">
      <c r="A1125" s="13" t="s">
        <v>1807</v>
      </c>
      <c r="B1125" s="139" t="s">
        <v>616</v>
      </c>
      <c r="C1125" s="139" t="s">
        <v>172</v>
      </c>
      <c r="D1125" s="15">
        <v>2125000</v>
      </c>
      <c r="E1125" s="93">
        <v>0.98849028569999997</v>
      </c>
      <c r="F1125" s="18">
        <v>2100541.86</v>
      </c>
      <c r="G1125" s="15">
        <v>0</v>
      </c>
      <c r="H1125" s="13"/>
      <c r="I1125" s="13"/>
    </row>
    <row r="1126" spans="1:9">
      <c r="A1126" s="13" t="s">
        <v>1808</v>
      </c>
      <c r="B1126" s="139" t="s">
        <v>452</v>
      </c>
      <c r="C1126" s="139" t="s">
        <v>172</v>
      </c>
      <c r="D1126" s="15">
        <v>1000000</v>
      </c>
      <c r="E1126" s="93">
        <v>0.99863203479999996</v>
      </c>
      <c r="F1126" s="18">
        <v>998632.03</v>
      </c>
      <c r="G1126" s="15">
        <v>0</v>
      </c>
      <c r="H1126" s="13"/>
      <c r="I1126" s="13"/>
    </row>
    <row r="1127" spans="1:9">
      <c r="A1127" s="13" t="s">
        <v>1809</v>
      </c>
      <c r="B1127" s="139" t="s">
        <v>452</v>
      </c>
      <c r="C1127" s="139" t="s">
        <v>172</v>
      </c>
      <c r="D1127" s="18">
        <v>2008734.21</v>
      </c>
      <c r="E1127" s="93">
        <v>0.99863203460000005</v>
      </c>
      <c r="F1127" s="18">
        <v>2005986.33</v>
      </c>
      <c r="G1127" s="15">
        <v>0</v>
      </c>
      <c r="H1127" s="13"/>
      <c r="I1127" s="13"/>
    </row>
    <row r="1128" spans="1:9">
      <c r="A1128" s="13" t="s">
        <v>1810</v>
      </c>
      <c r="B1128" s="139" t="s">
        <v>452</v>
      </c>
      <c r="C1128" s="139" t="s">
        <v>172</v>
      </c>
      <c r="D1128" s="15">
        <v>1000000</v>
      </c>
      <c r="E1128" s="93">
        <v>0.99863203479999996</v>
      </c>
      <c r="F1128" s="18">
        <v>998632.03</v>
      </c>
      <c r="G1128" s="15">
        <v>0</v>
      </c>
      <c r="H1128" s="13"/>
      <c r="I1128" s="13"/>
    </row>
    <row r="1129" spans="1:9">
      <c r="A1129" s="13" t="s">
        <v>1811</v>
      </c>
      <c r="B1129" s="139" t="s">
        <v>452</v>
      </c>
      <c r="C1129" s="139" t="s">
        <v>172</v>
      </c>
      <c r="D1129" s="15">
        <v>1948054</v>
      </c>
      <c r="E1129" s="93">
        <v>0.99863203330000005</v>
      </c>
      <c r="F1129" s="18">
        <v>1945389.13</v>
      </c>
      <c r="G1129" s="15">
        <v>0</v>
      </c>
      <c r="H1129" s="13"/>
      <c r="I1129" s="13"/>
    </row>
    <row r="1130" spans="1:9">
      <c r="A1130" s="13" t="s">
        <v>1812</v>
      </c>
      <c r="B1130" s="139" t="s">
        <v>549</v>
      </c>
      <c r="C1130" s="139" t="s">
        <v>172</v>
      </c>
      <c r="D1130" s="18">
        <v>966441.68</v>
      </c>
      <c r="E1130" s="93">
        <v>0.97855239719999998</v>
      </c>
      <c r="F1130" s="18">
        <v>945713.82</v>
      </c>
      <c r="G1130" s="15">
        <v>0</v>
      </c>
      <c r="H1130" s="13"/>
      <c r="I1130" s="13"/>
    </row>
    <row r="1131" spans="1:9">
      <c r="A1131" s="13" t="s">
        <v>1813</v>
      </c>
      <c r="B1131" s="139" t="s">
        <v>549</v>
      </c>
      <c r="C1131" s="139" t="s">
        <v>172</v>
      </c>
      <c r="D1131" s="18">
        <v>639790.28</v>
      </c>
      <c r="E1131" s="93">
        <v>0.97855237620000002</v>
      </c>
      <c r="F1131" s="151">
        <v>626068.30000000005</v>
      </c>
      <c r="G1131" s="15">
        <v>0</v>
      </c>
      <c r="H1131" s="13"/>
      <c r="I1131" s="13"/>
    </row>
    <row r="1132" spans="1:9">
      <c r="A1132" s="13" t="s">
        <v>1814</v>
      </c>
      <c r="B1132" s="139" t="s">
        <v>452</v>
      </c>
      <c r="C1132" s="139" t="s">
        <v>172</v>
      </c>
      <c r="D1132" s="15">
        <v>500000</v>
      </c>
      <c r="E1132" s="93">
        <v>0.99863203069999995</v>
      </c>
      <c r="F1132" s="18">
        <v>499316.02</v>
      </c>
      <c r="G1132" s="15">
        <v>0</v>
      </c>
      <c r="H1132" s="13"/>
      <c r="I1132" s="13"/>
    </row>
    <row r="1133" spans="1:9">
      <c r="A1133" s="13" t="s">
        <v>1815</v>
      </c>
      <c r="B1133" s="139" t="s">
        <v>452</v>
      </c>
      <c r="C1133" s="139" t="s">
        <v>172</v>
      </c>
      <c r="D1133" s="15">
        <v>5000000</v>
      </c>
      <c r="E1133" s="93">
        <v>0.99863203310000004</v>
      </c>
      <c r="F1133" s="18">
        <v>4993160.17</v>
      </c>
      <c r="G1133" s="18">
        <v>0.01</v>
      </c>
      <c r="H1133" s="13"/>
      <c r="I1133" s="13"/>
    </row>
    <row r="1134" spans="1:9">
      <c r="A1134" s="13" t="s">
        <v>1816</v>
      </c>
      <c r="B1134" s="139" t="s">
        <v>606</v>
      </c>
      <c r="C1134" s="139" t="s">
        <v>172</v>
      </c>
      <c r="D1134" s="15">
        <v>500000</v>
      </c>
      <c r="E1134" s="93">
        <v>0.99794944379999995</v>
      </c>
      <c r="F1134" s="18">
        <v>498974.71999999997</v>
      </c>
      <c r="G1134" s="15">
        <v>0</v>
      </c>
      <c r="H1134" s="13"/>
      <c r="I1134" s="13"/>
    </row>
    <row r="1135" spans="1:9">
      <c r="A1135" s="13" t="s">
        <v>1817</v>
      </c>
      <c r="B1135" s="139" t="s">
        <v>443</v>
      </c>
      <c r="C1135" s="139" t="s">
        <v>172</v>
      </c>
      <c r="D1135" s="18">
        <v>755183.27</v>
      </c>
      <c r="E1135" s="93">
        <v>0.99726777840000003</v>
      </c>
      <c r="F1135" s="18">
        <v>753119.94</v>
      </c>
      <c r="G1135" s="15">
        <v>0</v>
      </c>
      <c r="H1135" s="13"/>
      <c r="I1135" s="13"/>
    </row>
    <row r="1136" spans="1:9">
      <c r="A1136" s="13" t="s">
        <v>1818</v>
      </c>
      <c r="B1136" s="139" t="s">
        <v>443</v>
      </c>
      <c r="C1136" s="139" t="s">
        <v>172</v>
      </c>
      <c r="D1136" s="15">
        <v>700000</v>
      </c>
      <c r="E1136" s="93">
        <v>0.99726777590000004</v>
      </c>
      <c r="F1136" s="18">
        <v>698087.44</v>
      </c>
      <c r="G1136" s="15">
        <v>0</v>
      </c>
      <c r="H1136" s="13"/>
      <c r="I1136" s="13"/>
    </row>
    <row r="1137" spans="1:9">
      <c r="A1137" s="13" t="s">
        <v>1826</v>
      </c>
      <c r="B1137" s="139" t="s">
        <v>606</v>
      </c>
      <c r="C1137" s="139" t="s">
        <v>172</v>
      </c>
      <c r="D1137" s="15">
        <v>330000</v>
      </c>
      <c r="E1137" s="93">
        <v>0.9975403437</v>
      </c>
      <c r="F1137" s="18">
        <v>329188.31</v>
      </c>
      <c r="G1137" s="15">
        <v>0</v>
      </c>
      <c r="H1137" s="13"/>
      <c r="I1137" s="13"/>
    </row>
    <row r="1138" spans="1:9">
      <c r="A1138" s="13" t="s">
        <v>1827</v>
      </c>
      <c r="B1138" s="139" t="s">
        <v>616</v>
      </c>
      <c r="C1138" s="139" t="s">
        <v>172</v>
      </c>
      <c r="D1138" s="15">
        <v>415000</v>
      </c>
      <c r="E1138" s="93">
        <v>0.98622006470000001</v>
      </c>
      <c r="F1138" s="18">
        <v>409281.33</v>
      </c>
      <c r="G1138" s="15">
        <v>0</v>
      </c>
      <c r="H1138" s="13"/>
      <c r="I1138" s="13"/>
    </row>
    <row r="1139" spans="1:9">
      <c r="A1139" s="13" t="s">
        <v>1828</v>
      </c>
      <c r="B1139" s="139" t="s">
        <v>606</v>
      </c>
      <c r="C1139" s="139" t="s">
        <v>172</v>
      </c>
      <c r="D1139" s="15">
        <v>415000</v>
      </c>
      <c r="E1139" s="93">
        <v>0.99754035050000001</v>
      </c>
      <c r="F1139" s="18">
        <v>413979.25</v>
      </c>
      <c r="G1139" s="15">
        <v>0</v>
      </c>
      <c r="H1139" s="13"/>
      <c r="I1139" s="13"/>
    </row>
    <row r="1140" spans="1:9">
      <c r="A1140" s="13" t="s">
        <v>1829</v>
      </c>
      <c r="B1140" s="139" t="s">
        <v>449</v>
      </c>
      <c r="C1140" s="139" t="s">
        <v>172</v>
      </c>
      <c r="D1140" s="15">
        <v>330000</v>
      </c>
      <c r="E1140" s="93">
        <v>0.99427954630000004</v>
      </c>
      <c r="F1140" s="18">
        <v>328112.25</v>
      </c>
      <c r="G1140" s="15">
        <v>0</v>
      </c>
      <c r="H1140" s="13"/>
      <c r="I1140" s="13"/>
    </row>
    <row r="1141" spans="1:9">
      <c r="A1141" s="13" t="s">
        <v>1830</v>
      </c>
      <c r="B1141" s="139" t="s">
        <v>449</v>
      </c>
      <c r="C1141" s="139" t="s">
        <v>172</v>
      </c>
      <c r="D1141" s="15">
        <v>415000</v>
      </c>
      <c r="E1141" s="93">
        <v>0.99427954230000004</v>
      </c>
      <c r="F1141" s="18">
        <v>412626.01</v>
      </c>
      <c r="G1141" s="15">
        <v>0</v>
      </c>
      <c r="H1141" s="13"/>
      <c r="I1141" s="13"/>
    </row>
    <row r="1142" spans="1:9">
      <c r="A1142" s="13" t="s">
        <v>1831</v>
      </c>
      <c r="B1142" s="139" t="s">
        <v>329</v>
      </c>
      <c r="C1142" s="139" t="s">
        <v>172</v>
      </c>
      <c r="D1142" s="15">
        <v>330000</v>
      </c>
      <c r="E1142" s="93">
        <v>0.99184792070000005</v>
      </c>
      <c r="F1142" s="18">
        <v>327309.81</v>
      </c>
      <c r="G1142" s="15">
        <v>0</v>
      </c>
      <c r="H1142" s="13"/>
      <c r="I1142" s="13"/>
    </row>
    <row r="1143" spans="1:9">
      <c r="A1143" s="13" t="s">
        <v>1832</v>
      </c>
      <c r="B1143" s="139" t="s">
        <v>329</v>
      </c>
      <c r="C1143" s="139" t="s">
        <v>172</v>
      </c>
      <c r="D1143" s="15">
        <v>415000</v>
      </c>
      <c r="E1143" s="93">
        <v>0.99184791530000005</v>
      </c>
      <c r="F1143" s="18">
        <v>411616.88</v>
      </c>
      <c r="G1143" s="15">
        <v>0</v>
      </c>
      <c r="H1143" s="13"/>
      <c r="I1143" s="13"/>
    </row>
    <row r="1144" spans="1:9">
      <c r="A1144" s="13" t="s">
        <v>1833</v>
      </c>
      <c r="B1144" s="139" t="s">
        <v>518</v>
      </c>
      <c r="C1144" s="139" t="s">
        <v>172</v>
      </c>
      <c r="D1144" s="15">
        <v>330000</v>
      </c>
      <c r="E1144" s="93">
        <v>0.98862412619999995</v>
      </c>
      <c r="F1144" s="18">
        <v>326245.96000000002</v>
      </c>
      <c r="G1144" s="15">
        <v>0</v>
      </c>
      <c r="H1144" s="13"/>
      <c r="I1144" s="13"/>
    </row>
    <row r="1145" spans="1:9">
      <c r="A1145" s="13" t="s">
        <v>1834</v>
      </c>
      <c r="B1145" s="139" t="s">
        <v>518</v>
      </c>
      <c r="C1145" s="139" t="s">
        <v>172</v>
      </c>
      <c r="D1145" s="15">
        <v>415000</v>
      </c>
      <c r="E1145" s="93">
        <v>0.98862414119999997</v>
      </c>
      <c r="F1145" s="18">
        <v>410279.02</v>
      </c>
      <c r="G1145" s="15">
        <v>0</v>
      </c>
      <c r="H1145" s="13"/>
      <c r="I1145" s="13"/>
    </row>
    <row r="1146" spans="1:9">
      <c r="A1146" s="13" t="s">
        <v>1835</v>
      </c>
      <c r="B1146" s="139" t="s">
        <v>616</v>
      </c>
      <c r="C1146" s="139" t="s">
        <v>172</v>
      </c>
      <c r="D1146" s="15">
        <v>330000</v>
      </c>
      <c r="E1146" s="93">
        <v>0.98622006289999997</v>
      </c>
      <c r="F1146" s="18">
        <v>325452.62</v>
      </c>
      <c r="G1146" s="15">
        <v>0</v>
      </c>
      <c r="H1146" s="13"/>
      <c r="I1146" s="13"/>
    </row>
    <row r="1147" spans="1:9">
      <c r="A1147" s="13" t="s">
        <v>1836</v>
      </c>
      <c r="B1147" s="139" t="s">
        <v>842</v>
      </c>
      <c r="C1147" s="139" t="s">
        <v>172</v>
      </c>
      <c r="D1147" s="15">
        <v>330000</v>
      </c>
      <c r="E1147" s="93">
        <v>0.98303270720000002</v>
      </c>
      <c r="F1147" s="18">
        <v>324400.78999999998</v>
      </c>
      <c r="G1147" s="15">
        <v>0</v>
      </c>
      <c r="H1147" s="13"/>
      <c r="I1147" s="13"/>
    </row>
    <row r="1148" spans="1:9">
      <c r="A1148" s="13" t="s">
        <v>1837</v>
      </c>
      <c r="B1148" s="139" t="s">
        <v>842</v>
      </c>
      <c r="C1148" s="139" t="s">
        <v>172</v>
      </c>
      <c r="D1148" s="15">
        <v>415000</v>
      </c>
      <c r="E1148" s="93">
        <v>0.98303269829999995</v>
      </c>
      <c r="F1148" s="18">
        <v>407958.57</v>
      </c>
      <c r="G1148" s="15">
        <v>0</v>
      </c>
      <c r="H1148" s="13"/>
      <c r="I1148" s="13"/>
    </row>
    <row r="1149" spans="1:9">
      <c r="A1149" s="13" t="s">
        <v>1838</v>
      </c>
      <c r="B1149" s="139" t="s">
        <v>387</v>
      </c>
      <c r="C1149" s="139" t="s">
        <v>172</v>
      </c>
      <c r="D1149" s="15">
        <v>330000</v>
      </c>
      <c r="E1149" s="93">
        <v>0.97986586519999996</v>
      </c>
      <c r="F1149" s="18">
        <v>323355.74</v>
      </c>
      <c r="G1149" s="15">
        <v>0</v>
      </c>
      <c r="H1149" s="13"/>
      <c r="I1149" s="13"/>
    </row>
    <row r="1150" spans="1:9">
      <c r="A1150" s="13" t="s">
        <v>1839</v>
      </c>
      <c r="B1150" s="139" t="s">
        <v>533</v>
      </c>
      <c r="C1150" s="139" t="s">
        <v>172</v>
      </c>
      <c r="D1150" s="15">
        <v>330000</v>
      </c>
      <c r="E1150" s="154">
        <v>0.98144664299999995</v>
      </c>
      <c r="F1150" s="18">
        <v>323877.39</v>
      </c>
      <c r="G1150" s="15">
        <v>0</v>
      </c>
      <c r="H1150" s="13"/>
      <c r="I1150" s="13"/>
    </row>
    <row r="1151" spans="1:9">
      <c r="A1151" s="13" t="s">
        <v>1782</v>
      </c>
      <c r="B1151" s="139" t="s">
        <v>533</v>
      </c>
      <c r="C1151" s="139" t="s">
        <v>172</v>
      </c>
      <c r="D1151" s="18">
        <v>5586280.8700000001</v>
      </c>
      <c r="E1151" s="93">
        <v>0.98144666059999996</v>
      </c>
      <c r="F1151" s="18">
        <v>5482636.71</v>
      </c>
      <c r="G1151" s="18">
        <v>0.01</v>
      </c>
      <c r="H1151" s="13"/>
      <c r="I1151" s="13"/>
    </row>
    <row r="1152" spans="1:9">
      <c r="A1152" s="13" t="s">
        <v>1841</v>
      </c>
      <c r="B1152" s="139" t="s">
        <v>443</v>
      </c>
      <c r="C1152" s="139" t="s">
        <v>172</v>
      </c>
      <c r="D1152" s="15">
        <v>2734537</v>
      </c>
      <c r="E1152" s="93">
        <v>0.99672312139999997</v>
      </c>
      <c r="F1152" s="18">
        <v>2725576.25</v>
      </c>
      <c r="G1152" s="18">
        <v>0.01</v>
      </c>
      <c r="H1152" s="13"/>
      <c r="I1152" s="13"/>
    </row>
    <row r="1153" spans="1:9">
      <c r="A1153" s="13" t="s">
        <v>1780</v>
      </c>
      <c r="B1153" s="139" t="s">
        <v>192</v>
      </c>
      <c r="C1153" s="139" t="s">
        <v>172</v>
      </c>
      <c r="D1153" s="18">
        <v>3666380.87</v>
      </c>
      <c r="E1153" s="154">
        <v>0.98782143200000005</v>
      </c>
      <c r="F1153" s="151">
        <v>3621729.6</v>
      </c>
      <c r="G1153" s="18">
        <v>0.01</v>
      </c>
      <c r="H1153" s="13"/>
      <c r="I1153" s="13"/>
    </row>
    <row r="1154" spans="1:9">
      <c r="A1154" s="13" t="s">
        <v>1843</v>
      </c>
      <c r="B1154" s="139" t="s">
        <v>518</v>
      </c>
      <c r="C1154" s="139" t="s">
        <v>172</v>
      </c>
      <c r="D1154" s="18">
        <v>1278434.3600000001</v>
      </c>
      <c r="E1154" s="93">
        <v>0.98862413069999999</v>
      </c>
      <c r="F1154" s="18">
        <v>1263891.06</v>
      </c>
      <c r="G1154" s="15">
        <v>0</v>
      </c>
      <c r="H1154" s="13"/>
      <c r="I1154" s="13"/>
    </row>
    <row r="1155" spans="1:9">
      <c r="A1155" s="13" t="s">
        <v>1823</v>
      </c>
      <c r="B1155" s="139" t="s">
        <v>1822</v>
      </c>
      <c r="C1155" s="139" t="s">
        <v>172</v>
      </c>
      <c r="D1155" s="18">
        <v>29362361.710000001</v>
      </c>
      <c r="E1155" s="93">
        <v>0.88635281939999999</v>
      </c>
      <c r="F1155" s="18">
        <v>26025412.09</v>
      </c>
      <c r="G1155" s="18">
        <v>0.05</v>
      </c>
      <c r="H1155" s="13"/>
      <c r="I1155" s="13"/>
    </row>
    <row r="1156" spans="1:9">
      <c r="A1156" s="13" t="s">
        <v>1824</v>
      </c>
      <c r="B1156" s="139" t="s">
        <v>1424</v>
      </c>
      <c r="C1156" s="139" t="s">
        <v>172</v>
      </c>
      <c r="D1156" s="18">
        <v>20408241.140000001</v>
      </c>
      <c r="E1156" s="154">
        <v>0.90454009800000001</v>
      </c>
      <c r="F1156" s="18">
        <v>18460072.440000001</v>
      </c>
      <c r="G1156" s="18">
        <v>0.04</v>
      </c>
      <c r="H1156" s="13"/>
      <c r="I1156" s="13"/>
    </row>
    <row r="1157" spans="1:9">
      <c r="A1157" s="13" t="s">
        <v>1772</v>
      </c>
      <c r="B1157" s="139" t="s">
        <v>1392</v>
      </c>
      <c r="C1157" s="139" t="s">
        <v>172</v>
      </c>
      <c r="D1157" s="15">
        <v>10000000</v>
      </c>
      <c r="E1157" s="93">
        <v>0.9485447897</v>
      </c>
      <c r="F1157" s="151">
        <v>9485447.9000000004</v>
      </c>
      <c r="G1157" s="18">
        <v>0.02</v>
      </c>
      <c r="H1157" s="13"/>
      <c r="I1157" s="13"/>
    </row>
    <row r="1158" spans="1:9">
      <c r="A1158" s="13" t="s">
        <v>1773</v>
      </c>
      <c r="B1158" s="139" t="s">
        <v>713</v>
      </c>
      <c r="C1158" s="139" t="s">
        <v>172</v>
      </c>
      <c r="D1158" s="15">
        <v>10000000</v>
      </c>
      <c r="E1158" s="93">
        <v>0.95599794110000003</v>
      </c>
      <c r="F1158" s="18">
        <v>9559979.4100000001</v>
      </c>
      <c r="G1158" s="18">
        <v>0.02</v>
      </c>
      <c r="H1158" s="13"/>
      <c r="I1158" s="13"/>
    </row>
    <row r="1159" spans="1:9">
      <c r="A1159" s="13" t="s">
        <v>1774</v>
      </c>
      <c r="B1159" s="139" t="s">
        <v>778</v>
      </c>
      <c r="C1159" s="139" t="s">
        <v>172</v>
      </c>
      <c r="D1159" s="15">
        <v>10000000</v>
      </c>
      <c r="E1159" s="93">
        <v>0.93041052540000002</v>
      </c>
      <c r="F1159" s="18">
        <v>9304105.25</v>
      </c>
      <c r="G1159" s="18">
        <v>0.02</v>
      </c>
      <c r="H1159" s="13"/>
      <c r="I1159" s="13"/>
    </row>
    <row r="1160" spans="1:9">
      <c r="A1160" s="13" t="s">
        <v>1775</v>
      </c>
      <c r="B1160" s="139" t="s">
        <v>718</v>
      </c>
      <c r="C1160" s="139" t="s">
        <v>172</v>
      </c>
      <c r="D1160" s="15">
        <v>10000000</v>
      </c>
      <c r="E1160" s="93">
        <v>0.95300262739999997</v>
      </c>
      <c r="F1160" s="18">
        <v>9530026.2699999996</v>
      </c>
      <c r="G1160" s="18">
        <v>0.02</v>
      </c>
      <c r="H1160" s="13"/>
      <c r="I1160" s="13"/>
    </row>
    <row r="1161" spans="1:9">
      <c r="A1161" s="13" t="s">
        <v>1776</v>
      </c>
      <c r="B1161" s="139" t="s">
        <v>763</v>
      </c>
      <c r="C1161" s="139" t="s">
        <v>172</v>
      </c>
      <c r="D1161" s="15">
        <v>10000000</v>
      </c>
      <c r="E1161" s="93">
        <v>0.92828093739999995</v>
      </c>
      <c r="F1161" s="18">
        <v>9282809.3699999992</v>
      </c>
      <c r="G1161" s="18">
        <v>0.02</v>
      </c>
      <c r="H1161" s="13"/>
      <c r="I1161" s="13"/>
    </row>
    <row r="1162" spans="1:9">
      <c r="A1162" s="13" t="s">
        <v>1777</v>
      </c>
      <c r="B1162" s="139" t="s">
        <v>771</v>
      </c>
      <c r="C1162" s="139" t="s">
        <v>172</v>
      </c>
      <c r="D1162" s="15">
        <v>10000000</v>
      </c>
      <c r="E1162" s="93">
        <v>0.92334953659999996</v>
      </c>
      <c r="F1162" s="18">
        <v>9233495.3699999992</v>
      </c>
      <c r="G1162" s="18">
        <v>0.02</v>
      </c>
      <c r="H1162" s="13"/>
      <c r="I1162" s="13"/>
    </row>
    <row r="1163" spans="1:9">
      <c r="A1163" s="13" t="s">
        <v>1778</v>
      </c>
      <c r="B1163" s="139" t="s">
        <v>755</v>
      </c>
      <c r="C1163" s="139" t="s">
        <v>172</v>
      </c>
      <c r="D1163" s="15">
        <v>30000000</v>
      </c>
      <c r="E1163" s="93">
        <v>0.93197854790000001</v>
      </c>
      <c r="F1163" s="18">
        <v>27959356.440000001</v>
      </c>
      <c r="G1163" s="18">
        <v>0.05</v>
      </c>
      <c r="H1163" s="13"/>
      <c r="I1163" s="13"/>
    </row>
    <row r="1164" spans="1:9">
      <c r="A1164" s="13" t="s">
        <v>1819</v>
      </c>
      <c r="B1164" s="139" t="s">
        <v>771</v>
      </c>
      <c r="C1164" s="139" t="s">
        <v>172</v>
      </c>
      <c r="D1164" s="15">
        <v>13000000</v>
      </c>
      <c r="E1164" s="93">
        <v>0.94261673810000002</v>
      </c>
      <c r="F1164" s="151">
        <v>12254017.6</v>
      </c>
      <c r="G1164" s="18">
        <v>0.02</v>
      </c>
      <c r="H1164" s="13"/>
      <c r="I1164" s="13"/>
    </row>
    <row r="1165" spans="1:9">
      <c r="A1165" s="13" t="s">
        <v>1820</v>
      </c>
      <c r="B1165" s="139" t="s">
        <v>708</v>
      </c>
      <c r="C1165" s="139" t="s">
        <v>172</v>
      </c>
      <c r="D1165" s="15">
        <v>13000000</v>
      </c>
      <c r="E1165" s="93">
        <v>0.95509736479999996</v>
      </c>
      <c r="F1165" s="18">
        <v>12416265.74</v>
      </c>
      <c r="G1165" s="18">
        <v>0.02</v>
      </c>
      <c r="H1165" s="13"/>
      <c r="I1165" s="13"/>
    </row>
    <row r="1166" spans="1:9">
      <c r="A1166" s="13" t="s">
        <v>1821</v>
      </c>
      <c r="B1166" s="139" t="s">
        <v>1341</v>
      </c>
      <c r="C1166" s="139" t="s">
        <v>172</v>
      </c>
      <c r="D1166" s="15">
        <v>13000000</v>
      </c>
      <c r="E1166" s="93">
        <v>0.93994651549999997</v>
      </c>
      <c r="F1166" s="151">
        <v>12219304.699999999</v>
      </c>
      <c r="G1166" s="18">
        <v>0.02</v>
      </c>
      <c r="H1166" s="13"/>
      <c r="I1166" s="13"/>
    </row>
    <row r="1167" spans="1:9">
      <c r="A1167" s="13" t="s">
        <v>1846</v>
      </c>
      <c r="B1167" s="139" t="s">
        <v>559</v>
      </c>
      <c r="C1167" s="139" t="s">
        <v>367</v>
      </c>
      <c r="D1167" s="18">
        <v>25088884.329999998</v>
      </c>
      <c r="E1167" s="93">
        <v>0.96778478420000003</v>
      </c>
      <c r="F1167" s="18">
        <v>24280640.510000002</v>
      </c>
      <c r="G1167" s="18">
        <v>0.05</v>
      </c>
      <c r="H1167" s="13"/>
      <c r="I1167" s="13"/>
    </row>
    <row r="1168" spans="1:9">
      <c r="A1168" s="13" t="s">
        <v>1847</v>
      </c>
      <c r="B1168" s="139" t="s">
        <v>190</v>
      </c>
      <c r="C1168" s="139" t="s">
        <v>367</v>
      </c>
      <c r="D1168" s="18">
        <v>52602739.240000002</v>
      </c>
      <c r="E1168" s="93">
        <v>0.96917235560000004</v>
      </c>
      <c r="F1168" s="151">
        <v>50981120.700000003</v>
      </c>
      <c r="G1168" s="151">
        <v>0.1</v>
      </c>
      <c r="H1168" s="13"/>
      <c r="I1168" s="13"/>
    </row>
    <row r="1169" spans="1:9">
      <c r="A1169" s="13" t="s">
        <v>1848</v>
      </c>
      <c r="B1169" s="139" t="s">
        <v>454</v>
      </c>
      <c r="C1169" s="139" t="s">
        <v>367</v>
      </c>
      <c r="D1169" s="15">
        <v>7012899</v>
      </c>
      <c r="E1169" s="93">
        <v>0.99346766279999998</v>
      </c>
      <c r="F1169" s="18">
        <v>6967088.3799999999</v>
      </c>
      <c r="G1169" s="18">
        <v>0.01</v>
      </c>
      <c r="H1169" s="13"/>
      <c r="I1169" s="13"/>
    </row>
    <row r="1170" spans="1:9">
      <c r="A1170" s="13" t="s">
        <v>1849</v>
      </c>
      <c r="B1170" s="139" t="s">
        <v>426</v>
      </c>
      <c r="C1170" s="139" t="s">
        <v>367</v>
      </c>
      <c r="D1170" s="15">
        <v>7938273</v>
      </c>
      <c r="E1170" s="93">
        <v>0.98542128839999998</v>
      </c>
      <c r="F1170" s="18">
        <v>7822543.21</v>
      </c>
      <c r="G1170" s="18">
        <v>0.01</v>
      </c>
      <c r="H1170" s="13"/>
      <c r="I1170" s="13"/>
    </row>
    <row r="1171" spans="1:9">
      <c r="A1171" s="13" t="s">
        <v>1850</v>
      </c>
      <c r="B1171" s="139" t="s">
        <v>1402</v>
      </c>
      <c r="C1171" s="139" t="s">
        <v>367</v>
      </c>
      <c r="D1171" s="15">
        <v>100000000</v>
      </c>
      <c r="E1171" s="93">
        <v>0.95076854720000004</v>
      </c>
      <c r="F1171" s="18">
        <v>95076854.719999999</v>
      </c>
      <c r="G1171" s="18">
        <v>0.18</v>
      </c>
      <c r="H1171" s="13"/>
      <c r="I1171" s="13"/>
    </row>
    <row r="1172" spans="1:9">
      <c r="A1172" s="13" t="s">
        <v>1851</v>
      </c>
      <c r="B1172" s="139" t="s">
        <v>1852</v>
      </c>
      <c r="C1172" s="139" t="s">
        <v>367</v>
      </c>
      <c r="D1172" s="18">
        <v>22578937.030000001</v>
      </c>
      <c r="E1172" s="93">
        <v>0.87037400649999996</v>
      </c>
      <c r="F1172" s="18">
        <v>19652119.890000001</v>
      </c>
      <c r="G1172" s="18">
        <v>0.04</v>
      </c>
      <c r="H1172" s="13"/>
      <c r="I1172" s="13"/>
    </row>
    <row r="1173" spans="1:9">
      <c r="A1173" s="13" t="s">
        <v>1853</v>
      </c>
      <c r="B1173" s="139" t="s">
        <v>1402</v>
      </c>
      <c r="C1173" s="139" t="s">
        <v>367</v>
      </c>
      <c r="D1173" s="15">
        <v>10000000</v>
      </c>
      <c r="E1173" s="93">
        <v>0.94559598519999999</v>
      </c>
      <c r="F1173" s="18">
        <v>9455959.8499999996</v>
      </c>
      <c r="G1173" s="18">
        <v>0.02</v>
      </c>
      <c r="H1173" s="13"/>
      <c r="I1173" s="13"/>
    </row>
    <row r="1174" spans="1:9">
      <c r="A1174" s="13" t="s">
        <v>1854</v>
      </c>
      <c r="B1174" s="139" t="s">
        <v>1855</v>
      </c>
      <c r="C1174" s="139" t="s">
        <v>367</v>
      </c>
      <c r="D1174" s="15">
        <v>74495580</v>
      </c>
      <c r="E1174" s="93">
        <v>0.8635374952</v>
      </c>
      <c r="F1174" s="18">
        <v>64329726.560000002</v>
      </c>
      <c r="G1174" s="18">
        <v>0.12</v>
      </c>
      <c r="H1174" s="13"/>
      <c r="I1174" s="13"/>
    </row>
    <row r="1175" spans="1:9">
      <c r="A1175" s="13" t="s">
        <v>1856</v>
      </c>
      <c r="B1175" s="139" t="s">
        <v>1857</v>
      </c>
      <c r="C1175" s="139" t="s">
        <v>367</v>
      </c>
      <c r="D1175" s="15">
        <v>71389290</v>
      </c>
      <c r="E1175" s="93">
        <v>0.8810467474</v>
      </c>
      <c r="F1175" s="18">
        <v>62897301.75</v>
      </c>
      <c r="G1175" s="18">
        <v>0.12</v>
      </c>
      <c r="H1175" s="13"/>
      <c r="I1175" s="13"/>
    </row>
    <row r="1176" spans="1:9">
      <c r="A1176" s="13" t="s">
        <v>1858</v>
      </c>
      <c r="B1176" s="139" t="s">
        <v>1330</v>
      </c>
      <c r="C1176" s="139" t="s">
        <v>367</v>
      </c>
      <c r="D1176" s="15">
        <v>69542230</v>
      </c>
      <c r="E1176" s="93">
        <v>0.90052311070000002</v>
      </c>
      <c r="F1176" s="18">
        <v>62624385.280000001</v>
      </c>
      <c r="G1176" s="18">
        <v>0.12</v>
      </c>
      <c r="H1176" s="13"/>
      <c r="I1176" s="13"/>
    </row>
    <row r="1177" spans="1:9">
      <c r="A1177" s="13" t="s">
        <v>1859</v>
      </c>
      <c r="B1177" s="139" t="s">
        <v>842</v>
      </c>
      <c r="C1177" s="139" t="s">
        <v>367</v>
      </c>
      <c r="D1177" s="15">
        <v>40000000</v>
      </c>
      <c r="E1177" s="93">
        <v>0.98192188329999996</v>
      </c>
      <c r="F1177" s="18">
        <v>39276875.329999998</v>
      </c>
      <c r="G1177" s="18">
        <v>0.08</v>
      </c>
      <c r="H1177" s="13"/>
      <c r="I1177" s="13"/>
    </row>
    <row r="1178" spans="1:9">
      <c r="A1178" s="13" t="s">
        <v>1860</v>
      </c>
      <c r="B1178" s="139" t="s">
        <v>744</v>
      </c>
      <c r="C1178" s="139" t="s">
        <v>367</v>
      </c>
      <c r="D1178" s="15">
        <v>2500000</v>
      </c>
      <c r="E1178" s="93">
        <v>0.90680990770000003</v>
      </c>
      <c r="F1178" s="18">
        <v>2267024.77</v>
      </c>
      <c r="G1178" s="15">
        <v>0</v>
      </c>
      <c r="H1178" s="13"/>
      <c r="I1178" s="13"/>
    </row>
    <row r="1179" spans="1:9">
      <c r="A1179" s="13" t="s">
        <v>1861</v>
      </c>
      <c r="B1179" s="139" t="s">
        <v>711</v>
      </c>
      <c r="C1179" s="139" t="s">
        <v>367</v>
      </c>
      <c r="D1179" s="15">
        <v>10000000</v>
      </c>
      <c r="E1179" s="93">
        <v>0.93604148980000002</v>
      </c>
      <c r="F1179" s="151">
        <v>9360414.9000000004</v>
      </c>
      <c r="G1179" s="18">
        <v>0.02</v>
      </c>
      <c r="H1179" s="13"/>
      <c r="I1179" s="13"/>
    </row>
    <row r="1180" spans="1:9">
      <c r="A1180" s="13" t="s">
        <v>1867</v>
      </c>
      <c r="B1180" s="139" t="s">
        <v>1402</v>
      </c>
      <c r="C1180" s="139" t="s">
        <v>402</v>
      </c>
      <c r="D1180" s="15">
        <v>25000000</v>
      </c>
      <c r="E1180" s="93">
        <v>0.95424852670000004</v>
      </c>
      <c r="F1180" s="18">
        <v>23856213.170000002</v>
      </c>
      <c r="G1180" s="18">
        <v>0.05</v>
      </c>
      <c r="H1180" s="13"/>
      <c r="I1180" s="13"/>
    </row>
    <row r="1181" spans="1:9">
      <c r="A1181" s="13" t="s">
        <v>1868</v>
      </c>
      <c r="B1181" s="139" t="s">
        <v>759</v>
      </c>
      <c r="C1181" s="139" t="s">
        <v>402</v>
      </c>
      <c r="D1181" s="15">
        <v>25000000</v>
      </c>
      <c r="E1181" s="93">
        <v>0.94743689070000003</v>
      </c>
      <c r="F1181" s="18">
        <v>23685922.27</v>
      </c>
      <c r="G1181" s="18">
        <v>0.05</v>
      </c>
      <c r="H1181" s="13"/>
      <c r="I1181" s="13"/>
    </row>
    <row r="1182" spans="1:9">
      <c r="A1182" s="13" t="s">
        <v>1869</v>
      </c>
      <c r="B1182" s="139" t="s">
        <v>1870</v>
      </c>
      <c r="C1182" s="139" t="s">
        <v>402</v>
      </c>
      <c r="D1182" s="15">
        <v>20000000</v>
      </c>
      <c r="E1182" s="93">
        <v>0.89007042240000001</v>
      </c>
      <c r="F1182" s="18">
        <v>17801408.449999999</v>
      </c>
      <c r="G1182" s="18">
        <v>0.03</v>
      </c>
      <c r="H1182" s="13"/>
      <c r="I1182" s="13"/>
    </row>
    <row r="1183" spans="1:9">
      <c r="A1183" s="13" t="s">
        <v>1871</v>
      </c>
      <c r="B1183" s="139" t="s">
        <v>549</v>
      </c>
      <c r="C1183" s="139" t="s">
        <v>402</v>
      </c>
      <c r="D1183" s="15">
        <v>283000000</v>
      </c>
      <c r="E1183" s="93">
        <v>0.97022866539999997</v>
      </c>
      <c r="F1183" s="18">
        <v>274574712.31</v>
      </c>
      <c r="G1183" s="18">
        <v>0.52</v>
      </c>
      <c r="H1183" s="13"/>
      <c r="I1183" s="13"/>
    </row>
    <row r="1184" spans="1:9">
      <c r="A1184" s="13" t="s">
        <v>1872</v>
      </c>
      <c r="B1184" s="139" t="s">
        <v>741</v>
      </c>
      <c r="C1184" s="139" t="s">
        <v>402</v>
      </c>
      <c r="D1184" s="15">
        <v>11000000</v>
      </c>
      <c r="E1184" s="93">
        <v>0.91627977260000004</v>
      </c>
      <c r="F1184" s="151">
        <v>10079077.5</v>
      </c>
      <c r="G1184" s="18">
        <v>0.02</v>
      </c>
      <c r="H1184" s="13"/>
      <c r="I1184" s="13"/>
    </row>
    <row r="1185" spans="1:9">
      <c r="A1185" s="13" t="s">
        <v>1873</v>
      </c>
      <c r="B1185" s="139" t="s">
        <v>1874</v>
      </c>
      <c r="C1185" s="139" t="s">
        <v>402</v>
      </c>
      <c r="D1185" s="15">
        <v>12500000</v>
      </c>
      <c r="E1185" s="93">
        <v>0.85580322909999995</v>
      </c>
      <c r="F1185" s="18">
        <v>10697540.359999999</v>
      </c>
      <c r="G1185" s="18">
        <v>0.02</v>
      </c>
      <c r="H1185" s="13"/>
      <c r="I1185" s="13"/>
    </row>
    <row r="1186" spans="1:9">
      <c r="A1186" s="13" t="s">
        <v>1875</v>
      </c>
      <c r="B1186" s="139" t="s">
        <v>1876</v>
      </c>
      <c r="C1186" s="139" t="s">
        <v>402</v>
      </c>
      <c r="D1186" s="15">
        <v>12500000</v>
      </c>
      <c r="E1186" s="93">
        <v>0.85220644779999999</v>
      </c>
      <c r="F1186" s="151">
        <v>10652580.6</v>
      </c>
      <c r="G1186" s="18">
        <v>0.02</v>
      </c>
      <c r="H1186" s="13"/>
      <c r="I1186" s="13"/>
    </row>
    <row r="1187" spans="1:9">
      <c r="A1187" s="13" t="s">
        <v>1877</v>
      </c>
      <c r="B1187" s="139" t="s">
        <v>1878</v>
      </c>
      <c r="C1187" s="139" t="s">
        <v>402</v>
      </c>
      <c r="D1187" s="15">
        <v>18700000</v>
      </c>
      <c r="E1187" s="93">
        <v>0.89879351590000001</v>
      </c>
      <c r="F1187" s="18">
        <v>16807438.75</v>
      </c>
      <c r="G1187" s="18">
        <v>0.03</v>
      </c>
      <c r="H1187" s="13"/>
      <c r="I1187" s="13"/>
    </row>
    <row r="1188" spans="1:9">
      <c r="A1188" s="13" t="s">
        <v>1879</v>
      </c>
      <c r="B1188" s="139" t="s">
        <v>1880</v>
      </c>
      <c r="C1188" s="139" t="s">
        <v>402</v>
      </c>
      <c r="D1188" s="15">
        <v>5600000</v>
      </c>
      <c r="E1188" s="93">
        <v>0.87740395010000005</v>
      </c>
      <c r="F1188" s="18">
        <v>4913462.12</v>
      </c>
      <c r="G1188" s="18">
        <v>0.01</v>
      </c>
      <c r="H1188" s="13"/>
      <c r="I1188" s="13"/>
    </row>
    <row r="1189" spans="1:9">
      <c r="A1189" s="13" t="s">
        <v>1881</v>
      </c>
      <c r="B1189" s="139" t="s">
        <v>1424</v>
      </c>
      <c r="C1189" s="139" t="s">
        <v>402</v>
      </c>
      <c r="D1189" s="15">
        <v>10900000</v>
      </c>
      <c r="E1189" s="154">
        <v>0.91916410199999998</v>
      </c>
      <c r="F1189" s="18">
        <v>10018888.710000001</v>
      </c>
      <c r="G1189" s="18">
        <v>0.02</v>
      </c>
      <c r="H1189" s="13"/>
      <c r="I1189" s="13"/>
    </row>
    <row r="1190" spans="1:9">
      <c r="A1190" s="13" t="s">
        <v>1882</v>
      </c>
      <c r="B1190" s="139" t="s">
        <v>505</v>
      </c>
      <c r="C1190" s="139" t="s">
        <v>402</v>
      </c>
      <c r="D1190" s="15">
        <v>50000000</v>
      </c>
      <c r="E1190" s="93">
        <v>0.96663140110000001</v>
      </c>
      <c r="F1190" s="18">
        <v>48331570.060000002</v>
      </c>
      <c r="G1190" s="18">
        <v>0.09</v>
      </c>
      <c r="H1190" s="13"/>
      <c r="I1190" s="13"/>
    </row>
    <row r="1191" spans="1:9">
      <c r="A1191" s="13" t="s">
        <v>1883</v>
      </c>
      <c r="B1191" s="139" t="s">
        <v>488</v>
      </c>
      <c r="C1191" s="139" t="s">
        <v>402</v>
      </c>
      <c r="D1191" s="15">
        <v>15000000</v>
      </c>
      <c r="E1191" s="93">
        <v>0.95619826379999995</v>
      </c>
      <c r="F1191" s="18">
        <v>14342973.960000001</v>
      </c>
      <c r="G1191" s="18">
        <v>0.03</v>
      </c>
      <c r="H1191" s="13"/>
      <c r="I1191" s="13"/>
    </row>
    <row r="1192" spans="1:9">
      <c r="A1192" s="13" t="s">
        <v>1884</v>
      </c>
      <c r="B1192" s="139" t="s">
        <v>488</v>
      </c>
      <c r="C1192" s="139" t="s">
        <v>402</v>
      </c>
      <c r="D1192" s="15">
        <v>25000000</v>
      </c>
      <c r="E1192" s="93">
        <v>0.95619826379999995</v>
      </c>
      <c r="F1192" s="151">
        <v>23904956.600000001</v>
      </c>
      <c r="G1192" s="18">
        <v>0.05</v>
      </c>
      <c r="H1192" s="13"/>
      <c r="I1192" s="13"/>
    </row>
    <row r="1193" spans="1:9">
      <c r="A1193" s="13" t="s">
        <v>1885</v>
      </c>
      <c r="B1193" s="139" t="s">
        <v>688</v>
      </c>
      <c r="C1193" s="139" t="s">
        <v>402</v>
      </c>
      <c r="D1193" s="15">
        <v>25000000</v>
      </c>
      <c r="E1193" s="93">
        <v>0.9486435191</v>
      </c>
      <c r="F1193" s="18">
        <v>23716087.98</v>
      </c>
      <c r="G1193" s="18">
        <v>0.05</v>
      </c>
      <c r="H1193" s="13"/>
      <c r="I1193" s="13"/>
    </row>
    <row r="1194" spans="1:9">
      <c r="A1194" s="13" t="s">
        <v>1886</v>
      </c>
      <c r="B1194" s="139" t="s">
        <v>546</v>
      </c>
      <c r="C1194" s="139" t="s">
        <v>402</v>
      </c>
      <c r="D1194" s="15">
        <v>42000000</v>
      </c>
      <c r="E1194" s="93">
        <v>0.95429837989999999</v>
      </c>
      <c r="F1194" s="18">
        <v>40080531.960000001</v>
      </c>
      <c r="G1194" s="18">
        <v>0.08</v>
      </c>
      <c r="H1194" s="13"/>
      <c r="I1194" s="13"/>
    </row>
    <row r="1195" spans="1:9">
      <c r="A1195" s="13" t="s">
        <v>1887</v>
      </c>
      <c r="B1195" s="139" t="s">
        <v>559</v>
      </c>
      <c r="C1195" s="139" t="s">
        <v>402</v>
      </c>
      <c r="D1195" s="15">
        <v>43500000</v>
      </c>
      <c r="E1195" s="93">
        <v>0.95524750079999998</v>
      </c>
      <c r="F1195" s="18">
        <v>41553266.280000001</v>
      </c>
      <c r="G1195" s="18">
        <v>0.08</v>
      </c>
      <c r="H1195" s="13"/>
      <c r="I1195" s="13"/>
    </row>
    <row r="1196" spans="1:9">
      <c r="A1196" s="13" t="s">
        <v>1888</v>
      </c>
      <c r="B1196" s="139" t="s">
        <v>785</v>
      </c>
      <c r="C1196" s="139" t="s">
        <v>402</v>
      </c>
      <c r="D1196" s="151">
        <v>3076923.1</v>
      </c>
      <c r="E1196" s="93">
        <v>0.93640183570000002</v>
      </c>
      <c r="F1196" s="18">
        <v>2881236.44</v>
      </c>
      <c r="G1196" s="18">
        <v>0.01</v>
      </c>
      <c r="H1196" s="13"/>
      <c r="I1196" s="13"/>
    </row>
    <row r="1197" spans="1:9">
      <c r="A1197" s="13" t="s">
        <v>1889</v>
      </c>
      <c r="B1197" s="139" t="s">
        <v>1392</v>
      </c>
      <c r="C1197" s="139" t="s">
        <v>402</v>
      </c>
      <c r="D1197" s="151">
        <v>3076923.1</v>
      </c>
      <c r="E1197" s="93">
        <v>0.9372916121</v>
      </c>
      <c r="F1197" s="18">
        <v>2883974.21</v>
      </c>
      <c r="G1197" s="18">
        <v>0.01</v>
      </c>
      <c r="H1197" s="13"/>
      <c r="I1197" s="13"/>
    </row>
    <row r="1198" spans="1:9">
      <c r="A1198" s="13" t="s">
        <v>1890</v>
      </c>
      <c r="B1198" s="139" t="s">
        <v>563</v>
      </c>
      <c r="C1198" s="139" t="s">
        <v>402</v>
      </c>
      <c r="D1198" s="18">
        <v>2687954.26</v>
      </c>
      <c r="E1198" s="93">
        <v>0.94537554089999998</v>
      </c>
      <c r="F1198" s="18">
        <v>2541126.21</v>
      </c>
      <c r="G1198" s="15">
        <v>0</v>
      </c>
      <c r="H1198" s="13"/>
      <c r="I1198" s="13"/>
    </row>
    <row r="1199" spans="1:9">
      <c r="A1199" s="13" t="s">
        <v>1891</v>
      </c>
      <c r="B1199" s="139" t="s">
        <v>1402</v>
      </c>
      <c r="C1199" s="139" t="s">
        <v>402</v>
      </c>
      <c r="D1199" s="151">
        <v>3076923.1</v>
      </c>
      <c r="E1199" s="93">
        <v>0.93374287089999997</v>
      </c>
      <c r="F1199" s="18">
        <v>2873055.01</v>
      </c>
      <c r="G1199" s="18">
        <v>0.01</v>
      </c>
      <c r="H1199" s="13"/>
      <c r="I1199" s="13"/>
    </row>
    <row r="1200" spans="1:9">
      <c r="A1200" s="13" t="s">
        <v>1892</v>
      </c>
      <c r="B1200" s="139" t="s">
        <v>713</v>
      </c>
      <c r="C1200" s="139" t="s">
        <v>402</v>
      </c>
      <c r="D1200" s="18">
        <v>2687954.26</v>
      </c>
      <c r="E1200" s="93">
        <v>0.94628245450000004</v>
      </c>
      <c r="F1200" s="18">
        <v>2543563.9500000002</v>
      </c>
      <c r="G1200" s="15">
        <v>0</v>
      </c>
      <c r="H1200" s="13"/>
      <c r="I1200" s="13"/>
    </row>
    <row r="1201" spans="1:9">
      <c r="A1201" s="13" t="s">
        <v>1893</v>
      </c>
      <c r="B1201" s="139" t="s">
        <v>612</v>
      </c>
      <c r="C1201" s="139" t="s">
        <v>402</v>
      </c>
      <c r="D1201" s="18">
        <v>3345657.98</v>
      </c>
      <c r="E1201" s="93">
        <v>0.93997084939999997</v>
      </c>
      <c r="F1201" s="18">
        <v>3144820.97</v>
      </c>
      <c r="G1201" s="18">
        <v>0.01</v>
      </c>
      <c r="H1201" s="13"/>
      <c r="I1201" s="13"/>
    </row>
    <row r="1202" spans="1:9">
      <c r="A1202" s="13" t="s">
        <v>1894</v>
      </c>
      <c r="B1202" s="139" t="s">
        <v>677</v>
      </c>
      <c r="C1202" s="139" t="s">
        <v>402</v>
      </c>
      <c r="D1202" s="18">
        <v>3345657.98</v>
      </c>
      <c r="E1202" s="93">
        <v>0.9381828109</v>
      </c>
      <c r="F1202" s="18">
        <v>3138838.81</v>
      </c>
      <c r="G1202" s="18">
        <v>0.01</v>
      </c>
      <c r="H1202" s="13"/>
      <c r="I1202" s="13"/>
    </row>
    <row r="1203" spans="1:9">
      <c r="A1203" s="13" t="s">
        <v>1895</v>
      </c>
      <c r="B1203" s="139" t="s">
        <v>1402</v>
      </c>
      <c r="C1203" s="139" t="s">
        <v>402</v>
      </c>
      <c r="D1203" s="18">
        <v>3345657.98</v>
      </c>
      <c r="E1203" s="93">
        <v>0.93374287759999997</v>
      </c>
      <c r="F1203" s="18">
        <v>3123984.31</v>
      </c>
      <c r="G1203" s="18">
        <v>0.01</v>
      </c>
      <c r="H1203" s="13"/>
      <c r="I1203" s="13"/>
    </row>
    <row r="1204" spans="1:9">
      <c r="A1204" s="13" t="s">
        <v>1896</v>
      </c>
      <c r="B1204" s="139" t="s">
        <v>792</v>
      </c>
      <c r="C1204" s="139" t="s">
        <v>402</v>
      </c>
      <c r="D1204" s="18">
        <v>3345657.98</v>
      </c>
      <c r="E1204" s="93">
        <v>0.93907597789999997</v>
      </c>
      <c r="F1204" s="18">
        <v>3141827.04</v>
      </c>
      <c r="G1204" s="18">
        <v>0.01</v>
      </c>
      <c r="H1204" s="13"/>
      <c r="I1204" s="13"/>
    </row>
    <row r="1205" spans="1:9">
      <c r="A1205" s="13" t="s">
        <v>1897</v>
      </c>
      <c r="B1205" s="139" t="s">
        <v>561</v>
      </c>
      <c r="C1205" s="139" t="s">
        <v>402</v>
      </c>
      <c r="D1205" s="18">
        <v>3345657.98</v>
      </c>
      <c r="E1205" s="93">
        <v>0.94356717040000004</v>
      </c>
      <c r="F1205" s="18">
        <v>3156853.03</v>
      </c>
      <c r="G1205" s="18">
        <v>0.01</v>
      </c>
      <c r="H1205" s="13"/>
      <c r="I1205" s="13"/>
    </row>
    <row r="1206" spans="1:9">
      <c r="A1206" s="13" t="s">
        <v>1898</v>
      </c>
      <c r="B1206" s="139" t="s">
        <v>718</v>
      </c>
      <c r="C1206" s="139" t="s">
        <v>402</v>
      </c>
      <c r="D1206" s="18">
        <v>3345657.98</v>
      </c>
      <c r="E1206" s="93">
        <v>0.94266545290000003</v>
      </c>
      <c r="F1206" s="18">
        <v>3153836.19</v>
      </c>
      <c r="G1206" s="18">
        <v>0.01</v>
      </c>
      <c r="H1206" s="13"/>
      <c r="I1206" s="13"/>
    </row>
    <row r="1207" spans="1:9">
      <c r="A1207" s="13" t="s">
        <v>1899</v>
      </c>
      <c r="B1207" s="139" t="s">
        <v>708</v>
      </c>
      <c r="C1207" s="139" t="s">
        <v>402</v>
      </c>
      <c r="D1207" s="15">
        <v>100000000</v>
      </c>
      <c r="E1207" s="93">
        <v>0.92856433689999995</v>
      </c>
      <c r="F1207" s="18">
        <v>92856433.689999998</v>
      </c>
      <c r="G1207" s="18">
        <v>0.18</v>
      </c>
      <c r="H1207" s="13"/>
      <c r="I1207" s="13"/>
    </row>
    <row r="1208" spans="1:9">
      <c r="A1208" s="13" t="s">
        <v>1900</v>
      </c>
      <c r="B1208" s="139" t="s">
        <v>769</v>
      </c>
      <c r="C1208" s="139" t="s">
        <v>402</v>
      </c>
      <c r="D1208" s="15">
        <v>15000000</v>
      </c>
      <c r="E1208" s="154">
        <v>0.93112258199999998</v>
      </c>
      <c r="F1208" s="18">
        <v>13966838.73</v>
      </c>
      <c r="G1208" s="18">
        <v>0.03</v>
      </c>
      <c r="H1208" s="13"/>
      <c r="I1208" s="13"/>
    </row>
    <row r="1209" spans="1:9">
      <c r="A1209" s="13" t="s">
        <v>1901</v>
      </c>
      <c r="B1209" s="139" t="s">
        <v>773</v>
      </c>
      <c r="C1209" s="139" t="s">
        <v>402</v>
      </c>
      <c r="D1209" s="15">
        <v>15000000</v>
      </c>
      <c r="E1209" s="93">
        <v>0.92792684219999999</v>
      </c>
      <c r="F1209" s="18">
        <v>13918902.630000001</v>
      </c>
      <c r="G1209" s="18">
        <v>0.03</v>
      </c>
      <c r="H1209" s="13"/>
      <c r="I1209" s="13"/>
    </row>
    <row r="1210" spans="1:9">
      <c r="A1210" s="13" t="s">
        <v>1902</v>
      </c>
      <c r="B1210" s="139" t="s">
        <v>999</v>
      </c>
      <c r="C1210" s="139" t="s">
        <v>402</v>
      </c>
      <c r="D1210" s="15">
        <v>15000000</v>
      </c>
      <c r="E1210" s="93">
        <v>0.92601998429999999</v>
      </c>
      <c r="F1210" s="18">
        <v>13890299.76</v>
      </c>
      <c r="G1210" s="18">
        <v>0.03</v>
      </c>
      <c r="H1210" s="13"/>
      <c r="I1210" s="13"/>
    </row>
    <row r="1211" spans="1:9">
      <c r="A1211" s="13" t="s">
        <v>1905</v>
      </c>
      <c r="B1211" s="139" t="s">
        <v>778</v>
      </c>
      <c r="C1211" s="139" t="s">
        <v>431</v>
      </c>
      <c r="D1211" s="15">
        <v>212000000</v>
      </c>
      <c r="E1211" s="154">
        <v>0.93474706299999999</v>
      </c>
      <c r="F1211" s="18">
        <v>198166377.36000001</v>
      </c>
      <c r="G1211" s="18">
        <v>0.38</v>
      </c>
      <c r="H1211" s="13"/>
      <c r="I1211" s="13"/>
    </row>
    <row r="1212" spans="1:9">
      <c r="A1212" s="13" t="s">
        <v>1906</v>
      </c>
      <c r="B1212" s="139" t="s">
        <v>727</v>
      </c>
      <c r="C1212" s="139" t="s">
        <v>431</v>
      </c>
      <c r="D1212" s="15">
        <v>12500000</v>
      </c>
      <c r="E1212" s="93">
        <v>0.94834771709999999</v>
      </c>
      <c r="F1212" s="18">
        <v>11854346.460000001</v>
      </c>
      <c r="G1212" s="18">
        <v>0.02</v>
      </c>
      <c r="H1212" s="13"/>
      <c r="I1212" s="13"/>
    </row>
    <row r="1213" spans="1:9">
      <c r="A1213" s="13" t="s">
        <v>1907</v>
      </c>
      <c r="B1213" s="139" t="s">
        <v>454</v>
      </c>
      <c r="C1213" s="139" t="s">
        <v>431</v>
      </c>
      <c r="D1213" s="18">
        <v>30958317.780000001</v>
      </c>
      <c r="E1213" s="93">
        <v>0.99455042059999998</v>
      </c>
      <c r="F1213" s="18">
        <v>30789607.969999999</v>
      </c>
      <c r="G1213" s="18">
        <v>0.06</v>
      </c>
      <c r="H1213" s="13"/>
      <c r="I1213" s="13"/>
    </row>
    <row r="1214" spans="1:9">
      <c r="A1214" s="13" t="s">
        <v>1908</v>
      </c>
      <c r="B1214" s="139" t="s">
        <v>443</v>
      </c>
      <c r="C1214" s="139" t="s">
        <v>431</v>
      </c>
      <c r="D1214" s="15">
        <v>100000000</v>
      </c>
      <c r="E1214" s="93">
        <v>0.99726777119999999</v>
      </c>
      <c r="F1214" s="18">
        <v>99726777.120000005</v>
      </c>
      <c r="G1214" s="18">
        <v>0.19</v>
      </c>
      <c r="H1214" s="13"/>
      <c r="I1214" s="13"/>
    </row>
    <row r="1215" spans="1:9">
      <c r="A1215" s="13" t="s">
        <v>1909</v>
      </c>
      <c r="B1215" s="139" t="s">
        <v>188</v>
      </c>
      <c r="C1215" s="139" t="s">
        <v>431</v>
      </c>
      <c r="D1215" s="15">
        <v>2900000</v>
      </c>
      <c r="E1215" s="93">
        <v>0.97829001680000005</v>
      </c>
      <c r="F1215" s="18">
        <v>2837041.05</v>
      </c>
      <c r="G1215" s="18">
        <v>0.01</v>
      </c>
      <c r="H1215" s="13"/>
      <c r="I1215" s="13"/>
    </row>
    <row r="1216" spans="1:9">
      <c r="A1216" s="13" t="s">
        <v>1910</v>
      </c>
      <c r="B1216" s="139" t="s">
        <v>785</v>
      </c>
      <c r="C1216" s="139" t="s">
        <v>431</v>
      </c>
      <c r="D1216" s="15">
        <v>30000000</v>
      </c>
      <c r="E1216" s="93">
        <v>0.95277891370000001</v>
      </c>
      <c r="F1216" s="18">
        <v>28583367.41</v>
      </c>
      <c r="G1216" s="18">
        <v>0.05</v>
      </c>
      <c r="H1216" s="13"/>
      <c r="I1216" s="13"/>
    </row>
    <row r="1217" spans="1:9">
      <c r="A1217" s="13" t="s">
        <v>1911</v>
      </c>
      <c r="B1217" s="139" t="s">
        <v>785</v>
      </c>
      <c r="C1217" s="139" t="s">
        <v>431</v>
      </c>
      <c r="D1217" s="15">
        <v>22000000</v>
      </c>
      <c r="E1217" s="93">
        <v>0.95277891370000001</v>
      </c>
      <c r="F1217" s="151">
        <v>20961136.100000001</v>
      </c>
      <c r="G1217" s="18">
        <v>0.04</v>
      </c>
      <c r="H1217" s="13"/>
      <c r="I1217" s="13"/>
    </row>
    <row r="1218" spans="1:9">
      <c r="A1218" s="13" t="s">
        <v>1912</v>
      </c>
      <c r="B1218" s="139" t="s">
        <v>785</v>
      </c>
      <c r="C1218" s="139" t="s">
        <v>431</v>
      </c>
      <c r="D1218" s="15">
        <v>10000000</v>
      </c>
      <c r="E1218" s="93">
        <v>0.95277891370000001</v>
      </c>
      <c r="F1218" s="18">
        <v>9527789.1400000006</v>
      </c>
      <c r="G1218" s="18">
        <v>0.02</v>
      </c>
      <c r="H1218" s="13"/>
      <c r="I1218" s="13"/>
    </row>
    <row r="1219" spans="1:9">
      <c r="A1219" s="13" t="s">
        <v>1913</v>
      </c>
      <c r="B1219" s="139" t="s">
        <v>785</v>
      </c>
      <c r="C1219" s="139" t="s">
        <v>431</v>
      </c>
      <c r="D1219" s="15">
        <v>24600000</v>
      </c>
      <c r="E1219" s="93">
        <v>0.95277891370000001</v>
      </c>
      <c r="F1219" s="18">
        <v>23438361.280000001</v>
      </c>
      <c r="G1219" s="18">
        <v>0.04</v>
      </c>
      <c r="H1219" s="13"/>
      <c r="I1219" s="13"/>
    </row>
    <row r="1220" spans="1:9">
      <c r="A1220" s="13" t="s">
        <v>1914</v>
      </c>
      <c r="B1220" s="139" t="s">
        <v>785</v>
      </c>
      <c r="C1220" s="139" t="s">
        <v>431</v>
      </c>
      <c r="D1220" s="15">
        <v>18000000</v>
      </c>
      <c r="E1220" s="93">
        <v>0.95277891370000001</v>
      </c>
      <c r="F1220" s="18">
        <v>17150020.449999999</v>
      </c>
      <c r="G1220" s="18">
        <v>0.03</v>
      </c>
      <c r="H1220" s="13"/>
      <c r="I1220" s="13"/>
    </row>
    <row r="1221" spans="1:9">
      <c r="A1221" s="13" t="s">
        <v>1915</v>
      </c>
      <c r="B1221" s="139" t="s">
        <v>606</v>
      </c>
      <c r="C1221" s="139" t="s">
        <v>431</v>
      </c>
      <c r="D1221" s="15">
        <v>750000000</v>
      </c>
      <c r="E1221" s="93">
        <v>0.9968864664</v>
      </c>
      <c r="F1221" s="151">
        <v>747664849.79999995</v>
      </c>
      <c r="G1221" s="18">
        <v>1.43</v>
      </c>
      <c r="H1221" s="13"/>
      <c r="I1221" s="13"/>
    </row>
    <row r="1222" spans="1:9">
      <c r="A1222" s="13" t="s">
        <v>1916</v>
      </c>
      <c r="B1222" s="139" t="s">
        <v>638</v>
      </c>
      <c r="C1222" s="139" t="s">
        <v>431</v>
      </c>
      <c r="D1222" s="18">
        <v>4396334.17</v>
      </c>
      <c r="E1222" s="93">
        <v>0.89414772779999996</v>
      </c>
      <c r="F1222" s="18">
        <v>3930972.21</v>
      </c>
      <c r="G1222" s="18">
        <v>0.01</v>
      </c>
      <c r="H1222" s="13"/>
      <c r="I1222" s="13"/>
    </row>
    <row r="1223" spans="1:9">
      <c r="A1223" s="13" t="s">
        <v>1917</v>
      </c>
      <c r="B1223" s="139" t="s">
        <v>1330</v>
      </c>
      <c r="C1223" s="139" t="s">
        <v>431</v>
      </c>
      <c r="D1223" s="18">
        <v>5311841.87</v>
      </c>
      <c r="E1223" s="93">
        <v>0.89733522210000005</v>
      </c>
      <c r="F1223" s="151">
        <v>4766502.8</v>
      </c>
      <c r="G1223" s="18">
        <v>0.01</v>
      </c>
      <c r="H1223" s="13"/>
      <c r="I1223" s="13"/>
    </row>
    <row r="1224" spans="1:9">
      <c r="A1224" s="13" t="s">
        <v>1918</v>
      </c>
      <c r="B1224" s="139" t="s">
        <v>1023</v>
      </c>
      <c r="C1224" s="139" t="s">
        <v>431</v>
      </c>
      <c r="D1224" s="18">
        <v>8106418.25</v>
      </c>
      <c r="E1224" s="93">
        <v>0.93673811060000001</v>
      </c>
      <c r="F1224" s="18">
        <v>7593590.9199999999</v>
      </c>
      <c r="G1224" s="18">
        <v>0.01</v>
      </c>
      <c r="H1224" s="13"/>
      <c r="I1224" s="13"/>
    </row>
    <row r="1225" spans="1:9">
      <c r="A1225" s="13" t="s">
        <v>1919</v>
      </c>
      <c r="B1225" s="139" t="s">
        <v>767</v>
      </c>
      <c r="C1225" s="139" t="s">
        <v>431</v>
      </c>
      <c r="D1225" s="18">
        <v>7511409.4699999997</v>
      </c>
      <c r="E1225" s="93">
        <v>0.92776178359999995</v>
      </c>
      <c r="F1225" s="18">
        <v>6968798.6500000004</v>
      </c>
      <c r="G1225" s="18">
        <v>0.01</v>
      </c>
      <c r="H1225" s="13"/>
      <c r="I1225" s="13"/>
    </row>
    <row r="1226" spans="1:9">
      <c r="A1226" s="13" t="s">
        <v>1920</v>
      </c>
      <c r="B1226" s="139" t="s">
        <v>1921</v>
      </c>
      <c r="C1226" s="139" t="s">
        <v>431</v>
      </c>
      <c r="D1226" s="18">
        <v>4103981.39</v>
      </c>
      <c r="E1226" s="93">
        <v>0.90313010140000005</v>
      </c>
      <c r="F1226" s="18">
        <v>3706429.13</v>
      </c>
      <c r="G1226" s="18">
        <v>0.01</v>
      </c>
      <c r="H1226" s="13"/>
      <c r="I1226" s="13"/>
    </row>
    <row r="1227" spans="1:9">
      <c r="A1227" s="13" t="s">
        <v>1922</v>
      </c>
      <c r="B1227" s="139" t="s">
        <v>1326</v>
      </c>
      <c r="C1227" s="139" t="s">
        <v>431</v>
      </c>
      <c r="D1227" s="18">
        <v>8106418.25</v>
      </c>
      <c r="E1227" s="93">
        <v>0.89861646809999995</v>
      </c>
      <c r="F1227" s="18">
        <v>7284560.9400000004</v>
      </c>
      <c r="G1227" s="18">
        <v>0.01</v>
      </c>
      <c r="H1227" s="13"/>
      <c r="I1227" s="13"/>
    </row>
    <row r="1228" spans="1:9">
      <c r="A1228" s="13" t="s">
        <v>1923</v>
      </c>
      <c r="B1228" s="139" t="s">
        <v>748</v>
      </c>
      <c r="C1228" s="139" t="s">
        <v>431</v>
      </c>
      <c r="D1228" s="18">
        <v>5109127.71</v>
      </c>
      <c r="E1228" s="93">
        <v>0.91694721749999997</v>
      </c>
      <c r="F1228" s="18">
        <v>4684800.4400000004</v>
      </c>
      <c r="G1228" s="18">
        <v>0.01</v>
      </c>
      <c r="H1228" s="13"/>
      <c r="I1228" s="13"/>
    </row>
    <row r="1229" spans="1:9">
      <c r="A1229" s="13" t="s">
        <v>1925</v>
      </c>
      <c r="B1229" s="139" t="s">
        <v>452</v>
      </c>
      <c r="C1229" s="139" t="s">
        <v>431</v>
      </c>
      <c r="D1229" s="18">
        <v>39141775.439999998</v>
      </c>
      <c r="E1229" s="93">
        <v>0.99879599029999999</v>
      </c>
      <c r="F1229" s="18">
        <v>39094648.359999999</v>
      </c>
      <c r="G1229" s="18">
        <v>7.0000000000000007E-2</v>
      </c>
      <c r="H1229" s="13"/>
      <c r="I1229" s="13"/>
    </row>
    <row r="1230" spans="1:9">
      <c r="A1230" s="13" t="s">
        <v>1926</v>
      </c>
      <c r="B1230" s="139" t="s">
        <v>773</v>
      </c>
      <c r="C1230" s="139" t="s">
        <v>431</v>
      </c>
      <c r="D1230" s="15">
        <v>333534247</v>
      </c>
      <c r="E1230" s="93">
        <v>0.91329927349999995</v>
      </c>
      <c r="F1230" s="18">
        <v>304616585.47000003</v>
      </c>
      <c r="G1230" s="18">
        <v>0.57999999999999996</v>
      </c>
      <c r="H1230" s="13"/>
      <c r="I1230" s="13"/>
    </row>
    <row r="1231" spans="1:9">
      <c r="A1231" s="13" t="s">
        <v>1927</v>
      </c>
      <c r="B1231" s="139" t="s">
        <v>604</v>
      </c>
      <c r="C1231" s="139" t="s">
        <v>431</v>
      </c>
      <c r="D1231" s="15">
        <v>10000000</v>
      </c>
      <c r="E1231" s="93">
        <v>0.96763080639999999</v>
      </c>
      <c r="F1231" s="18">
        <v>9676308.0600000005</v>
      </c>
      <c r="G1231" s="18">
        <v>0.02</v>
      </c>
      <c r="H1231" s="13"/>
      <c r="I1231" s="13"/>
    </row>
    <row r="1232" spans="1:9">
      <c r="A1232" s="13" t="s">
        <v>1928</v>
      </c>
      <c r="B1232" s="139" t="s">
        <v>798</v>
      </c>
      <c r="C1232" s="139" t="s">
        <v>431</v>
      </c>
      <c r="D1232" s="15">
        <v>10000000</v>
      </c>
      <c r="E1232" s="93">
        <v>0.96678517490000004</v>
      </c>
      <c r="F1232" s="18">
        <v>9667851.75</v>
      </c>
      <c r="G1232" s="18">
        <v>0.02</v>
      </c>
      <c r="H1232" s="13"/>
      <c r="I1232" s="13"/>
    </row>
    <row r="1233" spans="1:9">
      <c r="A1233" s="13" t="s">
        <v>1929</v>
      </c>
      <c r="B1233" s="139" t="s">
        <v>424</v>
      </c>
      <c r="C1233" s="139" t="s">
        <v>431</v>
      </c>
      <c r="D1233" s="15">
        <v>9000000</v>
      </c>
      <c r="E1233" s="154">
        <v>0.96594080699999996</v>
      </c>
      <c r="F1233" s="18">
        <v>8693467.2599999998</v>
      </c>
      <c r="G1233" s="18">
        <v>0.02</v>
      </c>
      <c r="H1233" s="13"/>
      <c r="I1233" s="13"/>
    </row>
    <row r="1234" spans="1:9">
      <c r="A1234" s="13" t="s">
        <v>1930</v>
      </c>
      <c r="B1234" s="139" t="s">
        <v>842</v>
      </c>
      <c r="C1234" s="139" t="s">
        <v>431</v>
      </c>
      <c r="D1234" s="18">
        <v>8091449.2599999998</v>
      </c>
      <c r="E1234" s="154">
        <v>0.98247701399999998</v>
      </c>
      <c r="F1234" s="18">
        <v>7949662.9100000001</v>
      </c>
      <c r="G1234" s="18">
        <v>0.02</v>
      </c>
      <c r="H1234" s="13"/>
      <c r="I1234" s="13"/>
    </row>
    <row r="1235" spans="1:9">
      <c r="A1235" s="13" t="s">
        <v>1931</v>
      </c>
      <c r="B1235" s="139" t="s">
        <v>192</v>
      </c>
      <c r="C1235" s="139" t="s">
        <v>431</v>
      </c>
      <c r="D1235" s="15">
        <v>11957120</v>
      </c>
      <c r="E1235" s="93">
        <v>0.98742056540000001</v>
      </c>
      <c r="F1235" s="18">
        <v>11806706.189999999</v>
      </c>
      <c r="G1235" s="18">
        <v>0.02</v>
      </c>
      <c r="H1235" s="13"/>
      <c r="I1235" s="13"/>
    </row>
    <row r="1236" spans="1:9">
      <c r="A1236" s="13" t="s">
        <v>1932</v>
      </c>
      <c r="B1236" s="139" t="s">
        <v>1341</v>
      </c>
      <c r="C1236" s="139" t="s">
        <v>431</v>
      </c>
      <c r="D1236" s="18">
        <v>10867742.35</v>
      </c>
      <c r="E1236" s="93">
        <v>0.90773446859999996</v>
      </c>
      <c r="F1236" s="18">
        <v>9865024.3300000001</v>
      </c>
      <c r="G1236" s="18">
        <v>0.02</v>
      </c>
      <c r="H1236" s="13"/>
      <c r="I1236" s="13"/>
    </row>
    <row r="1237" spans="1:9">
      <c r="A1237" s="13" t="s">
        <v>1933</v>
      </c>
      <c r="B1237" s="139" t="s">
        <v>559</v>
      </c>
      <c r="C1237" s="139" t="s">
        <v>431</v>
      </c>
      <c r="D1237" s="15">
        <v>25000000</v>
      </c>
      <c r="E1237" s="93">
        <v>0.96090562410000002</v>
      </c>
      <c r="F1237" s="151">
        <v>24022640.600000001</v>
      </c>
      <c r="G1237" s="18">
        <v>0.05</v>
      </c>
      <c r="H1237" s="13"/>
      <c r="I1237" s="13"/>
    </row>
    <row r="1238" spans="1:9">
      <c r="A1238" s="13" t="s">
        <v>1934</v>
      </c>
      <c r="B1238" s="139" t="s">
        <v>612</v>
      </c>
      <c r="C1238" s="139" t="s">
        <v>431</v>
      </c>
      <c r="D1238" s="15">
        <v>150000000</v>
      </c>
      <c r="E1238" s="93">
        <v>0.94611059679999998</v>
      </c>
      <c r="F1238" s="18">
        <v>141916589.52000001</v>
      </c>
      <c r="G1238" s="18">
        <v>0.27</v>
      </c>
      <c r="H1238" s="13"/>
      <c r="I1238" s="13"/>
    </row>
    <row r="1239" spans="1:9">
      <c r="A1239" s="13" t="s">
        <v>1935</v>
      </c>
      <c r="B1239" s="139" t="s">
        <v>852</v>
      </c>
      <c r="C1239" s="139" t="s">
        <v>431</v>
      </c>
      <c r="D1239" s="15">
        <v>175000000</v>
      </c>
      <c r="E1239" s="93">
        <v>0.95757818920000004</v>
      </c>
      <c r="F1239" s="18">
        <v>167576183.11000001</v>
      </c>
      <c r="G1239" s="18">
        <v>0.32</v>
      </c>
      <c r="H1239" s="13"/>
      <c r="I1239" s="13"/>
    </row>
    <row r="1240" spans="1:9">
      <c r="A1240" s="13" t="s">
        <v>1936</v>
      </c>
      <c r="B1240" s="139" t="s">
        <v>575</v>
      </c>
      <c r="C1240" s="139" t="s">
        <v>431</v>
      </c>
      <c r="D1240" s="15">
        <v>175000000</v>
      </c>
      <c r="E1240" s="93">
        <v>0.9693269403</v>
      </c>
      <c r="F1240" s="18">
        <v>169632214.55000001</v>
      </c>
      <c r="G1240" s="18">
        <v>0.32</v>
      </c>
      <c r="H1240" s="13"/>
      <c r="I1240" s="13"/>
    </row>
    <row r="1241" spans="1:9">
      <c r="A1241" s="13" t="s">
        <v>1949</v>
      </c>
      <c r="B1241" s="139" t="s">
        <v>1948</v>
      </c>
      <c r="C1241" s="139" t="s">
        <v>493</v>
      </c>
      <c r="D1241" s="15">
        <v>2000000</v>
      </c>
      <c r="E1241" s="93">
        <v>0.88077025949999999</v>
      </c>
      <c r="F1241" s="18">
        <v>1761540.52</v>
      </c>
      <c r="G1241" s="15">
        <v>0</v>
      </c>
      <c r="H1241" s="13"/>
      <c r="I1241" s="13"/>
    </row>
    <row r="1242" spans="1:9">
      <c r="A1242" s="13" t="s">
        <v>1951</v>
      </c>
      <c r="B1242" s="139" t="s">
        <v>1950</v>
      </c>
      <c r="C1242" s="139" t="s">
        <v>493</v>
      </c>
      <c r="D1242" s="15">
        <v>3400000</v>
      </c>
      <c r="E1242" s="93">
        <v>0.89239881840000002</v>
      </c>
      <c r="F1242" s="18">
        <v>3034155.98</v>
      </c>
      <c r="G1242" s="18">
        <v>0.01</v>
      </c>
      <c r="H1242" s="13"/>
      <c r="I1242" s="13"/>
    </row>
    <row r="1243" spans="1:9">
      <c r="A1243" s="13" t="s">
        <v>1952</v>
      </c>
      <c r="B1243" s="139" t="s">
        <v>1880</v>
      </c>
      <c r="C1243" s="139" t="s">
        <v>493</v>
      </c>
      <c r="D1243" s="15">
        <v>14000000</v>
      </c>
      <c r="E1243" s="93">
        <v>0.88100422619999996</v>
      </c>
      <c r="F1243" s="18">
        <v>12334059.17</v>
      </c>
      <c r="G1243" s="18">
        <v>0.02</v>
      </c>
      <c r="H1243" s="13"/>
      <c r="I1243" s="13"/>
    </row>
    <row r="1244" spans="1:9">
      <c r="A1244" s="13" t="s">
        <v>1953</v>
      </c>
      <c r="B1244" s="139" t="s">
        <v>295</v>
      </c>
      <c r="C1244" s="139" t="s">
        <v>493</v>
      </c>
      <c r="D1244" s="15">
        <v>14000000</v>
      </c>
      <c r="E1244" s="93">
        <v>0.87670851829999996</v>
      </c>
      <c r="F1244" s="18">
        <v>12273919.26</v>
      </c>
      <c r="G1244" s="18">
        <v>0.02</v>
      </c>
      <c r="H1244" s="13"/>
      <c r="I1244" s="13"/>
    </row>
    <row r="1245" spans="1:9">
      <c r="A1245" s="13" t="s">
        <v>1955</v>
      </c>
      <c r="B1245" s="139" t="s">
        <v>1954</v>
      </c>
      <c r="C1245" s="139" t="s">
        <v>493</v>
      </c>
      <c r="D1245" s="15">
        <v>14000000</v>
      </c>
      <c r="E1245" s="93">
        <v>0.89098297049999997</v>
      </c>
      <c r="F1245" s="18">
        <v>12473761.59</v>
      </c>
      <c r="G1245" s="18">
        <v>0.02</v>
      </c>
      <c r="H1245" s="13"/>
      <c r="I1245" s="13"/>
    </row>
    <row r="1246" spans="1:9">
      <c r="A1246" s="13" t="s">
        <v>1957</v>
      </c>
      <c r="B1246" s="139" t="s">
        <v>1956</v>
      </c>
      <c r="C1246" s="139" t="s">
        <v>493</v>
      </c>
      <c r="D1246" s="15">
        <v>14000000</v>
      </c>
      <c r="E1246" s="154">
        <v>0.87245449900000005</v>
      </c>
      <c r="F1246" s="18">
        <v>12214362.99</v>
      </c>
      <c r="G1246" s="18">
        <v>0.02</v>
      </c>
      <c r="H1246" s="13"/>
      <c r="I1246" s="13"/>
    </row>
    <row r="1247" spans="1:9">
      <c r="A1247" s="13" t="s">
        <v>1958</v>
      </c>
      <c r="B1247" s="139" t="s">
        <v>1950</v>
      </c>
      <c r="C1247" s="139" t="s">
        <v>493</v>
      </c>
      <c r="D1247" s="15">
        <v>14000000</v>
      </c>
      <c r="E1247" s="93">
        <v>0.88534223519999999</v>
      </c>
      <c r="F1247" s="18">
        <v>12394791.289999999</v>
      </c>
      <c r="G1247" s="18">
        <v>0.02</v>
      </c>
      <c r="H1247" s="13"/>
      <c r="I1247" s="13"/>
    </row>
    <row r="1248" spans="1:9">
      <c r="A1248" s="13" t="s">
        <v>1947</v>
      </c>
      <c r="B1248" s="139" t="s">
        <v>722</v>
      </c>
      <c r="C1248" s="139" t="s">
        <v>493</v>
      </c>
      <c r="D1248" s="15">
        <v>20000000</v>
      </c>
      <c r="E1248" s="93">
        <v>0.93340849130000003</v>
      </c>
      <c r="F1248" s="18">
        <v>18668169.829999998</v>
      </c>
      <c r="G1248" s="18">
        <v>0.04</v>
      </c>
      <c r="H1248" s="13"/>
      <c r="I1248" s="13"/>
    </row>
    <row r="1249" spans="1:9">
      <c r="A1249" s="13" t="s">
        <v>1943</v>
      </c>
      <c r="B1249" s="139" t="s">
        <v>1341</v>
      </c>
      <c r="C1249" s="139" t="s">
        <v>493</v>
      </c>
      <c r="D1249" s="15">
        <v>110000000</v>
      </c>
      <c r="E1249" s="93">
        <v>0.92729030489999997</v>
      </c>
      <c r="F1249" s="18">
        <v>102001933.54000001</v>
      </c>
      <c r="G1249" s="18">
        <v>0.19</v>
      </c>
      <c r="H1249" s="13"/>
      <c r="I1249" s="13"/>
    </row>
    <row r="1250" spans="1:9">
      <c r="A1250" s="13" t="s">
        <v>1963</v>
      </c>
      <c r="B1250" s="139" t="s">
        <v>852</v>
      </c>
      <c r="C1250" s="139" t="s">
        <v>493</v>
      </c>
      <c r="D1250" s="15">
        <v>30000000</v>
      </c>
      <c r="E1250" s="93">
        <v>0.96439673889999999</v>
      </c>
      <c r="F1250" s="18">
        <v>28931902.170000002</v>
      </c>
      <c r="G1250" s="18">
        <v>0.06</v>
      </c>
      <c r="H1250" s="13"/>
      <c r="I1250" s="13"/>
    </row>
    <row r="1251" spans="1:9">
      <c r="A1251" s="13" t="s">
        <v>1964</v>
      </c>
      <c r="B1251" s="139" t="s">
        <v>852</v>
      </c>
      <c r="C1251" s="139" t="s">
        <v>493</v>
      </c>
      <c r="D1251" s="15">
        <v>25000000</v>
      </c>
      <c r="E1251" s="93">
        <v>0.96439673889999999</v>
      </c>
      <c r="F1251" s="18">
        <v>24109918.469999999</v>
      </c>
      <c r="G1251" s="18">
        <v>0.05</v>
      </c>
      <c r="H1251" s="13"/>
      <c r="I1251" s="13"/>
    </row>
    <row r="1252" spans="1:9">
      <c r="A1252" s="13" t="s">
        <v>1965</v>
      </c>
      <c r="B1252" s="139" t="s">
        <v>546</v>
      </c>
      <c r="C1252" s="139" t="s">
        <v>493</v>
      </c>
      <c r="D1252" s="15">
        <v>25000000</v>
      </c>
      <c r="E1252" s="93">
        <v>0.96650348679999998</v>
      </c>
      <c r="F1252" s="18">
        <v>24162587.170000002</v>
      </c>
      <c r="G1252" s="18">
        <v>0.05</v>
      </c>
      <c r="H1252" s="13"/>
      <c r="I1252" s="13"/>
    </row>
    <row r="1253" spans="1:9">
      <c r="A1253" s="13" t="s">
        <v>1966</v>
      </c>
      <c r="B1253" s="139" t="s">
        <v>616</v>
      </c>
      <c r="C1253" s="139" t="s">
        <v>493</v>
      </c>
      <c r="D1253" s="15">
        <v>30000000</v>
      </c>
      <c r="E1253" s="93">
        <v>0.98735383109999997</v>
      </c>
      <c r="F1253" s="18">
        <v>29620614.93</v>
      </c>
      <c r="G1253" s="18">
        <v>0.06</v>
      </c>
      <c r="H1253" s="13"/>
      <c r="I1253" s="13"/>
    </row>
    <row r="1254" spans="1:9">
      <c r="A1254" s="13" t="s">
        <v>1967</v>
      </c>
      <c r="B1254" s="139" t="s">
        <v>563</v>
      </c>
      <c r="C1254" s="139" t="s">
        <v>493</v>
      </c>
      <c r="D1254" s="15">
        <v>25000000</v>
      </c>
      <c r="E1254" s="93">
        <v>0.95882325359999998</v>
      </c>
      <c r="F1254" s="18">
        <v>23970581.34</v>
      </c>
      <c r="G1254" s="18">
        <v>0.05</v>
      </c>
      <c r="H1254" s="13"/>
      <c r="I1254" s="13"/>
    </row>
    <row r="1255" spans="1:9">
      <c r="A1255" s="13" t="s">
        <v>1968</v>
      </c>
      <c r="B1255" s="139" t="s">
        <v>604</v>
      </c>
      <c r="C1255" s="139" t="s">
        <v>493</v>
      </c>
      <c r="D1255" s="15">
        <v>30000000</v>
      </c>
      <c r="E1255" s="93">
        <v>0.97287932779999997</v>
      </c>
      <c r="F1255" s="18">
        <v>29186379.829999998</v>
      </c>
      <c r="G1255" s="18">
        <v>0.06</v>
      </c>
      <c r="H1255" s="13"/>
      <c r="I1255" s="13"/>
    </row>
    <row r="1256" spans="1:9">
      <c r="A1256" s="13" t="s">
        <v>1969</v>
      </c>
      <c r="B1256" s="139" t="s">
        <v>575</v>
      </c>
      <c r="C1256" s="139" t="s">
        <v>493</v>
      </c>
      <c r="D1256" s="15">
        <v>30000000</v>
      </c>
      <c r="E1256" s="93">
        <v>0.97430774840000001</v>
      </c>
      <c r="F1256" s="18">
        <v>29229232.449999999</v>
      </c>
      <c r="G1256" s="18">
        <v>0.06</v>
      </c>
      <c r="H1256" s="13"/>
      <c r="I1256" s="13"/>
    </row>
    <row r="1257" spans="1:9">
      <c r="A1257" s="13" t="s">
        <v>1970</v>
      </c>
      <c r="B1257" s="139" t="s">
        <v>188</v>
      </c>
      <c r="C1257" s="139" t="s">
        <v>493</v>
      </c>
      <c r="D1257" s="15">
        <v>30000000</v>
      </c>
      <c r="E1257" s="93">
        <v>0.97789702170000004</v>
      </c>
      <c r="F1257" s="18">
        <v>29336910.649999999</v>
      </c>
      <c r="G1257" s="18">
        <v>0.06</v>
      </c>
      <c r="H1257" s="13"/>
      <c r="I1257" s="13"/>
    </row>
    <row r="1258" spans="1:9">
      <c r="A1258" s="13" t="s">
        <v>1971</v>
      </c>
      <c r="B1258" s="139" t="s">
        <v>188</v>
      </c>
      <c r="C1258" s="139" t="s">
        <v>493</v>
      </c>
      <c r="D1258" s="15">
        <v>30000000</v>
      </c>
      <c r="E1258" s="93">
        <v>0.97789702170000004</v>
      </c>
      <c r="F1258" s="18">
        <v>29336910.649999999</v>
      </c>
      <c r="G1258" s="18">
        <v>0.06</v>
      </c>
      <c r="H1258" s="13"/>
      <c r="I1258" s="13"/>
    </row>
    <row r="1259" spans="1:9">
      <c r="A1259" s="13" t="s">
        <v>1972</v>
      </c>
      <c r="B1259" s="139" t="s">
        <v>387</v>
      </c>
      <c r="C1259" s="139" t="s">
        <v>493</v>
      </c>
      <c r="D1259" s="15">
        <v>30000000</v>
      </c>
      <c r="E1259" s="93">
        <v>0.98151265850000002</v>
      </c>
      <c r="F1259" s="18">
        <v>29445379.760000002</v>
      </c>
      <c r="G1259" s="18">
        <v>0.06</v>
      </c>
      <c r="H1259" s="13"/>
      <c r="I1259" s="13"/>
    </row>
    <row r="1260" spans="1:9">
      <c r="A1260" s="13" t="s">
        <v>1973</v>
      </c>
      <c r="B1260" s="139" t="s">
        <v>688</v>
      </c>
      <c r="C1260" s="139" t="s">
        <v>493</v>
      </c>
      <c r="D1260" s="15">
        <v>25000000</v>
      </c>
      <c r="E1260" s="93">
        <v>0.96229915649999997</v>
      </c>
      <c r="F1260" s="18">
        <v>24057478.91</v>
      </c>
      <c r="G1260" s="18">
        <v>0.05</v>
      </c>
      <c r="H1260" s="13"/>
      <c r="I1260" s="13"/>
    </row>
    <row r="1261" spans="1:9">
      <c r="A1261" s="13" t="s">
        <v>1974</v>
      </c>
      <c r="B1261" s="139" t="s">
        <v>813</v>
      </c>
      <c r="C1261" s="139" t="s">
        <v>493</v>
      </c>
      <c r="D1261" s="15">
        <v>25000000</v>
      </c>
      <c r="E1261" s="93">
        <v>0.96299720259999999</v>
      </c>
      <c r="F1261" s="18">
        <v>24074930.07</v>
      </c>
      <c r="G1261" s="18">
        <v>0.05</v>
      </c>
      <c r="H1261" s="13"/>
      <c r="I1261" s="13"/>
    </row>
    <row r="1262" spans="1:9">
      <c r="A1262" s="13" t="s">
        <v>1975</v>
      </c>
      <c r="B1262" s="139" t="s">
        <v>594</v>
      </c>
      <c r="C1262" s="139" t="s">
        <v>493</v>
      </c>
      <c r="D1262" s="15">
        <v>25000000</v>
      </c>
      <c r="E1262" s="93">
        <v>0.96369646249999996</v>
      </c>
      <c r="F1262" s="18">
        <v>24092411.559999999</v>
      </c>
      <c r="G1262" s="18">
        <v>0.05</v>
      </c>
      <c r="H1262" s="13"/>
      <c r="I1262" s="13"/>
    </row>
    <row r="1263" spans="1:9">
      <c r="A1263" s="13" t="s">
        <v>1976</v>
      </c>
      <c r="B1263" s="139" t="s">
        <v>594</v>
      </c>
      <c r="C1263" s="139" t="s">
        <v>493</v>
      </c>
      <c r="D1263" s="15">
        <v>30000000</v>
      </c>
      <c r="E1263" s="93">
        <v>0.96369646249999996</v>
      </c>
      <c r="F1263" s="18">
        <v>28910893.879999999</v>
      </c>
      <c r="G1263" s="18">
        <v>0.06</v>
      </c>
      <c r="H1263" s="13"/>
      <c r="I1263" s="13"/>
    </row>
    <row r="1264" spans="1:9">
      <c r="A1264" s="13" t="s">
        <v>1977</v>
      </c>
      <c r="B1264" s="139" t="s">
        <v>855</v>
      </c>
      <c r="C1264" s="139" t="s">
        <v>493</v>
      </c>
      <c r="D1264" s="15">
        <v>25000000</v>
      </c>
      <c r="E1264" s="93">
        <v>0.96160192040000003</v>
      </c>
      <c r="F1264" s="18">
        <v>24040048.010000002</v>
      </c>
      <c r="G1264" s="18">
        <v>0.05</v>
      </c>
      <c r="H1264" s="13"/>
      <c r="I1264" s="13"/>
    </row>
    <row r="1265" spans="1:9">
      <c r="A1265" s="13" t="s">
        <v>1978</v>
      </c>
      <c r="B1265" s="139" t="s">
        <v>713</v>
      </c>
      <c r="C1265" s="139" t="s">
        <v>493</v>
      </c>
      <c r="D1265" s="15">
        <v>25000000</v>
      </c>
      <c r="E1265" s="93">
        <v>0.95951646530000001</v>
      </c>
      <c r="F1265" s="18">
        <v>23987911.629999999</v>
      </c>
      <c r="G1265" s="18">
        <v>0.05</v>
      </c>
      <c r="H1265" s="13"/>
      <c r="I1265" s="13"/>
    </row>
    <row r="1266" spans="1:9">
      <c r="A1266" s="13" t="s">
        <v>1960</v>
      </c>
      <c r="B1266" s="139" t="s">
        <v>488</v>
      </c>
      <c r="C1266" s="139" t="s">
        <v>493</v>
      </c>
      <c r="D1266" s="15">
        <v>1000000</v>
      </c>
      <c r="E1266" s="154">
        <v>0.96174118799999997</v>
      </c>
      <c r="F1266" s="18">
        <v>961741.19</v>
      </c>
      <c r="G1266" s="15">
        <v>0</v>
      </c>
      <c r="H1266" s="13"/>
      <c r="I1266" s="13"/>
    </row>
    <row r="1267" spans="1:9">
      <c r="A1267" s="13" t="s">
        <v>1961</v>
      </c>
      <c r="B1267" s="139" t="s">
        <v>488</v>
      </c>
      <c r="C1267" s="139" t="s">
        <v>493</v>
      </c>
      <c r="D1267" s="15">
        <v>2000000</v>
      </c>
      <c r="E1267" s="154">
        <v>0.96174116899999995</v>
      </c>
      <c r="F1267" s="18">
        <v>1923482.34</v>
      </c>
      <c r="G1267" s="15">
        <v>0</v>
      </c>
      <c r="H1267" s="13"/>
      <c r="I1267" s="13"/>
    </row>
    <row r="1268" spans="1:9">
      <c r="A1268" s="13" t="s">
        <v>1962</v>
      </c>
      <c r="B1268" s="139" t="s">
        <v>488</v>
      </c>
      <c r="C1268" s="139" t="s">
        <v>493</v>
      </c>
      <c r="D1268" s="15">
        <v>2000000</v>
      </c>
      <c r="E1268" s="154">
        <v>0.96174116899999995</v>
      </c>
      <c r="F1268" s="18">
        <v>1923482.34</v>
      </c>
      <c r="G1268" s="15">
        <v>0</v>
      </c>
      <c r="H1268" s="13"/>
      <c r="I1268" s="13"/>
    </row>
    <row r="1269" spans="1:9">
      <c r="A1269" s="13" t="s">
        <v>1945</v>
      </c>
      <c r="B1269" s="139" t="s">
        <v>708</v>
      </c>
      <c r="C1269" s="139" t="s">
        <v>493</v>
      </c>
      <c r="D1269" s="15">
        <v>15000000</v>
      </c>
      <c r="E1269" s="93">
        <v>0.93975300949999996</v>
      </c>
      <c r="F1269" s="18">
        <v>14096295.140000001</v>
      </c>
      <c r="G1269" s="18">
        <v>0.03</v>
      </c>
      <c r="H1269" s="13"/>
      <c r="I1269" s="13"/>
    </row>
    <row r="1270" spans="1:9">
      <c r="A1270" s="13" t="s">
        <v>1946</v>
      </c>
      <c r="B1270" s="139" t="s">
        <v>677</v>
      </c>
      <c r="C1270" s="139" t="s">
        <v>493</v>
      </c>
      <c r="D1270" s="15">
        <v>30000000</v>
      </c>
      <c r="E1270" s="93">
        <v>0.94928486410000001</v>
      </c>
      <c r="F1270" s="18">
        <v>28478545.920000002</v>
      </c>
      <c r="G1270" s="18">
        <v>0.05</v>
      </c>
      <c r="H1270" s="13"/>
      <c r="I1270" s="13"/>
    </row>
    <row r="1271" spans="1:9">
      <c r="A1271" s="13" t="s">
        <v>1959</v>
      </c>
      <c r="B1271" s="139" t="s">
        <v>505</v>
      </c>
      <c r="C1271" s="139" t="s">
        <v>493</v>
      </c>
      <c r="D1271" s="18">
        <v>4486536.05</v>
      </c>
      <c r="E1271" s="93">
        <v>0.96847809669999996</v>
      </c>
      <c r="F1271" s="18">
        <v>4345111.8899999997</v>
      </c>
      <c r="G1271" s="18">
        <v>0.01</v>
      </c>
      <c r="H1271" s="13"/>
      <c r="I1271" s="13"/>
    </row>
    <row r="1272" spans="1:9">
      <c r="A1272" s="13" t="s">
        <v>1979</v>
      </c>
      <c r="B1272" s="139" t="s">
        <v>533</v>
      </c>
      <c r="C1272" s="139" t="s">
        <v>493</v>
      </c>
      <c r="D1272" s="15">
        <v>180000000</v>
      </c>
      <c r="E1272" s="93">
        <v>0.97962925280000002</v>
      </c>
      <c r="F1272" s="151">
        <v>176333265.5</v>
      </c>
      <c r="G1272" s="18">
        <v>0.34</v>
      </c>
      <c r="H1272" s="13"/>
      <c r="I1272" s="13"/>
    </row>
    <row r="1273" spans="1:9">
      <c r="A1273" s="13" t="s">
        <v>1980</v>
      </c>
      <c r="B1273" s="139" t="s">
        <v>533</v>
      </c>
      <c r="C1273" s="139" t="s">
        <v>493</v>
      </c>
      <c r="D1273" s="15">
        <v>135000000</v>
      </c>
      <c r="E1273" s="93">
        <v>0.97962925280000002</v>
      </c>
      <c r="F1273" s="18">
        <v>132249949.13</v>
      </c>
      <c r="G1273" s="18">
        <v>0.25</v>
      </c>
      <c r="H1273" s="13"/>
      <c r="I1273" s="13"/>
    </row>
    <row r="1274" spans="1:9">
      <c r="A1274" s="13" t="s">
        <v>1981</v>
      </c>
      <c r="B1274" s="139" t="s">
        <v>778</v>
      </c>
      <c r="C1274" s="139" t="s">
        <v>494</v>
      </c>
      <c r="D1274" s="15">
        <v>30000000</v>
      </c>
      <c r="E1274" s="154">
        <v>0.93474708699999998</v>
      </c>
      <c r="F1274" s="18">
        <v>28042412.609999999</v>
      </c>
      <c r="G1274" s="18">
        <v>0.05</v>
      </c>
      <c r="H1274" s="13"/>
      <c r="I1274" s="13"/>
    </row>
    <row r="1275" spans="1:9">
      <c r="A1275" s="13" t="s">
        <v>1982</v>
      </c>
      <c r="B1275" s="139" t="s">
        <v>1921</v>
      </c>
      <c r="C1275" s="139" t="s">
        <v>494</v>
      </c>
      <c r="D1275" s="15">
        <v>30000000</v>
      </c>
      <c r="E1275" s="93">
        <v>0.90615699579999998</v>
      </c>
      <c r="F1275" s="18">
        <v>27184709.870000001</v>
      </c>
      <c r="G1275" s="18">
        <v>0.05</v>
      </c>
      <c r="H1275" s="13"/>
      <c r="I1275" s="13"/>
    </row>
    <row r="1276" spans="1:9">
      <c r="A1276" s="13" t="s">
        <v>1984</v>
      </c>
      <c r="B1276" s="139" t="s">
        <v>1983</v>
      </c>
      <c r="C1276" s="139" t="s">
        <v>494</v>
      </c>
      <c r="D1276" s="15">
        <v>30000000</v>
      </c>
      <c r="E1276" s="93">
        <v>0.89680596619999997</v>
      </c>
      <c r="F1276" s="18">
        <v>26904178.989999998</v>
      </c>
      <c r="G1276" s="18">
        <v>0.05</v>
      </c>
      <c r="H1276" s="13"/>
      <c r="I1276" s="13"/>
    </row>
    <row r="1277" spans="1:9">
      <c r="A1277" s="13" t="s">
        <v>1994</v>
      </c>
      <c r="B1277" s="139" t="s">
        <v>1993</v>
      </c>
      <c r="C1277" s="139" t="s">
        <v>494</v>
      </c>
      <c r="D1277" s="15">
        <v>7000000</v>
      </c>
      <c r="E1277" s="93">
        <v>0.88523479810000005</v>
      </c>
      <c r="F1277" s="18">
        <v>6196643.5899999999</v>
      </c>
      <c r="G1277" s="18">
        <v>0.01</v>
      </c>
      <c r="H1277" s="13"/>
      <c r="I1277" s="13"/>
    </row>
    <row r="1278" spans="1:9">
      <c r="A1278" s="13" t="s">
        <v>1995</v>
      </c>
      <c r="B1278" s="139" t="s">
        <v>1921</v>
      </c>
      <c r="C1278" s="139" t="s">
        <v>494</v>
      </c>
      <c r="D1278" s="15">
        <v>7000000</v>
      </c>
      <c r="E1278" s="93">
        <v>0.90615699579999998</v>
      </c>
      <c r="F1278" s="18">
        <v>6343098.9699999997</v>
      </c>
      <c r="G1278" s="18">
        <v>0.01</v>
      </c>
      <c r="H1278" s="13"/>
      <c r="I1278" s="13"/>
    </row>
    <row r="1279" spans="1:9">
      <c r="A1279" s="13" t="s">
        <v>1996</v>
      </c>
      <c r="B1279" s="139" t="s">
        <v>636</v>
      </c>
      <c r="C1279" s="139" t="s">
        <v>494</v>
      </c>
      <c r="D1279" s="15">
        <v>24500000</v>
      </c>
      <c r="E1279" s="93">
        <v>0.93888266909999996</v>
      </c>
      <c r="F1279" s="18">
        <v>23002625.390000001</v>
      </c>
      <c r="G1279" s="18">
        <v>0.04</v>
      </c>
      <c r="H1279" s="13"/>
      <c r="I1279" s="13"/>
    </row>
    <row r="1280" spans="1:9">
      <c r="A1280" s="13" t="s">
        <v>1997</v>
      </c>
      <c r="B1280" s="139" t="s">
        <v>681</v>
      </c>
      <c r="C1280" s="139" t="s">
        <v>494</v>
      </c>
      <c r="D1280" s="15">
        <v>24500000</v>
      </c>
      <c r="E1280" s="93">
        <v>0.94810123469999996</v>
      </c>
      <c r="F1280" s="18">
        <v>23228480.25</v>
      </c>
      <c r="G1280" s="18">
        <v>0.04</v>
      </c>
      <c r="H1280" s="13"/>
      <c r="I1280" s="13"/>
    </row>
    <row r="1281" spans="1:9">
      <c r="A1281" s="13" t="s">
        <v>1998</v>
      </c>
      <c r="B1281" s="139" t="s">
        <v>759</v>
      </c>
      <c r="C1281" s="139" t="s">
        <v>494</v>
      </c>
      <c r="D1281" s="15">
        <v>24500000</v>
      </c>
      <c r="E1281" s="93">
        <v>0.94346943380000003</v>
      </c>
      <c r="F1281" s="18">
        <v>23115001.129999999</v>
      </c>
      <c r="G1281" s="18">
        <v>0.04</v>
      </c>
      <c r="H1281" s="13"/>
      <c r="I1281" s="13"/>
    </row>
    <row r="1282" spans="1:9">
      <c r="A1282" s="13" t="s">
        <v>1999</v>
      </c>
      <c r="B1282" s="139" t="s">
        <v>765</v>
      </c>
      <c r="C1282" s="139" t="s">
        <v>494</v>
      </c>
      <c r="D1282" s="15">
        <v>24500000</v>
      </c>
      <c r="E1282" s="93">
        <v>0.93434028859999996</v>
      </c>
      <c r="F1282" s="18">
        <v>22891337.07</v>
      </c>
      <c r="G1282" s="18">
        <v>0.04</v>
      </c>
      <c r="H1282" s="13"/>
      <c r="I1282" s="13"/>
    </row>
    <row r="1283" spans="1:9">
      <c r="A1283" s="13" t="s">
        <v>2000</v>
      </c>
      <c r="B1283" s="139" t="s">
        <v>190</v>
      </c>
      <c r="C1283" s="139" t="s">
        <v>494</v>
      </c>
      <c r="D1283" s="15">
        <v>2500000</v>
      </c>
      <c r="E1283" s="93">
        <v>0.97028030590000003</v>
      </c>
      <c r="F1283" s="18">
        <v>2425700.7599999998</v>
      </c>
      <c r="G1283" s="15">
        <v>0</v>
      </c>
      <c r="H1283" s="13"/>
      <c r="I1283" s="13"/>
    </row>
    <row r="1284" spans="1:9">
      <c r="A1284" s="13" t="s">
        <v>2001</v>
      </c>
      <c r="B1284" s="139" t="s">
        <v>559</v>
      </c>
      <c r="C1284" s="139" t="s">
        <v>494</v>
      </c>
      <c r="D1284" s="15">
        <v>2500000</v>
      </c>
      <c r="E1284" s="93">
        <v>0.96894082250000002</v>
      </c>
      <c r="F1284" s="18">
        <v>2422352.06</v>
      </c>
      <c r="G1284" s="15">
        <v>0</v>
      </c>
      <c r="H1284" s="13"/>
      <c r="I1284" s="13"/>
    </row>
    <row r="1285" spans="1:9">
      <c r="A1285" s="13" t="s">
        <v>2002</v>
      </c>
      <c r="B1285" s="139" t="s">
        <v>713</v>
      </c>
      <c r="C1285" s="139" t="s">
        <v>494</v>
      </c>
      <c r="D1285" s="15">
        <v>10000000</v>
      </c>
      <c r="E1285" s="93">
        <v>0.96163981190000003</v>
      </c>
      <c r="F1285" s="18">
        <v>9616398.1199999992</v>
      </c>
      <c r="G1285" s="18">
        <v>0.02</v>
      </c>
      <c r="H1285" s="13"/>
      <c r="I1285" s="13"/>
    </row>
    <row r="1286" spans="1:9">
      <c r="A1286" s="13" t="s">
        <v>2003</v>
      </c>
      <c r="B1286" s="139" t="s">
        <v>688</v>
      </c>
      <c r="C1286" s="139" t="s">
        <v>494</v>
      </c>
      <c r="D1286" s="15">
        <v>10000000</v>
      </c>
      <c r="E1286" s="93">
        <v>0.96428197729999998</v>
      </c>
      <c r="F1286" s="18">
        <v>9642819.7699999996</v>
      </c>
      <c r="G1286" s="18">
        <v>0.02</v>
      </c>
      <c r="H1286" s="13"/>
      <c r="I1286" s="13"/>
    </row>
    <row r="1287" spans="1:9">
      <c r="A1287" s="13" t="s">
        <v>2004</v>
      </c>
      <c r="B1287" s="139" t="s">
        <v>855</v>
      </c>
      <c r="C1287" s="139" t="s">
        <v>494</v>
      </c>
      <c r="D1287" s="15">
        <v>10000000</v>
      </c>
      <c r="E1287" s="93">
        <v>0.96362022130000002</v>
      </c>
      <c r="F1287" s="18">
        <v>9636202.2100000009</v>
      </c>
      <c r="G1287" s="18">
        <v>0.02</v>
      </c>
      <c r="H1287" s="13"/>
      <c r="I1287" s="13"/>
    </row>
    <row r="1288" spans="1:9">
      <c r="A1288" s="13" t="s">
        <v>2005</v>
      </c>
      <c r="B1288" s="139" t="s">
        <v>549</v>
      </c>
      <c r="C1288" s="139" t="s">
        <v>494</v>
      </c>
      <c r="D1288" s="15">
        <v>10000000</v>
      </c>
      <c r="E1288" s="93">
        <v>0.97771360880000002</v>
      </c>
      <c r="F1288" s="18">
        <v>9777136.0899999999</v>
      </c>
      <c r="G1288" s="18">
        <v>0.02</v>
      </c>
      <c r="H1288" s="13"/>
      <c r="I1288" s="13"/>
    </row>
    <row r="1289" spans="1:9">
      <c r="A1289" s="13" t="s">
        <v>2006</v>
      </c>
      <c r="B1289" s="139" t="s">
        <v>571</v>
      </c>
      <c r="C1289" s="139" t="s">
        <v>494</v>
      </c>
      <c r="D1289" s="15">
        <v>10000000</v>
      </c>
      <c r="E1289" s="93">
        <v>0.97839506210000005</v>
      </c>
      <c r="F1289" s="18">
        <v>9783950.6199999992</v>
      </c>
      <c r="G1289" s="18">
        <v>0.02</v>
      </c>
      <c r="H1289" s="13"/>
      <c r="I1289" s="13"/>
    </row>
    <row r="1290" spans="1:9">
      <c r="A1290" s="13" t="s">
        <v>2007</v>
      </c>
      <c r="B1290" s="139" t="s">
        <v>571</v>
      </c>
      <c r="C1290" s="139" t="s">
        <v>494</v>
      </c>
      <c r="D1290" s="15">
        <v>10000000</v>
      </c>
      <c r="E1290" s="93">
        <v>0.97839506210000005</v>
      </c>
      <c r="F1290" s="18">
        <v>9783950.6199999992</v>
      </c>
      <c r="G1290" s="18">
        <v>0.02</v>
      </c>
      <c r="H1290" s="13"/>
      <c r="I1290" s="13"/>
    </row>
    <row r="1291" spans="1:9">
      <c r="A1291" s="13" t="s">
        <v>2008</v>
      </c>
      <c r="B1291" s="139" t="s">
        <v>571</v>
      </c>
      <c r="C1291" s="139" t="s">
        <v>494</v>
      </c>
      <c r="D1291" s="15">
        <v>10000000</v>
      </c>
      <c r="E1291" s="93">
        <v>0.97839506210000005</v>
      </c>
      <c r="F1291" s="18">
        <v>9783950.6199999992</v>
      </c>
      <c r="G1291" s="18">
        <v>0.02</v>
      </c>
      <c r="H1291" s="13"/>
      <c r="I1291" s="13"/>
    </row>
    <row r="1292" spans="1:9">
      <c r="A1292" s="13" t="s">
        <v>2009</v>
      </c>
      <c r="B1292" s="139" t="s">
        <v>488</v>
      </c>
      <c r="C1292" s="139" t="s">
        <v>494</v>
      </c>
      <c r="D1292" s="15">
        <v>10000000</v>
      </c>
      <c r="E1292" s="93">
        <v>0.96961010329999997</v>
      </c>
      <c r="F1292" s="18">
        <v>9696101.0299999993</v>
      </c>
      <c r="G1292" s="18">
        <v>0.02</v>
      </c>
      <c r="H1292" s="13"/>
      <c r="I1292" s="13"/>
    </row>
    <row r="1293" spans="1:9">
      <c r="A1293" s="13" t="s">
        <v>2010</v>
      </c>
      <c r="B1293" s="139" t="s">
        <v>624</v>
      </c>
      <c r="C1293" s="139" t="s">
        <v>494</v>
      </c>
      <c r="D1293" s="15">
        <v>10000000</v>
      </c>
      <c r="E1293" s="93">
        <v>0.97095144089999996</v>
      </c>
      <c r="F1293" s="18">
        <v>9709514.4100000001</v>
      </c>
      <c r="G1293" s="18">
        <v>0.02</v>
      </c>
      <c r="H1293" s="13"/>
      <c r="I1293" s="13"/>
    </row>
    <row r="1294" spans="1:9">
      <c r="A1294" s="13" t="s">
        <v>2011</v>
      </c>
      <c r="B1294" s="139" t="s">
        <v>798</v>
      </c>
      <c r="C1294" s="139" t="s">
        <v>494</v>
      </c>
      <c r="D1294" s="15">
        <v>10000000</v>
      </c>
      <c r="E1294" s="93">
        <v>0.97364490459999997</v>
      </c>
      <c r="F1294" s="18">
        <v>9736449.0500000007</v>
      </c>
      <c r="G1294" s="18">
        <v>0.02</v>
      </c>
      <c r="H1294" s="13"/>
      <c r="I1294" s="13"/>
    </row>
    <row r="1295" spans="1:9">
      <c r="A1295" s="13" t="s">
        <v>2012</v>
      </c>
      <c r="B1295" s="139" t="s">
        <v>505</v>
      </c>
      <c r="C1295" s="139" t="s">
        <v>494</v>
      </c>
      <c r="D1295" s="15">
        <v>40000000</v>
      </c>
      <c r="E1295" s="93">
        <v>0.97499743279999995</v>
      </c>
      <c r="F1295" s="18">
        <v>38999897.310000002</v>
      </c>
      <c r="G1295" s="18">
        <v>7.0000000000000007E-2</v>
      </c>
      <c r="H1295" s="13"/>
      <c r="I1295" s="13"/>
    </row>
    <row r="1296" spans="1:9">
      <c r="A1296" s="13" t="s">
        <v>2013</v>
      </c>
      <c r="B1296" s="139" t="s">
        <v>716</v>
      </c>
      <c r="C1296" s="139" t="s">
        <v>494</v>
      </c>
      <c r="D1296" s="15">
        <v>20000000</v>
      </c>
      <c r="E1296" s="93">
        <v>0.93953524730000004</v>
      </c>
      <c r="F1296" s="18">
        <v>18790704.949999999</v>
      </c>
      <c r="G1296" s="18">
        <v>0.04</v>
      </c>
      <c r="H1296" s="13"/>
      <c r="I1296" s="13"/>
    </row>
    <row r="1297" spans="1:9">
      <c r="A1297" s="13" t="s">
        <v>2014</v>
      </c>
      <c r="B1297" s="139" t="s">
        <v>720</v>
      </c>
      <c r="C1297" s="139" t="s">
        <v>494</v>
      </c>
      <c r="D1297" s="15">
        <v>15000000</v>
      </c>
      <c r="E1297" s="153">
        <v>0.93628160000000005</v>
      </c>
      <c r="F1297" s="15">
        <v>14044224</v>
      </c>
      <c r="G1297" s="18">
        <v>0.03</v>
      </c>
      <c r="H1297" s="13"/>
      <c r="I1297" s="13"/>
    </row>
    <row r="1298" spans="1:9">
      <c r="A1298" s="13" t="s">
        <v>2015</v>
      </c>
      <c r="B1298" s="139" t="s">
        <v>778</v>
      </c>
      <c r="C1298" s="139" t="s">
        <v>494</v>
      </c>
      <c r="D1298" s="15">
        <v>20000000</v>
      </c>
      <c r="E1298" s="93">
        <v>0.93693056679999998</v>
      </c>
      <c r="F1298" s="18">
        <v>18738611.34</v>
      </c>
      <c r="G1298" s="18">
        <v>0.04</v>
      </c>
      <c r="H1298" s="13"/>
      <c r="I1298" s="13"/>
    </row>
    <row r="1299" spans="1:9">
      <c r="A1299" s="13" t="s">
        <v>2016</v>
      </c>
      <c r="B1299" s="139" t="s">
        <v>852</v>
      </c>
      <c r="C1299" s="139" t="s">
        <v>494</v>
      </c>
      <c r="D1299" s="15">
        <v>35000000</v>
      </c>
      <c r="E1299" s="93">
        <v>0.96627310040000003</v>
      </c>
      <c r="F1299" s="18">
        <v>33819558.509999998</v>
      </c>
      <c r="G1299" s="18">
        <v>0.06</v>
      </c>
      <c r="H1299" s="13"/>
      <c r="I1299" s="13"/>
    </row>
    <row r="1300" spans="1:9">
      <c r="A1300" s="13" t="s">
        <v>2017</v>
      </c>
      <c r="B1300" s="139" t="s">
        <v>631</v>
      </c>
      <c r="C1300" s="139" t="s">
        <v>494</v>
      </c>
      <c r="D1300" s="15">
        <v>1650000</v>
      </c>
      <c r="E1300" s="93">
        <v>0.94478830059999996</v>
      </c>
      <c r="F1300" s="151">
        <v>1558900.7</v>
      </c>
      <c r="G1300" s="15">
        <v>0</v>
      </c>
      <c r="H1300" s="13"/>
      <c r="I1300" s="13"/>
    </row>
    <row r="1301" spans="1:9">
      <c r="A1301" s="13" t="s">
        <v>2018</v>
      </c>
      <c r="B1301" s="139" t="s">
        <v>778</v>
      </c>
      <c r="C1301" s="139" t="s">
        <v>494</v>
      </c>
      <c r="D1301" s="15">
        <v>1650000</v>
      </c>
      <c r="E1301" s="93">
        <v>0.93693055589999996</v>
      </c>
      <c r="F1301" s="18">
        <v>1545935.42</v>
      </c>
      <c r="G1301" s="15">
        <v>0</v>
      </c>
      <c r="H1301" s="13"/>
      <c r="I1301" s="13"/>
    </row>
    <row r="1302" spans="1:9">
      <c r="A1302" s="13" t="s">
        <v>2019</v>
      </c>
      <c r="B1302" s="139" t="s">
        <v>1341</v>
      </c>
      <c r="C1302" s="139" t="s">
        <v>494</v>
      </c>
      <c r="D1302" s="15">
        <v>10000000</v>
      </c>
      <c r="E1302" s="93">
        <v>0.92729036239999996</v>
      </c>
      <c r="F1302" s="18">
        <v>9272903.6199999992</v>
      </c>
      <c r="G1302" s="18">
        <v>0.02</v>
      </c>
      <c r="H1302" s="13"/>
      <c r="I1302" s="13"/>
    </row>
    <row r="1303" spans="1:9">
      <c r="A1303" s="13" t="s">
        <v>2020</v>
      </c>
      <c r="B1303" s="139" t="s">
        <v>720</v>
      </c>
      <c r="C1303" s="139" t="s">
        <v>494</v>
      </c>
      <c r="D1303" s="15">
        <v>10000000</v>
      </c>
      <c r="E1303" s="153">
        <v>0.93628160000000005</v>
      </c>
      <c r="F1303" s="15">
        <v>9362816</v>
      </c>
      <c r="G1303" s="18">
        <v>0.02</v>
      </c>
      <c r="H1303" s="13"/>
      <c r="I1303" s="13"/>
    </row>
    <row r="1304" spans="1:9">
      <c r="A1304" s="13" t="s">
        <v>2021</v>
      </c>
      <c r="B1304" s="139" t="s">
        <v>711</v>
      </c>
      <c r="C1304" s="139" t="s">
        <v>494</v>
      </c>
      <c r="D1304" s="15">
        <v>10000000</v>
      </c>
      <c r="E1304" s="93">
        <v>0.94018873410000003</v>
      </c>
      <c r="F1304" s="18">
        <v>9401887.3399999999</v>
      </c>
      <c r="G1304" s="18">
        <v>0.02</v>
      </c>
      <c r="H1304" s="13"/>
      <c r="I1304" s="13"/>
    </row>
    <row r="1305" spans="1:9">
      <c r="A1305" s="13" t="s">
        <v>2022</v>
      </c>
      <c r="B1305" s="139" t="s">
        <v>748</v>
      </c>
      <c r="C1305" s="139" t="s">
        <v>494</v>
      </c>
      <c r="D1305" s="15">
        <v>10000000</v>
      </c>
      <c r="E1305" s="154">
        <v>0.922229564</v>
      </c>
      <c r="F1305" s="18">
        <v>9222295.6400000006</v>
      </c>
      <c r="G1305" s="18">
        <v>0.02</v>
      </c>
      <c r="H1305" s="13"/>
      <c r="I1305" s="13"/>
    </row>
    <row r="1306" spans="1:9">
      <c r="A1306" s="13" t="s">
        <v>2023</v>
      </c>
      <c r="B1306" s="139" t="s">
        <v>708</v>
      </c>
      <c r="C1306" s="139" t="s">
        <v>494</v>
      </c>
      <c r="D1306" s="15">
        <v>10000000</v>
      </c>
      <c r="E1306" s="93">
        <v>0.94544890729999997</v>
      </c>
      <c r="F1306" s="18">
        <v>9454489.0700000003</v>
      </c>
      <c r="G1306" s="18">
        <v>0.02</v>
      </c>
      <c r="H1306" s="13"/>
      <c r="I1306" s="13"/>
    </row>
    <row r="1307" spans="1:9">
      <c r="A1307" s="13" t="s">
        <v>2024</v>
      </c>
      <c r="B1307" s="139" t="s">
        <v>776</v>
      </c>
      <c r="C1307" s="139" t="s">
        <v>494</v>
      </c>
      <c r="D1307" s="15">
        <v>10000000</v>
      </c>
      <c r="E1307" s="93">
        <v>0.93176429130000005</v>
      </c>
      <c r="F1307" s="18">
        <v>9317642.9100000001</v>
      </c>
      <c r="G1307" s="18">
        <v>0.02</v>
      </c>
      <c r="H1307" s="13"/>
      <c r="I1307" s="13"/>
    </row>
    <row r="1308" spans="1:9">
      <c r="A1308" s="13" t="s">
        <v>2025</v>
      </c>
      <c r="B1308" s="139" t="s">
        <v>855</v>
      </c>
      <c r="C1308" s="139" t="s">
        <v>494</v>
      </c>
      <c r="D1308" s="15">
        <v>7000000</v>
      </c>
      <c r="E1308" s="93">
        <v>0.96362021990000002</v>
      </c>
      <c r="F1308" s="18">
        <v>6745341.54</v>
      </c>
      <c r="G1308" s="18">
        <v>0.01</v>
      </c>
      <c r="H1308" s="13"/>
      <c r="I1308" s="13"/>
    </row>
    <row r="1309" spans="1:9">
      <c r="A1309" s="13" t="s">
        <v>2026</v>
      </c>
      <c r="B1309" s="139" t="s">
        <v>852</v>
      </c>
      <c r="C1309" s="139" t="s">
        <v>494</v>
      </c>
      <c r="D1309" s="15">
        <v>25000000</v>
      </c>
      <c r="E1309" s="93">
        <v>0.96627310040000003</v>
      </c>
      <c r="F1309" s="18">
        <v>24156827.510000002</v>
      </c>
      <c r="G1309" s="18">
        <v>0.05</v>
      </c>
      <c r="H1309" s="13"/>
      <c r="I1309" s="13"/>
    </row>
    <row r="1310" spans="1:9">
      <c r="A1310" s="13" t="s">
        <v>2027</v>
      </c>
      <c r="B1310" s="139" t="s">
        <v>488</v>
      </c>
      <c r="C1310" s="139" t="s">
        <v>494</v>
      </c>
      <c r="D1310" s="15">
        <v>25000000</v>
      </c>
      <c r="E1310" s="93">
        <v>0.96961010329999997</v>
      </c>
      <c r="F1310" s="18">
        <v>24240252.579999998</v>
      </c>
      <c r="G1310" s="18">
        <v>0.05</v>
      </c>
      <c r="H1310" s="13"/>
      <c r="I1310" s="13"/>
    </row>
    <row r="1311" spans="1:9">
      <c r="A1311" s="13" t="s">
        <v>2028</v>
      </c>
      <c r="B1311" s="139" t="s">
        <v>488</v>
      </c>
      <c r="C1311" s="139" t="s">
        <v>494</v>
      </c>
      <c r="D1311" s="15">
        <v>12500000</v>
      </c>
      <c r="E1311" s="93">
        <v>0.96961010329999997</v>
      </c>
      <c r="F1311" s="18">
        <v>12120126.289999999</v>
      </c>
      <c r="G1311" s="18">
        <v>0.02</v>
      </c>
      <c r="H1311" s="13"/>
      <c r="I1311" s="13"/>
    </row>
    <row r="1312" spans="1:9">
      <c r="A1312" s="13" t="s">
        <v>2029</v>
      </c>
      <c r="B1312" s="139" t="s">
        <v>842</v>
      </c>
      <c r="C1312" s="139" t="s">
        <v>494</v>
      </c>
      <c r="D1312" s="15">
        <v>2500000</v>
      </c>
      <c r="E1312" s="93">
        <v>0.98026064749999997</v>
      </c>
      <c r="F1312" s="18">
        <v>2450651.62</v>
      </c>
      <c r="G1312" s="15">
        <v>0</v>
      </c>
      <c r="H1312" s="13"/>
      <c r="I1312" s="13"/>
    </row>
    <row r="1313" spans="1:9">
      <c r="A1313" s="13" t="s">
        <v>2030</v>
      </c>
      <c r="B1313" s="139" t="s">
        <v>490</v>
      </c>
      <c r="C1313" s="139" t="s">
        <v>494</v>
      </c>
      <c r="D1313" s="15">
        <v>2500000</v>
      </c>
      <c r="E1313" s="93">
        <v>0.98488937789999997</v>
      </c>
      <c r="F1313" s="18">
        <v>2462223.44</v>
      </c>
      <c r="G1313" s="15">
        <v>0</v>
      </c>
      <c r="H1313" s="13"/>
      <c r="I1313" s="13"/>
    </row>
    <row r="1314" spans="1:9">
      <c r="A1314" s="13" t="s">
        <v>1986</v>
      </c>
      <c r="B1314" s="139" t="s">
        <v>713</v>
      </c>
      <c r="C1314" s="139" t="s">
        <v>494</v>
      </c>
      <c r="D1314" s="15">
        <v>3200000</v>
      </c>
      <c r="E1314" s="93">
        <v>0.94491045640000004</v>
      </c>
      <c r="F1314" s="18">
        <v>3023713.46</v>
      </c>
      <c r="G1314" s="18">
        <v>0.01</v>
      </c>
      <c r="H1314" s="13"/>
      <c r="I1314" s="13"/>
    </row>
    <row r="1315" spans="1:9">
      <c r="A1315" s="13" t="s">
        <v>1987</v>
      </c>
      <c r="B1315" s="139" t="s">
        <v>713</v>
      </c>
      <c r="C1315" s="139" t="s">
        <v>494</v>
      </c>
      <c r="D1315" s="15">
        <v>42000000</v>
      </c>
      <c r="E1315" s="93">
        <v>0.94491045370000004</v>
      </c>
      <c r="F1315" s="18">
        <v>39686239.060000002</v>
      </c>
      <c r="G1315" s="18">
        <v>0.08</v>
      </c>
      <c r="H1315" s="13"/>
      <c r="I1315" s="13"/>
    </row>
    <row r="1316" spans="1:9">
      <c r="A1316" s="13" t="s">
        <v>1988</v>
      </c>
      <c r="B1316" s="139" t="s">
        <v>563</v>
      </c>
      <c r="C1316" s="139" t="s">
        <v>494</v>
      </c>
      <c r="D1316" s="15">
        <v>25000000</v>
      </c>
      <c r="E1316" s="93">
        <v>0.94398201960000006</v>
      </c>
      <c r="F1316" s="18">
        <v>23599550.489999998</v>
      </c>
      <c r="G1316" s="18">
        <v>0.05</v>
      </c>
      <c r="H1316" s="13"/>
      <c r="I1316" s="13"/>
    </row>
    <row r="1317" spans="1:9">
      <c r="A1317" s="13" t="s">
        <v>1989</v>
      </c>
      <c r="B1317" s="139" t="s">
        <v>855</v>
      </c>
      <c r="C1317" s="139" t="s">
        <v>494</v>
      </c>
      <c r="D1317" s="15">
        <v>25000000</v>
      </c>
      <c r="E1317" s="93">
        <v>0.94770757890000001</v>
      </c>
      <c r="F1317" s="18">
        <v>23692689.469999999</v>
      </c>
      <c r="G1317" s="18">
        <v>0.05</v>
      </c>
      <c r="H1317" s="13"/>
      <c r="I1317" s="13"/>
    </row>
    <row r="1318" spans="1:9">
      <c r="A1318" s="13" t="s">
        <v>1990</v>
      </c>
      <c r="B1318" s="139" t="s">
        <v>855</v>
      </c>
      <c r="C1318" s="139" t="s">
        <v>494</v>
      </c>
      <c r="D1318" s="15">
        <v>25000000</v>
      </c>
      <c r="E1318" s="93">
        <v>0.94770757890000001</v>
      </c>
      <c r="F1318" s="18">
        <v>23692689.469999999</v>
      </c>
      <c r="G1318" s="18">
        <v>0.05</v>
      </c>
      <c r="H1318" s="13"/>
      <c r="I1318" s="13"/>
    </row>
    <row r="1319" spans="1:9">
      <c r="A1319" s="13" t="s">
        <v>1991</v>
      </c>
      <c r="B1319" s="139" t="s">
        <v>713</v>
      </c>
      <c r="C1319" s="139" t="s">
        <v>494</v>
      </c>
      <c r="D1319" s="15">
        <v>30000000</v>
      </c>
      <c r="E1319" s="93">
        <v>0.94491045370000004</v>
      </c>
      <c r="F1319" s="18">
        <v>28347313.609999999</v>
      </c>
      <c r="G1319" s="18">
        <v>0.05</v>
      </c>
      <c r="H1319" s="13"/>
      <c r="I1319" s="13"/>
    </row>
    <row r="1320" spans="1:9">
      <c r="A1320" s="13" t="s">
        <v>1985</v>
      </c>
      <c r="B1320" s="139" t="s">
        <v>1550</v>
      </c>
      <c r="C1320" s="139" t="s">
        <v>494</v>
      </c>
      <c r="D1320" s="18">
        <v>20078937.030000001</v>
      </c>
      <c r="E1320" s="93">
        <v>0.86665417659999999</v>
      </c>
      <c r="F1320" s="18">
        <v>17401494.640000001</v>
      </c>
      <c r="G1320" s="18">
        <v>0.03</v>
      </c>
      <c r="H1320" s="13"/>
      <c r="I1320" s="13"/>
    </row>
    <row r="1321" spans="1:9">
      <c r="A1321" s="13" t="s">
        <v>1992</v>
      </c>
      <c r="B1321" s="139" t="s">
        <v>188</v>
      </c>
      <c r="C1321" s="139" t="s">
        <v>494</v>
      </c>
      <c r="D1321" s="18">
        <v>35624104.350000001</v>
      </c>
      <c r="E1321" s="93">
        <v>0.97515366540000004</v>
      </c>
      <c r="F1321" s="18">
        <v>34738975.93</v>
      </c>
      <c r="G1321" s="18">
        <v>7.0000000000000007E-2</v>
      </c>
      <c r="H1321" s="13"/>
      <c r="I1321" s="13"/>
    </row>
    <row r="1322" spans="1:9">
      <c r="A1322" s="13" t="s">
        <v>2031</v>
      </c>
      <c r="B1322" s="139" t="s">
        <v>505</v>
      </c>
      <c r="C1322" s="139" t="s">
        <v>494</v>
      </c>
      <c r="D1322" s="15">
        <v>11957120</v>
      </c>
      <c r="E1322" s="93">
        <v>0.97033189720000002</v>
      </c>
      <c r="F1322" s="18">
        <v>11602374.93</v>
      </c>
      <c r="G1322" s="18">
        <v>0.02</v>
      </c>
      <c r="H1322" s="13"/>
      <c r="I1322" s="13"/>
    </row>
    <row r="1323" spans="1:9">
      <c r="A1323" s="13" t="s">
        <v>2032</v>
      </c>
      <c r="B1323" s="139" t="s">
        <v>445</v>
      </c>
      <c r="C1323" s="139" t="s">
        <v>509</v>
      </c>
      <c r="D1323" s="18">
        <v>91981920.340000004</v>
      </c>
      <c r="E1323" s="93">
        <v>0.99436077280000001</v>
      </c>
      <c r="F1323" s="18">
        <v>91463213.390000001</v>
      </c>
      <c r="G1323" s="18">
        <v>0.17</v>
      </c>
      <c r="H1323" s="13"/>
      <c r="I1323" s="13"/>
    </row>
    <row r="1324" spans="1:9">
      <c r="A1324" s="13" t="s">
        <v>2033</v>
      </c>
      <c r="B1324" s="139" t="s">
        <v>385</v>
      </c>
      <c r="C1324" s="139" t="s">
        <v>509</v>
      </c>
      <c r="D1324" s="151">
        <v>92035653.5</v>
      </c>
      <c r="E1324" s="154">
        <v>0.99311628399999996</v>
      </c>
      <c r="F1324" s="151">
        <v>91402106.200000003</v>
      </c>
      <c r="G1324" s="18">
        <v>0.17</v>
      </c>
      <c r="H1324" s="13"/>
      <c r="I1324" s="13"/>
    </row>
    <row r="1325" spans="1:9">
      <c r="A1325" s="13" t="s">
        <v>2034</v>
      </c>
      <c r="B1325" s="139" t="s">
        <v>518</v>
      </c>
      <c r="C1325" s="139" t="s">
        <v>509</v>
      </c>
      <c r="D1325" s="18">
        <v>92619861.719999999</v>
      </c>
      <c r="E1325" s="93">
        <v>0.99125533450000003</v>
      </c>
      <c r="F1325" s="18">
        <v>91809932.010000005</v>
      </c>
      <c r="G1325" s="18">
        <v>0.18</v>
      </c>
      <c r="H1325" s="13"/>
      <c r="I1325" s="13"/>
    </row>
    <row r="1326" spans="1:9">
      <c r="A1326" s="13" t="s">
        <v>2035</v>
      </c>
      <c r="B1326" s="139" t="s">
        <v>385</v>
      </c>
      <c r="C1326" s="139" t="s">
        <v>509</v>
      </c>
      <c r="D1326" s="18">
        <v>5356036.28</v>
      </c>
      <c r="E1326" s="154">
        <v>0.99104001200000003</v>
      </c>
      <c r="F1326" s="18">
        <v>5308046.26</v>
      </c>
      <c r="G1326" s="18">
        <v>0.01</v>
      </c>
      <c r="H1326" s="13"/>
      <c r="I1326" s="13"/>
    </row>
    <row r="1327" spans="1:9">
      <c r="A1327" s="13" t="s">
        <v>2036</v>
      </c>
      <c r="B1327" s="139" t="s">
        <v>168</v>
      </c>
      <c r="C1327" s="139" t="s">
        <v>509</v>
      </c>
      <c r="D1327" s="18">
        <v>5766326.21</v>
      </c>
      <c r="E1327" s="93">
        <v>0.99917876679999995</v>
      </c>
      <c r="F1327" s="18">
        <v>5761590.71</v>
      </c>
      <c r="G1327" s="18">
        <v>0.01</v>
      </c>
      <c r="H1327" s="13"/>
      <c r="I1327" s="13"/>
    </row>
    <row r="1328" spans="1:9">
      <c r="A1328" s="13" t="s">
        <v>2037</v>
      </c>
      <c r="B1328" s="139" t="s">
        <v>604</v>
      </c>
      <c r="C1328" s="139" t="s">
        <v>509</v>
      </c>
      <c r="D1328" s="15">
        <v>226000000</v>
      </c>
      <c r="E1328" s="93">
        <v>0.9676308965</v>
      </c>
      <c r="F1328" s="18">
        <v>218684582.61000001</v>
      </c>
      <c r="G1328" s="18">
        <v>0.42</v>
      </c>
      <c r="H1328" s="13"/>
      <c r="I1328" s="13"/>
    </row>
    <row r="1329" spans="1:9">
      <c r="A1329" s="13" t="s">
        <v>2038</v>
      </c>
      <c r="B1329" s="139" t="s">
        <v>188</v>
      </c>
      <c r="C1329" s="139" t="s">
        <v>509</v>
      </c>
      <c r="D1329" s="15">
        <v>30000000</v>
      </c>
      <c r="E1329" s="93">
        <v>0.9798658563</v>
      </c>
      <c r="F1329" s="18">
        <v>29395975.690000001</v>
      </c>
      <c r="G1329" s="18">
        <v>0.06</v>
      </c>
      <c r="H1329" s="13"/>
      <c r="I1329" s="13"/>
    </row>
    <row r="1330" spans="1:9">
      <c r="A1330" s="13" t="s">
        <v>2039</v>
      </c>
      <c r="B1330" s="139" t="s">
        <v>1392</v>
      </c>
      <c r="C1330" s="139" t="s">
        <v>509</v>
      </c>
      <c r="D1330" s="15">
        <v>10000000</v>
      </c>
      <c r="E1330" s="93">
        <v>0.94854484169999997</v>
      </c>
      <c r="F1330" s="18">
        <v>9485448.4199999999</v>
      </c>
      <c r="G1330" s="18">
        <v>0.02</v>
      </c>
      <c r="H1330" s="13"/>
      <c r="I1330" s="13"/>
    </row>
    <row r="1331" spans="1:9">
      <c r="A1331" s="13" t="s">
        <v>2040</v>
      </c>
      <c r="B1331" s="139" t="s">
        <v>612</v>
      </c>
      <c r="C1331" s="139" t="s">
        <v>509</v>
      </c>
      <c r="D1331" s="15">
        <v>10000000</v>
      </c>
      <c r="E1331" s="93">
        <v>0.95076853230000002</v>
      </c>
      <c r="F1331" s="18">
        <v>9507685.3200000003</v>
      </c>
      <c r="G1331" s="18">
        <v>0.02</v>
      </c>
      <c r="H1331" s="13"/>
      <c r="I1331" s="13"/>
    </row>
    <row r="1332" spans="1:9">
      <c r="A1332" s="13" t="s">
        <v>2041</v>
      </c>
      <c r="B1332" s="139" t="s">
        <v>771</v>
      </c>
      <c r="C1332" s="139" t="s">
        <v>509</v>
      </c>
      <c r="D1332" s="15">
        <v>6500000</v>
      </c>
      <c r="E1332" s="93">
        <v>0.92334936440000004</v>
      </c>
      <c r="F1332" s="18">
        <v>6001770.8700000001</v>
      </c>
      <c r="G1332" s="18">
        <v>0.01</v>
      </c>
      <c r="H1332" s="13"/>
      <c r="I1332" s="13"/>
    </row>
    <row r="1333" spans="1:9">
      <c r="A1333" s="13" t="s">
        <v>2042</v>
      </c>
      <c r="B1333" s="139" t="s">
        <v>778</v>
      </c>
      <c r="C1333" s="139" t="s">
        <v>509</v>
      </c>
      <c r="D1333" s="15">
        <v>6500000</v>
      </c>
      <c r="E1333" s="93">
        <v>0.93041057930000004</v>
      </c>
      <c r="F1333" s="18">
        <v>6047668.7699999996</v>
      </c>
      <c r="G1333" s="18">
        <v>0.01</v>
      </c>
      <c r="H1333" s="13"/>
      <c r="I1333" s="13"/>
    </row>
    <row r="1334" spans="1:9">
      <c r="A1334" s="13" t="s">
        <v>2043</v>
      </c>
      <c r="B1334" s="139" t="s">
        <v>767</v>
      </c>
      <c r="C1334" s="139" t="s">
        <v>509</v>
      </c>
      <c r="D1334" s="15">
        <v>6500000</v>
      </c>
      <c r="E1334" s="93">
        <v>0.92545658720000001</v>
      </c>
      <c r="F1334" s="18">
        <v>6015467.8200000003</v>
      </c>
      <c r="G1334" s="18">
        <v>0.01</v>
      </c>
      <c r="H1334" s="13"/>
      <c r="I1334" s="13"/>
    </row>
    <row r="1335" spans="1:9">
      <c r="A1335" s="13" t="s">
        <v>2044</v>
      </c>
      <c r="B1335" s="139" t="s">
        <v>785</v>
      </c>
      <c r="C1335" s="139" t="s">
        <v>509</v>
      </c>
      <c r="D1335" s="15">
        <v>6500000</v>
      </c>
      <c r="E1335" s="93">
        <v>0.94780584550000002</v>
      </c>
      <c r="F1335" s="15">
        <v>6160738</v>
      </c>
      <c r="G1335" s="18">
        <v>0.01</v>
      </c>
      <c r="H1335" s="13"/>
      <c r="I1335" s="13"/>
    </row>
    <row r="1336" spans="1:9">
      <c r="A1336" s="13" t="s">
        <v>2045</v>
      </c>
      <c r="B1336" s="139" t="s">
        <v>636</v>
      </c>
      <c r="C1336" s="139" t="s">
        <v>509</v>
      </c>
      <c r="D1336" s="15">
        <v>6500000</v>
      </c>
      <c r="E1336" s="93">
        <v>0.93254995949999997</v>
      </c>
      <c r="F1336" s="18">
        <v>6061574.7400000002</v>
      </c>
      <c r="G1336" s="18">
        <v>0.01</v>
      </c>
      <c r="H1336" s="13"/>
      <c r="I1336" s="13"/>
    </row>
    <row r="1337" spans="1:9">
      <c r="A1337" s="13" t="s">
        <v>2046</v>
      </c>
      <c r="B1337" s="139" t="s">
        <v>763</v>
      </c>
      <c r="C1337" s="139" t="s">
        <v>509</v>
      </c>
      <c r="D1337" s="15">
        <v>6500000</v>
      </c>
      <c r="E1337" s="93">
        <v>0.92828099279999998</v>
      </c>
      <c r="F1337" s="18">
        <v>6033826.4500000002</v>
      </c>
      <c r="G1337" s="18">
        <v>0.01</v>
      </c>
      <c r="H1337" s="13"/>
      <c r="I1337" s="13"/>
    </row>
    <row r="1338" spans="1:9">
      <c r="A1338" s="13" t="s">
        <v>2047</v>
      </c>
      <c r="B1338" s="139" t="s">
        <v>626</v>
      </c>
      <c r="C1338" s="139" t="s">
        <v>509</v>
      </c>
      <c r="D1338" s="15">
        <v>8000000</v>
      </c>
      <c r="E1338" s="154">
        <v>0.94217879800000004</v>
      </c>
      <c r="F1338" s="18">
        <v>7537430.3799999999</v>
      </c>
      <c r="G1338" s="18">
        <v>0.01</v>
      </c>
      <c r="H1338" s="13"/>
      <c r="I1338" s="13"/>
    </row>
    <row r="1339" spans="1:9">
      <c r="A1339" s="13" t="s">
        <v>2048</v>
      </c>
      <c r="B1339" s="139" t="s">
        <v>533</v>
      </c>
      <c r="C1339" s="139" t="s">
        <v>509</v>
      </c>
      <c r="D1339" s="15">
        <v>10000000</v>
      </c>
      <c r="E1339" s="93">
        <v>0.98084010960000001</v>
      </c>
      <c r="F1339" s="151">
        <v>9808401.0999999996</v>
      </c>
      <c r="G1339" s="18">
        <v>0.02</v>
      </c>
      <c r="H1339" s="13"/>
      <c r="I1339" s="13"/>
    </row>
    <row r="1340" spans="1:9">
      <c r="A1340" s="13" t="s">
        <v>2049</v>
      </c>
      <c r="B1340" s="139" t="s">
        <v>1694</v>
      </c>
      <c r="C1340" s="139" t="s">
        <v>509</v>
      </c>
      <c r="D1340" s="15">
        <v>15000000</v>
      </c>
      <c r="E1340" s="93">
        <v>0.93808648169999997</v>
      </c>
      <c r="F1340" s="18">
        <v>14071297.23</v>
      </c>
      <c r="G1340" s="18">
        <v>0.03</v>
      </c>
      <c r="H1340" s="13"/>
      <c r="I1340" s="13"/>
    </row>
    <row r="1341" spans="1:9">
      <c r="A1341" s="13" t="s">
        <v>2050</v>
      </c>
      <c r="B1341" s="139" t="s">
        <v>1694</v>
      </c>
      <c r="C1341" s="139" t="s">
        <v>509</v>
      </c>
      <c r="D1341" s="15">
        <v>15000000</v>
      </c>
      <c r="E1341" s="93">
        <v>0.93808648169999997</v>
      </c>
      <c r="F1341" s="18">
        <v>14071297.23</v>
      </c>
      <c r="G1341" s="18">
        <v>0.03</v>
      </c>
      <c r="H1341" s="13"/>
      <c r="I1341" s="13"/>
    </row>
    <row r="1342" spans="1:9">
      <c r="A1342" s="13" t="s">
        <v>2055</v>
      </c>
      <c r="B1342" s="139" t="s">
        <v>773</v>
      </c>
      <c r="C1342" s="139" t="s">
        <v>509</v>
      </c>
      <c r="D1342" s="15">
        <v>15000000</v>
      </c>
      <c r="E1342" s="154">
        <v>0.93041059199999998</v>
      </c>
      <c r="F1342" s="18">
        <v>13956158.880000001</v>
      </c>
      <c r="G1342" s="18">
        <v>0.03</v>
      </c>
      <c r="H1342" s="13"/>
      <c r="I1342" s="13"/>
    </row>
    <row r="1343" spans="1:9">
      <c r="A1343" s="13" t="s">
        <v>2058</v>
      </c>
      <c r="B1343" s="139" t="s">
        <v>1993</v>
      </c>
      <c r="C1343" s="139" t="s">
        <v>783</v>
      </c>
      <c r="D1343" s="15">
        <v>83000000</v>
      </c>
      <c r="E1343" s="93">
        <v>0.87803722090000003</v>
      </c>
      <c r="F1343" s="18">
        <v>72877089.329999998</v>
      </c>
      <c r="G1343" s="18">
        <v>0.14000000000000001</v>
      </c>
      <c r="H1343" s="13"/>
      <c r="I1343" s="13"/>
    </row>
    <row r="1344" spans="1:9">
      <c r="A1344" s="13" t="s">
        <v>2059</v>
      </c>
      <c r="B1344" s="139" t="s">
        <v>1550</v>
      </c>
      <c r="C1344" s="139" t="s">
        <v>783</v>
      </c>
      <c r="D1344" s="15">
        <v>83000000</v>
      </c>
      <c r="E1344" s="93">
        <v>0.88635267559999997</v>
      </c>
      <c r="F1344" s="18">
        <v>73567272.069999993</v>
      </c>
      <c r="G1344" s="18">
        <v>0.14000000000000001</v>
      </c>
      <c r="H1344" s="13"/>
      <c r="I1344" s="13"/>
    </row>
    <row r="1345" spans="1:9">
      <c r="A1345" s="13" t="s">
        <v>2060</v>
      </c>
      <c r="B1345" s="139" t="s">
        <v>1983</v>
      </c>
      <c r="C1345" s="139" t="s">
        <v>783</v>
      </c>
      <c r="D1345" s="15">
        <v>25000000</v>
      </c>
      <c r="E1345" s="154">
        <v>0.90012351099999999</v>
      </c>
      <c r="F1345" s="18">
        <v>22503087.780000001</v>
      </c>
      <c r="G1345" s="18">
        <v>0.04</v>
      </c>
      <c r="H1345" s="13"/>
      <c r="I1345" s="13"/>
    </row>
    <row r="1346" spans="1:9">
      <c r="A1346" s="13" t="s">
        <v>2061</v>
      </c>
      <c r="B1346" s="139" t="s">
        <v>2062</v>
      </c>
      <c r="C1346" s="139" t="s">
        <v>783</v>
      </c>
      <c r="D1346" s="15">
        <v>25000000</v>
      </c>
      <c r="E1346" s="93">
        <v>0.90859322519999997</v>
      </c>
      <c r="F1346" s="18">
        <v>22714830.629999999</v>
      </c>
      <c r="G1346" s="18">
        <v>0.04</v>
      </c>
      <c r="H1346" s="13"/>
      <c r="I1346" s="13"/>
    </row>
    <row r="1347" spans="1:9">
      <c r="A1347" s="13" t="s">
        <v>2063</v>
      </c>
      <c r="B1347" s="139" t="s">
        <v>999</v>
      </c>
      <c r="C1347" s="139" t="s">
        <v>783</v>
      </c>
      <c r="D1347" s="15">
        <v>25000000</v>
      </c>
      <c r="E1347" s="154">
        <v>0.92601999700000004</v>
      </c>
      <c r="F1347" s="18">
        <v>23150499.93</v>
      </c>
      <c r="G1347" s="18">
        <v>0.04</v>
      </c>
      <c r="H1347" s="13"/>
      <c r="I1347" s="13"/>
    </row>
    <row r="1348" spans="1:9">
      <c r="A1348" s="13" t="s">
        <v>2064</v>
      </c>
      <c r="B1348" s="139" t="s">
        <v>626</v>
      </c>
      <c r="C1348" s="139" t="s">
        <v>783</v>
      </c>
      <c r="D1348" s="15">
        <v>20000000</v>
      </c>
      <c r="E1348" s="93">
        <v>0.94412833510000005</v>
      </c>
      <c r="F1348" s="151">
        <v>18882566.699999999</v>
      </c>
      <c r="G1348" s="18">
        <v>0.04</v>
      </c>
      <c r="H1348" s="13"/>
      <c r="I1348" s="13"/>
    </row>
    <row r="1349" spans="1:9">
      <c r="A1349" s="13" t="s">
        <v>2065</v>
      </c>
      <c r="B1349" s="139" t="s">
        <v>688</v>
      </c>
      <c r="C1349" s="139" t="s">
        <v>783</v>
      </c>
      <c r="D1349" s="15">
        <v>20000000</v>
      </c>
      <c r="E1349" s="93">
        <v>0.96295923940000006</v>
      </c>
      <c r="F1349" s="18">
        <v>19259184.789999999</v>
      </c>
      <c r="G1349" s="18">
        <v>0.04</v>
      </c>
      <c r="H1349" s="13"/>
      <c r="I1349" s="13"/>
    </row>
    <row r="1350" spans="1:9">
      <c r="A1350" s="13" t="s">
        <v>2066</v>
      </c>
      <c r="B1350" s="139" t="s">
        <v>1335</v>
      </c>
      <c r="C1350" s="139" t="s">
        <v>783</v>
      </c>
      <c r="D1350" s="15">
        <v>25000000</v>
      </c>
      <c r="E1350" s="93">
        <v>0.91288813639999999</v>
      </c>
      <c r="F1350" s="18">
        <v>22822203.41</v>
      </c>
      <c r="G1350" s="18">
        <v>0.04</v>
      </c>
      <c r="H1350" s="13"/>
      <c r="I1350" s="13"/>
    </row>
    <row r="1351" spans="1:9">
      <c r="A1351" s="13" t="s">
        <v>2067</v>
      </c>
      <c r="B1351" s="139" t="s">
        <v>571</v>
      </c>
      <c r="C1351" s="139" t="s">
        <v>783</v>
      </c>
      <c r="D1351" s="15">
        <v>3000000</v>
      </c>
      <c r="E1351" s="93">
        <v>0.98002373970000001</v>
      </c>
      <c r="F1351" s="18">
        <v>2940071.22</v>
      </c>
      <c r="G1351" s="18">
        <v>0.01</v>
      </c>
      <c r="H1351" s="13"/>
      <c r="I1351" s="13"/>
    </row>
    <row r="1352" spans="1:9">
      <c r="A1352" s="13" t="s">
        <v>2068</v>
      </c>
      <c r="B1352" s="139" t="s">
        <v>571</v>
      </c>
      <c r="C1352" s="139" t="s">
        <v>783</v>
      </c>
      <c r="D1352" s="15">
        <v>3000000</v>
      </c>
      <c r="E1352" s="93">
        <v>0.98002373970000001</v>
      </c>
      <c r="F1352" s="18">
        <v>2940071.22</v>
      </c>
      <c r="G1352" s="18">
        <v>0.01</v>
      </c>
      <c r="H1352" s="13"/>
      <c r="I1352" s="13"/>
    </row>
    <row r="1353" spans="1:9">
      <c r="A1353" s="13" t="s">
        <v>2069</v>
      </c>
      <c r="B1353" s="139" t="s">
        <v>571</v>
      </c>
      <c r="C1353" s="139" t="s">
        <v>783</v>
      </c>
      <c r="D1353" s="15">
        <v>3000000</v>
      </c>
      <c r="E1353" s="93">
        <v>0.98002373970000001</v>
      </c>
      <c r="F1353" s="18">
        <v>2940071.22</v>
      </c>
      <c r="G1353" s="18">
        <v>0.01</v>
      </c>
      <c r="H1353" s="13"/>
      <c r="I1353" s="13"/>
    </row>
    <row r="1354" spans="1:9">
      <c r="A1354" s="13" t="s">
        <v>2070</v>
      </c>
      <c r="B1354" s="139" t="s">
        <v>533</v>
      </c>
      <c r="C1354" s="139" t="s">
        <v>783</v>
      </c>
      <c r="D1354" s="15">
        <v>3000000</v>
      </c>
      <c r="E1354" s="93">
        <v>0.98510216129999995</v>
      </c>
      <c r="F1354" s="18">
        <v>2955306.48</v>
      </c>
      <c r="G1354" s="18">
        <v>0.01</v>
      </c>
      <c r="H1354" s="13"/>
      <c r="I1354" s="13"/>
    </row>
    <row r="1355" spans="1:9">
      <c r="A1355" s="13" t="s">
        <v>2071</v>
      </c>
      <c r="B1355" s="139" t="s">
        <v>571</v>
      </c>
      <c r="C1355" s="139" t="s">
        <v>783</v>
      </c>
      <c r="D1355" s="15">
        <v>3000000</v>
      </c>
      <c r="E1355" s="93">
        <v>0.98002373970000001</v>
      </c>
      <c r="F1355" s="18">
        <v>2940071.22</v>
      </c>
      <c r="G1355" s="18">
        <v>0.01</v>
      </c>
      <c r="H1355" s="13"/>
      <c r="I1355" s="13"/>
    </row>
    <row r="1356" spans="1:9">
      <c r="A1356" s="13" t="s">
        <v>2072</v>
      </c>
      <c r="B1356" s="139" t="s">
        <v>571</v>
      </c>
      <c r="C1356" s="139" t="s">
        <v>783</v>
      </c>
      <c r="D1356" s="15">
        <v>3000000</v>
      </c>
      <c r="E1356" s="93">
        <v>0.98002373970000001</v>
      </c>
      <c r="F1356" s="18">
        <v>2940071.22</v>
      </c>
      <c r="G1356" s="18">
        <v>0.01</v>
      </c>
      <c r="H1356" s="13"/>
      <c r="I1356" s="13"/>
    </row>
    <row r="1357" spans="1:9">
      <c r="A1357" s="13" t="s">
        <v>2073</v>
      </c>
      <c r="B1357" s="139" t="s">
        <v>571</v>
      </c>
      <c r="C1357" s="139" t="s">
        <v>783</v>
      </c>
      <c r="D1357" s="15">
        <v>3000000</v>
      </c>
      <c r="E1357" s="93">
        <v>0.98002373970000001</v>
      </c>
      <c r="F1357" s="18">
        <v>2940071.22</v>
      </c>
      <c r="G1357" s="18">
        <v>0.01</v>
      </c>
      <c r="H1357" s="13"/>
      <c r="I1357" s="13"/>
    </row>
    <row r="1358" spans="1:9">
      <c r="A1358" s="13" t="s">
        <v>2074</v>
      </c>
      <c r="B1358" s="139" t="s">
        <v>571</v>
      </c>
      <c r="C1358" s="139" t="s">
        <v>783</v>
      </c>
      <c r="D1358" s="15">
        <v>3000000</v>
      </c>
      <c r="E1358" s="93">
        <v>0.98002373970000001</v>
      </c>
      <c r="F1358" s="18">
        <v>2940071.22</v>
      </c>
      <c r="G1358" s="18">
        <v>0.01</v>
      </c>
      <c r="H1358" s="13"/>
      <c r="I1358" s="13"/>
    </row>
    <row r="1359" spans="1:9">
      <c r="A1359" s="13" t="s">
        <v>2075</v>
      </c>
      <c r="B1359" s="139" t="s">
        <v>571</v>
      </c>
      <c r="C1359" s="139" t="s">
        <v>783</v>
      </c>
      <c r="D1359" s="15">
        <v>3000000</v>
      </c>
      <c r="E1359" s="93">
        <v>0.98002373970000001</v>
      </c>
      <c r="F1359" s="18">
        <v>2940071.22</v>
      </c>
      <c r="G1359" s="18">
        <v>0.01</v>
      </c>
      <c r="H1359" s="13"/>
      <c r="I1359" s="13"/>
    </row>
    <row r="1360" spans="1:9">
      <c r="A1360" s="13" t="s">
        <v>2076</v>
      </c>
      <c r="B1360" s="139" t="s">
        <v>571</v>
      </c>
      <c r="C1360" s="139" t="s">
        <v>783</v>
      </c>
      <c r="D1360" s="15">
        <v>3000000</v>
      </c>
      <c r="E1360" s="93">
        <v>0.98002373970000001</v>
      </c>
      <c r="F1360" s="18">
        <v>2940071.22</v>
      </c>
      <c r="G1360" s="18">
        <v>0.01</v>
      </c>
      <c r="H1360" s="13"/>
      <c r="I1360" s="13"/>
    </row>
    <row r="1361" spans="1:9">
      <c r="A1361" s="13" t="s">
        <v>2077</v>
      </c>
      <c r="B1361" s="139" t="s">
        <v>571</v>
      </c>
      <c r="C1361" s="139" t="s">
        <v>783</v>
      </c>
      <c r="D1361" s="15">
        <v>3000000</v>
      </c>
      <c r="E1361" s="93">
        <v>0.98002373970000001</v>
      </c>
      <c r="F1361" s="18">
        <v>2940071.22</v>
      </c>
      <c r="G1361" s="18">
        <v>0.01</v>
      </c>
      <c r="H1361" s="13"/>
      <c r="I1361" s="13"/>
    </row>
    <row r="1362" spans="1:9">
      <c r="A1362" s="13" t="s">
        <v>2078</v>
      </c>
      <c r="B1362" s="139" t="s">
        <v>571</v>
      </c>
      <c r="C1362" s="139" t="s">
        <v>783</v>
      </c>
      <c r="D1362" s="15">
        <v>3000000</v>
      </c>
      <c r="E1362" s="93">
        <v>0.98002373970000001</v>
      </c>
      <c r="F1362" s="18">
        <v>2940071.22</v>
      </c>
      <c r="G1362" s="18">
        <v>0.01</v>
      </c>
      <c r="H1362" s="13"/>
      <c r="I1362" s="13"/>
    </row>
    <row r="1363" spans="1:9">
      <c r="A1363" s="13" t="s">
        <v>2079</v>
      </c>
      <c r="B1363" s="139" t="s">
        <v>571</v>
      </c>
      <c r="C1363" s="139" t="s">
        <v>783</v>
      </c>
      <c r="D1363" s="15">
        <v>3000000</v>
      </c>
      <c r="E1363" s="93">
        <v>0.98002373970000001</v>
      </c>
      <c r="F1363" s="18">
        <v>2940071.22</v>
      </c>
      <c r="G1363" s="18">
        <v>0.01</v>
      </c>
      <c r="H1363" s="13"/>
      <c r="I1363" s="13"/>
    </row>
    <row r="1364" spans="1:9">
      <c r="A1364" s="13" t="s">
        <v>2080</v>
      </c>
      <c r="B1364" s="139" t="s">
        <v>571</v>
      </c>
      <c r="C1364" s="139" t="s">
        <v>783</v>
      </c>
      <c r="D1364" s="15">
        <v>3000000</v>
      </c>
      <c r="E1364" s="93">
        <v>0.98002373970000001</v>
      </c>
      <c r="F1364" s="18">
        <v>2940071.22</v>
      </c>
      <c r="G1364" s="18">
        <v>0.01</v>
      </c>
      <c r="H1364" s="13"/>
      <c r="I1364" s="13"/>
    </row>
    <row r="1365" spans="1:9">
      <c r="A1365" s="13" t="s">
        <v>2081</v>
      </c>
      <c r="B1365" s="139" t="s">
        <v>813</v>
      </c>
      <c r="C1365" s="139" t="s">
        <v>783</v>
      </c>
      <c r="D1365" s="15">
        <v>3000000</v>
      </c>
      <c r="E1365" s="93">
        <v>0.96755383019999996</v>
      </c>
      <c r="F1365" s="18">
        <v>2902661.49</v>
      </c>
      <c r="G1365" s="18">
        <v>0.01</v>
      </c>
      <c r="H1365" s="13"/>
      <c r="I1365" s="13"/>
    </row>
    <row r="1366" spans="1:9">
      <c r="A1366" s="13" t="s">
        <v>2082</v>
      </c>
      <c r="B1366" s="139" t="s">
        <v>571</v>
      </c>
      <c r="C1366" s="139" t="s">
        <v>783</v>
      </c>
      <c r="D1366" s="18">
        <v>2893973.29</v>
      </c>
      <c r="E1366" s="93">
        <v>0.98002374140000004</v>
      </c>
      <c r="F1366" s="18">
        <v>2836162.53</v>
      </c>
      <c r="G1366" s="18">
        <v>0.01</v>
      </c>
      <c r="H1366" s="13"/>
      <c r="I1366" s="13"/>
    </row>
    <row r="1367" spans="1:9">
      <c r="A1367" s="13" t="s">
        <v>2083</v>
      </c>
      <c r="B1367" s="139" t="s">
        <v>571</v>
      </c>
      <c r="C1367" s="139" t="s">
        <v>783</v>
      </c>
      <c r="D1367" s="15">
        <v>3000000</v>
      </c>
      <c r="E1367" s="93">
        <v>0.98002373970000001</v>
      </c>
      <c r="F1367" s="18">
        <v>2940071.22</v>
      </c>
      <c r="G1367" s="18">
        <v>0.01</v>
      </c>
      <c r="H1367" s="13"/>
      <c r="I1367" s="13"/>
    </row>
    <row r="1368" spans="1:9">
      <c r="A1368" s="13" t="s">
        <v>2084</v>
      </c>
      <c r="B1368" s="139" t="s">
        <v>571</v>
      </c>
      <c r="C1368" s="139" t="s">
        <v>783</v>
      </c>
      <c r="D1368" s="15">
        <v>3000000</v>
      </c>
      <c r="E1368" s="93">
        <v>0.98002373970000001</v>
      </c>
      <c r="F1368" s="18">
        <v>2940071.22</v>
      </c>
      <c r="G1368" s="18">
        <v>0.01</v>
      </c>
      <c r="H1368" s="13"/>
      <c r="I1368" s="13"/>
    </row>
    <row r="1369" spans="1:9">
      <c r="A1369" s="13" t="s">
        <v>2085</v>
      </c>
      <c r="B1369" s="139" t="s">
        <v>571</v>
      </c>
      <c r="C1369" s="139" t="s">
        <v>783</v>
      </c>
      <c r="D1369" s="15">
        <v>3000000</v>
      </c>
      <c r="E1369" s="93">
        <v>0.98002373970000001</v>
      </c>
      <c r="F1369" s="18">
        <v>2940071.22</v>
      </c>
      <c r="G1369" s="18">
        <v>0.01</v>
      </c>
      <c r="H1369" s="13"/>
      <c r="I1369" s="13"/>
    </row>
    <row r="1370" spans="1:9">
      <c r="A1370" s="13" t="s">
        <v>2086</v>
      </c>
      <c r="B1370" s="139" t="s">
        <v>192</v>
      </c>
      <c r="C1370" s="139" t="s">
        <v>783</v>
      </c>
      <c r="D1370" s="18">
        <v>13804469.48</v>
      </c>
      <c r="E1370" s="93">
        <v>0.99023347159999997</v>
      </c>
      <c r="F1370" s="18">
        <v>13669647.74</v>
      </c>
      <c r="G1370" s="18">
        <v>0.03</v>
      </c>
      <c r="H1370" s="13"/>
      <c r="I1370" s="13"/>
    </row>
    <row r="1371" spans="1:9">
      <c r="A1371" s="13" t="s">
        <v>2087</v>
      </c>
      <c r="B1371" s="139" t="s">
        <v>490</v>
      </c>
      <c r="C1371" s="139" t="s">
        <v>783</v>
      </c>
      <c r="D1371" s="151">
        <v>21114904.399999999</v>
      </c>
      <c r="E1371" s="93">
        <v>0.98958909589999999</v>
      </c>
      <c r="F1371" s="18">
        <v>20895079.16</v>
      </c>
      <c r="G1371" s="18">
        <v>0.04</v>
      </c>
      <c r="H1371" s="13"/>
      <c r="I1371" s="13"/>
    </row>
    <row r="1372" spans="1:9">
      <c r="A1372" s="13" t="s">
        <v>2088</v>
      </c>
      <c r="B1372" s="139" t="s">
        <v>505</v>
      </c>
      <c r="C1372" s="139" t="s">
        <v>783</v>
      </c>
      <c r="D1372" s="18">
        <v>34261895.340000004</v>
      </c>
      <c r="E1372" s="93">
        <v>0.97687617979999997</v>
      </c>
      <c r="F1372" s="18">
        <v>33469629.43</v>
      </c>
      <c r="G1372" s="18">
        <v>0.06</v>
      </c>
      <c r="H1372" s="13"/>
      <c r="I1372" s="13"/>
    </row>
    <row r="1373" spans="1:9">
      <c r="A1373" s="13" t="s">
        <v>2089</v>
      </c>
      <c r="B1373" s="139" t="s">
        <v>490</v>
      </c>
      <c r="C1373" s="139" t="s">
        <v>783</v>
      </c>
      <c r="D1373" s="15">
        <v>5416210</v>
      </c>
      <c r="E1373" s="93">
        <v>0.99001855459999999</v>
      </c>
      <c r="F1373" s="151">
        <v>5362148.4000000004</v>
      </c>
      <c r="G1373" s="18">
        <v>0.01</v>
      </c>
      <c r="H1373" s="13"/>
      <c r="I1373" s="13"/>
    </row>
    <row r="1374" spans="1:9">
      <c r="A1374" s="13" t="s">
        <v>2090</v>
      </c>
      <c r="B1374" s="139" t="s">
        <v>616</v>
      </c>
      <c r="C1374" s="139" t="s">
        <v>783</v>
      </c>
      <c r="D1374" s="151">
        <v>5119348.5</v>
      </c>
      <c r="E1374" s="93">
        <v>0.98940127830000002</v>
      </c>
      <c r="F1374" s="18">
        <v>5065089.95</v>
      </c>
      <c r="G1374" s="18">
        <v>0.01</v>
      </c>
      <c r="H1374" s="13"/>
      <c r="I1374" s="13"/>
    </row>
    <row r="1375" spans="1:9">
      <c r="A1375" s="13" t="s">
        <v>2091</v>
      </c>
      <c r="B1375" s="139" t="s">
        <v>188</v>
      </c>
      <c r="C1375" s="139" t="s">
        <v>783</v>
      </c>
      <c r="D1375" s="151">
        <v>411347057.39999998</v>
      </c>
      <c r="E1375" s="93">
        <v>0.97907742730000002</v>
      </c>
      <c r="F1375" s="18">
        <v>402740618.69</v>
      </c>
      <c r="G1375" s="18">
        <v>0.77</v>
      </c>
      <c r="H1375" s="13"/>
      <c r="I1375" s="13"/>
    </row>
    <row r="1376" spans="1:9">
      <c r="A1376" s="13" t="s">
        <v>2092</v>
      </c>
      <c r="B1376" s="139" t="s">
        <v>188</v>
      </c>
      <c r="C1376" s="139" t="s">
        <v>783</v>
      </c>
      <c r="D1376" s="15">
        <v>282621528</v>
      </c>
      <c r="E1376" s="93">
        <v>0.97907742730000002</v>
      </c>
      <c r="F1376" s="18">
        <v>276708358.52999997</v>
      </c>
      <c r="G1376" s="18">
        <v>0.53</v>
      </c>
      <c r="H1376" s="13"/>
      <c r="I1376" s="13"/>
    </row>
    <row r="1377" spans="1:9">
      <c r="A1377" s="13" t="s">
        <v>2093</v>
      </c>
      <c r="B1377" s="139" t="s">
        <v>188</v>
      </c>
      <c r="C1377" s="139" t="s">
        <v>783</v>
      </c>
      <c r="D1377" s="15">
        <v>139384224</v>
      </c>
      <c r="E1377" s="93">
        <v>0.97907742730000002</v>
      </c>
      <c r="F1377" s="18">
        <v>136467947.44</v>
      </c>
      <c r="G1377" s="18">
        <v>0.26</v>
      </c>
      <c r="H1377" s="13"/>
      <c r="I1377" s="13"/>
    </row>
    <row r="1378" spans="1:9">
      <c r="A1378" s="13" t="s">
        <v>2094</v>
      </c>
      <c r="B1378" s="139" t="s">
        <v>387</v>
      </c>
      <c r="C1378" s="139" t="s">
        <v>783</v>
      </c>
      <c r="D1378" s="15">
        <v>45000000</v>
      </c>
      <c r="E1378" s="93">
        <v>0.97789690959999997</v>
      </c>
      <c r="F1378" s="18">
        <v>44005360.93</v>
      </c>
      <c r="G1378" s="18">
        <v>0.08</v>
      </c>
      <c r="H1378" s="13"/>
      <c r="I1378" s="13"/>
    </row>
    <row r="1379" spans="1:9">
      <c r="A1379" s="13" t="s">
        <v>2095</v>
      </c>
      <c r="B1379" s="139" t="s">
        <v>192</v>
      </c>
      <c r="C1379" s="139" t="s">
        <v>783</v>
      </c>
      <c r="D1379" s="18">
        <v>40093877.229999997</v>
      </c>
      <c r="E1379" s="93">
        <v>0.98782157429999995</v>
      </c>
      <c r="F1379" s="18">
        <v>39605596.93</v>
      </c>
      <c r="G1379" s="18">
        <v>0.08</v>
      </c>
      <c r="H1379" s="13"/>
      <c r="I1379" s="13"/>
    </row>
    <row r="1380" spans="1:9">
      <c r="A1380" s="13" t="s">
        <v>2096</v>
      </c>
      <c r="B1380" s="139" t="s">
        <v>813</v>
      </c>
      <c r="C1380" s="139" t="s">
        <v>783</v>
      </c>
      <c r="D1380" s="15">
        <v>2200000</v>
      </c>
      <c r="E1380" s="93">
        <v>0.95976862949999997</v>
      </c>
      <c r="F1380" s="18">
        <v>2111490.98</v>
      </c>
      <c r="G1380" s="15">
        <v>0</v>
      </c>
      <c r="H1380" s="13"/>
      <c r="I1380" s="13"/>
    </row>
    <row r="1381" spans="1:9">
      <c r="A1381" s="13" t="s">
        <v>2097</v>
      </c>
      <c r="B1381" s="139" t="s">
        <v>501</v>
      </c>
      <c r="C1381" s="139" t="s">
        <v>783</v>
      </c>
      <c r="D1381" s="15">
        <v>2200000</v>
      </c>
      <c r="E1381" s="93">
        <v>0.98223897940000005</v>
      </c>
      <c r="F1381" s="18">
        <v>2160925.75</v>
      </c>
      <c r="G1381" s="15">
        <v>0</v>
      </c>
      <c r="H1381" s="13"/>
      <c r="I1381" s="13"/>
    </row>
    <row r="1382" spans="1:9">
      <c r="A1382" s="13" t="s">
        <v>2098</v>
      </c>
      <c r="B1382" s="139" t="s">
        <v>557</v>
      </c>
      <c r="C1382" s="139" t="s">
        <v>783</v>
      </c>
      <c r="D1382" s="15">
        <v>2200000</v>
      </c>
      <c r="E1382" s="93">
        <v>0.95449795569999996</v>
      </c>
      <c r="F1382" s="151">
        <v>2099895.5</v>
      </c>
      <c r="G1382" s="15">
        <v>0</v>
      </c>
      <c r="H1382" s="13"/>
      <c r="I1382" s="13"/>
    </row>
    <row r="1383" spans="1:9">
      <c r="A1383" s="13" t="s">
        <v>2099</v>
      </c>
      <c r="B1383" s="139" t="s">
        <v>188</v>
      </c>
      <c r="C1383" s="139" t="s">
        <v>783</v>
      </c>
      <c r="D1383" s="15">
        <v>2200000</v>
      </c>
      <c r="E1383" s="93">
        <v>0.9759360332</v>
      </c>
      <c r="F1383" s="18">
        <v>2147059.27</v>
      </c>
      <c r="G1383" s="15">
        <v>0</v>
      </c>
      <c r="H1383" s="13"/>
      <c r="I1383" s="13"/>
    </row>
    <row r="1384" spans="1:9">
      <c r="A1384" s="13" t="s">
        <v>2100</v>
      </c>
      <c r="B1384" s="139" t="s">
        <v>677</v>
      </c>
      <c r="C1384" s="139" t="s">
        <v>783</v>
      </c>
      <c r="D1384" s="18">
        <v>1961936.49</v>
      </c>
      <c r="E1384" s="154">
        <v>0.94928484800000001</v>
      </c>
      <c r="F1384" s="18">
        <v>1862436.58</v>
      </c>
      <c r="G1384" s="15">
        <v>0</v>
      </c>
      <c r="H1384" s="13"/>
      <c r="I1384" s="13"/>
    </row>
    <row r="1385" spans="1:9">
      <c r="A1385" s="13" t="s">
        <v>2101</v>
      </c>
      <c r="B1385" s="139" t="s">
        <v>505</v>
      </c>
      <c r="C1385" s="139" t="s">
        <v>783</v>
      </c>
      <c r="D1385" s="15">
        <v>2200000</v>
      </c>
      <c r="E1385" s="93">
        <v>0.97126136220000003</v>
      </c>
      <c r="F1385" s="15">
        <v>2136775</v>
      </c>
      <c r="G1385" s="15">
        <v>0</v>
      </c>
      <c r="H1385" s="13"/>
      <c r="I1385" s="13"/>
    </row>
    <row r="1386" spans="1:9">
      <c r="A1386" s="13" t="s">
        <v>2102</v>
      </c>
      <c r="B1386" s="139" t="s">
        <v>488</v>
      </c>
      <c r="C1386" s="139" t="s">
        <v>783</v>
      </c>
      <c r="D1386" s="15">
        <v>2200000</v>
      </c>
      <c r="E1386" s="93">
        <v>0.96509783859999998</v>
      </c>
      <c r="F1386" s="18">
        <v>2123215.2400000002</v>
      </c>
      <c r="G1386" s="15">
        <v>0</v>
      </c>
      <c r="H1386" s="13"/>
      <c r="I1386" s="13"/>
    </row>
    <row r="1387" spans="1:9">
      <c r="A1387" s="13" t="s">
        <v>2103</v>
      </c>
      <c r="B1387" s="139" t="s">
        <v>426</v>
      </c>
      <c r="C1387" s="139" t="s">
        <v>783</v>
      </c>
      <c r="D1387" s="15">
        <v>1070000</v>
      </c>
      <c r="E1387" s="93">
        <v>0.9854211907</v>
      </c>
      <c r="F1387" s="18">
        <v>1054400.67</v>
      </c>
      <c r="G1387" s="15">
        <v>0</v>
      </c>
      <c r="H1387" s="13"/>
      <c r="I1387" s="13"/>
    </row>
    <row r="1388" spans="1:9">
      <c r="A1388" s="13" t="s">
        <v>2104</v>
      </c>
      <c r="B1388" s="139" t="s">
        <v>549</v>
      </c>
      <c r="C1388" s="139" t="s">
        <v>783</v>
      </c>
      <c r="D1388" s="15">
        <v>1070000</v>
      </c>
      <c r="E1388" s="93">
        <v>0.97437273830000004</v>
      </c>
      <c r="F1388" s="18">
        <v>1042578.83</v>
      </c>
      <c r="G1388" s="15">
        <v>0</v>
      </c>
      <c r="H1388" s="13"/>
      <c r="I1388" s="13"/>
    </row>
    <row r="1389" spans="1:9">
      <c r="A1389" s="13" t="s">
        <v>2105</v>
      </c>
      <c r="B1389" s="139" t="s">
        <v>190</v>
      </c>
      <c r="C1389" s="139" t="s">
        <v>783</v>
      </c>
      <c r="D1389" s="18">
        <v>1064203.17</v>
      </c>
      <c r="E1389" s="93">
        <v>0.96586405549999998</v>
      </c>
      <c r="F1389" s="18">
        <v>1027875.59</v>
      </c>
      <c r="G1389" s="15">
        <v>0</v>
      </c>
      <c r="H1389" s="13"/>
      <c r="I1389" s="13"/>
    </row>
    <row r="1390" spans="1:9">
      <c r="A1390" s="13" t="s">
        <v>2106</v>
      </c>
      <c r="B1390" s="139" t="s">
        <v>792</v>
      </c>
      <c r="C1390" s="139" t="s">
        <v>783</v>
      </c>
      <c r="D1390" s="18">
        <v>5628480.1799999997</v>
      </c>
      <c r="E1390" s="93">
        <v>0.95002616259999995</v>
      </c>
      <c r="F1390" s="18">
        <v>5347203.43</v>
      </c>
      <c r="G1390" s="18">
        <v>0.01</v>
      </c>
      <c r="H1390" s="13"/>
      <c r="I1390" s="13"/>
    </row>
    <row r="1391" spans="1:9">
      <c r="A1391" s="13" t="s">
        <v>2107</v>
      </c>
      <c r="B1391" s="139" t="s">
        <v>424</v>
      </c>
      <c r="C1391" s="139" t="s">
        <v>783</v>
      </c>
      <c r="D1391" s="15">
        <v>5628483</v>
      </c>
      <c r="E1391" s="154">
        <v>0.968940896</v>
      </c>
      <c r="F1391" s="18">
        <v>5453667.3600000003</v>
      </c>
      <c r="G1391" s="18">
        <v>0.01</v>
      </c>
      <c r="H1391" s="13"/>
      <c r="I1391" s="13"/>
    </row>
    <row r="1392" spans="1:9">
      <c r="A1392" s="13" t="s">
        <v>2108</v>
      </c>
      <c r="B1392" s="139" t="s">
        <v>604</v>
      </c>
      <c r="C1392" s="139" t="s">
        <v>783</v>
      </c>
      <c r="D1392" s="18">
        <v>2219157.79</v>
      </c>
      <c r="E1392" s="93">
        <v>0.97048679520000003</v>
      </c>
      <c r="F1392" s="18">
        <v>2153663.33</v>
      </c>
      <c r="G1392" s="15">
        <v>0</v>
      </c>
      <c r="H1392" s="13"/>
      <c r="I1392" s="13"/>
    </row>
    <row r="1393" spans="1:9">
      <c r="A1393" s="13" t="s">
        <v>2109</v>
      </c>
      <c r="B1393" s="139" t="s">
        <v>604</v>
      </c>
      <c r="C1393" s="139" t="s">
        <v>783</v>
      </c>
      <c r="D1393" s="18">
        <v>2219157.79</v>
      </c>
      <c r="E1393" s="93">
        <v>0.97048679520000003</v>
      </c>
      <c r="F1393" s="18">
        <v>2153663.33</v>
      </c>
      <c r="G1393" s="15">
        <v>0</v>
      </c>
      <c r="H1393" s="13"/>
      <c r="I1393" s="13"/>
    </row>
    <row r="1394" spans="1:9">
      <c r="A1394" s="13" t="s">
        <v>2110</v>
      </c>
      <c r="B1394" s="139" t="s">
        <v>546</v>
      </c>
      <c r="C1394" s="139" t="s">
        <v>783</v>
      </c>
      <c r="D1394" s="15">
        <v>5578790</v>
      </c>
      <c r="E1394" s="93">
        <v>0.96356928279999998</v>
      </c>
      <c r="F1394" s="18">
        <v>5375550.6799999997</v>
      </c>
      <c r="G1394" s="18">
        <v>0.01</v>
      </c>
      <c r="H1394" s="13"/>
      <c r="I1394" s="13"/>
    </row>
    <row r="1395" spans="1:9">
      <c r="A1395" s="13" t="s">
        <v>2111</v>
      </c>
      <c r="B1395" s="139" t="s">
        <v>604</v>
      </c>
      <c r="C1395" s="139" t="s">
        <v>783</v>
      </c>
      <c r="D1395" s="15">
        <v>5300000</v>
      </c>
      <c r="E1395" s="93">
        <v>0.97048679609999999</v>
      </c>
      <c r="F1395" s="18">
        <v>5143580.0199999996</v>
      </c>
      <c r="G1395" s="18">
        <v>0.01</v>
      </c>
      <c r="H1395" s="13"/>
      <c r="I1395" s="13"/>
    </row>
    <row r="1396" spans="1:9">
      <c r="A1396" s="13" t="s">
        <v>2119</v>
      </c>
      <c r="B1396" s="139" t="s">
        <v>190</v>
      </c>
      <c r="C1396" s="139" t="s">
        <v>495</v>
      </c>
      <c r="D1396" s="15">
        <v>20000000</v>
      </c>
      <c r="E1396" s="154">
        <v>0.96257828099999998</v>
      </c>
      <c r="F1396" s="18">
        <v>19251565.620000001</v>
      </c>
      <c r="G1396" s="18">
        <v>0.04</v>
      </c>
      <c r="H1396" s="13"/>
      <c r="I1396" s="13"/>
    </row>
    <row r="1397" spans="1:9">
      <c r="A1397" s="13" t="s">
        <v>2120</v>
      </c>
      <c r="B1397" s="139" t="s">
        <v>533</v>
      </c>
      <c r="C1397" s="139" t="s">
        <v>495</v>
      </c>
      <c r="D1397" s="151">
        <v>851125.3</v>
      </c>
      <c r="E1397" s="93">
        <v>0.97962910169999995</v>
      </c>
      <c r="F1397" s="18">
        <v>833787.11</v>
      </c>
      <c r="G1397" s="15">
        <v>0</v>
      </c>
      <c r="H1397" s="13"/>
      <c r="I1397" s="13"/>
    </row>
    <row r="1398" spans="1:9">
      <c r="A1398" s="13" t="s">
        <v>2121</v>
      </c>
      <c r="B1398" s="139" t="s">
        <v>454</v>
      </c>
      <c r="C1398" s="139" t="s">
        <v>495</v>
      </c>
      <c r="D1398" s="15">
        <v>5549092</v>
      </c>
      <c r="E1398" s="93">
        <v>0.99281909239999999</v>
      </c>
      <c r="F1398" s="18">
        <v>5509244.4800000004</v>
      </c>
      <c r="G1398" s="18">
        <v>0.01</v>
      </c>
      <c r="H1398" s="13"/>
      <c r="I1398" s="13"/>
    </row>
    <row r="1399" spans="1:9">
      <c r="A1399" s="13" t="s">
        <v>2122</v>
      </c>
      <c r="B1399" s="139" t="s">
        <v>426</v>
      </c>
      <c r="C1399" s="139" t="s">
        <v>495</v>
      </c>
      <c r="D1399" s="18">
        <v>1101785.6200000001</v>
      </c>
      <c r="E1399" s="93">
        <v>0.98398673270000003</v>
      </c>
      <c r="F1399" s="18">
        <v>1084142.43</v>
      </c>
      <c r="G1399" s="15">
        <v>0</v>
      </c>
      <c r="H1399" s="13"/>
      <c r="I1399" s="13"/>
    </row>
    <row r="1400" spans="1:9">
      <c r="A1400" s="13" t="s">
        <v>2123</v>
      </c>
      <c r="B1400" s="139" t="s">
        <v>518</v>
      </c>
      <c r="C1400" s="139" t="s">
        <v>495</v>
      </c>
      <c r="D1400" s="18">
        <v>404788.82</v>
      </c>
      <c r="E1400" s="93">
        <v>0.98750080279999997</v>
      </c>
      <c r="F1400" s="18">
        <v>399729.28</v>
      </c>
      <c r="G1400" s="15">
        <v>0</v>
      </c>
      <c r="H1400" s="13"/>
      <c r="I1400" s="13"/>
    </row>
    <row r="1401" spans="1:9">
      <c r="A1401" s="13" t="s">
        <v>2124</v>
      </c>
      <c r="B1401" s="139" t="s">
        <v>694</v>
      </c>
      <c r="C1401" s="139" t="s">
        <v>495</v>
      </c>
      <c r="D1401" s="151">
        <v>473598.9</v>
      </c>
      <c r="E1401" s="93">
        <v>0.9787623956</v>
      </c>
      <c r="F1401" s="18">
        <v>463540.79</v>
      </c>
      <c r="G1401" s="15">
        <v>0</v>
      </c>
      <c r="H1401" s="13"/>
      <c r="I1401" s="13"/>
    </row>
    <row r="1402" spans="1:9">
      <c r="A1402" s="13" t="s">
        <v>2125</v>
      </c>
      <c r="B1402" s="139" t="s">
        <v>385</v>
      </c>
      <c r="C1402" s="139" t="s">
        <v>495</v>
      </c>
      <c r="D1402" s="18">
        <v>823765.53</v>
      </c>
      <c r="E1402" s="93">
        <v>0.99015280630000002</v>
      </c>
      <c r="F1402" s="18">
        <v>815653.75</v>
      </c>
      <c r="G1402" s="15">
        <v>0</v>
      </c>
      <c r="H1402" s="13"/>
      <c r="I1402" s="13"/>
    </row>
    <row r="1403" spans="1:9">
      <c r="A1403" s="13" t="s">
        <v>2126</v>
      </c>
      <c r="B1403" s="139" t="s">
        <v>426</v>
      </c>
      <c r="C1403" s="139" t="s">
        <v>495</v>
      </c>
      <c r="D1403" s="18">
        <v>823765.54</v>
      </c>
      <c r="E1403" s="154">
        <v>0.98398672600000003</v>
      </c>
      <c r="F1403" s="18">
        <v>810574.36</v>
      </c>
      <c r="G1403" s="15">
        <v>0</v>
      </c>
      <c r="H1403" s="13"/>
      <c r="I1403" s="13"/>
    </row>
    <row r="1404" spans="1:9">
      <c r="A1404" s="13" t="s">
        <v>2127</v>
      </c>
      <c r="B1404" s="139" t="s">
        <v>1424</v>
      </c>
      <c r="C1404" s="139" t="s">
        <v>495</v>
      </c>
      <c r="D1404" s="15">
        <v>40000000</v>
      </c>
      <c r="E1404" s="93">
        <v>0.91423706019999995</v>
      </c>
      <c r="F1404" s="18">
        <v>36569482.409999996</v>
      </c>
      <c r="G1404" s="18">
        <v>7.0000000000000007E-2</v>
      </c>
      <c r="H1404" s="13"/>
      <c r="I1404" s="13"/>
    </row>
    <row r="1405" spans="1:9">
      <c r="A1405" s="13" t="s">
        <v>2128</v>
      </c>
      <c r="B1405" s="139" t="s">
        <v>711</v>
      </c>
      <c r="C1405" s="139" t="s">
        <v>495</v>
      </c>
      <c r="D1405" s="15">
        <v>15000000</v>
      </c>
      <c r="E1405" s="93">
        <v>0.92988912859999995</v>
      </c>
      <c r="F1405" s="18">
        <v>13948336.93</v>
      </c>
      <c r="G1405" s="18">
        <v>0.03</v>
      </c>
      <c r="H1405" s="13"/>
      <c r="I1405" s="13"/>
    </row>
    <row r="1406" spans="1:9">
      <c r="A1406" s="13" t="s">
        <v>2129</v>
      </c>
      <c r="B1406" s="139" t="s">
        <v>1023</v>
      </c>
      <c r="C1406" s="139" t="s">
        <v>495</v>
      </c>
      <c r="D1406" s="15">
        <v>15000000</v>
      </c>
      <c r="E1406" s="93">
        <v>0.93064764690000001</v>
      </c>
      <c r="F1406" s="151">
        <v>13959714.699999999</v>
      </c>
      <c r="G1406" s="18">
        <v>0.03</v>
      </c>
      <c r="H1406" s="13"/>
      <c r="I1406" s="13"/>
    </row>
    <row r="1407" spans="1:9">
      <c r="A1407" s="13" t="s">
        <v>2130</v>
      </c>
      <c r="B1407" s="139" t="s">
        <v>1341</v>
      </c>
      <c r="C1407" s="139" t="s">
        <v>495</v>
      </c>
      <c r="D1407" s="18">
        <v>10655603.279999999</v>
      </c>
      <c r="E1407" s="93">
        <v>0.91497050040000005</v>
      </c>
      <c r="F1407" s="18">
        <v>9749562.6699999999</v>
      </c>
      <c r="G1407" s="18">
        <v>0.02</v>
      </c>
      <c r="H1407" s="13"/>
      <c r="I1407" s="13"/>
    </row>
    <row r="1408" spans="1:9">
      <c r="A1408" s="13" t="s">
        <v>2131</v>
      </c>
      <c r="B1408" s="139" t="s">
        <v>771</v>
      </c>
      <c r="C1408" s="139" t="s">
        <v>495</v>
      </c>
      <c r="D1408" s="18">
        <v>10655603.279999999</v>
      </c>
      <c r="E1408" s="93">
        <v>0.91865516359999999</v>
      </c>
      <c r="F1408" s="18">
        <v>9788824.9700000007</v>
      </c>
      <c r="G1408" s="18">
        <v>0.02</v>
      </c>
      <c r="H1408" s="13"/>
      <c r="I1408" s="13"/>
    </row>
    <row r="1409" spans="1:9">
      <c r="A1409" s="13" t="s">
        <v>2132</v>
      </c>
      <c r="B1409" s="139" t="s">
        <v>1866</v>
      </c>
      <c r="C1409" s="139" t="s">
        <v>495</v>
      </c>
      <c r="D1409" s="18">
        <v>10655603.279999999</v>
      </c>
      <c r="E1409" s="93">
        <v>0.91791580620000002</v>
      </c>
      <c r="F1409" s="18">
        <v>9780946.6799999997</v>
      </c>
      <c r="G1409" s="18">
        <v>0.02</v>
      </c>
      <c r="H1409" s="13"/>
      <c r="I1409" s="13"/>
    </row>
    <row r="1410" spans="1:9">
      <c r="A1410" s="13" t="s">
        <v>2133</v>
      </c>
      <c r="B1410" s="139" t="s">
        <v>773</v>
      </c>
      <c r="C1410" s="139" t="s">
        <v>495</v>
      </c>
      <c r="D1410" s="18">
        <v>10655603.279999999</v>
      </c>
      <c r="E1410" s="93">
        <v>0.9157051169</v>
      </c>
      <c r="F1410" s="18">
        <v>9757390.4499999993</v>
      </c>
      <c r="G1410" s="18">
        <v>0.02</v>
      </c>
      <c r="H1410" s="13"/>
      <c r="I1410" s="13"/>
    </row>
    <row r="1411" spans="1:9">
      <c r="A1411" s="13" t="s">
        <v>2134</v>
      </c>
      <c r="B1411" s="139" t="s">
        <v>722</v>
      </c>
      <c r="C1411" s="139" t="s">
        <v>495</v>
      </c>
      <c r="D1411" s="18">
        <v>10655603.25</v>
      </c>
      <c r="E1411" s="93">
        <v>0.92461264710000002</v>
      </c>
      <c r="F1411" s="18">
        <v>9852305.5299999993</v>
      </c>
      <c r="G1411" s="18">
        <v>0.02</v>
      </c>
      <c r="H1411" s="13"/>
      <c r="I1411" s="13"/>
    </row>
    <row r="1412" spans="1:9">
      <c r="A1412" s="13" t="s">
        <v>2135</v>
      </c>
      <c r="B1412" s="139" t="s">
        <v>763</v>
      </c>
      <c r="C1412" s="139" t="s">
        <v>495</v>
      </c>
      <c r="D1412" s="18">
        <v>10655603.279999999</v>
      </c>
      <c r="E1412" s="93">
        <v>0.92386367520000001</v>
      </c>
      <c r="F1412" s="18">
        <v>9844324.8100000005</v>
      </c>
      <c r="G1412" s="18">
        <v>0.02</v>
      </c>
      <c r="H1412" s="13"/>
      <c r="I1412" s="13"/>
    </row>
    <row r="1413" spans="1:9">
      <c r="A1413" s="13" t="s">
        <v>2136</v>
      </c>
      <c r="B1413" s="139" t="s">
        <v>765</v>
      </c>
      <c r="C1413" s="139" t="s">
        <v>495</v>
      </c>
      <c r="D1413" s="18">
        <v>10655603.279999999</v>
      </c>
      <c r="E1413" s="93">
        <v>0.92311591630000001</v>
      </c>
      <c r="F1413" s="18">
        <v>9836356.9900000002</v>
      </c>
      <c r="G1413" s="18">
        <v>0.02</v>
      </c>
      <c r="H1413" s="13"/>
      <c r="I1413" s="13"/>
    </row>
    <row r="1414" spans="1:9">
      <c r="A1414" s="13" t="s">
        <v>2137</v>
      </c>
      <c r="B1414" s="139" t="s">
        <v>767</v>
      </c>
      <c r="C1414" s="139" t="s">
        <v>495</v>
      </c>
      <c r="D1414" s="18">
        <v>10655603.279999999</v>
      </c>
      <c r="E1414" s="93">
        <v>0.92088013790000001</v>
      </c>
      <c r="F1414" s="18">
        <v>9812533.4199999999</v>
      </c>
      <c r="G1414" s="18">
        <v>0.02</v>
      </c>
      <c r="H1414" s="13"/>
      <c r="I1414" s="13"/>
    </row>
    <row r="1415" spans="1:9">
      <c r="A1415" s="13" t="s">
        <v>2138</v>
      </c>
      <c r="B1415" s="139" t="s">
        <v>776</v>
      </c>
      <c r="C1415" s="139" t="s">
        <v>495</v>
      </c>
      <c r="D1415" s="18">
        <v>10655603.279999999</v>
      </c>
      <c r="E1415" s="154">
        <v>0.92013719800000005</v>
      </c>
      <c r="F1415" s="18">
        <v>9804616.9499999993</v>
      </c>
      <c r="G1415" s="18">
        <v>0.02</v>
      </c>
      <c r="H1415" s="13"/>
      <c r="I1415" s="13"/>
    </row>
    <row r="1416" spans="1:9">
      <c r="A1416" s="13" t="s">
        <v>2139</v>
      </c>
      <c r="B1416" s="139" t="s">
        <v>769</v>
      </c>
      <c r="C1416" s="139" t="s">
        <v>495</v>
      </c>
      <c r="D1416" s="18">
        <v>10655603.279999999</v>
      </c>
      <c r="E1416" s="93">
        <v>0.91939571149999999</v>
      </c>
      <c r="F1416" s="18">
        <v>9796715.9600000009</v>
      </c>
      <c r="G1416" s="18">
        <v>0.02</v>
      </c>
      <c r="H1416" s="13"/>
      <c r="I1416" s="13"/>
    </row>
    <row r="1417" spans="1:9">
      <c r="A1417" s="13" t="s">
        <v>2140</v>
      </c>
      <c r="B1417" s="139" t="s">
        <v>813</v>
      </c>
      <c r="C1417" s="139" t="s">
        <v>495</v>
      </c>
      <c r="D1417" s="15">
        <v>1006039</v>
      </c>
      <c r="E1417" s="93">
        <v>0.95720139289999995</v>
      </c>
      <c r="F1417" s="18">
        <v>962981.93</v>
      </c>
      <c r="G1417" s="15">
        <v>0</v>
      </c>
      <c r="H1417" s="13"/>
      <c r="I1417" s="13"/>
    </row>
    <row r="1418" spans="1:9">
      <c r="A1418" s="13" t="s">
        <v>2141</v>
      </c>
      <c r="B1418" s="139" t="s">
        <v>718</v>
      </c>
      <c r="C1418" s="139" t="s">
        <v>495</v>
      </c>
      <c r="D1418" s="18">
        <v>6428571.6799999997</v>
      </c>
      <c r="E1418" s="93">
        <v>0.95002626990000005</v>
      </c>
      <c r="F1418" s="18">
        <v>6107311.9699999997</v>
      </c>
      <c r="G1418" s="18">
        <v>0.01</v>
      </c>
      <c r="H1418" s="13"/>
      <c r="I1418" s="13"/>
    </row>
    <row r="1419" spans="1:9">
      <c r="A1419" s="13" t="s">
        <v>2142</v>
      </c>
      <c r="B1419" s="139" t="s">
        <v>561</v>
      </c>
      <c r="C1419" s="139" t="s">
        <v>495</v>
      </c>
      <c r="D1419" s="18">
        <v>6428571.6600000001</v>
      </c>
      <c r="E1419" s="93">
        <v>0.95081801359999996</v>
      </c>
      <c r="F1419" s="18">
        <v>6112401.7400000002</v>
      </c>
      <c r="G1419" s="18">
        <v>0.01</v>
      </c>
      <c r="H1419" s="13"/>
      <c r="I1419" s="13"/>
    </row>
    <row r="1420" spans="1:9">
      <c r="A1420" s="13" t="s">
        <v>2143</v>
      </c>
      <c r="B1420" s="139" t="s">
        <v>557</v>
      </c>
      <c r="C1420" s="139" t="s">
        <v>495</v>
      </c>
      <c r="D1420" s="18">
        <v>6428571.6600000001</v>
      </c>
      <c r="E1420" s="93">
        <v>0.95161134349999998</v>
      </c>
      <c r="F1420" s="18">
        <v>6117501.71</v>
      </c>
      <c r="G1420" s="18">
        <v>0.01</v>
      </c>
      <c r="H1420" s="13"/>
      <c r="I1420" s="13"/>
    </row>
    <row r="1421" spans="1:9">
      <c r="A1421" s="13" t="s">
        <v>2144</v>
      </c>
      <c r="B1421" s="139" t="s">
        <v>626</v>
      </c>
      <c r="C1421" s="139" t="s">
        <v>495</v>
      </c>
      <c r="D1421" s="15">
        <v>7500000</v>
      </c>
      <c r="E1421" s="93">
        <v>0.93445991829999997</v>
      </c>
      <c r="F1421" s="18">
        <v>7008449.3899999997</v>
      </c>
      <c r="G1421" s="18">
        <v>0.01</v>
      </c>
      <c r="H1421" s="13"/>
      <c r="I1421" s="13"/>
    </row>
    <row r="1422" spans="1:9">
      <c r="A1422" s="13" t="s">
        <v>2145</v>
      </c>
      <c r="B1422" s="139" t="s">
        <v>1023</v>
      </c>
      <c r="C1422" s="139" t="s">
        <v>495</v>
      </c>
      <c r="D1422" s="15">
        <v>7500000</v>
      </c>
      <c r="E1422" s="93">
        <v>0.93064764690000001</v>
      </c>
      <c r="F1422" s="18">
        <v>6979857.3499999996</v>
      </c>
      <c r="G1422" s="18">
        <v>0.01</v>
      </c>
      <c r="H1422" s="13"/>
      <c r="I1422" s="13"/>
    </row>
    <row r="1423" spans="1:9">
      <c r="A1423" s="13" t="s">
        <v>2146</v>
      </c>
      <c r="B1423" s="139" t="s">
        <v>636</v>
      </c>
      <c r="C1423" s="139" t="s">
        <v>495</v>
      </c>
      <c r="D1423" s="151">
        <v>9936187.5</v>
      </c>
      <c r="E1423" s="93">
        <v>0.92837528059999996</v>
      </c>
      <c r="F1423" s="18">
        <v>9224510.8599999994</v>
      </c>
      <c r="G1423" s="18">
        <v>0.02</v>
      </c>
      <c r="H1423" s="13"/>
      <c r="I1423" s="13"/>
    </row>
    <row r="1424" spans="1:9">
      <c r="A1424" s="13" t="s">
        <v>2147</v>
      </c>
      <c r="B1424" s="139" t="s">
        <v>708</v>
      </c>
      <c r="C1424" s="139" t="s">
        <v>495</v>
      </c>
      <c r="D1424" s="18">
        <v>1588021.51</v>
      </c>
      <c r="E1424" s="93">
        <v>0.9359936955</v>
      </c>
      <c r="F1424" s="18">
        <v>1486378.12</v>
      </c>
      <c r="G1424" s="15">
        <v>0</v>
      </c>
      <c r="H1424" s="13"/>
      <c r="I1424" s="13"/>
    </row>
    <row r="1425" spans="1:9">
      <c r="A1425" s="13" t="s">
        <v>2148</v>
      </c>
      <c r="B1425" s="139" t="s">
        <v>711</v>
      </c>
      <c r="C1425" s="139" t="s">
        <v>495</v>
      </c>
      <c r="D1425" s="18">
        <v>3023662.75</v>
      </c>
      <c r="E1425" s="93">
        <v>0.92988913070000001</v>
      </c>
      <c r="F1425" s="18">
        <v>2811671.13</v>
      </c>
      <c r="G1425" s="18">
        <v>0.01</v>
      </c>
      <c r="H1425" s="13"/>
      <c r="I1425" s="13"/>
    </row>
    <row r="1426" spans="1:9">
      <c r="A1426" s="13" t="s">
        <v>2149</v>
      </c>
      <c r="B1426" s="139" t="s">
        <v>718</v>
      </c>
      <c r="C1426" s="139" t="s">
        <v>495</v>
      </c>
      <c r="D1426" s="18">
        <v>1444027.42</v>
      </c>
      <c r="E1426" s="93">
        <v>0.95002626990000005</v>
      </c>
      <c r="F1426" s="18">
        <v>1371863.98</v>
      </c>
      <c r="G1426" s="15">
        <v>0</v>
      </c>
      <c r="H1426" s="13"/>
      <c r="I1426" s="13"/>
    </row>
    <row r="1427" spans="1:9">
      <c r="A1427" s="13" t="s">
        <v>2150</v>
      </c>
      <c r="B1427" s="139" t="s">
        <v>546</v>
      </c>
      <c r="C1427" s="139" t="s">
        <v>495</v>
      </c>
      <c r="D1427" s="15">
        <v>1200000</v>
      </c>
      <c r="E1427" s="93">
        <v>0.96123479889999996</v>
      </c>
      <c r="F1427" s="18">
        <v>1153481.76</v>
      </c>
      <c r="G1427" s="15">
        <v>0</v>
      </c>
      <c r="H1427" s="13"/>
      <c r="I1427" s="13"/>
    </row>
    <row r="1428" spans="1:9">
      <c r="A1428" s="13" t="s">
        <v>2151</v>
      </c>
      <c r="B1428" s="139" t="s">
        <v>855</v>
      </c>
      <c r="C1428" s="139" t="s">
        <v>495</v>
      </c>
      <c r="D1428" s="15">
        <v>1274298</v>
      </c>
      <c r="E1428" s="93">
        <v>0.95559766349999997</v>
      </c>
      <c r="F1428" s="18">
        <v>1217716.19</v>
      </c>
      <c r="G1428" s="15">
        <v>0</v>
      </c>
      <c r="H1428" s="13"/>
      <c r="I1428" s="13"/>
    </row>
    <row r="1429" spans="1:9">
      <c r="A1429" s="13" t="s">
        <v>2152</v>
      </c>
      <c r="B1429" s="139" t="s">
        <v>813</v>
      </c>
      <c r="C1429" s="139" t="s">
        <v>495</v>
      </c>
      <c r="D1429" s="18">
        <v>3214858.48</v>
      </c>
      <c r="E1429" s="93">
        <v>0.95720139930000003</v>
      </c>
      <c r="F1429" s="18">
        <v>3077267.04</v>
      </c>
      <c r="G1429" s="18">
        <v>0.01</v>
      </c>
      <c r="H1429" s="13"/>
      <c r="I1429" s="13"/>
    </row>
    <row r="1430" spans="1:9">
      <c r="A1430" s="13" t="s">
        <v>2153</v>
      </c>
      <c r="B1430" s="139" t="s">
        <v>563</v>
      </c>
      <c r="C1430" s="139" t="s">
        <v>495</v>
      </c>
      <c r="D1430" s="18">
        <v>3580581.29</v>
      </c>
      <c r="E1430" s="93">
        <v>0.95240599719999997</v>
      </c>
      <c r="F1430" s="18">
        <v>3410167.09</v>
      </c>
      <c r="G1430" s="18">
        <v>0.01</v>
      </c>
      <c r="H1430" s="13"/>
      <c r="I1430" s="13"/>
    </row>
    <row r="1431" spans="1:9">
      <c r="A1431" s="13" t="s">
        <v>2154</v>
      </c>
      <c r="B1431" s="139" t="s">
        <v>557</v>
      </c>
      <c r="C1431" s="139" t="s">
        <v>495</v>
      </c>
      <c r="D1431" s="18">
        <v>2994166.19</v>
      </c>
      <c r="E1431" s="93">
        <v>0.95161134489999999</v>
      </c>
      <c r="F1431" s="18">
        <v>2849282.51</v>
      </c>
      <c r="G1431" s="18">
        <v>0.01</v>
      </c>
      <c r="H1431" s="13"/>
      <c r="I1431" s="13"/>
    </row>
    <row r="1432" spans="1:9">
      <c r="A1432" s="13" t="s">
        <v>2155</v>
      </c>
      <c r="B1432" s="139" t="s">
        <v>855</v>
      </c>
      <c r="C1432" s="139" t="s">
        <v>495</v>
      </c>
      <c r="D1432" s="18">
        <v>1099546.98</v>
      </c>
      <c r="E1432" s="93">
        <v>0.95559767419999997</v>
      </c>
      <c r="F1432" s="18">
        <v>1050724.54</v>
      </c>
      <c r="G1432" s="15">
        <v>0</v>
      </c>
      <c r="H1432" s="13"/>
      <c r="I1432" s="13"/>
    </row>
    <row r="1433" spans="1:9">
      <c r="A1433" s="13" t="s">
        <v>2156</v>
      </c>
      <c r="B1433" s="139" t="s">
        <v>557</v>
      </c>
      <c r="C1433" s="139" t="s">
        <v>495</v>
      </c>
      <c r="D1433" s="18">
        <v>1099546.98</v>
      </c>
      <c r="E1433" s="93">
        <v>0.95161133490000005</v>
      </c>
      <c r="F1433" s="18">
        <v>1046341.37</v>
      </c>
      <c r="G1433" s="15">
        <v>0</v>
      </c>
      <c r="H1433" s="13"/>
      <c r="I1433" s="13"/>
    </row>
    <row r="1434" spans="1:9">
      <c r="A1434" s="13" t="s">
        <v>2157</v>
      </c>
      <c r="B1434" s="139" t="s">
        <v>631</v>
      </c>
      <c r="C1434" s="139" t="s">
        <v>495</v>
      </c>
      <c r="D1434" s="18">
        <v>3216984.09</v>
      </c>
      <c r="E1434" s="154">
        <v>0.93522617900000005</v>
      </c>
      <c r="F1434" s="18">
        <v>3008607.74</v>
      </c>
      <c r="G1434" s="18">
        <v>0.01</v>
      </c>
      <c r="H1434" s="13"/>
      <c r="I1434" s="13"/>
    </row>
    <row r="1435" spans="1:9">
      <c r="A1435" s="13" t="s">
        <v>2158</v>
      </c>
      <c r="B1435" s="139" t="s">
        <v>755</v>
      </c>
      <c r="C1435" s="139" t="s">
        <v>495</v>
      </c>
      <c r="D1435" s="15">
        <v>30000000</v>
      </c>
      <c r="E1435" s="93">
        <v>0.94062484189999995</v>
      </c>
      <c r="F1435" s="18">
        <v>28218745.260000002</v>
      </c>
      <c r="G1435" s="18">
        <v>0.05</v>
      </c>
      <c r="H1435" s="13"/>
      <c r="I1435" s="13"/>
    </row>
    <row r="1436" spans="1:9">
      <c r="A1436" s="13" t="s">
        <v>2159</v>
      </c>
      <c r="B1436" s="139" t="s">
        <v>1694</v>
      </c>
      <c r="C1436" s="139" t="s">
        <v>495</v>
      </c>
      <c r="D1436" s="15">
        <v>30000000</v>
      </c>
      <c r="E1436" s="93">
        <v>0.93984971770000003</v>
      </c>
      <c r="F1436" s="18">
        <v>28195491.530000001</v>
      </c>
      <c r="G1436" s="18">
        <v>0.05</v>
      </c>
      <c r="H1436" s="13"/>
      <c r="I1436" s="13"/>
    </row>
    <row r="1437" spans="1:9">
      <c r="A1437" s="13" t="s">
        <v>2160</v>
      </c>
      <c r="B1437" s="139" t="s">
        <v>681</v>
      </c>
      <c r="C1437" s="139" t="s">
        <v>495</v>
      </c>
      <c r="D1437" s="18">
        <v>33683512.119999997</v>
      </c>
      <c r="E1437" s="93">
        <v>0.93907586789999997</v>
      </c>
      <c r="F1437" s="18">
        <v>31631373.379999999</v>
      </c>
      <c r="G1437" s="18">
        <v>0.06</v>
      </c>
      <c r="H1437" s="13"/>
      <c r="I1437" s="13"/>
    </row>
    <row r="1438" spans="1:9">
      <c r="A1438" s="13" t="s">
        <v>2161</v>
      </c>
      <c r="B1438" s="139" t="s">
        <v>711</v>
      </c>
      <c r="C1438" s="139" t="s">
        <v>495</v>
      </c>
      <c r="D1438" s="15">
        <v>85000000</v>
      </c>
      <c r="E1438" s="154">
        <v>0.92785622800000001</v>
      </c>
      <c r="F1438" s="18">
        <v>78867779.379999995</v>
      </c>
      <c r="G1438" s="18">
        <v>0.15</v>
      </c>
      <c r="H1438" s="13"/>
      <c r="I1438" s="13"/>
    </row>
    <row r="1439" spans="1:9">
      <c r="A1439" s="13" t="s">
        <v>2162</v>
      </c>
      <c r="B1439" s="139" t="s">
        <v>2163</v>
      </c>
      <c r="C1439" s="139" t="s">
        <v>495</v>
      </c>
      <c r="D1439" s="15">
        <v>475000000</v>
      </c>
      <c r="E1439" s="93">
        <v>0.91058793360000001</v>
      </c>
      <c r="F1439" s="18">
        <v>432529268.45999998</v>
      </c>
      <c r="G1439" s="18">
        <v>0.83</v>
      </c>
      <c r="H1439" s="13"/>
      <c r="I1439" s="13"/>
    </row>
    <row r="1440" spans="1:9">
      <c r="A1440" s="13" t="s">
        <v>2164</v>
      </c>
      <c r="B1440" s="139" t="s">
        <v>855</v>
      </c>
      <c r="C1440" s="139" t="s">
        <v>495</v>
      </c>
      <c r="D1440" s="15">
        <v>475000000</v>
      </c>
      <c r="E1440" s="93">
        <v>0.95559766349999997</v>
      </c>
      <c r="F1440" s="18">
        <v>453908890.16000003</v>
      </c>
      <c r="G1440" s="18">
        <v>0.87</v>
      </c>
      <c r="H1440" s="13"/>
      <c r="I1440" s="13"/>
    </row>
    <row r="1441" spans="1:9">
      <c r="A1441" s="13" t="s">
        <v>2165</v>
      </c>
      <c r="B1441" s="139" t="s">
        <v>636</v>
      </c>
      <c r="C1441" s="139" t="s">
        <v>495</v>
      </c>
      <c r="D1441" s="15">
        <v>475000000</v>
      </c>
      <c r="E1441" s="93">
        <v>0.92837528059999996</v>
      </c>
      <c r="F1441" s="18">
        <v>440978258.29000002</v>
      </c>
      <c r="G1441" s="18">
        <v>0.84</v>
      </c>
      <c r="H1441" s="13"/>
      <c r="I1441" s="13"/>
    </row>
    <row r="1442" spans="1:9">
      <c r="A1442" s="13" t="s">
        <v>2166</v>
      </c>
      <c r="B1442" s="139" t="s">
        <v>785</v>
      </c>
      <c r="C1442" s="139" t="s">
        <v>495</v>
      </c>
      <c r="D1442" s="15">
        <v>475000000</v>
      </c>
      <c r="E1442" s="93">
        <v>0.94451920089999997</v>
      </c>
      <c r="F1442" s="18">
        <v>448646620.43000001</v>
      </c>
      <c r="G1442" s="18">
        <v>0.86</v>
      </c>
      <c r="H1442" s="13"/>
      <c r="I1442" s="13"/>
    </row>
    <row r="1443" spans="1:9">
      <c r="A1443" s="13" t="s">
        <v>2167</v>
      </c>
      <c r="B1443" s="139" t="s">
        <v>727</v>
      </c>
      <c r="C1443" s="139" t="s">
        <v>495</v>
      </c>
      <c r="D1443" s="18">
        <v>9828483.25</v>
      </c>
      <c r="E1443" s="93">
        <v>0.93968049350000005</v>
      </c>
      <c r="F1443" s="18">
        <v>9235633.9900000002</v>
      </c>
      <c r="G1443" s="18">
        <v>0.02</v>
      </c>
      <c r="H1443" s="13"/>
      <c r="I1443" s="13"/>
    </row>
    <row r="1444" spans="1:9">
      <c r="A1444" s="13" t="s">
        <v>2168</v>
      </c>
      <c r="B1444" s="139" t="s">
        <v>629</v>
      </c>
      <c r="C1444" s="139" t="s">
        <v>495</v>
      </c>
      <c r="D1444" s="15">
        <v>5000000</v>
      </c>
      <c r="E1444" s="93">
        <v>0.94047932320000005</v>
      </c>
      <c r="F1444" s="18">
        <v>4702396.62</v>
      </c>
      <c r="G1444" s="18">
        <v>0.01</v>
      </c>
      <c r="H1444" s="13"/>
      <c r="I1444" s="13"/>
    </row>
    <row r="1445" spans="1:9">
      <c r="A1445" s="13" t="s">
        <v>2169</v>
      </c>
      <c r="B1445" s="139" t="s">
        <v>546</v>
      </c>
      <c r="C1445" s="139" t="s">
        <v>495</v>
      </c>
      <c r="D1445" s="15">
        <v>5000000</v>
      </c>
      <c r="E1445" s="93">
        <v>0.96356935180000003</v>
      </c>
      <c r="F1445" s="18">
        <v>4817846.76</v>
      </c>
      <c r="G1445" s="18">
        <v>0.01</v>
      </c>
      <c r="H1445" s="13"/>
      <c r="I1445" s="13"/>
    </row>
    <row r="1446" spans="1:9">
      <c r="A1446" s="13" t="s">
        <v>2170</v>
      </c>
      <c r="B1446" s="139" t="s">
        <v>852</v>
      </c>
      <c r="C1446" s="139" t="s">
        <v>495</v>
      </c>
      <c r="D1446" s="15">
        <v>5000000</v>
      </c>
      <c r="E1446" s="93">
        <v>0.96128545590000003</v>
      </c>
      <c r="F1446" s="18">
        <v>4806427.28</v>
      </c>
      <c r="G1446" s="18">
        <v>0.01</v>
      </c>
      <c r="H1446" s="13"/>
      <c r="I1446" s="13"/>
    </row>
    <row r="1447" spans="1:9">
      <c r="A1447" s="13" t="s">
        <v>2171</v>
      </c>
      <c r="B1447" s="139" t="s">
        <v>626</v>
      </c>
      <c r="C1447" s="139" t="s">
        <v>495</v>
      </c>
      <c r="D1447" s="15">
        <v>5000000</v>
      </c>
      <c r="E1447" s="154">
        <v>0.93830344799999998</v>
      </c>
      <c r="F1447" s="18">
        <v>4691517.24</v>
      </c>
      <c r="G1447" s="18">
        <v>0.01</v>
      </c>
      <c r="H1447" s="13"/>
      <c r="I1447" s="13"/>
    </row>
    <row r="1448" spans="1:9">
      <c r="A1448" s="13" t="s">
        <v>2172</v>
      </c>
      <c r="B1448" s="139" t="s">
        <v>688</v>
      </c>
      <c r="C1448" s="139" t="s">
        <v>495</v>
      </c>
      <c r="D1448" s="15">
        <v>5000000</v>
      </c>
      <c r="E1448" s="93">
        <v>0.95901211369999995</v>
      </c>
      <c r="F1448" s="18">
        <v>4795060.57</v>
      </c>
      <c r="G1448" s="18">
        <v>0.01</v>
      </c>
      <c r="H1448" s="13"/>
      <c r="I1448" s="13"/>
    </row>
    <row r="1449" spans="1:9">
      <c r="A1449" s="13" t="s">
        <v>2173</v>
      </c>
      <c r="B1449" s="139" t="s">
        <v>1023</v>
      </c>
      <c r="C1449" s="139" t="s">
        <v>495</v>
      </c>
      <c r="D1449" s="15">
        <v>5000000</v>
      </c>
      <c r="E1449" s="28">
        <v>0.93469911999999999</v>
      </c>
      <c r="F1449" s="151">
        <v>4673495.5999999996</v>
      </c>
      <c r="G1449" s="18">
        <v>0.01</v>
      </c>
      <c r="H1449" s="13"/>
      <c r="I1449" s="13"/>
    </row>
    <row r="1450" spans="1:9">
      <c r="A1450" s="13" t="s">
        <v>2174</v>
      </c>
      <c r="B1450" s="139" t="s">
        <v>855</v>
      </c>
      <c r="C1450" s="139" t="s">
        <v>495</v>
      </c>
      <c r="D1450" s="15">
        <v>5000000</v>
      </c>
      <c r="E1450" s="93">
        <v>0.95825696829999996</v>
      </c>
      <c r="F1450" s="18">
        <v>4791284.84</v>
      </c>
      <c r="G1450" s="18">
        <v>0.01</v>
      </c>
      <c r="H1450" s="13"/>
      <c r="I1450" s="13"/>
    </row>
    <row r="1451" spans="1:9">
      <c r="A1451" s="13" t="s">
        <v>2175</v>
      </c>
      <c r="B1451" s="139" t="s">
        <v>636</v>
      </c>
      <c r="C1451" s="139" t="s">
        <v>495</v>
      </c>
      <c r="D1451" s="15">
        <v>5000000</v>
      </c>
      <c r="E1451" s="93">
        <v>0.93254987990000004</v>
      </c>
      <c r="F1451" s="151">
        <v>4662749.4000000004</v>
      </c>
      <c r="G1451" s="18">
        <v>0.01</v>
      </c>
      <c r="H1451" s="13"/>
      <c r="I1451" s="13"/>
    </row>
    <row r="1452" spans="1:9">
      <c r="A1452" s="13" t="s">
        <v>2176</v>
      </c>
      <c r="B1452" s="139" t="s">
        <v>561</v>
      </c>
      <c r="C1452" s="139" t="s">
        <v>495</v>
      </c>
      <c r="D1452" s="15">
        <v>5000000</v>
      </c>
      <c r="E1452" s="93">
        <v>0.95374972189999996</v>
      </c>
      <c r="F1452" s="18">
        <v>4768748.6100000003</v>
      </c>
      <c r="G1452" s="18">
        <v>0.01</v>
      </c>
      <c r="H1452" s="13"/>
      <c r="I1452" s="13"/>
    </row>
    <row r="1453" spans="1:9">
      <c r="A1453" s="13" t="s">
        <v>2177</v>
      </c>
      <c r="B1453" s="139" t="s">
        <v>778</v>
      </c>
      <c r="C1453" s="139" t="s">
        <v>495</v>
      </c>
      <c r="D1453" s="15">
        <v>5000000</v>
      </c>
      <c r="E1453" s="93">
        <v>0.93041050380000001</v>
      </c>
      <c r="F1453" s="18">
        <v>4652052.5199999996</v>
      </c>
      <c r="G1453" s="18">
        <v>0.01</v>
      </c>
      <c r="H1453" s="13"/>
      <c r="I1453" s="13"/>
    </row>
    <row r="1454" spans="1:9">
      <c r="A1454" s="13" t="s">
        <v>2178</v>
      </c>
      <c r="B1454" s="139" t="s">
        <v>612</v>
      </c>
      <c r="C1454" s="139" t="s">
        <v>495</v>
      </c>
      <c r="D1454" s="15">
        <v>5000000</v>
      </c>
      <c r="E1454" s="93">
        <v>0.95076845580000002</v>
      </c>
      <c r="F1454" s="18">
        <v>4753842.28</v>
      </c>
      <c r="G1454" s="18">
        <v>0.01</v>
      </c>
      <c r="H1454" s="13"/>
      <c r="I1454" s="13"/>
    </row>
    <row r="1455" spans="1:9">
      <c r="A1455" s="13" t="s">
        <v>2179</v>
      </c>
      <c r="B1455" s="139" t="s">
        <v>763</v>
      </c>
      <c r="C1455" s="139" t="s">
        <v>495</v>
      </c>
      <c r="D1455" s="15">
        <v>5000000</v>
      </c>
      <c r="E1455" s="93">
        <v>0.92828091960000003</v>
      </c>
      <c r="F1455" s="151">
        <v>4641404.5999999996</v>
      </c>
      <c r="G1455" s="18">
        <v>0.01</v>
      </c>
      <c r="H1455" s="13"/>
      <c r="I1455" s="13"/>
    </row>
    <row r="1456" spans="1:9">
      <c r="A1456" s="13" t="s">
        <v>2180</v>
      </c>
      <c r="B1456" s="139" t="s">
        <v>1392</v>
      </c>
      <c r="C1456" s="139" t="s">
        <v>495</v>
      </c>
      <c r="D1456" s="15">
        <v>5000000</v>
      </c>
      <c r="E1456" s="93">
        <v>0.9485447669</v>
      </c>
      <c r="F1456" s="18">
        <v>4742723.83</v>
      </c>
      <c r="G1456" s="18">
        <v>0.01</v>
      </c>
      <c r="H1456" s="13"/>
      <c r="I1456" s="13"/>
    </row>
    <row r="1457" spans="1:9">
      <c r="A1457" s="13" t="s">
        <v>2181</v>
      </c>
      <c r="B1457" s="139" t="s">
        <v>785</v>
      </c>
      <c r="C1457" s="139" t="s">
        <v>495</v>
      </c>
      <c r="D1457" s="15">
        <v>5000000</v>
      </c>
      <c r="E1457" s="93">
        <v>0.94780576309999998</v>
      </c>
      <c r="F1457" s="18">
        <v>4739028.82</v>
      </c>
      <c r="G1457" s="18">
        <v>0.01</v>
      </c>
      <c r="H1457" s="13"/>
      <c r="I1457" s="13"/>
    </row>
    <row r="1458" spans="1:9">
      <c r="A1458" s="13" t="s">
        <v>2182</v>
      </c>
      <c r="B1458" s="139" t="s">
        <v>1694</v>
      </c>
      <c r="C1458" s="139" t="s">
        <v>495</v>
      </c>
      <c r="D1458" s="15">
        <v>5000000</v>
      </c>
      <c r="E1458" s="93">
        <v>0.94339631359999998</v>
      </c>
      <c r="F1458" s="18">
        <v>4716981.57</v>
      </c>
      <c r="G1458" s="18">
        <v>0.01</v>
      </c>
      <c r="H1458" s="13"/>
      <c r="I1458" s="13"/>
    </row>
    <row r="1459" spans="1:9">
      <c r="A1459" s="13" t="s">
        <v>2183</v>
      </c>
      <c r="B1459" s="139" t="s">
        <v>681</v>
      </c>
      <c r="C1459" s="139" t="s">
        <v>495</v>
      </c>
      <c r="D1459" s="15">
        <v>5000000</v>
      </c>
      <c r="E1459" s="93">
        <v>0.94266530910000002</v>
      </c>
      <c r="F1459" s="18">
        <v>4713326.55</v>
      </c>
      <c r="G1459" s="18">
        <v>0.01</v>
      </c>
      <c r="H1459" s="13"/>
      <c r="I1459" s="13"/>
    </row>
    <row r="1460" spans="1:9">
      <c r="A1460" s="13" t="s">
        <v>2184</v>
      </c>
      <c r="B1460" s="139" t="s">
        <v>765</v>
      </c>
      <c r="C1460" s="139" t="s">
        <v>495</v>
      </c>
      <c r="D1460" s="15">
        <v>5000000</v>
      </c>
      <c r="E1460" s="93">
        <v>0.92757314290000004</v>
      </c>
      <c r="F1460" s="18">
        <v>4637865.71</v>
      </c>
      <c r="G1460" s="18">
        <v>0.01</v>
      </c>
      <c r="H1460" s="13"/>
      <c r="I1460" s="13"/>
    </row>
    <row r="1461" spans="1:9">
      <c r="A1461" s="13" t="s">
        <v>2185</v>
      </c>
      <c r="B1461" s="139" t="s">
        <v>767</v>
      </c>
      <c r="C1461" s="139" t="s">
        <v>495</v>
      </c>
      <c r="D1461" s="15">
        <v>5000000</v>
      </c>
      <c r="E1461" s="93">
        <v>0.92545651129999995</v>
      </c>
      <c r="F1461" s="18">
        <v>4627282.5599999996</v>
      </c>
      <c r="G1461" s="18">
        <v>0.01</v>
      </c>
      <c r="H1461" s="13"/>
      <c r="I1461" s="13"/>
    </row>
    <row r="1462" spans="1:9">
      <c r="A1462" s="13" t="s">
        <v>2186</v>
      </c>
      <c r="B1462" s="139" t="s">
        <v>1866</v>
      </c>
      <c r="C1462" s="139" t="s">
        <v>495</v>
      </c>
      <c r="D1462" s="15">
        <v>5000000</v>
      </c>
      <c r="E1462" s="93">
        <v>0.92264924049999997</v>
      </c>
      <c r="F1462" s="151">
        <v>4613246.2</v>
      </c>
      <c r="G1462" s="18">
        <v>0.01</v>
      </c>
      <c r="H1462" s="13"/>
      <c r="I1462" s="13"/>
    </row>
    <row r="1463" spans="1:9">
      <c r="A1463" s="13" t="s">
        <v>2187</v>
      </c>
      <c r="B1463" s="139" t="s">
        <v>771</v>
      </c>
      <c r="C1463" s="139" t="s">
        <v>495</v>
      </c>
      <c r="D1463" s="15">
        <v>5000000</v>
      </c>
      <c r="E1463" s="93">
        <v>0.92334952010000004</v>
      </c>
      <c r="F1463" s="151">
        <v>4616747.5999999996</v>
      </c>
      <c r="G1463" s="18">
        <v>0.01</v>
      </c>
      <c r="H1463" s="13"/>
      <c r="I1463" s="13"/>
    </row>
    <row r="1464" spans="1:9">
      <c r="A1464" s="13" t="s">
        <v>2249</v>
      </c>
      <c r="B1464" s="139" t="s">
        <v>505</v>
      </c>
      <c r="C1464" s="139" t="s">
        <v>388</v>
      </c>
      <c r="D1464" s="18">
        <v>5519685.5800000001</v>
      </c>
      <c r="E1464" s="154">
        <v>0.97126149900000003</v>
      </c>
      <c r="F1464" s="18">
        <v>5361058.09</v>
      </c>
      <c r="G1464" s="18">
        <v>0.01</v>
      </c>
      <c r="H1464" s="13"/>
      <c r="I1464" s="13"/>
    </row>
    <row r="1465" spans="1:9">
      <c r="A1465" s="13" t="s">
        <v>2239</v>
      </c>
      <c r="B1465" s="139" t="s">
        <v>604</v>
      </c>
      <c r="C1465" s="139" t="s">
        <v>388</v>
      </c>
      <c r="D1465" s="15">
        <v>969231</v>
      </c>
      <c r="E1465" s="93">
        <v>0.97048670159999995</v>
      </c>
      <c r="F1465" s="151">
        <v>940625.8</v>
      </c>
      <c r="G1465" s="15">
        <v>0</v>
      </c>
      <c r="H1465" s="13"/>
      <c r="I1465" s="13"/>
    </row>
    <row r="1466" spans="1:9">
      <c r="A1466" s="13" t="s">
        <v>2240</v>
      </c>
      <c r="B1466" s="139" t="s">
        <v>604</v>
      </c>
      <c r="C1466" s="139" t="s">
        <v>388</v>
      </c>
      <c r="D1466" s="15">
        <v>969231</v>
      </c>
      <c r="E1466" s="93">
        <v>0.97048670159999995</v>
      </c>
      <c r="F1466" s="151">
        <v>940625.8</v>
      </c>
      <c r="G1466" s="15">
        <v>0</v>
      </c>
      <c r="H1466" s="13"/>
      <c r="I1466" s="13"/>
    </row>
    <row r="1467" spans="1:9">
      <c r="A1467" s="13" t="s">
        <v>2241</v>
      </c>
      <c r="B1467" s="139" t="s">
        <v>798</v>
      </c>
      <c r="C1467" s="139" t="s">
        <v>388</v>
      </c>
      <c r="D1467" s="18">
        <v>969231.48</v>
      </c>
      <c r="E1467" s="154">
        <v>0.96971312700000001</v>
      </c>
      <c r="F1467" s="18">
        <v>939876.49</v>
      </c>
      <c r="G1467" s="15">
        <v>0</v>
      </c>
      <c r="H1467" s="13"/>
      <c r="I1467" s="13"/>
    </row>
    <row r="1468" spans="1:9">
      <c r="A1468" s="13" t="s">
        <v>2235</v>
      </c>
      <c r="B1468" s="139" t="s">
        <v>677</v>
      </c>
      <c r="C1468" s="139" t="s">
        <v>388</v>
      </c>
      <c r="D1468" s="15">
        <v>830000</v>
      </c>
      <c r="E1468" s="93">
        <v>0.94928498920000004</v>
      </c>
      <c r="F1468" s="18">
        <v>787906.54</v>
      </c>
      <c r="G1468" s="15">
        <v>0</v>
      </c>
      <c r="H1468" s="13"/>
      <c r="I1468" s="13"/>
    </row>
    <row r="1469" spans="1:9">
      <c r="A1469" s="13" t="s">
        <v>2236</v>
      </c>
      <c r="B1469" s="139" t="s">
        <v>755</v>
      </c>
      <c r="C1469" s="139" t="s">
        <v>388</v>
      </c>
      <c r="D1469" s="15">
        <v>830000</v>
      </c>
      <c r="E1469" s="154">
        <v>0.94412851600000003</v>
      </c>
      <c r="F1469" s="18">
        <v>783626.67</v>
      </c>
      <c r="G1469" s="15">
        <v>0</v>
      </c>
      <c r="H1469" s="13"/>
      <c r="I1469" s="13"/>
    </row>
    <row r="1470" spans="1:9">
      <c r="A1470" s="13" t="s">
        <v>2237</v>
      </c>
      <c r="B1470" s="139" t="s">
        <v>488</v>
      </c>
      <c r="C1470" s="139" t="s">
        <v>388</v>
      </c>
      <c r="D1470" s="15">
        <v>830000</v>
      </c>
      <c r="E1470" s="93">
        <v>0.96509798229999999</v>
      </c>
      <c r="F1470" s="18">
        <v>801031.33</v>
      </c>
      <c r="G1470" s="15">
        <v>0</v>
      </c>
      <c r="H1470" s="13"/>
      <c r="I1470" s="13"/>
    </row>
    <row r="1471" spans="1:9">
      <c r="A1471" s="13" t="s">
        <v>2243</v>
      </c>
      <c r="B1471" s="139" t="s">
        <v>490</v>
      </c>
      <c r="C1471" s="139" t="s">
        <v>388</v>
      </c>
      <c r="D1471" s="15">
        <v>2500000</v>
      </c>
      <c r="E1471" s="93">
        <v>0.98702006419999999</v>
      </c>
      <c r="F1471" s="18">
        <v>2467550.16</v>
      </c>
      <c r="G1471" s="15">
        <v>0</v>
      </c>
      <c r="H1471" s="13"/>
      <c r="I1471" s="13"/>
    </row>
    <row r="1472" spans="1:9">
      <c r="A1472" s="13" t="s">
        <v>2244</v>
      </c>
      <c r="B1472" s="139" t="s">
        <v>792</v>
      </c>
      <c r="C1472" s="139" t="s">
        <v>388</v>
      </c>
      <c r="D1472" s="15">
        <v>2500000</v>
      </c>
      <c r="E1472" s="154">
        <v>0.95002605500000004</v>
      </c>
      <c r="F1472" s="18">
        <v>2375065.14</v>
      </c>
      <c r="G1472" s="15">
        <v>0</v>
      </c>
      <c r="H1472" s="13"/>
      <c r="I1472" s="13"/>
    </row>
    <row r="1473" spans="1:9">
      <c r="A1473" s="13" t="s">
        <v>2245</v>
      </c>
      <c r="B1473" s="139" t="s">
        <v>755</v>
      </c>
      <c r="C1473" s="139" t="s">
        <v>388</v>
      </c>
      <c r="D1473" s="15">
        <v>2500000</v>
      </c>
      <c r="E1473" s="93">
        <v>0.94412852130000002</v>
      </c>
      <c r="F1473" s="151">
        <v>2360321.2999999998</v>
      </c>
      <c r="G1473" s="15">
        <v>0</v>
      </c>
      <c r="H1473" s="13"/>
      <c r="I1473" s="13"/>
    </row>
    <row r="1474" spans="1:9">
      <c r="A1474" s="13" t="s">
        <v>2246</v>
      </c>
      <c r="B1474" s="139" t="s">
        <v>488</v>
      </c>
      <c r="C1474" s="139" t="s">
        <v>388</v>
      </c>
      <c r="D1474" s="15">
        <v>2500000</v>
      </c>
      <c r="E1474" s="93">
        <v>0.96509797559999999</v>
      </c>
      <c r="F1474" s="18">
        <v>2412744.94</v>
      </c>
      <c r="G1474" s="15">
        <v>0</v>
      </c>
      <c r="H1474" s="13"/>
      <c r="I1474" s="13"/>
    </row>
    <row r="1475" spans="1:9">
      <c r="A1475" s="13" t="s">
        <v>2247</v>
      </c>
      <c r="B1475" s="139" t="s">
        <v>708</v>
      </c>
      <c r="C1475" s="139" t="s">
        <v>388</v>
      </c>
      <c r="D1475" s="18">
        <v>2584602.4700000002</v>
      </c>
      <c r="E1475" s="93">
        <v>0.93975290010000001</v>
      </c>
      <c r="F1475" s="18">
        <v>2428887.67</v>
      </c>
      <c r="G1475" s="15">
        <v>0</v>
      </c>
      <c r="H1475" s="13"/>
      <c r="I1475" s="13"/>
    </row>
    <row r="1476" spans="1:9">
      <c r="A1476" s="13" t="s">
        <v>2231</v>
      </c>
      <c r="B1476" s="139" t="s">
        <v>454</v>
      </c>
      <c r="C1476" s="139" t="s">
        <v>388</v>
      </c>
      <c r="D1476" s="18">
        <v>11585339.390000001</v>
      </c>
      <c r="E1476" s="93">
        <v>0.99346769030000004</v>
      </c>
      <c r="F1476" s="18">
        <v>11509660.369999999</v>
      </c>
      <c r="G1476" s="18">
        <v>0.02</v>
      </c>
      <c r="H1476" s="13"/>
      <c r="I1476" s="13"/>
    </row>
    <row r="1477" spans="1:9">
      <c r="A1477" s="13" t="s">
        <v>2232</v>
      </c>
      <c r="B1477" s="139" t="s">
        <v>1341</v>
      </c>
      <c r="C1477" s="139" t="s">
        <v>388</v>
      </c>
      <c r="D1477" s="15">
        <v>100000000</v>
      </c>
      <c r="E1477" s="93">
        <v>0.91985901349999999</v>
      </c>
      <c r="F1477" s="18">
        <v>91985901.349999994</v>
      </c>
      <c r="G1477" s="18">
        <v>0.18</v>
      </c>
      <c r="H1477" s="13"/>
      <c r="I1477" s="13"/>
    </row>
    <row r="1478" spans="1:9">
      <c r="A1478" s="13" t="s">
        <v>2251</v>
      </c>
      <c r="B1478" s="139" t="s">
        <v>190</v>
      </c>
      <c r="C1478" s="139" t="s">
        <v>388</v>
      </c>
      <c r="D1478" s="15">
        <v>2500000</v>
      </c>
      <c r="E1478" s="93">
        <v>0.96586420169999998</v>
      </c>
      <c r="F1478" s="151">
        <v>2414660.5</v>
      </c>
      <c r="G1478" s="15">
        <v>0</v>
      </c>
      <c r="H1478" s="13"/>
      <c r="I1478" s="13"/>
    </row>
    <row r="1479" spans="1:9">
      <c r="A1479" s="13" t="s">
        <v>2252</v>
      </c>
      <c r="B1479" s="139" t="s">
        <v>792</v>
      </c>
      <c r="C1479" s="139" t="s">
        <v>388</v>
      </c>
      <c r="D1479" s="15">
        <v>2500000</v>
      </c>
      <c r="E1479" s="154">
        <v>0.95002605500000004</v>
      </c>
      <c r="F1479" s="18">
        <v>2375065.14</v>
      </c>
      <c r="G1479" s="15">
        <v>0</v>
      </c>
      <c r="H1479" s="13"/>
      <c r="I1479" s="13"/>
    </row>
    <row r="1480" spans="1:9">
      <c r="A1480" s="13" t="s">
        <v>2253</v>
      </c>
      <c r="B1480" s="139" t="s">
        <v>563</v>
      </c>
      <c r="C1480" s="139" t="s">
        <v>388</v>
      </c>
      <c r="D1480" s="15">
        <v>2500000</v>
      </c>
      <c r="E1480" s="93">
        <v>0.95524732170000004</v>
      </c>
      <c r="F1480" s="151">
        <v>2388118.2999999998</v>
      </c>
      <c r="G1480" s="15">
        <v>0</v>
      </c>
      <c r="H1480" s="13"/>
      <c r="I1480" s="13"/>
    </row>
    <row r="1481" spans="1:9">
      <c r="A1481" s="13" t="s">
        <v>2254</v>
      </c>
      <c r="B1481" s="139" t="s">
        <v>594</v>
      </c>
      <c r="C1481" s="139" t="s">
        <v>388</v>
      </c>
      <c r="D1481" s="15">
        <v>2500000</v>
      </c>
      <c r="E1481" s="93">
        <v>0.96052655090000005</v>
      </c>
      <c r="F1481" s="18">
        <v>2401316.38</v>
      </c>
      <c r="G1481" s="15">
        <v>0</v>
      </c>
      <c r="H1481" s="13"/>
      <c r="I1481" s="13"/>
    </row>
    <row r="1482" spans="1:9">
      <c r="A1482" s="13" t="s">
        <v>2233</v>
      </c>
      <c r="B1482" s="139" t="s">
        <v>563</v>
      </c>
      <c r="C1482" s="139" t="s">
        <v>388</v>
      </c>
      <c r="D1482" s="15">
        <v>500000000</v>
      </c>
      <c r="E1482" s="93">
        <v>0.95810584080000005</v>
      </c>
      <c r="F1482" s="151">
        <v>479052920.39999998</v>
      </c>
      <c r="G1482" s="18">
        <v>0.92</v>
      </c>
      <c r="H1482" s="13"/>
      <c r="I1482" s="13"/>
    </row>
    <row r="1483" spans="1:9">
      <c r="A1483" s="13" t="s">
        <v>2250</v>
      </c>
      <c r="B1483" s="139" t="s">
        <v>557</v>
      </c>
      <c r="C1483" s="139" t="s">
        <v>388</v>
      </c>
      <c r="D1483" s="15">
        <v>73000000</v>
      </c>
      <c r="E1483" s="154">
        <v>0.96032430499999999</v>
      </c>
      <c r="F1483" s="18">
        <v>70103674.269999996</v>
      </c>
      <c r="G1483" s="18">
        <v>0.13</v>
      </c>
      <c r="H1483" s="13"/>
      <c r="I1483" s="13"/>
    </row>
    <row r="1484" spans="1:9">
      <c r="A1484" s="13" t="s">
        <v>2213</v>
      </c>
      <c r="B1484" s="139" t="s">
        <v>1341</v>
      </c>
      <c r="C1484" s="139" t="s">
        <v>388</v>
      </c>
      <c r="D1484" s="18">
        <v>990902.64</v>
      </c>
      <c r="E1484" s="93">
        <v>0.91013381609999999</v>
      </c>
      <c r="F1484" s="15">
        <v>901854</v>
      </c>
      <c r="G1484" s="15">
        <v>0</v>
      </c>
      <c r="H1484" s="13"/>
      <c r="I1484" s="13"/>
    </row>
    <row r="1485" spans="1:9">
      <c r="A1485" s="13" t="s">
        <v>2214</v>
      </c>
      <c r="B1485" s="139" t="s">
        <v>1341</v>
      </c>
      <c r="C1485" s="139" t="s">
        <v>388</v>
      </c>
      <c r="D1485" s="18">
        <v>1020845.65</v>
      </c>
      <c r="E1485" s="93">
        <v>0.91013380649999998</v>
      </c>
      <c r="F1485" s="18">
        <v>929106.14</v>
      </c>
      <c r="G1485" s="15">
        <v>0</v>
      </c>
      <c r="H1485" s="13"/>
      <c r="I1485" s="13"/>
    </row>
    <row r="1486" spans="1:9">
      <c r="A1486" s="13" t="s">
        <v>2215</v>
      </c>
      <c r="B1486" s="139" t="s">
        <v>1424</v>
      </c>
      <c r="C1486" s="139" t="s">
        <v>388</v>
      </c>
      <c r="D1486" s="18">
        <v>990902.64</v>
      </c>
      <c r="E1486" s="93">
        <v>0.90936279320000002</v>
      </c>
      <c r="F1486" s="18">
        <v>901089.99</v>
      </c>
      <c r="G1486" s="15">
        <v>0</v>
      </c>
      <c r="H1486" s="13"/>
      <c r="I1486" s="13"/>
    </row>
    <row r="1487" spans="1:9">
      <c r="A1487" s="13" t="s">
        <v>2216</v>
      </c>
      <c r="B1487" s="139" t="s">
        <v>1424</v>
      </c>
      <c r="C1487" s="139" t="s">
        <v>388</v>
      </c>
      <c r="D1487" s="18">
        <v>1020845.65</v>
      </c>
      <c r="E1487" s="93">
        <v>0.90936279320000002</v>
      </c>
      <c r="F1487" s="18">
        <v>928319.05</v>
      </c>
      <c r="G1487" s="15">
        <v>0</v>
      </c>
      <c r="H1487" s="13"/>
      <c r="I1487" s="13"/>
    </row>
    <row r="1488" spans="1:9">
      <c r="A1488" s="13" t="s">
        <v>2217</v>
      </c>
      <c r="B1488" s="139" t="s">
        <v>765</v>
      </c>
      <c r="C1488" s="139" t="s">
        <v>388</v>
      </c>
      <c r="D1488" s="18">
        <v>1020845.65</v>
      </c>
      <c r="E1488" s="93">
        <v>0.91870138710000004</v>
      </c>
      <c r="F1488" s="18">
        <v>937852.31</v>
      </c>
      <c r="G1488" s="15">
        <v>0</v>
      </c>
      <c r="H1488" s="13"/>
      <c r="I1488" s="13"/>
    </row>
    <row r="1489" spans="1:9">
      <c r="A1489" s="13" t="s">
        <v>2218</v>
      </c>
      <c r="B1489" s="139" t="s">
        <v>765</v>
      </c>
      <c r="C1489" s="139" t="s">
        <v>388</v>
      </c>
      <c r="D1489" s="18">
        <v>990902.64</v>
      </c>
      <c r="E1489" s="93">
        <v>0.9187013893</v>
      </c>
      <c r="F1489" s="18">
        <v>910343.63</v>
      </c>
      <c r="G1489" s="15">
        <v>0</v>
      </c>
      <c r="H1489" s="13"/>
      <c r="I1489" s="13"/>
    </row>
    <row r="1490" spans="1:9">
      <c r="A1490" s="13" t="s">
        <v>2219</v>
      </c>
      <c r="B1490" s="139" t="s">
        <v>767</v>
      </c>
      <c r="C1490" s="139" t="s">
        <v>388</v>
      </c>
      <c r="D1490" s="18">
        <v>1020845.65</v>
      </c>
      <c r="E1490" s="93">
        <v>0.91634888759999999</v>
      </c>
      <c r="F1490" s="18">
        <v>935450.78</v>
      </c>
      <c r="G1490" s="15">
        <v>0</v>
      </c>
      <c r="H1490" s="13"/>
      <c r="I1490" s="13"/>
    </row>
    <row r="1491" spans="1:9">
      <c r="A1491" s="13" t="s">
        <v>2220</v>
      </c>
      <c r="B1491" s="139" t="s">
        <v>767</v>
      </c>
      <c r="C1491" s="139" t="s">
        <v>388</v>
      </c>
      <c r="D1491" s="18">
        <v>990902.64</v>
      </c>
      <c r="E1491" s="93">
        <v>0.91634886959999995</v>
      </c>
      <c r="F1491" s="18">
        <v>908012.51</v>
      </c>
      <c r="G1491" s="15">
        <v>0</v>
      </c>
      <c r="H1491" s="13"/>
      <c r="I1491" s="13"/>
    </row>
    <row r="1492" spans="1:9">
      <c r="A1492" s="13" t="s">
        <v>2221</v>
      </c>
      <c r="B1492" s="139" t="s">
        <v>776</v>
      </c>
      <c r="C1492" s="139" t="s">
        <v>388</v>
      </c>
      <c r="D1492" s="18">
        <v>1020845.65</v>
      </c>
      <c r="E1492" s="93">
        <v>0.91556729319999997</v>
      </c>
      <c r="F1492" s="18">
        <v>934652.89</v>
      </c>
      <c r="G1492" s="15">
        <v>0</v>
      </c>
      <c r="H1492" s="13"/>
      <c r="I1492" s="13"/>
    </row>
    <row r="1493" spans="1:9">
      <c r="A1493" s="13" t="s">
        <v>2222</v>
      </c>
      <c r="B1493" s="139" t="s">
        <v>776</v>
      </c>
      <c r="C1493" s="139" t="s">
        <v>388</v>
      </c>
      <c r="D1493" s="18">
        <v>990902.64</v>
      </c>
      <c r="E1493" s="93">
        <v>0.9155672909</v>
      </c>
      <c r="F1493" s="18">
        <v>907238.05</v>
      </c>
      <c r="G1493" s="15">
        <v>0</v>
      </c>
      <c r="H1493" s="13"/>
      <c r="I1493" s="13"/>
    </row>
    <row r="1494" spans="1:9">
      <c r="A1494" s="13" t="s">
        <v>2223</v>
      </c>
      <c r="B1494" s="139" t="s">
        <v>769</v>
      </c>
      <c r="C1494" s="139" t="s">
        <v>388</v>
      </c>
      <c r="D1494" s="18">
        <v>1020845.65</v>
      </c>
      <c r="E1494" s="93">
        <v>0.91478703159999997</v>
      </c>
      <c r="F1494" s="18">
        <v>933856.36</v>
      </c>
      <c r="G1494" s="15">
        <v>0</v>
      </c>
      <c r="H1494" s="13"/>
      <c r="I1494" s="13"/>
    </row>
    <row r="1495" spans="1:9">
      <c r="A1495" s="13" t="s">
        <v>2224</v>
      </c>
      <c r="B1495" s="139" t="s">
        <v>769</v>
      </c>
      <c r="C1495" s="139" t="s">
        <v>388</v>
      </c>
      <c r="D1495" s="18">
        <v>990902.64</v>
      </c>
      <c r="E1495" s="93">
        <v>0.91478703620000001</v>
      </c>
      <c r="F1495" s="18">
        <v>906464.89</v>
      </c>
      <c r="G1495" s="15">
        <v>0</v>
      </c>
      <c r="H1495" s="13"/>
      <c r="I1495" s="13"/>
    </row>
    <row r="1496" spans="1:9">
      <c r="A1496" s="13" t="s">
        <v>2225</v>
      </c>
      <c r="B1496" s="139" t="s">
        <v>771</v>
      </c>
      <c r="C1496" s="139" t="s">
        <v>388</v>
      </c>
      <c r="D1496" s="18">
        <v>1020845.65</v>
      </c>
      <c r="E1496" s="93">
        <v>0.91400838149999997</v>
      </c>
      <c r="F1496" s="18">
        <v>933061.48</v>
      </c>
      <c r="G1496" s="15">
        <v>0</v>
      </c>
      <c r="H1496" s="13"/>
      <c r="I1496" s="13"/>
    </row>
    <row r="1497" spans="1:9">
      <c r="A1497" s="13" t="s">
        <v>2226</v>
      </c>
      <c r="B1497" s="139" t="s">
        <v>771</v>
      </c>
      <c r="C1497" s="139" t="s">
        <v>388</v>
      </c>
      <c r="D1497" s="18">
        <v>990902.64</v>
      </c>
      <c r="E1497" s="93">
        <v>0.91400837690000003</v>
      </c>
      <c r="F1497" s="18">
        <v>905693.31</v>
      </c>
      <c r="G1497" s="15">
        <v>0</v>
      </c>
      <c r="H1497" s="13"/>
      <c r="I1497" s="13"/>
    </row>
    <row r="1498" spans="1:9">
      <c r="A1498" s="13" t="s">
        <v>2227</v>
      </c>
      <c r="B1498" s="139" t="s">
        <v>1866</v>
      </c>
      <c r="C1498" s="139" t="s">
        <v>388</v>
      </c>
      <c r="D1498" s="18">
        <v>990902.64</v>
      </c>
      <c r="E1498" s="93">
        <v>0.9132307663</v>
      </c>
      <c r="F1498" s="18">
        <v>904922.78</v>
      </c>
      <c r="G1498" s="15">
        <v>0</v>
      </c>
      <c r="H1498" s="13"/>
      <c r="I1498" s="13"/>
    </row>
    <row r="1499" spans="1:9">
      <c r="A1499" s="13" t="s">
        <v>2228</v>
      </c>
      <c r="B1499" s="139" t="s">
        <v>1866</v>
      </c>
      <c r="C1499" s="139" t="s">
        <v>388</v>
      </c>
      <c r="D1499" s="18">
        <v>1020845.65</v>
      </c>
      <c r="E1499" s="93">
        <v>0.9132307663</v>
      </c>
      <c r="F1499" s="18">
        <v>932267.66</v>
      </c>
      <c r="G1499" s="15">
        <v>0</v>
      </c>
      <c r="H1499" s="13"/>
      <c r="I1499" s="13"/>
    </row>
    <row r="1500" spans="1:9">
      <c r="A1500" s="13" t="s">
        <v>2209</v>
      </c>
      <c r="B1500" s="139" t="s">
        <v>773</v>
      </c>
      <c r="C1500" s="139" t="s">
        <v>388</v>
      </c>
      <c r="D1500" s="18">
        <v>1020845.65</v>
      </c>
      <c r="E1500" s="154">
        <v>0.91090615100000005</v>
      </c>
      <c r="F1500" s="18">
        <v>929894.58</v>
      </c>
      <c r="G1500" s="15">
        <v>0</v>
      </c>
      <c r="H1500" s="13"/>
      <c r="I1500" s="13"/>
    </row>
    <row r="1501" spans="1:9">
      <c r="A1501" s="13" t="s">
        <v>2210</v>
      </c>
      <c r="B1501" s="139" t="s">
        <v>773</v>
      </c>
      <c r="C1501" s="139" t="s">
        <v>388</v>
      </c>
      <c r="D1501" s="18">
        <v>990902.64</v>
      </c>
      <c r="E1501" s="154">
        <v>0.91090613899999995</v>
      </c>
      <c r="F1501" s="151">
        <v>902619.3</v>
      </c>
      <c r="G1501" s="15">
        <v>0</v>
      </c>
      <c r="H1501" s="13"/>
      <c r="I1501" s="13"/>
    </row>
    <row r="1502" spans="1:9">
      <c r="A1502" s="13" t="s">
        <v>2211</v>
      </c>
      <c r="B1502" s="139" t="s">
        <v>763</v>
      </c>
      <c r="C1502" s="139" t="s">
        <v>388</v>
      </c>
      <c r="D1502" s="18">
        <v>990902.64</v>
      </c>
      <c r="E1502" s="154">
        <v>0.91948834700000004</v>
      </c>
      <c r="F1502" s="18">
        <v>911123.43</v>
      </c>
      <c r="G1502" s="15">
        <v>0</v>
      </c>
      <c r="H1502" s="13"/>
      <c r="I1502" s="13"/>
    </row>
    <row r="1503" spans="1:9">
      <c r="A1503" s="13" t="s">
        <v>2212</v>
      </c>
      <c r="B1503" s="139" t="s">
        <v>763</v>
      </c>
      <c r="C1503" s="139" t="s">
        <v>388</v>
      </c>
      <c r="D1503" s="18">
        <v>1020845.65</v>
      </c>
      <c r="E1503" s="93">
        <v>0.91948835129999995</v>
      </c>
      <c r="F1503" s="18">
        <v>938655.68</v>
      </c>
      <c r="G1503" s="15">
        <v>0</v>
      </c>
      <c r="H1503" s="13"/>
      <c r="I1503" s="13"/>
    </row>
    <row r="1504" spans="1:9">
      <c r="A1504" s="13" t="s">
        <v>2229</v>
      </c>
      <c r="B1504" s="139" t="s">
        <v>1424</v>
      </c>
      <c r="C1504" s="139" t="s">
        <v>388</v>
      </c>
      <c r="D1504" s="15">
        <v>3000000</v>
      </c>
      <c r="E1504" s="93">
        <v>0.90936278349999999</v>
      </c>
      <c r="F1504" s="18">
        <v>2728088.35</v>
      </c>
      <c r="G1504" s="18">
        <v>0.01</v>
      </c>
      <c r="H1504" s="13"/>
      <c r="I1504" s="13"/>
    </row>
    <row r="1505" spans="1:9">
      <c r="A1505" s="13" t="s">
        <v>2230</v>
      </c>
      <c r="B1505" s="139" t="s">
        <v>769</v>
      </c>
      <c r="C1505" s="139" t="s">
        <v>388</v>
      </c>
      <c r="D1505" s="15">
        <v>3000000</v>
      </c>
      <c r="E1505" s="93">
        <v>0.9147870293</v>
      </c>
      <c r="F1505" s="18">
        <v>2744361.09</v>
      </c>
      <c r="G1505" s="18">
        <v>0.01</v>
      </c>
      <c r="H1505" s="13"/>
      <c r="I1505" s="13"/>
    </row>
    <row r="1506" spans="1:9">
      <c r="A1506" s="13" t="s">
        <v>2255</v>
      </c>
      <c r="B1506" s="139" t="s">
        <v>765</v>
      </c>
      <c r="C1506" s="139" t="s">
        <v>388</v>
      </c>
      <c r="D1506" s="18">
        <v>5000300.25</v>
      </c>
      <c r="E1506" s="93">
        <v>0.91870139809999996</v>
      </c>
      <c r="F1506" s="18">
        <v>4593782.83</v>
      </c>
      <c r="G1506" s="18">
        <v>0.01</v>
      </c>
      <c r="H1506" s="13"/>
      <c r="I1506" s="13"/>
    </row>
    <row r="1507" spans="1:9">
      <c r="A1507" s="13" t="s">
        <v>2256</v>
      </c>
      <c r="B1507" s="139" t="s">
        <v>767</v>
      </c>
      <c r="C1507" s="139" t="s">
        <v>388</v>
      </c>
      <c r="D1507" s="18">
        <v>5000300.25</v>
      </c>
      <c r="E1507" s="93">
        <v>0.91634887629999995</v>
      </c>
      <c r="F1507" s="18">
        <v>4582019.5199999996</v>
      </c>
      <c r="G1507" s="18">
        <v>0.01</v>
      </c>
      <c r="H1507" s="13"/>
      <c r="I1507" s="13"/>
    </row>
    <row r="1508" spans="1:9">
      <c r="A1508" s="13" t="s">
        <v>2257</v>
      </c>
      <c r="B1508" s="139" t="s">
        <v>776</v>
      </c>
      <c r="C1508" s="139" t="s">
        <v>388</v>
      </c>
      <c r="D1508" s="18">
        <v>5000300.25</v>
      </c>
      <c r="E1508" s="93">
        <v>0.91556728639999996</v>
      </c>
      <c r="F1508" s="18">
        <v>4578111.33</v>
      </c>
      <c r="G1508" s="18">
        <v>0.01</v>
      </c>
      <c r="H1508" s="13"/>
      <c r="I1508" s="13"/>
    </row>
    <row r="1509" spans="1:9">
      <c r="A1509" s="13" t="s">
        <v>2206</v>
      </c>
      <c r="B1509" s="139" t="s">
        <v>776</v>
      </c>
      <c r="C1509" s="139" t="s">
        <v>388</v>
      </c>
      <c r="D1509" s="18">
        <v>4549416.66</v>
      </c>
      <c r="E1509" s="93">
        <v>0.91556728860000003</v>
      </c>
      <c r="F1509" s="18">
        <v>4165297.08</v>
      </c>
      <c r="G1509" s="18">
        <v>0.01</v>
      </c>
      <c r="H1509" s="13"/>
      <c r="I1509" s="13"/>
    </row>
    <row r="1510" spans="1:9">
      <c r="A1510" s="13" t="s">
        <v>2207</v>
      </c>
      <c r="B1510" s="139" t="s">
        <v>769</v>
      </c>
      <c r="C1510" s="139" t="s">
        <v>388</v>
      </c>
      <c r="D1510" s="18">
        <v>4549416.66</v>
      </c>
      <c r="E1510" s="93">
        <v>0.9147870293</v>
      </c>
      <c r="F1510" s="18">
        <v>4161747.35</v>
      </c>
      <c r="G1510" s="18">
        <v>0.01</v>
      </c>
      <c r="H1510" s="13"/>
      <c r="I1510" s="13"/>
    </row>
    <row r="1511" spans="1:9">
      <c r="A1511" s="13" t="s">
        <v>2208</v>
      </c>
      <c r="B1511" s="139" t="s">
        <v>771</v>
      </c>
      <c r="C1511" s="139" t="s">
        <v>388</v>
      </c>
      <c r="D1511" s="18">
        <v>4549416.66</v>
      </c>
      <c r="E1511" s="93">
        <v>0.91400837229999998</v>
      </c>
      <c r="F1511" s="18">
        <v>4158204.92</v>
      </c>
      <c r="G1511" s="18">
        <v>0.01</v>
      </c>
      <c r="H1511" s="13"/>
      <c r="I1511" s="13"/>
    </row>
    <row r="1512" spans="1:9">
      <c r="A1512" s="13" t="s">
        <v>2262</v>
      </c>
      <c r="B1512" s="139" t="s">
        <v>855</v>
      </c>
      <c r="C1512" s="139" t="s">
        <v>392</v>
      </c>
      <c r="D1512" s="15">
        <v>1070000</v>
      </c>
      <c r="E1512" s="93">
        <v>0.95427341750000005</v>
      </c>
      <c r="F1512" s="18">
        <v>1021072.56</v>
      </c>
      <c r="G1512" s="15">
        <v>0</v>
      </c>
      <c r="H1512" s="13"/>
      <c r="I1512" s="13"/>
    </row>
    <row r="1513" spans="1:9">
      <c r="A1513" s="13" t="s">
        <v>2263</v>
      </c>
      <c r="B1513" s="139" t="s">
        <v>713</v>
      </c>
      <c r="C1513" s="139" t="s">
        <v>392</v>
      </c>
      <c r="D1513" s="15">
        <v>1070000</v>
      </c>
      <c r="E1513" s="154">
        <v>0.95180990499999996</v>
      </c>
      <c r="F1513" s="151">
        <v>1018436.6</v>
      </c>
      <c r="G1513" s="15">
        <v>0</v>
      </c>
      <c r="H1513" s="13"/>
      <c r="I1513" s="13"/>
    </row>
    <row r="1514" spans="1:9">
      <c r="A1514" s="13" t="s">
        <v>2264</v>
      </c>
      <c r="B1514" s="139" t="s">
        <v>563</v>
      </c>
      <c r="C1514" s="139" t="s">
        <v>392</v>
      </c>
      <c r="D1514" s="15">
        <v>1070000</v>
      </c>
      <c r="E1514" s="93">
        <v>0.95099145789999995</v>
      </c>
      <c r="F1514" s="18">
        <v>1017560.86</v>
      </c>
      <c r="G1514" s="15">
        <v>0</v>
      </c>
      <c r="H1514" s="13"/>
      <c r="I1514" s="13"/>
    </row>
    <row r="1515" spans="1:9">
      <c r="A1515" s="13" t="s">
        <v>2265</v>
      </c>
      <c r="B1515" s="139" t="s">
        <v>563</v>
      </c>
      <c r="C1515" s="139" t="s">
        <v>392</v>
      </c>
      <c r="D1515" s="15">
        <v>1070000</v>
      </c>
      <c r="E1515" s="93">
        <v>0.95099145789999995</v>
      </c>
      <c r="F1515" s="18">
        <v>1017560.86</v>
      </c>
      <c r="G1515" s="15">
        <v>0</v>
      </c>
      <c r="H1515" s="13"/>
      <c r="I1515" s="13"/>
    </row>
    <row r="1516" spans="1:9">
      <c r="A1516" s="13" t="s">
        <v>2266</v>
      </c>
      <c r="B1516" s="139" t="s">
        <v>557</v>
      </c>
      <c r="C1516" s="139" t="s">
        <v>392</v>
      </c>
      <c r="D1516" s="15">
        <v>1070000</v>
      </c>
      <c r="E1516" s="93">
        <v>0.95017442419999998</v>
      </c>
      <c r="F1516" s="18">
        <v>1016686.63</v>
      </c>
      <c r="G1516" s="15">
        <v>0</v>
      </c>
      <c r="H1516" s="13"/>
      <c r="I1516" s="13"/>
    </row>
    <row r="1517" spans="1:9">
      <c r="A1517" s="13" t="s">
        <v>2267</v>
      </c>
      <c r="B1517" s="139" t="s">
        <v>557</v>
      </c>
      <c r="C1517" s="139" t="s">
        <v>392</v>
      </c>
      <c r="D1517" s="15">
        <v>1070000</v>
      </c>
      <c r="E1517" s="93">
        <v>0.95017442419999998</v>
      </c>
      <c r="F1517" s="18">
        <v>1016686.63</v>
      </c>
      <c r="G1517" s="15">
        <v>0</v>
      </c>
      <c r="H1517" s="13"/>
      <c r="I1517" s="13"/>
    </row>
    <row r="1518" spans="1:9">
      <c r="A1518" s="13" t="s">
        <v>2268</v>
      </c>
      <c r="B1518" s="139" t="s">
        <v>557</v>
      </c>
      <c r="C1518" s="139" t="s">
        <v>392</v>
      </c>
      <c r="D1518" s="15">
        <v>1200000</v>
      </c>
      <c r="E1518" s="93">
        <v>0.95017442279999997</v>
      </c>
      <c r="F1518" s="18">
        <v>1140209.31</v>
      </c>
      <c r="G1518" s="15">
        <v>0</v>
      </c>
      <c r="H1518" s="13"/>
      <c r="I1518" s="13"/>
    </row>
    <row r="1519" spans="1:9">
      <c r="A1519" s="13" t="s">
        <v>2269</v>
      </c>
      <c r="B1519" s="139" t="s">
        <v>636</v>
      </c>
      <c r="C1519" s="139" t="s">
        <v>392</v>
      </c>
      <c r="D1519" s="15">
        <v>100000000</v>
      </c>
      <c r="E1519" s="93">
        <v>0.92423804070000004</v>
      </c>
      <c r="F1519" s="18">
        <v>92423804.069999993</v>
      </c>
      <c r="G1519" s="18">
        <v>0.18</v>
      </c>
      <c r="H1519" s="13"/>
      <c r="I1519" s="13"/>
    </row>
    <row r="1520" spans="1:9">
      <c r="A1520" s="13" t="s">
        <v>2270</v>
      </c>
      <c r="B1520" s="139" t="s">
        <v>387</v>
      </c>
      <c r="C1520" s="139" t="s">
        <v>392</v>
      </c>
      <c r="D1520" s="15">
        <v>2718106</v>
      </c>
      <c r="E1520" s="93">
        <v>0.97789686570000001</v>
      </c>
      <c r="F1520" s="18">
        <v>2658027.34</v>
      </c>
      <c r="G1520" s="18">
        <v>0.01</v>
      </c>
      <c r="H1520" s="13"/>
      <c r="I1520" s="13"/>
    </row>
    <row r="1521" spans="1:9">
      <c r="A1521" s="13" t="s">
        <v>2271</v>
      </c>
      <c r="B1521" s="139" t="s">
        <v>694</v>
      </c>
      <c r="C1521" s="139" t="s">
        <v>392</v>
      </c>
      <c r="D1521" s="15">
        <v>2718106</v>
      </c>
      <c r="E1521" s="93">
        <v>0.97876229110000001</v>
      </c>
      <c r="F1521" s="18">
        <v>2660379.66</v>
      </c>
      <c r="G1521" s="18">
        <v>0.01</v>
      </c>
      <c r="H1521" s="13"/>
      <c r="I1521" s="13"/>
    </row>
    <row r="1522" spans="1:9">
      <c r="A1522" s="13" t="s">
        <v>2272</v>
      </c>
      <c r="B1522" s="139" t="s">
        <v>391</v>
      </c>
      <c r="C1522" s="139" t="s">
        <v>392</v>
      </c>
      <c r="D1522" s="18">
        <v>2718108.62</v>
      </c>
      <c r="E1522" s="93">
        <v>0.97445096679999998</v>
      </c>
      <c r="F1522" s="18">
        <v>2648663.5699999998</v>
      </c>
      <c r="G1522" s="18">
        <v>0.01</v>
      </c>
      <c r="H1522" s="13"/>
      <c r="I1522" s="13"/>
    </row>
    <row r="1523" spans="1:9">
      <c r="A1523" s="13" t="s">
        <v>2273</v>
      </c>
      <c r="B1523" s="139" t="s">
        <v>798</v>
      </c>
      <c r="C1523" s="139" t="s">
        <v>392</v>
      </c>
      <c r="D1523" s="151">
        <v>6690591.5999999996</v>
      </c>
      <c r="E1523" s="93">
        <v>0.96678511460000005</v>
      </c>
      <c r="F1523" s="18">
        <v>6468364.3700000001</v>
      </c>
      <c r="G1523" s="18">
        <v>0.01</v>
      </c>
      <c r="H1523" s="13"/>
      <c r="I1523" s="13"/>
    </row>
    <row r="1524" spans="1:9">
      <c r="A1524" s="13" t="s">
        <v>2274</v>
      </c>
      <c r="B1524" s="139" t="s">
        <v>445</v>
      </c>
      <c r="C1524" s="139" t="s">
        <v>392</v>
      </c>
      <c r="D1524" s="151">
        <v>6778023.7000000002</v>
      </c>
      <c r="E1524" s="93">
        <v>0.99192878910000004</v>
      </c>
      <c r="F1524" s="18">
        <v>6723316.8399999999</v>
      </c>
      <c r="G1524" s="18">
        <v>0.01</v>
      </c>
      <c r="H1524" s="13"/>
      <c r="I1524" s="13"/>
    </row>
    <row r="1525" spans="1:9">
      <c r="A1525" s="13" t="s">
        <v>2275</v>
      </c>
      <c r="B1525" s="139" t="s">
        <v>426</v>
      </c>
      <c r="C1525" s="139" t="s">
        <v>392</v>
      </c>
      <c r="D1525" s="15">
        <v>10500000</v>
      </c>
      <c r="E1525" s="93">
        <v>0.9854213986</v>
      </c>
      <c r="F1525" s="18">
        <v>10346924.689999999</v>
      </c>
      <c r="G1525" s="18">
        <v>0.02</v>
      </c>
      <c r="H1525" s="13"/>
      <c r="I1525" s="13"/>
    </row>
    <row r="1526" spans="1:9">
      <c r="A1526" s="13" t="s">
        <v>2276</v>
      </c>
      <c r="B1526" s="139" t="s">
        <v>488</v>
      </c>
      <c r="C1526" s="139" t="s">
        <v>392</v>
      </c>
      <c r="D1526" s="15">
        <v>145500000</v>
      </c>
      <c r="E1526" s="93">
        <v>0.96174138419999999</v>
      </c>
      <c r="F1526" s="151">
        <v>139933371.40000001</v>
      </c>
      <c r="G1526" s="18">
        <v>0.27</v>
      </c>
      <c r="H1526" s="13"/>
      <c r="I1526" s="13"/>
    </row>
    <row r="1527" spans="1:9">
      <c r="A1527" s="13" t="s">
        <v>2277</v>
      </c>
      <c r="B1527" s="139" t="s">
        <v>813</v>
      </c>
      <c r="C1527" s="139" t="s">
        <v>392</v>
      </c>
      <c r="D1527" s="15">
        <v>25000000</v>
      </c>
      <c r="E1527" s="93">
        <v>0.96624772039999995</v>
      </c>
      <c r="F1527" s="18">
        <v>24156193.010000002</v>
      </c>
      <c r="G1527" s="18">
        <v>0.05</v>
      </c>
      <c r="H1527" s="13"/>
      <c r="I1527" s="13"/>
    </row>
    <row r="1528" spans="1:9">
      <c r="A1528" s="13" t="s">
        <v>2278</v>
      </c>
      <c r="B1528" s="139" t="s">
        <v>533</v>
      </c>
      <c r="C1528" s="139" t="s">
        <v>392</v>
      </c>
      <c r="D1528" s="15">
        <v>25000000</v>
      </c>
      <c r="E1528" s="93">
        <v>0.9844910214</v>
      </c>
      <c r="F1528" s="18">
        <v>24612275.539999999</v>
      </c>
      <c r="G1528" s="18">
        <v>0.05</v>
      </c>
      <c r="H1528" s="13"/>
      <c r="I1528" s="13"/>
    </row>
    <row r="1529" spans="1:9">
      <c r="A1529" s="13" t="s">
        <v>2279</v>
      </c>
      <c r="B1529" s="139" t="s">
        <v>533</v>
      </c>
      <c r="C1529" s="139" t="s">
        <v>392</v>
      </c>
      <c r="D1529" s="15">
        <v>25000000</v>
      </c>
      <c r="E1529" s="93">
        <v>0.9844910214</v>
      </c>
      <c r="F1529" s="18">
        <v>24612275.539999999</v>
      </c>
      <c r="G1529" s="18">
        <v>0.05</v>
      </c>
      <c r="H1529" s="13"/>
      <c r="I1529" s="13"/>
    </row>
    <row r="1530" spans="1:9">
      <c r="A1530" s="13" t="s">
        <v>2280</v>
      </c>
      <c r="B1530" s="139" t="s">
        <v>759</v>
      </c>
      <c r="C1530" s="139" t="s">
        <v>392</v>
      </c>
      <c r="D1530" s="15">
        <v>25000000</v>
      </c>
      <c r="E1530" s="93">
        <v>0.94743688079999999</v>
      </c>
      <c r="F1530" s="18">
        <v>23685922.02</v>
      </c>
      <c r="G1530" s="18">
        <v>0.05</v>
      </c>
      <c r="H1530" s="13"/>
      <c r="I1530" s="13"/>
    </row>
    <row r="1531" spans="1:9">
      <c r="A1531" s="13" t="s">
        <v>2281</v>
      </c>
      <c r="B1531" s="139" t="s">
        <v>813</v>
      </c>
      <c r="C1531" s="139" t="s">
        <v>392</v>
      </c>
      <c r="D1531" s="15">
        <v>25000000</v>
      </c>
      <c r="E1531" s="93">
        <v>0.96624772039999995</v>
      </c>
      <c r="F1531" s="18">
        <v>24156193.010000002</v>
      </c>
      <c r="G1531" s="18">
        <v>0.05</v>
      </c>
      <c r="H1531" s="13"/>
      <c r="I1531" s="13"/>
    </row>
    <row r="1532" spans="1:9">
      <c r="A1532" s="13" t="s">
        <v>2282</v>
      </c>
      <c r="B1532" s="139" t="s">
        <v>759</v>
      </c>
      <c r="C1532" s="139" t="s">
        <v>392</v>
      </c>
      <c r="D1532" s="15">
        <v>25000000</v>
      </c>
      <c r="E1532" s="93">
        <v>0.94743688079999999</v>
      </c>
      <c r="F1532" s="18">
        <v>23685922.02</v>
      </c>
      <c r="G1532" s="18">
        <v>0.05</v>
      </c>
      <c r="H1532" s="13"/>
      <c r="I1532" s="13"/>
    </row>
    <row r="1533" spans="1:9">
      <c r="A1533" s="13" t="s">
        <v>2283</v>
      </c>
      <c r="B1533" s="139" t="s">
        <v>2284</v>
      </c>
      <c r="C1533" s="139" t="s">
        <v>392</v>
      </c>
      <c r="D1533" s="18">
        <v>5000300.25</v>
      </c>
      <c r="E1533" s="93">
        <v>0.89720274830000002</v>
      </c>
      <c r="F1533" s="18">
        <v>4486283.13</v>
      </c>
      <c r="G1533" s="18">
        <v>0.01</v>
      </c>
      <c r="H1533" s="13"/>
      <c r="I1533" s="13"/>
    </row>
    <row r="1534" spans="1:9">
      <c r="A1534" s="13" t="s">
        <v>2285</v>
      </c>
      <c r="B1534" s="139" t="s">
        <v>2286</v>
      </c>
      <c r="C1534" s="139" t="s">
        <v>392</v>
      </c>
      <c r="D1534" s="18">
        <v>5000300.25</v>
      </c>
      <c r="E1534" s="93">
        <v>0.89421336789999994</v>
      </c>
      <c r="F1534" s="18">
        <v>4471335.33</v>
      </c>
      <c r="G1534" s="18">
        <v>0.01</v>
      </c>
      <c r="H1534" s="13"/>
      <c r="I1534" s="13"/>
    </row>
    <row r="1535" spans="1:9">
      <c r="A1535" s="13" t="s">
        <v>2287</v>
      </c>
      <c r="B1535" s="139" t="s">
        <v>1822</v>
      </c>
      <c r="C1535" s="139" t="s">
        <v>392</v>
      </c>
      <c r="D1535" s="18">
        <v>5000300.25</v>
      </c>
      <c r="E1535" s="93">
        <v>0.89198443620000001</v>
      </c>
      <c r="F1535" s="15">
        <v>4460190</v>
      </c>
      <c r="G1535" s="18">
        <v>0.01</v>
      </c>
      <c r="H1535" s="13"/>
      <c r="I1535" s="13"/>
    </row>
    <row r="1536" spans="1:9">
      <c r="A1536" s="13" t="s">
        <v>2288</v>
      </c>
      <c r="B1536" s="139" t="s">
        <v>1335</v>
      </c>
      <c r="C1536" s="139" t="s">
        <v>392</v>
      </c>
      <c r="D1536" s="18">
        <v>5000300.25</v>
      </c>
      <c r="E1536" s="154">
        <v>0.89272626300000002</v>
      </c>
      <c r="F1536" s="18">
        <v>4463899.3600000003</v>
      </c>
      <c r="G1536" s="18">
        <v>0.01</v>
      </c>
      <c r="H1536" s="13"/>
      <c r="I1536" s="13"/>
    </row>
    <row r="1537" spans="1:9">
      <c r="A1537" s="13" t="s">
        <v>2289</v>
      </c>
      <c r="B1537" s="139" t="s">
        <v>1335</v>
      </c>
      <c r="C1537" s="139" t="s">
        <v>392</v>
      </c>
      <c r="D1537" s="18">
        <v>5000300.25</v>
      </c>
      <c r="E1537" s="154">
        <v>0.89272626300000002</v>
      </c>
      <c r="F1537" s="18">
        <v>4463899.3600000003</v>
      </c>
      <c r="G1537" s="18">
        <v>0.01</v>
      </c>
      <c r="H1537" s="13"/>
      <c r="I1537" s="13"/>
    </row>
    <row r="1538" spans="1:9">
      <c r="A1538" s="13" t="s">
        <v>2290</v>
      </c>
      <c r="B1538" s="139" t="s">
        <v>1335</v>
      </c>
      <c r="C1538" s="139" t="s">
        <v>392</v>
      </c>
      <c r="D1538" s="18">
        <v>5000300.25</v>
      </c>
      <c r="E1538" s="154">
        <v>0.89272626300000002</v>
      </c>
      <c r="F1538" s="18">
        <v>4463899.3600000003</v>
      </c>
      <c r="G1538" s="18">
        <v>0.01</v>
      </c>
      <c r="H1538" s="13"/>
      <c r="I1538" s="13"/>
    </row>
    <row r="1539" spans="1:9">
      <c r="A1539" s="13" t="s">
        <v>2291</v>
      </c>
      <c r="B1539" s="139" t="s">
        <v>1335</v>
      </c>
      <c r="C1539" s="139" t="s">
        <v>392</v>
      </c>
      <c r="D1539" s="18">
        <v>5000300.25</v>
      </c>
      <c r="E1539" s="154">
        <v>0.89272626300000002</v>
      </c>
      <c r="F1539" s="18">
        <v>4463899.3600000003</v>
      </c>
      <c r="G1539" s="18">
        <v>0.01</v>
      </c>
      <c r="H1539" s="13"/>
      <c r="I1539" s="13"/>
    </row>
    <row r="1540" spans="1:9">
      <c r="A1540" s="13" t="s">
        <v>2292</v>
      </c>
      <c r="B1540" s="139" t="s">
        <v>746</v>
      </c>
      <c r="C1540" s="139" t="s">
        <v>392</v>
      </c>
      <c r="D1540" s="18">
        <v>5000300.25</v>
      </c>
      <c r="E1540" s="93">
        <v>0.8934693292</v>
      </c>
      <c r="F1540" s="18">
        <v>4467614.91</v>
      </c>
      <c r="G1540" s="18">
        <v>0.01</v>
      </c>
      <c r="H1540" s="13"/>
      <c r="I1540" s="13"/>
    </row>
    <row r="1541" spans="1:9">
      <c r="A1541" s="13" t="s">
        <v>2293</v>
      </c>
      <c r="B1541" s="139" t="s">
        <v>999</v>
      </c>
      <c r="C1541" s="139" t="s">
        <v>392</v>
      </c>
      <c r="D1541" s="18">
        <v>1020845.65</v>
      </c>
      <c r="E1541" s="93">
        <v>0.90859314270000002</v>
      </c>
      <c r="F1541" s="18">
        <v>927533.36</v>
      </c>
      <c r="G1541" s="15">
        <v>0</v>
      </c>
      <c r="H1541" s="13"/>
      <c r="I1541" s="13"/>
    </row>
    <row r="1542" spans="1:9">
      <c r="A1542" s="13" t="s">
        <v>2294</v>
      </c>
      <c r="B1542" s="139" t="s">
        <v>1036</v>
      </c>
      <c r="C1542" s="139" t="s">
        <v>392</v>
      </c>
      <c r="D1542" s="18">
        <v>1020845.65</v>
      </c>
      <c r="E1542" s="93">
        <v>0.9047645164</v>
      </c>
      <c r="F1542" s="18">
        <v>923624.92</v>
      </c>
      <c r="G1542" s="15">
        <v>0</v>
      </c>
      <c r="H1542" s="13"/>
      <c r="I1542" s="13"/>
    </row>
    <row r="1543" spans="1:9">
      <c r="A1543" s="13" t="s">
        <v>2295</v>
      </c>
      <c r="B1543" s="139" t="s">
        <v>748</v>
      </c>
      <c r="C1543" s="139" t="s">
        <v>392</v>
      </c>
      <c r="D1543" s="18">
        <v>990902.64</v>
      </c>
      <c r="E1543" s="93">
        <v>0.90400255380000005</v>
      </c>
      <c r="F1543" s="18">
        <v>895778.52</v>
      </c>
      <c r="G1543" s="15">
        <v>0</v>
      </c>
      <c r="H1543" s="13"/>
      <c r="I1543" s="13"/>
    </row>
    <row r="1544" spans="1:9">
      <c r="A1544" s="13" t="s">
        <v>2296</v>
      </c>
      <c r="B1544" s="139" t="s">
        <v>999</v>
      </c>
      <c r="C1544" s="139" t="s">
        <v>392</v>
      </c>
      <c r="D1544" s="18">
        <v>990902.64</v>
      </c>
      <c r="E1544" s="93">
        <v>0.90859314270000002</v>
      </c>
      <c r="F1544" s="18">
        <v>900327.34</v>
      </c>
      <c r="G1544" s="15">
        <v>0</v>
      </c>
      <c r="H1544" s="13"/>
      <c r="I1544" s="13"/>
    </row>
    <row r="1545" spans="1:9">
      <c r="A1545" s="13" t="s">
        <v>2297</v>
      </c>
      <c r="B1545" s="139" t="s">
        <v>748</v>
      </c>
      <c r="C1545" s="139" t="s">
        <v>392</v>
      </c>
      <c r="D1545" s="18">
        <v>1020845.65</v>
      </c>
      <c r="E1545" s="93">
        <v>0.90400255630000004</v>
      </c>
      <c r="F1545" s="18">
        <v>922847.08</v>
      </c>
      <c r="G1545" s="15">
        <v>0</v>
      </c>
      <c r="H1545" s="13"/>
      <c r="I1545" s="13"/>
    </row>
    <row r="1546" spans="1:9">
      <c r="A1546" s="13" t="s">
        <v>2298</v>
      </c>
      <c r="B1546" s="139" t="s">
        <v>748</v>
      </c>
      <c r="C1546" s="139" t="s">
        <v>392</v>
      </c>
      <c r="D1546" s="18">
        <v>1020845.65</v>
      </c>
      <c r="E1546" s="93">
        <v>0.90400255630000004</v>
      </c>
      <c r="F1546" s="18">
        <v>922847.08</v>
      </c>
      <c r="G1546" s="15">
        <v>0</v>
      </c>
      <c r="H1546" s="13"/>
      <c r="I1546" s="13"/>
    </row>
    <row r="1547" spans="1:9">
      <c r="A1547" s="13" t="s">
        <v>2299</v>
      </c>
      <c r="B1547" s="139" t="s">
        <v>1036</v>
      </c>
      <c r="C1547" s="139" t="s">
        <v>392</v>
      </c>
      <c r="D1547" s="18">
        <v>990902.64</v>
      </c>
      <c r="E1547" s="93">
        <v>0.9047645164</v>
      </c>
      <c r="F1547" s="18">
        <v>896533.55</v>
      </c>
      <c r="G1547" s="15">
        <v>0</v>
      </c>
      <c r="H1547" s="13"/>
      <c r="I1547" s="13"/>
    </row>
    <row r="1548" spans="1:9">
      <c r="A1548" s="13" t="s">
        <v>2300</v>
      </c>
      <c r="B1548" s="139" t="s">
        <v>2163</v>
      </c>
      <c r="C1548" s="139" t="s">
        <v>392</v>
      </c>
      <c r="D1548" s="18">
        <v>990902.64</v>
      </c>
      <c r="E1548" s="93">
        <v>0.90552750159999995</v>
      </c>
      <c r="F1548" s="18">
        <v>897289.59</v>
      </c>
      <c r="G1548" s="15">
        <v>0</v>
      </c>
      <c r="H1548" s="13"/>
      <c r="I1548" s="13"/>
    </row>
    <row r="1549" spans="1:9">
      <c r="A1549" s="13" t="s">
        <v>2301</v>
      </c>
      <c r="B1549" s="139" t="s">
        <v>2163</v>
      </c>
      <c r="C1549" s="139" t="s">
        <v>392</v>
      </c>
      <c r="D1549" s="18">
        <v>1020845.65</v>
      </c>
      <c r="E1549" s="93">
        <v>0.90552749160000001</v>
      </c>
      <c r="F1549" s="151">
        <v>924403.8</v>
      </c>
      <c r="G1549" s="15">
        <v>0</v>
      </c>
      <c r="H1549" s="13"/>
      <c r="I1549" s="13"/>
    </row>
    <row r="1550" spans="1:9">
      <c r="A1550" s="13" t="s">
        <v>2302</v>
      </c>
      <c r="B1550" s="139" t="s">
        <v>792</v>
      </c>
      <c r="C1550" s="139" t="s">
        <v>392</v>
      </c>
      <c r="D1550" s="15">
        <v>10000000</v>
      </c>
      <c r="E1550" s="93">
        <v>0.9453020821</v>
      </c>
      <c r="F1550" s="18">
        <v>9453020.8200000003</v>
      </c>
      <c r="G1550" s="18">
        <v>0.02</v>
      </c>
      <c r="H1550" s="13"/>
      <c r="I1550" s="13"/>
    </row>
    <row r="1551" spans="1:9">
      <c r="A1551" s="13" t="s">
        <v>2303</v>
      </c>
      <c r="B1551" s="139" t="s">
        <v>188</v>
      </c>
      <c r="C1551" s="139" t="s">
        <v>392</v>
      </c>
      <c r="D1551" s="15">
        <v>10000000</v>
      </c>
      <c r="E1551" s="93">
        <v>0.97359314740000003</v>
      </c>
      <c r="F1551" s="18">
        <v>9735931.4700000007</v>
      </c>
      <c r="G1551" s="18">
        <v>0.02</v>
      </c>
      <c r="H1551" s="13"/>
      <c r="I1551" s="13"/>
    </row>
    <row r="1552" spans="1:9">
      <c r="A1552" s="13" t="s">
        <v>2304</v>
      </c>
      <c r="B1552" s="139" t="s">
        <v>594</v>
      </c>
      <c r="C1552" s="139" t="s">
        <v>392</v>
      </c>
      <c r="D1552" s="15">
        <v>10000000</v>
      </c>
      <c r="E1552" s="28">
        <v>0.95674972999999996</v>
      </c>
      <c r="F1552" s="151">
        <v>9567497.3000000007</v>
      </c>
      <c r="G1552" s="18">
        <v>0.02</v>
      </c>
      <c r="H1552" s="13"/>
      <c r="I1552" s="13"/>
    </row>
    <row r="1553" spans="1:9">
      <c r="A1553" s="13" t="s">
        <v>2305</v>
      </c>
      <c r="B1553" s="139" t="s">
        <v>505</v>
      </c>
      <c r="C1553" s="139" t="s">
        <v>392</v>
      </c>
      <c r="D1553" s="15">
        <v>10000000</v>
      </c>
      <c r="E1553" s="93">
        <v>0.96847804120000003</v>
      </c>
      <c r="F1553" s="18">
        <v>9684780.4100000001</v>
      </c>
      <c r="G1553" s="18">
        <v>0.02</v>
      </c>
      <c r="H1553" s="13"/>
      <c r="I1553" s="13"/>
    </row>
    <row r="1554" spans="1:9">
      <c r="A1554" s="13" t="s">
        <v>2306</v>
      </c>
      <c r="B1554" s="139" t="s">
        <v>190</v>
      </c>
      <c r="C1554" s="139" t="s">
        <v>392</v>
      </c>
      <c r="D1554" s="15">
        <v>10000000</v>
      </c>
      <c r="E1554" s="154">
        <v>0.96257816200000001</v>
      </c>
      <c r="F1554" s="18">
        <v>9625781.6199999992</v>
      </c>
      <c r="G1554" s="18">
        <v>0.02</v>
      </c>
      <c r="H1554" s="13"/>
      <c r="I1554" s="13"/>
    </row>
    <row r="1555" spans="1:9">
      <c r="A1555" s="13" t="s">
        <v>2307</v>
      </c>
      <c r="B1555" s="139" t="s">
        <v>1694</v>
      </c>
      <c r="C1555" s="139" t="s">
        <v>392</v>
      </c>
      <c r="D1555" s="15">
        <v>32000000</v>
      </c>
      <c r="E1555" s="93">
        <v>0.95238114650000005</v>
      </c>
      <c r="F1555" s="18">
        <v>30476196.690000001</v>
      </c>
      <c r="G1555" s="18">
        <v>0.06</v>
      </c>
      <c r="H1555" s="13"/>
      <c r="I1555" s="13"/>
    </row>
    <row r="1556" spans="1:9">
      <c r="A1556" s="13" t="s">
        <v>2308</v>
      </c>
      <c r="B1556" s="139" t="s">
        <v>773</v>
      </c>
      <c r="C1556" s="139" t="s">
        <v>392</v>
      </c>
      <c r="D1556" s="15">
        <v>32000000</v>
      </c>
      <c r="E1556" s="93">
        <v>0.93290737580000005</v>
      </c>
      <c r="F1556" s="18">
        <v>29853036.030000001</v>
      </c>
      <c r="G1556" s="18">
        <v>0.06</v>
      </c>
      <c r="H1556" s="13"/>
      <c r="I1556" s="13"/>
    </row>
    <row r="1557" spans="1:9">
      <c r="A1557" s="13" t="s">
        <v>2309</v>
      </c>
      <c r="B1557" s="139" t="s">
        <v>634</v>
      </c>
      <c r="C1557" s="139" t="s">
        <v>392</v>
      </c>
      <c r="D1557" s="15">
        <v>32000000</v>
      </c>
      <c r="E1557" s="93">
        <v>0.92405063850000002</v>
      </c>
      <c r="F1557" s="18">
        <v>29569620.43</v>
      </c>
      <c r="G1557" s="18">
        <v>0.06</v>
      </c>
      <c r="H1557" s="13"/>
      <c r="I1557" s="13"/>
    </row>
    <row r="1558" spans="1:9">
      <c r="A1558" s="13" t="s">
        <v>2310</v>
      </c>
      <c r="B1558" s="139" t="s">
        <v>557</v>
      </c>
      <c r="C1558" s="139" t="s">
        <v>392</v>
      </c>
      <c r="D1558" s="15">
        <v>32000000</v>
      </c>
      <c r="E1558" s="93">
        <v>0.96179183430000004</v>
      </c>
      <c r="F1558" s="151">
        <v>30777338.699999999</v>
      </c>
      <c r="G1558" s="18">
        <v>0.06</v>
      </c>
      <c r="H1558" s="13"/>
      <c r="I1558" s="13"/>
    </row>
    <row r="1559" spans="1:9">
      <c r="A1559" s="13" t="s">
        <v>2311</v>
      </c>
      <c r="B1559" s="139" t="s">
        <v>636</v>
      </c>
      <c r="C1559" s="139" t="s">
        <v>392</v>
      </c>
      <c r="D1559" s="15">
        <v>32000000</v>
      </c>
      <c r="E1559" s="93">
        <v>0.94315262420000001</v>
      </c>
      <c r="F1559" s="18">
        <v>30180883.969999999</v>
      </c>
      <c r="G1559" s="18">
        <v>0.06</v>
      </c>
      <c r="H1559" s="13"/>
      <c r="I1559" s="13"/>
    </row>
    <row r="1560" spans="1:9">
      <c r="A1560" s="13" t="s">
        <v>2312</v>
      </c>
      <c r="B1560" s="139" t="s">
        <v>785</v>
      </c>
      <c r="C1560" s="139" t="s">
        <v>392</v>
      </c>
      <c r="D1560" s="15">
        <v>6000000</v>
      </c>
      <c r="E1560" s="93">
        <v>0.93963203070000001</v>
      </c>
      <c r="F1560" s="18">
        <v>5637792.1799999997</v>
      </c>
      <c r="G1560" s="18">
        <v>0.01</v>
      </c>
      <c r="H1560" s="13"/>
      <c r="I1560" s="13"/>
    </row>
    <row r="1561" spans="1:9">
      <c r="A1561" s="13" t="s">
        <v>2313</v>
      </c>
      <c r="B1561" s="139" t="s">
        <v>755</v>
      </c>
      <c r="C1561" s="139" t="s">
        <v>392</v>
      </c>
      <c r="D1561" s="15">
        <v>6000000</v>
      </c>
      <c r="E1561" s="93">
        <v>0.93541778630000005</v>
      </c>
      <c r="F1561" s="18">
        <v>5612506.7199999997</v>
      </c>
      <c r="G1561" s="18">
        <v>0.01</v>
      </c>
      <c r="H1561" s="13"/>
      <c r="I1561" s="13"/>
    </row>
    <row r="1562" spans="1:9">
      <c r="A1562" s="13" t="s">
        <v>2314</v>
      </c>
      <c r="B1562" s="139" t="s">
        <v>716</v>
      </c>
      <c r="C1562" s="139" t="s">
        <v>392</v>
      </c>
      <c r="D1562" s="15">
        <v>15000000</v>
      </c>
      <c r="E1562" s="93">
        <v>0.93953513789999998</v>
      </c>
      <c r="F1562" s="18">
        <v>14093027.07</v>
      </c>
      <c r="G1562" s="18">
        <v>0.03</v>
      </c>
      <c r="H1562" s="13"/>
      <c r="I1562" s="13"/>
    </row>
    <row r="1563" spans="1:9">
      <c r="A1563" s="13" t="s">
        <v>2315</v>
      </c>
      <c r="B1563" s="139" t="s">
        <v>1023</v>
      </c>
      <c r="C1563" s="139" t="s">
        <v>392</v>
      </c>
      <c r="D1563" s="15">
        <v>15000000</v>
      </c>
      <c r="E1563" s="93">
        <v>0.94084303229999999</v>
      </c>
      <c r="F1563" s="18">
        <v>14112645.48</v>
      </c>
      <c r="G1563" s="18">
        <v>0.03</v>
      </c>
      <c r="H1563" s="13"/>
      <c r="I1563" s="13"/>
    </row>
    <row r="1564" spans="1:9">
      <c r="A1564" s="13" t="s">
        <v>2316</v>
      </c>
      <c r="B1564" s="139" t="s">
        <v>631</v>
      </c>
      <c r="C1564" s="139" t="s">
        <v>392</v>
      </c>
      <c r="D1564" s="15">
        <v>15000000</v>
      </c>
      <c r="E1564" s="93">
        <v>0.94478819439999995</v>
      </c>
      <c r="F1564" s="18">
        <v>14171822.92</v>
      </c>
      <c r="G1564" s="18">
        <v>0.03</v>
      </c>
      <c r="H1564" s="13"/>
      <c r="I1564" s="13"/>
    </row>
    <row r="1565" spans="1:9">
      <c r="A1565" s="13" t="s">
        <v>2317</v>
      </c>
      <c r="B1565" s="139" t="s">
        <v>636</v>
      </c>
      <c r="C1565" s="139" t="s">
        <v>392</v>
      </c>
      <c r="D1565" s="15">
        <v>15000000</v>
      </c>
      <c r="E1565" s="93">
        <v>0.93888278169999995</v>
      </c>
      <c r="F1565" s="18">
        <v>14083241.73</v>
      </c>
      <c r="G1565" s="18">
        <v>0.03</v>
      </c>
      <c r="H1565" s="13"/>
      <c r="I1565" s="13"/>
    </row>
    <row r="1566" spans="1:9">
      <c r="A1566" s="13" t="s">
        <v>2318</v>
      </c>
      <c r="B1566" s="139" t="s">
        <v>769</v>
      </c>
      <c r="C1566" s="139" t="s">
        <v>392</v>
      </c>
      <c r="D1566" s="15">
        <v>15000000</v>
      </c>
      <c r="E1566" s="154">
        <v>0.93112256299999996</v>
      </c>
      <c r="F1566" s="18">
        <v>13966838.449999999</v>
      </c>
      <c r="G1566" s="18">
        <v>0.03</v>
      </c>
      <c r="H1566" s="13"/>
      <c r="I1566" s="13"/>
    </row>
    <row r="1567" spans="1:9">
      <c r="A1567" s="13" t="s">
        <v>2319</v>
      </c>
      <c r="B1567" s="139" t="s">
        <v>769</v>
      </c>
      <c r="C1567" s="139" t="s">
        <v>392</v>
      </c>
      <c r="D1567" s="15">
        <v>15000000</v>
      </c>
      <c r="E1567" s="154">
        <v>0.93112256299999996</v>
      </c>
      <c r="F1567" s="18">
        <v>13966838.449999999</v>
      </c>
      <c r="G1567" s="18">
        <v>0.03</v>
      </c>
      <c r="H1567" s="13"/>
      <c r="I1567" s="13"/>
    </row>
    <row r="1568" spans="1:9">
      <c r="A1568" s="13" t="s">
        <v>2320</v>
      </c>
      <c r="B1568" s="139" t="s">
        <v>767</v>
      </c>
      <c r="C1568" s="139" t="s">
        <v>392</v>
      </c>
      <c r="D1568" s="15">
        <v>15000000</v>
      </c>
      <c r="E1568" s="93">
        <v>0.93240689870000004</v>
      </c>
      <c r="F1568" s="18">
        <v>13986103.48</v>
      </c>
      <c r="G1568" s="18">
        <v>0.03</v>
      </c>
      <c r="H1568" s="13"/>
      <c r="I1568" s="13"/>
    </row>
    <row r="1569" spans="1:9">
      <c r="A1569" s="13" t="s">
        <v>2321</v>
      </c>
      <c r="B1569" s="139" t="s">
        <v>763</v>
      </c>
      <c r="C1569" s="139" t="s">
        <v>392</v>
      </c>
      <c r="D1569" s="15">
        <v>15000000</v>
      </c>
      <c r="E1569" s="93">
        <v>0.93498645729999996</v>
      </c>
      <c r="F1569" s="18">
        <v>14024796.859999999</v>
      </c>
      <c r="G1569" s="18">
        <v>0.03</v>
      </c>
      <c r="H1569" s="13"/>
      <c r="I1569" s="13"/>
    </row>
    <row r="1570" spans="1:9">
      <c r="A1570" s="13" t="s">
        <v>2322</v>
      </c>
      <c r="B1570" s="139" t="s">
        <v>722</v>
      </c>
      <c r="C1570" s="139" t="s">
        <v>392</v>
      </c>
      <c r="D1570" s="15">
        <v>15000000</v>
      </c>
      <c r="E1570" s="93">
        <v>0.93563363519999998</v>
      </c>
      <c r="F1570" s="18">
        <v>14034504.529999999</v>
      </c>
      <c r="G1570" s="18">
        <v>0.03</v>
      </c>
      <c r="H1570" s="13"/>
      <c r="I1570" s="13"/>
    </row>
    <row r="1571" spans="1:9">
      <c r="A1571" s="13" t="s">
        <v>2323</v>
      </c>
      <c r="B1571" s="139" t="s">
        <v>720</v>
      </c>
      <c r="C1571" s="139" t="s">
        <v>392</v>
      </c>
      <c r="D1571" s="15">
        <v>15000000</v>
      </c>
      <c r="E1571" s="93">
        <v>0.93628171049999998</v>
      </c>
      <c r="F1571" s="18">
        <v>14044225.66</v>
      </c>
      <c r="G1571" s="18">
        <v>0.03</v>
      </c>
      <c r="H1571" s="13"/>
      <c r="I1571" s="13"/>
    </row>
    <row r="1572" spans="1:9">
      <c r="A1572" s="13" t="s">
        <v>2324</v>
      </c>
      <c r="B1572" s="139" t="s">
        <v>999</v>
      </c>
      <c r="C1572" s="139" t="s">
        <v>392</v>
      </c>
      <c r="D1572" s="15">
        <v>60000000</v>
      </c>
      <c r="E1572" s="93">
        <v>0.92348959850000001</v>
      </c>
      <c r="F1572" s="18">
        <v>55409375.909999996</v>
      </c>
      <c r="G1572" s="18">
        <v>0.11</v>
      </c>
      <c r="H1572" s="13"/>
      <c r="I1572" s="13"/>
    </row>
    <row r="1573" spans="1:9">
      <c r="A1573" s="13" t="s">
        <v>2325</v>
      </c>
      <c r="B1573" s="139" t="s">
        <v>748</v>
      </c>
      <c r="C1573" s="139" t="s">
        <v>392</v>
      </c>
      <c r="D1573" s="15">
        <v>60000000</v>
      </c>
      <c r="E1573" s="93">
        <v>0.9195809251</v>
      </c>
      <c r="F1573" s="18">
        <v>55174855.509999998</v>
      </c>
      <c r="G1573" s="18">
        <v>0.11</v>
      </c>
      <c r="H1573" s="13"/>
      <c r="I1573" s="13"/>
    </row>
    <row r="1574" spans="1:9">
      <c r="A1574" s="13" t="s">
        <v>2326</v>
      </c>
      <c r="B1574" s="139" t="s">
        <v>765</v>
      </c>
      <c r="C1574" s="139" t="s">
        <v>392</v>
      </c>
      <c r="D1574" s="15">
        <v>20000000</v>
      </c>
      <c r="E1574" s="93">
        <v>0.93434039989999995</v>
      </c>
      <c r="F1574" s="15">
        <v>18686808</v>
      </c>
      <c r="G1574" s="18">
        <v>0.04</v>
      </c>
      <c r="H1574" s="13"/>
      <c r="I1574" s="13"/>
    </row>
    <row r="1575" spans="1:9">
      <c r="A1575" s="13" t="s">
        <v>2327</v>
      </c>
      <c r="B1575" s="139" t="s">
        <v>716</v>
      </c>
      <c r="C1575" s="139" t="s">
        <v>392</v>
      </c>
      <c r="D1575" s="15">
        <v>20000000</v>
      </c>
      <c r="E1575" s="93">
        <v>0.93953513789999998</v>
      </c>
      <c r="F1575" s="18">
        <v>18790702.760000002</v>
      </c>
      <c r="G1575" s="18">
        <v>0.04</v>
      </c>
      <c r="H1575" s="13"/>
      <c r="I1575" s="13"/>
    </row>
    <row r="1576" spans="1:9">
      <c r="A1576" s="13" t="s">
        <v>2328</v>
      </c>
      <c r="B1576" s="139" t="s">
        <v>722</v>
      </c>
      <c r="C1576" s="139" t="s">
        <v>392</v>
      </c>
      <c r="D1576" s="15">
        <v>20000000</v>
      </c>
      <c r="E1576" s="93">
        <v>0.93563363519999998</v>
      </c>
      <c r="F1576" s="151">
        <v>18712672.699999999</v>
      </c>
      <c r="G1576" s="18">
        <v>0.04</v>
      </c>
      <c r="H1576" s="13"/>
      <c r="I1576" s="13"/>
    </row>
    <row r="1577" spans="1:9">
      <c r="A1577" s="13" t="s">
        <v>2329</v>
      </c>
      <c r="B1577" s="139" t="s">
        <v>716</v>
      </c>
      <c r="C1577" s="139" t="s">
        <v>392</v>
      </c>
      <c r="D1577" s="15">
        <v>20000000</v>
      </c>
      <c r="E1577" s="93">
        <v>0.93953513789999998</v>
      </c>
      <c r="F1577" s="18">
        <v>18790702.760000002</v>
      </c>
      <c r="G1577" s="18">
        <v>0.04</v>
      </c>
      <c r="H1577" s="13"/>
      <c r="I1577" s="13"/>
    </row>
    <row r="1578" spans="1:9">
      <c r="A1578" s="13" t="s">
        <v>2332</v>
      </c>
      <c r="B1578" s="139" t="s">
        <v>720</v>
      </c>
      <c r="C1578" s="139" t="s">
        <v>382</v>
      </c>
      <c r="D1578" s="15">
        <v>100000000</v>
      </c>
      <c r="E1578" s="93">
        <v>0.94072185689999999</v>
      </c>
      <c r="F1578" s="18">
        <v>94072185.689999998</v>
      </c>
      <c r="G1578" s="18">
        <v>0.18</v>
      </c>
      <c r="H1578" s="13"/>
      <c r="I1578" s="13"/>
    </row>
    <row r="1579" spans="1:9">
      <c r="A1579" s="13" t="s">
        <v>2333</v>
      </c>
      <c r="B1579" s="139" t="s">
        <v>559</v>
      </c>
      <c r="C1579" s="139" t="s">
        <v>382</v>
      </c>
      <c r="D1579" s="15">
        <v>10000000</v>
      </c>
      <c r="E1579" s="93">
        <v>0.97126148950000002</v>
      </c>
      <c r="F1579" s="151">
        <v>9712614.9000000004</v>
      </c>
      <c r="G1579" s="18">
        <v>0.02</v>
      </c>
      <c r="H1579" s="13"/>
      <c r="I1579" s="13"/>
    </row>
    <row r="1580" spans="1:9">
      <c r="A1580" s="13" t="s">
        <v>2334</v>
      </c>
      <c r="B1580" s="139" t="s">
        <v>424</v>
      </c>
      <c r="C1580" s="139" t="s">
        <v>382</v>
      </c>
      <c r="D1580" s="15">
        <v>10000000</v>
      </c>
      <c r="E1580" s="93">
        <v>0.9749974334</v>
      </c>
      <c r="F1580" s="18">
        <v>9749974.3300000001</v>
      </c>
      <c r="G1580" s="18">
        <v>0.02</v>
      </c>
      <c r="H1580" s="13"/>
      <c r="I1580" s="13"/>
    </row>
    <row r="1581" spans="1:9">
      <c r="A1581" s="13" t="s">
        <v>2335</v>
      </c>
      <c r="B1581" s="139" t="s">
        <v>546</v>
      </c>
      <c r="C1581" s="139" t="s">
        <v>382</v>
      </c>
      <c r="D1581" s="15">
        <v>10000000</v>
      </c>
      <c r="E1581" s="93">
        <v>0.97064154339999997</v>
      </c>
      <c r="F1581" s="18">
        <v>9706415.4299999997</v>
      </c>
      <c r="G1581" s="18">
        <v>0.02</v>
      </c>
      <c r="H1581" s="13"/>
      <c r="I1581" s="13"/>
    </row>
    <row r="1582" spans="1:9">
      <c r="A1582" s="13" t="s">
        <v>2336</v>
      </c>
      <c r="B1582" s="139" t="s">
        <v>852</v>
      </c>
      <c r="C1582" s="139" t="s">
        <v>382</v>
      </c>
      <c r="D1582" s="15">
        <v>10000000</v>
      </c>
      <c r="E1582" s="93">
        <v>0.96878665539999997</v>
      </c>
      <c r="F1582" s="18">
        <v>9687866.5500000007</v>
      </c>
      <c r="G1582" s="18">
        <v>0.02</v>
      </c>
      <c r="H1582" s="13"/>
      <c r="I1582" s="13"/>
    </row>
    <row r="1583" spans="1:9">
      <c r="A1583" s="13" t="s">
        <v>2337</v>
      </c>
      <c r="B1583" s="139" t="s">
        <v>505</v>
      </c>
      <c r="C1583" s="139" t="s">
        <v>382</v>
      </c>
      <c r="D1583" s="15">
        <v>10000000</v>
      </c>
      <c r="E1583" s="93">
        <v>0.9768762043</v>
      </c>
      <c r="F1583" s="18">
        <v>9768762.0399999991</v>
      </c>
      <c r="G1583" s="18">
        <v>0.02</v>
      </c>
      <c r="H1583" s="13"/>
      <c r="I1583" s="13"/>
    </row>
    <row r="1584" spans="1:9">
      <c r="A1584" s="13" t="s">
        <v>2338</v>
      </c>
      <c r="B1584" s="139" t="s">
        <v>604</v>
      </c>
      <c r="C1584" s="139" t="s">
        <v>382</v>
      </c>
      <c r="D1584" s="15">
        <v>10000000</v>
      </c>
      <c r="E1584" s="93">
        <v>0.97624907260000005</v>
      </c>
      <c r="F1584" s="18">
        <v>9762490.7300000004</v>
      </c>
      <c r="G1584" s="18">
        <v>0.02</v>
      </c>
      <c r="H1584" s="13"/>
      <c r="I1584" s="13"/>
    </row>
    <row r="1585" spans="1:9">
      <c r="A1585" s="13" t="s">
        <v>2339</v>
      </c>
      <c r="B1585" s="139" t="s">
        <v>798</v>
      </c>
      <c r="C1585" s="139" t="s">
        <v>382</v>
      </c>
      <c r="D1585" s="15">
        <v>10000000</v>
      </c>
      <c r="E1585" s="93">
        <v>0.97562295730000004</v>
      </c>
      <c r="F1585" s="18">
        <v>9756229.5700000003</v>
      </c>
      <c r="G1585" s="18">
        <v>0.02</v>
      </c>
      <c r="H1585" s="13"/>
      <c r="I1585" s="13"/>
    </row>
    <row r="1586" spans="1:9">
      <c r="A1586" s="13" t="s">
        <v>2340</v>
      </c>
      <c r="B1586" s="139" t="s">
        <v>488</v>
      </c>
      <c r="C1586" s="139" t="s">
        <v>382</v>
      </c>
      <c r="D1586" s="15">
        <v>10000000</v>
      </c>
      <c r="E1586" s="93">
        <v>0.9718820158</v>
      </c>
      <c r="F1586" s="18">
        <v>9718820.1600000001</v>
      </c>
      <c r="G1586" s="18">
        <v>0.02</v>
      </c>
      <c r="H1586" s="13"/>
      <c r="I1586" s="13"/>
    </row>
    <row r="1587" spans="1:9">
      <c r="A1587" s="13" t="s">
        <v>2341</v>
      </c>
      <c r="B1587" s="139" t="s">
        <v>190</v>
      </c>
      <c r="C1587" s="139" t="s">
        <v>382</v>
      </c>
      <c r="D1587" s="15">
        <v>10000000</v>
      </c>
      <c r="E1587" s="93">
        <v>0.97250354839999997</v>
      </c>
      <c r="F1587" s="18">
        <v>9725035.4800000004</v>
      </c>
      <c r="G1587" s="18">
        <v>0.02</v>
      </c>
      <c r="H1587" s="13"/>
      <c r="I1587" s="13"/>
    </row>
    <row r="1588" spans="1:9">
      <c r="A1588" s="13" t="s">
        <v>2342</v>
      </c>
      <c r="B1588" s="139" t="s">
        <v>624</v>
      </c>
      <c r="C1588" s="139" t="s">
        <v>382</v>
      </c>
      <c r="D1588" s="15">
        <v>10000000</v>
      </c>
      <c r="E1588" s="93">
        <v>0.97312587480000001</v>
      </c>
      <c r="F1588" s="18">
        <v>9731258.75</v>
      </c>
      <c r="G1588" s="18">
        <v>0.02</v>
      </c>
      <c r="H1588" s="13"/>
      <c r="I1588" s="13"/>
    </row>
    <row r="1589" spans="1:9">
      <c r="A1589" s="13" t="s">
        <v>2343</v>
      </c>
      <c r="B1589" s="139" t="s">
        <v>575</v>
      </c>
      <c r="C1589" s="139" t="s">
        <v>382</v>
      </c>
      <c r="D1589" s="15">
        <v>10000000</v>
      </c>
      <c r="E1589" s="93">
        <v>0.97658875860000005</v>
      </c>
      <c r="F1589" s="18">
        <v>9765887.5899999999</v>
      </c>
      <c r="G1589" s="18">
        <v>0.02</v>
      </c>
      <c r="H1589" s="13"/>
      <c r="I1589" s="13"/>
    </row>
    <row r="1590" spans="1:9">
      <c r="A1590" s="13" t="s">
        <v>2344</v>
      </c>
      <c r="B1590" s="139" t="s">
        <v>763</v>
      </c>
      <c r="C1590" s="139" t="s">
        <v>382</v>
      </c>
      <c r="D1590" s="15">
        <v>11000000</v>
      </c>
      <c r="E1590" s="93">
        <v>0.93951103039999995</v>
      </c>
      <c r="F1590" s="18">
        <v>10334621.33</v>
      </c>
      <c r="G1590" s="18">
        <v>0.02</v>
      </c>
      <c r="H1590" s="13"/>
      <c r="I1590" s="13"/>
    </row>
    <row r="1591" spans="1:9">
      <c r="A1591" s="13" t="s">
        <v>2345</v>
      </c>
      <c r="B1591" s="139" t="s">
        <v>557</v>
      </c>
      <c r="C1591" s="139" t="s">
        <v>382</v>
      </c>
      <c r="D1591" s="15">
        <v>10000000</v>
      </c>
      <c r="E1591" s="93">
        <v>0.96179189460000003</v>
      </c>
      <c r="F1591" s="18">
        <v>9617918.9499999993</v>
      </c>
      <c r="G1591" s="18">
        <v>0.02</v>
      </c>
      <c r="H1591" s="13"/>
      <c r="I1591" s="13"/>
    </row>
    <row r="1592" spans="1:9">
      <c r="A1592" s="13" t="s">
        <v>2346</v>
      </c>
      <c r="B1592" s="139" t="s">
        <v>1694</v>
      </c>
      <c r="C1592" s="139" t="s">
        <v>382</v>
      </c>
      <c r="D1592" s="15">
        <v>10000000</v>
      </c>
      <c r="E1592" s="93">
        <v>0.95238099229999995</v>
      </c>
      <c r="F1592" s="18">
        <v>9523809.9199999999</v>
      </c>
      <c r="G1592" s="18">
        <v>0.02</v>
      </c>
      <c r="H1592" s="13"/>
      <c r="I1592" s="13"/>
    </row>
    <row r="1593" spans="1:9">
      <c r="A1593" s="13" t="s">
        <v>2347</v>
      </c>
      <c r="B1593" s="139" t="s">
        <v>188</v>
      </c>
      <c r="C1593" s="139" t="s">
        <v>382</v>
      </c>
      <c r="D1593" s="15">
        <v>6875000</v>
      </c>
      <c r="E1593" s="93">
        <v>0.98065576310000002</v>
      </c>
      <c r="F1593" s="18">
        <v>6742008.3700000001</v>
      </c>
      <c r="G1593" s="18">
        <v>0.01</v>
      </c>
      <c r="H1593" s="13"/>
      <c r="I1593" s="13"/>
    </row>
    <row r="1594" spans="1:9">
      <c r="A1594" s="13" t="s">
        <v>2348</v>
      </c>
      <c r="B1594" s="139" t="s">
        <v>505</v>
      </c>
      <c r="C1594" s="139" t="s">
        <v>382</v>
      </c>
      <c r="D1594" s="15">
        <v>6875000</v>
      </c>
      <c r="E1594" s="93">
        <v>0.9768762043</v>
      </c>
      <c r="F1594" s="151">
        <v>6716023.9000000004</v>
      </c>
      <c r="G1594" s="18">
        <v>0.01</v>
      </c>
      <c r="H1594" s="13"/>
      <c r="I1594" s="13"/>
    </row>
    <row r="1595" spans="1:9">
      <c r="A1595" s="13" t="s">
        <v>2349</v>
      </c>
      <c r="B1595" s="139" t="s">
        <v>759</v>
      </c>
      <c r="C1595" s="139" t="s">
        <v>382</v>
      </c>
      <c r="D1595" s="15">
        <v>6250000</v>
      </c>
      <c r="E1595" s="93">
        <v>0.94943314749999996</v>
      </c>
      <c r="F1595" s="18">
        <v>5933957.1699999999</v>
      </c>
      <c r="G1595" s="18">
        <v>0.01</v>
      </c>
      <c r="H1595" s="13"/>
      <c r="I1595" s="13"/>
    </row>
    <row r="1596" spans="1:9">
      <c r="A1596" s="13" t="s">
        <v>2350</v>
      </c>
      <c r="B1596" s="139" t="s">
        <v>631</v>
      </c>
      <c r="C1596" s="139" t="s">
        <v>382</v>
      </c>
      <c r="D1596" s="15">
        <v>6250000</v>
      </c>
      <c r="E1596" s="93">
        <v>0.95061996770000001</v>
      </c>
      <c r="F1596" s="151">
        <v>5941374.7999999998</v>
      </c>
      <c r="G1596" s="18">
        <v>0.01</v>
      </c>
      <c r="H1596" s="13"/>
      <c r="I1596" s="13"/>
    </row>
    <row r="1597" spans="1:9">
      <c r="A1597" s="13" t="s">
        <v>2351</v>
      </c>
      <c r="B1597" s="139" t="s">
        <v>575</v>
      </c>
      <c r="C1597" s="139" t="s">
        <v>382</v>
      </c>
      <c r="D1597" s="15">
        <v>6875000</v>
      </c>
      <c r="E1597" s="93">
        <v>0.9775041417</v>
      </c>
      <c r="F1597" s="18">
        <v>6720340.9699999997</v>
      </c>
      <c r="G1597" s="18">
        <v>0.01</v>
      </c>
      <c r="H1597" s="13"/>
      <c r="I1597" s="13"/>
    </row>
    <row r="1598" spans="1:9">
      <c r="A1598" s="13" t="s">
        <v>2352</v>
      </c>
      <c r="B1598" s="139" t="s">
        <v>387</v>
      </c>
      <c r="C1598" s="139" t="s">
        <v>382</v>
      </c>
      <c r="D1598" s="15">
        <v>6875000</v>
      </c>
      <c r="E1598" s="93">
        <v>0.98382756220000001</v>
      </c>
      <c r="F1598" s="18">
        <v>6763814.4900000002</v>
      </c>
      <c r="G1598" s="18">
        <v>0.01</v>
      </c>
      <c r="H1598" s="13"/>
      <c r="I1598" s="13"/>
    </row>
    <row r="1599" spans="1:9">
      <c r="A1599" s="13" t="s">
        <v>2353</v>
      </c>
      <c r="B1599" s="139" t="s">
        <v>443</v>
      </c>
      <c r="C1599" s="139" t="s">
        <v>382</v>
      </c>
      <c r="D1599" s="18">
        <v>102070231.67</v>
      </c>
      <c r="E1599" s="93">
        <v>0.9973767737</v>
      </c>
      <c r="F1599" s="18">
        <v>101802478.34999999</v>
      </c>
      <c r="G1599" s="18">
        <v>0.19</v>
      </c>
      <c r="H1599" s="13"/>
      <c r="I1599" s="13"/>
    </row>
    <row r="1600" spans="1:9">
      <c r="A1600" s="13" t="s">
        <v>2354</v>
      </c>
      <c r="B1600" s="139" t="s">
        <v>813</v>
      </c>
      <c r="C1600" s="139" t="s">
        <v>382</v>
      </c>
      <c r="D1600" s="18">
        <v>70954077.530000001</v>
      </c>
      <c r="E1600" s="93">
        <v>0.96755385510000003</v>
      </c>
      <c r="F1600" s="18">
        <v>68651891.25</v>
      </c>
      <c r="G1600" s="18">
        <v>0.13</v>
      </c>
      <c r="H1600" s="13"/>
      <c r="I1600" s="13"/>
    </row>
    <row r="1601" spans="1:9">
      <c r="A1601" s="13" t="s">
        <v>2355</v>
      </c>
      <c r="B1601" s="139" t="s">
        <v>1335</v>
      </c>
      <c r="C1601" s="139" t="s">
        <v>382</v>
      </c>
      <c r="D1601" s="15">
        <v>15000000</v>
      </c>
      <c r="E1601" s="93">
        <v>0.91584300419999998</v>
      </c>
      <c r="F1601" s="18">
        <v>13737645.060000001</v>
      </c>
      <c r="G1601" s="18">
        <v>0.03</v>
      </c>
      <c r="H1601" s="13"/>
      <c r="I1601" s="13"/>
    </row>
    <row r="1602" spans="1:9">
      <c r="A1602" s="13" t="s">
        <v>2356</v>
      </c>
      <c r="B1602" s="139" t="s">
        <v>1983</v>
      </c>
      <c r="C1602" s="139" t="s">
        <v>382</v>
      </c>
      <c r="D1602" s="15">
        <v>15000000</v>
      </c>
      <c r="E1602" s="93">
        <v>0.90346536330000005</v>
      </c>
      <c r="F1602" s="18">
        <v>13551980.449999999</v>
      </c>
      <c r="G1602" s="18">
        <v>0.03</v>
      </c>
      <c r="H1602" s="13"/>
      <c r="I1602" s="13"/>
    </row>
    <row r="1603" spans="1:9">
      <c r="A1603" s="13" t="s">
        <v>2357</v>
      </c>
      <c r="B1603" s="139" t="s">
        <v>763</v>
      </c>
      <c r="C1603" s="139" t="s">
        <v>382</v>
      </c>
      <c r="D1603" s="15">
        <v>20000000</v>
      </c>
      <c r="E1603" s="154">
        <v>0.93724331599999999</v>
      </c>
      <c r="F1603" s="18">
        <v>18744866.32</v>
      </c>
      <c r="G1603" s="18">
        <v>0.04</v>
      </c>
      <c r="H1603" s="13"/>
      <c r="I1603" s="13"/>
    </row>
    <row r="1604" spans="1:9">
      <c r="A1604" s="13" t="s">
        <v>2358</v>
      </c>
      <c r="B1604" s="139" t="s">
        <v>1392</v>
      </c>
      <c r="C1604" s="139" t="s">
        <v>382</v>
      </c>
      <c r="D1604" s="15">
        <v>20000000</v>
      </c>
      <c r="E1604" s="93">
        <v>0.95509736290000002</v>
      </c>
      <c r="F1604" s="18">
        <v>19101947.260000002</v>
      </c>
      <c r="G1604" s="18">
        <v>0.04</v>
      </c>
      <c r="H1604" s="13"/>
      <c r="I1604" s="13"/>
    </row>
    <row r="1605" spans="1:9">
      <c r="A1605" s="13" t="s">
        <v>2359</v>
      </c>
      <c r="B1605" s="139" t="s">
        <v>2360</v>
      </c>
      <c r="C1605" s="139" t="s">
        <v>382</v>
      </c>
      <c r="D1605" s="15">
        <v>25000000</v>
      </c>
      <c r="E1605" s="93">
        <v>0.87968776459999998</v>
      </c>
      <c r="F1605" s="18">
        <v>21992194.120000001</v>
      </c>
      <c r="G1605" s="18">
        <v>0.04</v>
      </c>
      <c r="H1605" s="13"/>
      <c r="I1605" s="13"/>
    </row>
    <row r="1606" spans="1:9">
      <c r="A1606" s="13" t="s">
        <v>2361</v>
      </c>
      <c r="B1606" s="139" t="s">
        <v>2362</v>
      </c>
      <c r="C1606" s="139" t="s">
        <v>382</v>
      </c>
      <c r="D1606" s="15">
        <v>25000000</v>
      </c>
      <c r="E1606" s="93">
        <v>0.89311934029999995</v>
      </c>
      <c r="F1606" s="18">
        <v>22327983.510000002</v>
      </c>
      <c r="G1606" s="18">
        <v>0.04</v>
      </c>
      <c r="H1606" s="13"/>
      <c r="I1606" s="13"/>
    </row>
    <row r="1607" spans="1:9">
      <c r="A1607" s="13" t="s">
        <v>2363</v>
      </c>
      <c r="B1607" s="139" t="s">
        <v>648</v>
      </c>
      <c r="C1607" s="139" t="s">
        <v>382</v>
      </c>
      <c r="D1607" s="15">
        <v>25000000</v>
      </c>
      <c r="E1607" s="93">
        <v>0.8874733387</v>
      </c>
      <c r="F1607" s="18">
        <v>22186833.469999999</v>
      </c>
      <c r="G1607" s="18">
        <v>0.04</v>
      </c>
      <c r="H1607" s="13"/>
      <c r="I1607" s="13"/>
    </row>
    <row r="1608" spans="1:9">
      <c r="A1608" s="13" t="s">
        <v>2364</v>
      </c>
      <c r="B1608" s="139" t="s">
        <v>708</v>
      </c>
      <c r="C1608" s="139" t="s">
        <v>382</v>
      </c>
      <c r="D1608" s="15">
        <v>2500000</v>
      </c>
      <c r="E1608" s="93">
        <v>0.95121459539999997</v>
      </c>
      <c r="F1608" s="18">
        <v>2378036.4900000002</v>
      </c>
      <c r="G1608" s="15">
        <v>0</v>
      </c>
      <c r="H1608" s="13"/>
      <c r="I1608" s="13"/>
    </row>
    <row r="1609" spans="1:9">
      <c r="A1609" s="13" t="s">
        <v>2365</v>
      </c>
      <c r="B1609" s="139" t="s">
        <v>594</v>
      </c>
      <c r="C1609" s="139" t="s">
        <v>382</v>
      </c>
      <c r="D1609" s="15">
        <v>4000000</v>
      </c>
      <c r="E1609" s="154">
        <v>0.96816986400000005</v>
      </c>
      <c r="F1609" s="18">
        <v>3872679.46</v>
      </c>
      <c r="G1609" s="18">
        <v>0.01</v>
      </c>
      <c r="H1609" s="13"/>
      <c r="I1609" s="13"/>
    </row>
    <row r="1610" spans="1:9">
      <c r="A1610" s="13" t="s">
        <v>2366</v>
      </c>
      <c r="B1610" s="139" t="s">
        <v>501</v>
      </c>
      <c r="C1610" s="139" t="s">
        <v>382</v>
      </c>
      <c r="D1610" s="15">
        <v>3000000</v>
      </c>
      <c r="E1610" s="28">
        <v>0.98574055000000005</v>
      </c>
      <c r="F1610" s="18">
        <v>2957221.65</v>
      </c>
      <c r="G1610" s="18">
        <v>0.01</v>
      </c>
      <c r="H1610" s="13"/>
      <c r="I1610" s="13"/>
    </row>
    <row r="1611" spans="1:9">
      <c r="A1611" s="13" t="s">
        <v>2367</v>
      </c>
      <c r="B1611" s="139" t="s">
        <v>792</v>
      </c>
      <c r="C1611" s="139" t="s">
        <v>382</v>
      </c>
      <c r="D1611" s="15">
        <v>2500000</v>
      </c>
      <c r="E1611" s="93">
        <v>0.9596173388</v>
      </c>
      <c r="F1611" s="18">
        <v>2399043.35</v>
      </c>
      <c r="G1611" s="15">
        <v>0</v>
      </c>
      <c r="H1611" s="13"/>
      <c r="I1611" s="13"/>
    </row>
    <row r="1612" spans="1:9">
      <c r="A1612" s="13" t="s">
        <v>2368</v>
      </c>
      <c r="B1612" s="139" t="s">
        <v>792</v>
      </c>
      <c r="C1612" s="139" t="s">
        <v>382</v>
      </c>
      <c r="D1612" s="15">
        <v>4000000</v>
      </c>
      <c r="E1612" s="93">
        <v>0.95961734040000002</v>
      </c>
      <c r="F1612" s="18">
        <v>3838469.36</v>
      </c>
      <c r="G1612" s="18">
        <v>0.01</v>
      </c>
      <c r="H1612" s="13"/>
      <c r="I1612" s="13"/>
    </row>
    <row r="1613" spans="1:9">
      <c r="A1613" s="13" t="s">
        <v>2369</v>
      </c>
      <c r="B1613" s="139" t="s">
        <v>505</v>
      </c>
      <c r="C1613" s="139" t="s">
        <v>382</v>
      </c>
      <c r="D1613" s="15">
        <v>3000000</v>
      </c>
      <c r="E1613" s="93">
        <v>0.97687620330000002</v>
      </c>
      <c r="F1613" s="18">
        <v>2930628.61</v>
      </c>
      <c r="G1613" s="18">
        <v>0.01</v>
      </c>
      <c r="H1613" s="13"/>
      <c r="I1613" s="13"/>
    </row>
    <row r="1614" spans="1:9">
      <c r="A1614" s="13" t="s">
        <v>2370</v>
      </c>
      <c r="B1614" s="139" t="s">
        <v>727</v>
      </c>
      <c r="C1614" s="139" t="s">
        <v>382</v>
      </c>
      <c r="D1614" s="15">
        <v>4000000</v>
      </c>
      <c r="E1614" s="93">
        <v>0.95539749330000001</v>
      </c>
      <c r="F1614" s="18">
        <v>3821589.97</v>
      </c>
      <c r="G1614" s="18">
        <v>0.01</v>
      </c>
      <c r="H1614" s="13"/>
      <c r="I1614" s="13"/>
    </row>
    <row r="1615" spans="1:9">
      <c r="A1615" s="13" t="s">
        <v>2371</v>
      </c>
      <c r="B1615" s="139" t="s">
        <v>677</v>
      </c>
      <c r="C1615" s="139" t="s">
        <v>382</v>
      </c>
      <c r="D1615" s="15">
        <v>10000000</v>
      </c>
      <c r="E1615" s="93">
        <v>0.95901216479999996</v>
      </c>
      <c r="F1615" s="18">
        <v>9590121.6500000004</v>
      </c>
      <c r="G1615" s="18">
        <v>0.02</v>
      </c>
      <c r="H1615" s="13"/>
      <c r="I1615" s="13"/>
    </row>
    <row r="1616" spans="1:9">
      <c r="A1616" s="13" t="s">
        <v>2372</v>
      </c>
      <c r="B1616" s="139" t="s">
        <v>716</v>
      </c>
      <c r="C1616" s="139" t="s">
        <v>382</v>
      </c>
      <c r="D1616" s="15">
        <v>20000000</v>
      </c>
      <c r="E1616" s="93">
        <v>0.92503430949999998</v>
      </c>
      <c r="F1616" s="18">
        <v>18500686.190000001</v>
      </c>
      <c r="G1616" s="18">
        <v>0.04</v>
      </c>
      <c r="H1616" s="13"/>
      <c r="I1616" s="13"/>
    </row>
    <row r="1617" spans="1:9">
      <c r="A1617" s="13" t="s">
        <v>2373</v>
      </c>
      <c r="B1617" s="139" t="s">
        <v>720</v>
      </c>
      <c r="C1617" s="139" t="s">
        <v>382</v>
      </c>
      <c r="D1617" s="15">
        <v>20000000</v>
      </c>
      <c r="E1617" s="93">
        <v>0.9210661846</v>
      </c>
      <c r="F1617" s="18">
        <v>18421323.690000001</v>
      </c>
      <c r="G1617" s="18">
        <v>0.04</v>
      </c>
      <c r="H1617" s="13"/>
      <c r="I1617" s="13"/>
    </row>
    <row r="1618" spans="1:9">
      <c r="A1618" s="13" t="s">
        <v>2374</v>
      </c>
      <c r="B1618" s="139" t="s">
        <v>718</v>
      </c>
      <c r="C1618" s="139" t="s">
        <v>382</v>
      </c>
      <c r="D1618" s="15">
        <v>15000000</v>
      </c>
      <c r="E1618" s="154">
        <v>0.94120704499999996</v>
      </c>
      <c r="F1618" s="18">
        <v>14118105.68</v>
      </c>
      <c r="G1618" s="18">
        <v>0.03</v>
      </c>
      <c r="H1618" s="13"/>
      <c r="I1618" s="13"/>
    </row>
    <row r="1619" spans="1:9">
      <c r="A1619" s="13" t="s">
        <v>2375</v>
      </c>
      <c r="B1619" s="139" t="s">
        <v>563</v>
      </c>
      <c r="C1619" s="139" t="s">
        <v>382</v>
      </c>
      <c r="D1619" s="15">
        <v>500000000</v>
      </c>
      <c r="E1619" s="93">
        <v>0.95932602980000004</v>
      </c>
      <c r="F1619" s="151">
        <v>479663014.89999998</v>
      </c>
      <c r="G1619" s="18">
        <v>0.92</v>
      </c>
      <c r="H1619" s="13"/>
      <c r="I1619" s="13"/>
    </row>
    <row r="1620" spans="1:9">
      <c r="A1620" s="13" t="s">
        <v>2376</v>
      </c>
      <c r="B1620" s="139" t="s">
        <v>563</v>
      </c>
      <c r="C1620" s="139" t="s">
        <v>382</v>
      </c>
      <c r="D1620" s="15">
        <v>1000000000</v>
      </c>
      <c r="E1620" s="93">
        <v>0.95932602980000004</v>
      </c>
      <c r="F1620" s="151">
        <v>959326029.79999995</v>
      </c>
      <c r="G1620" s="18">
        <v>1.83</v>
      </c>
      <c r="H1620" s="13"/>
      <c r="I1620" s="13"/>
    </row>
    <row r="1621" spans="1:9">
      <c r="A1621" s="13" t="s">
        <v>2377</v>
      </c>
      <c r="B1621" s="139" t="s">
        <v>546</v>
      </c>
      <c r="C1621" s="139" t="s">
        <v>382</v>
      </c>
      <c r="D1621" s="15">
        <v>30000000</v>
      </c>
      <c r="E1621" s="93">
        <v>0.97064154339999997</v>
      </c>
      <c r="F1621" s="151">
        <v>29119246.300000001</v>
      </c>
      <c r="G1621" s="18">
        <v>0.06</v>
      </c>
      <c r="H1621" s="13"/>
      <c r="I1621" s="13"/>
    </row>
    <row r="1622" spans="1:9">
      <c r="A1622" s="13" t="s">
        <v>2378</v>
      </c>
      <c r="B1622" s="139" t="s">
        <v>855</v>
      </c>
      <c r="C1622" s="139" t="s">
        <v>382</v>
      </c>
      <c r="D1622" s="15">
        <v>15000000</v>
      </c>
      <c r="E1622" s="154">
        <v>0.96632440100000006</v>
      </c>
      <c r="F1622" s="18">
        <v>14494866.02</v>
      </c>
      <c r="G1622" s="18">
        <v>0.03</v>
      </c>
      <c r="H1622" s="13"/>
      <c r="I1622" s="13"/>
    </row>
    <row r="1623" spans="1:9">
      <c r="A1623" s="13" t="s">
        <v>2379</v>
      </c>
      <c r="B1623" s="139" t="s">
        <v>594</v>
      </c>
      <c r="C1623" s="139" t="s">
        <v>382</v>
      </c>
      <c r="D1623" s="15">
        <v>5000000</v>
      </c>
      <c r="E1623" s="93">
        <v>0.96688752349999996</v>
      </c>
      <c r="F1623" s="18">
        <v>4834437.62</v>
      </c>
      <c r="G1623" s="18">
        <v>0.01</v>
      </c>
      <c r="H1623" s="13"/>
      <c r="I1623" s="13"/>
    </row>
    <row r="1624" spans="1:9">
      <c r="A1624" s="13" t="s">
        <v>2380</v>
      </c>
      <c r="B1624" s="139" t="s">
        <v>563</v>
      </c>
      <c r="C1624" s="139" t="s">
        <v>382</v>
      </c>
      <c r="D1624" s="15">
        <v>5000000</v>
      </c>
      <c r="E1624" s="93">
        <v>0.96242596489999999</v>
      </c>
      <c r="F1624" s="18">
        <v>4812129.82</v>
      </c>
      <c r="G1624" s="18">
        <v>0.01</v>
      </c>
      <c r="H1624" s="13"/>
      <c r="I1624" s="13"/>
    </row>
    <row r="1625" spans="1:9">
      <c r="A1625" s="13" t="s">
        <v>2381</v>
      </c>
      <c r="B1625" s="139" t="s">
        <v>792</v>
      </c>
      <c r="C1625" s="139" t="s">
        <v>382</v>
      </c>
      <c r="D1625" s="15">
        <v>5000000</v>
      </c>
      <c r="E1625" s="93">
        <v>0.95800538930000001</v>
      </c>
      <c r="F1625" s="18">
        <v>4790026.95</v>
      </c>
      <c r="G1625" s="18">
        <v>0.01</v>
      </c>
      <c r="H1625" s="13"/>
      <c r="I1625" s="13"/>
    </row>
    <row r="1626" spans="1:9">
      <c r="A1626" s="13" t="s">
        <v>2382</v>
      </c>
      <c r="B1626" s="139" t="s">
        <v>727</v>
      </c>
      <c r="C1626" s="139" t="s">
        <v>382</v>
      </c>
      <c r="D1626" s="15">
        <v>5000000</v>
      </c>
      <c r="E1626" s="93">
        <v>0.95362523909999997</v>
      </c>
      <c r="F1626" s="151">
        <v>4768126.2</v>
      </c>
      <c r="G1626" s="18">
        <v>0.01</v>
      </c>
      <c r="H1626" s="13"/>
      <c r="I1626" s="13"/>
    </row>
    <row r="1627" spans="1:9">
      <c r="A1627" s="13" t="s">
        <v>2383</v>
      </c>
      <c r="B1627" s="139" t="s">
        <v>2384</v>
      </c>
      <c r="C1627" s="139" t="s">
        <v>382</v>
      </c>
      <c r="D1627" s="15">
        <v>15000000</v>
      </c>
      <c r="E1627" s="93">
        <v>0.92367657219999999</v>
      </c>
      <c r="F1627" s="18">
        <v>13855148.58</v>
      </c>
      <c r="G1627" s="18">
        <v>0.03</v>
      </c>
      <c r="H1627" s="13"/>
      <c r="I1627" s="13"/>
    </row>
    <row r="1628" spans="1:9">
      <c r="A1628" s="13" t="s">
        <v>2385</v>
      </c>
      <c r="B1628" s="139" t="s">
        <v>188</v>
      </c>
      <c r="C1628" s="139" t="s">
        <v>382</v>
      </c>
      <c r="D1628" s="15">
        <v>15000000</v>
      </c>
      <c r="E1628" s="93">
        <v>0.97907747069999995</v>
      </c>
      <c r="F1628" s="18">
        <v>14686162.060000001</v>
      </c>
      <c r="G1628" s="18">
        <v>0.03</v>
      </c>
      <c r="H1628" s="13"/>
      <c r="I1628" s="13"/>
    </row>
    <row r="1629" spans="1:9">
      <c r="A1629" s="13" t="s">
        <v>2386</v>
      </c>
      <c r="B1629" s="139" t="s">
        <v>744</v>
      </c>
      <c r="C1629" s="139" t="s">
        <v>382</v>
      </c>
      <c r="D1629" s="15">
        <v>15000000</v>
      </c>
      <c r="E1629" s="93">
        <v>0.9206477381</v>
      </c>
      <c r="F1629" s="18">
        <v>13809716.07</v>
      </c>
      <c r="G1629" s="18">
        <v>0.03</v>
      </c>
      <c r="H1629" s="13"/>
      <c r="I1629" s="13"/>
    </row>
    <row r="1630" spans="1:9">
      <c r="A1630" s="13" t="s">
        <v>2387</v>
      </c>
      <c r="B1630" s="139" t="s">
        <v>720</v>
      </c>
      <c r="C1630" s="139" t="s">
        <v>382</v>
      </c>
      <c r="D1630" s="15">
        <v>15000000</v>
      </c>
      <c r="E1630" s="93">
        <v>0.93849656420000005</v>
      </c>
      <c r="F1630" s="18">
        <v>14077448.460000001</v>
      </c>
      <c r="G1630" s="18">
        <v>0.03</v>
      </c>
      <c r="H1630" s="13"/>
      <c r="I1630" s="13"/>
    </row>
    <row r="1631" spans="1:9">
      <c r="A1631" s="13" t="s">
        <v>2388</v>
      </c>
      <c r="B1631" s="139" t="s">
        <v>681</v>
      </c>
      <c r="C1631" s="139" t="s">
        <v>382</v>
      </c>
      <c r="D1631" s="15">
        <v>10000000</v>
      </c>
      <c r="E1631" s="93">
        <v>0.9499273319</v>
      </c>
      <c r="F1631" s="18">
        <v>9499273.3200000003</v>
      </c>
      <c r="G1631" s="18">
        <v>0.02</v>
      </c>
      <c r="H1631" s="13"/>
      <c r="I1631" s="13"/>
    </row>
    <row r="1632" spans="1:9">
      <c r="A1632" s="13" t="s">
        <v>2389</v>
      </c>
      <c r="B1632" s="139" t="s">
        <v>1341</v>
      </c>
      <c r="C1632" s="139" t="s">
        <v>382</v>
      </c>
      <c r="D1632" s="15">
        <v>15000000</v>
      </c>
      <c r="E1632" s="93">
        <v>0.92979420170000004</v>
      </c>
      <c r="F1632" s="18">
        <v>13946913.029999999</v>
      </c>
      <c r="G1632" s="18">
        <v>0.03</v>
      </c>
      <c r="H1632" s="13"/>
      <c r="I1632" s="13"/>
    </row>
    <row r="1633" spans="1:9">
      <c r="A1633" s="13" t="s">
        <v>2390</v>
      </c>
      <c r="B1633" s="139" t="s">
        <v>2284</v>
      </c>
      <c r="C1633" s="139" t="s">
        <v>382</v>
      </c>
      <c r="D1633" s="15">
        <v>15000000</v>
      </c>
      <c r="E1633" s="154">
        <v>0.91944188800000004</v>
      </c>
      <c r="F1633" s="18">
        <v>13791628.32</v>
      </c>
      <c r="G1633" s="18">
        <v>0.03</v>
      </c>
      <c r="H1633" s="13"/>
      <c r="I1633" s="13"/>
    </row>
    <row r="1634" spans="1:9">
      <c r="A1634" s="13" t="s">
        <v>2391</v>
      </c>
      <c r="B1634" s="139" t="s">
        <v>708</v>
      </c>
      <c r="C1634" s="139" t="s">
        <v>382</v>
      </c>
      <c r="D1634" s="15">
        <v>25000000</v>
      </c>
      <c r="E1634" s="93">
        <v>0.94928496070000001</v>
      </c>
      <c r="F1634" s="18">
        <v>23732124.02</v>
      </c>
      <c r="G1634" s="18">
        <v>0.05</v>
      </c>
      <c r="H1634" s="13"/>
      <c r="I1634" s="13"/>
    </row>
    <row r="1635" spans="1:9">
      <c r="A1635" s="13" t="s">
        <v>2392</v>
      </c>
      <c r="B1635" s="139" t="s">
        <v>612</v>
      </c>
      <c r="C1635" s="139" t="s">
        <v>382</v>
      </c>
      <c r="D1635" s="15">
        <v>25000000</v>
      </c>
      <c r="E1635" s="93">
        <v>0.95863447589999995</v>
      </c>
      <c r="F1635" s="151">
        <v>23965861.899999999</v>
      </c>
      <c r="G1635" s="18">
        <v>0.05</v>
      </c>
      <c r="H1635" s="13"/>
      <c r="I1635" s="13"/>
    </row>
    <row r="1636" spans="1:9">
      <c r="A1636" s="13" t="s">
        <v>2393</v>
      </c>
      <c r="B1636" s="139" t="s">
        <v>722</v>
      </c>
      <c r="C1636" s="139" t="s">
        <v>382</v>
      </c>
      <c r="D1636" s="15">
        <v>28000000</v>
      </c>
      <c r="E1636" s="93">
        <v>0.94011605330000003</v>
      </c>
      <c r="F1636" s="18">
        <v>26323249.489999998</v>
      </c>
      <c r="G1636" s="18">
        <v>0.05</v>
      </c>
      <c r="H1636" s="13"/>
      <c r="I1636" s="13"/>
    </row>
    <row r="1637" spans="1:9">
      <c r="A1637" s="13" t="s">
        <v>2394</v>
      </c>
      <c r="B1637" s="139" t="s">
        <v>594</v>
      </c>
      <c r="C1637" s="139" t="s">
        <v>382</v>
      </c>
      <c r="D1637" s="18">
        <v>35146141.060000002</v>
      </c>
      <c r="E1637" s="28">
        <v>0.96881231000000001</v>
      </c>
      <c r="F1637" s="18">
        <v>34050014.109999999</v>
      </c>
      <c r="G1637" s="18">
        <v>7.0000000000000007E-2</v>
      </c>
      <c r="H1637" s="13"/>
      <c r="I1637" s="13"/>
    </row>
    <row r="1638" spans="1:9">
      <c r="A1638" s="13" t="s">
        <v>2395</v>
      </c>
      <c r="B1638" s="139" t="s">
        <v>688</v>
      </c>
      <c r="C1638" s="139" t="s">
        <v>382</v>
      </c>
      <c r="D1638" s="18">
        <v>28908355.27</v>
      </c>
      <c r="E1638" s="93">
        <v>0.96760530450000004</v>
      </c>
      <c r="F1638" s="151">
        <v>27971877.899999999</v>
      </c>
      <c r="G1638" s="18">
        <v>0.05</v>
      </c>
      <c r="H1638" s="13"/>
      <c r="I1638" s="13"/>
    </row>
    <row r="1639" spans="1:9">
      <c r="A1639" s="13" t="s">
        <v>2396</v>
      </c>
      <c r="B1639" s="139" t="s">
        <v>855</v>
      </c>
      <c r="C1639" s="139" t="s">
        <v>382</v>
      </c>
      <c r="D1639" s="18">
        <v>27798498.34</v>
      </c>
      <c r="E1639" s="93">
        <v>0.9670028262</v>
      </c>
      <c r="F1639" s="18">
        <v>26881226.460000001</v>
      </c>
      <c r="G1639" s="18">
        <v>0.05</v>
      </c>
      <c r="H1639" s="13"/>
      <c r="I1639" s="13"/>
    </row>
    <row r="1640" spans="1:9">
      <c r="A1640" s="13" t="s">
        <v>2397</v>
      </c>
      <c r="B1640" s="139" t="s">
        <v>563</v>
      </c>
      <c r="C1640" s="139" t="s">
        <v>382</v>
      </c>
      <c r="D1640" s="18">
        <v>32857753.120000001</v>
      </c>
      <c r="E1640" s="93">
        <v>0.96460059990000002</v>
      </c>
      <c r="F1640" s="18">
        <v>31694608.370000001</v>
      </c>
      <c r="G1640" s="18">
        <v>0.06</v>
      </c>
      <c r="H1640" s="13"/>
      <c r="I1640" s="13"/>
    </row>
    <row r="1641" spans="1:9">
      <c r="A1641" s="13" t="s">
        <v>2398</v>
      </c>
      <c r="B1641" s="139" t="s">
        <v>192</v>
      </c>
      <c r="C1641" s="139" t="s">
        <v>382</v>
      </c>
      <c r="D1641" s="18">
        <v>7636731.6600000001</v>
      </c>
      <c r="E1641" s="93">
        <v>0.99043485450000002</v>
      </c>
      <c r="F1641" s="18">
        <v>7563685.21</v>
      </c>
      <c r="G1641" s="18">
        <v>0.01</v>
      </c>
      <c r="H1641" s="13"/>
      <c r="I1641" s="13"/>
    </row>
    <row r="1642" spans="1:9">
      <c r="A1642" s="13" t="s">
        <v>2399</v>
      </c>
      <c r="B1642" s="139" t="s">
        <v>192</v>
      </c>
      <c r="C1642" s="139" t="s">
        <v>382</v>
      </c>
      <c r="D1642" s="18">
        <v>6203209.9199999999</v>
      </c>
      <c r="E1642" s="93">
        <v>0.99043485529999997</v>
      </c>
      <c r="F1642" s="18">
        <v>6143875.3200000003</v>
      </c>
      <c r="G1642" s="18">
        <v>0.01</v>
      </c>
      <c r="H1642" s="13"/>
      <c r="I1642" s="13"/>
    </row>
    <row r="1643" spans="1:9">
      <c r="A1643" s="13" t="s">
        <v>2400</v>
      </c>
      <c r="B1643" s="139" t="s">
        <v>454</v>
      </c>
      <c r="C1643" s="139" t="s">
        <v>382</v>
      </c>
      <c r="D1643" s="18">
        <v>11744423.460000001</v>
      </c>
      <c r="E1643" s="93">
        <v>0.99487587529999999</v>
      </c>
      <c r="F1643" s="18">
        <v>11684243.57</v>
      </c>
      <c r="G1643" s="18">
        <v>0.02</v>
      </c>
      <c r="H1643" s="13"/>
      <c r="I1643" s="13"/>
    </row>
    <row r="1644" spans="1:9">
      <c r="A1644" s="13" t="s">
        <v>2401</v>
      </c>
      <c r="B1644" s="139" t="s">
        <v>454</v>
      </c>
      <c r="C1644" s="139" t="s">
        <v>382</v>
      </c>
      <c r="D1644" s="151">
        <v>25207018.800000001</v>
      </c>
      <c r="E1644" s="93">
        <v>0.99487587550000001</v>
      </c>
      <c r="F1644" s="151">
        <v>25077854.899999999</v>
      </c>
      <c r="G1644" s="18">
        <v>0.05</v>
      </c>
      <c r="H1644" s="13"/>
      <c r="I1644" s="13"/>
    </row>
    <row r="1645" spans="1:9">
      <c r="A1645" s="13" t="s">
        <v>2402</v>
      </c>
      <c r="B1645" s="139" t="s">
        <v>385</v>
      </c>
      <c r="C1645" s="139" t="s">
        <v>382</v>
      </c>
      <c r="D1645" s="151">
        <v>41258999.600000001</v>
      </c>
      <c r="E1645" s="93">
        <v>0.99296764260000003</v>
      </c>
      <c r="F1645" s="18">
        <v>40968851.57</v>
      </c>
      <c r="G1645" s="18">
        <v>0.08</v>
      </c>
      <c r="H1645" s="13"/>
      <c r="I1645" s="13"/>
    </row>
    <row r="1646" spans="1:9">
      <c r="A1646" s="13" t="s">
        <v>2403</v>
      </c>
      <c r="B1646" s="139" t="s">
        <v>792</v>
      </c>
      <c r="C1646" s="139" t="s">
        <v>382</v>
      </c>
      <c r="D1646" s="18">
        <v>6005225.8799999999</v>
      </c>
      <c r="E1646" s="93">
        <v>0.96042535259999995</v>
      </c>
      <c r="F1646" s="18">
        <v>5767571.1799999997</v>
      </c>
      <c r="G1646" s="18">
        <v>0.01</v>
      </c>
      <c r="H1646" s="13"/>
      <c r="I1646" s="13"/>
    </row>
    <row r="1647" spans="1:9">
      <c r="A1647" s="13" t="s">
        <v>2404</v>
      </c>
      <c r="B1647" s="139" t="s">
        <v>616</v>
      </c>
      <c r="C1647" s="139" t="s">
        <v>382</v>
      </c>
      <c r="D1647" s="151">
        <v>44862794.600000001</v>
      </c>
      <c r="E1647" s="93">
        <v>0.98940130879999999</v>
      </c>
      <c r="F1647" s="18">
        <v>44387307.689999998</v>
      </c>
      <c r="G1647" s="18">
        <v>0.08</v>
      </c>
      <c r="H1647" s="13"/>
      <c r="I1647" s="13"/>
    </row>
    <row r="1648" spans="1:9">
      <c r="A1648" s="13" t="s">
        <v>2405</v>
      </c>
      <c r="B1648" s="139" t="s">
        <v>188</v>
      </c>
      <c r="C1648" s="139" t="s">
        <v>382</v>
      </c>
      <c r="D1648" s="18">
        <v>213331018.81999999</v>
      </c>
      <c r="E1648" s="154">
        <v>0.98105113099999997</v>
      </c>
      <c r="F1648" s="18">
        <v>209288637.28999999</v>
      </c>
      <c r="G1648" s="151">
        <v>0.4</v>
      </c>
      <c r="H1648" s="13"/>
      <c r="I1648" s="13"/>
    </row>
    <row r="1649" spans="1:9">
      <c r="A1649" s="13" t="s">
        <v>2406</v>
      </c>
      <c r="B1649" s="139" t="s">
        <v>188</v>
      </c>
      <c r="C1649" s="139" t="s">
        <v>382</v>
      </c>
      <c r="D1649" s="15">
        <v>525000000</v>
      </c>
      <c r="E1649" s="93">
        <v>0.96971338269999996</v>
      </c>
      <c r="F1649" s="18">
        <v>509099525.92000002</v>
      </c>
      <c r="G1649" s="18">
        <v>0.97</v>
      </c>
      <c r="H1649" s="13"/>
      <c r="I1649" s="13"/>
    </row>
    <row r="1650" spans="1:9">
      <c r="A1650" s="13" t="s">
        <v>2414</v>
      </c>
      <c r="B1650" s="139" t="s">
        <v>711</v>
      </c>
      <c r="C1650" s="139" t="s">
        <v>441</v>
      </c>
      <c r="D1650" s="15">
        <v>50000000</v>
      </c>
      <c r="E1650" s="93">
        <v>0.94437267309999995</v>
      </c>
      <c r="F1650" s="18">
        <v>47218633.659999996</v>
      </c>
      <c r="G1650" s="18">
        <v>0.09</v>
      </c>
      <c r="H1650" s="13"/>
      <c r="I1650" s="13"/>
    </row>
    <row r="1651" spans="1:9">
      <c r="A1651" s="13" t="s">
        <v>2415</v>
      </c>
      <c r="B1651" s="139" t="s">
        <v>720</v>
      </c>
      <c r="C1651" s="139" t="s">
        <v>441</v>
      </c>
      <c r="D1651" s="15">
        <v>10000000</v>
      </c>
      <c r="E1651" s="93">
        <v>0.94072182569999996</v>
      </c>
      <c r="F1651" s="18">
        <v>9407218.2599999998</v>
      </c>
      <c r="G1651" s="18">
        <v>0.02</v>
      </c>
      <c r="H1651" s="13"/>
      <c r="I1651" s="13"/>
    </row>
    <row r="1652" spans="1:9">
      <c r="A1652" s="13" t="s">
        <v>2416</v>
      </c>
      <c r="B1652" s="139" t="s">
        <v>546</v>
      </c>
      <c r="C1652" s="139" t="s">
        <v>441</v>
      </c>
      <c r="D1652" s="15">
        <v>5000000</v>
      </c>
      <c r="E1652" s="93">
        <v>0.96945560369999995</v>
      </c>
      <c r="F1652" s="18">
        <v>4847278.0199999996</v>
      </c>
      <c r="G1652" s="18">
        <v>0.01</v>
      </c>
      <c r="H1652" s="13"/>
      <c r="I1652" s="13"/>
    </row>
    <row r="1653" spans="1:9">
      <c r="A1653" s="13" t="s">
        <v>2417</v>
      </c>
      <c r="B1653" s="139" t="s">
        <v>688</v>
      </c>
      <c r="C1653" s="139" t="s">
        <v>441</v>
      </c>
      <c r="D1653" s="15">
        <v>5000000</v>
      </c>
      <c r="E1653" s="93">
        <v>0.96560864229999999</v>
      </c>
      <c r="F1653" s="18">
        <v>4828043.21</v>
      </c>
      <c r="G1653" s="18">
        <v>0.01</v>
      </c>
      <c r="H1653" s="13"/>
      <c r="I1653" s="13"/>
    </row>
    <row r="1654" spans="1:9">
      <c r="A1654" s="13" t="s">
        <v>2418</v>
      </c>
      <c r="B1654" s="139" t="s">
        <v>688</v>
      </c>
      <c r="C1654" s="139" t="s">
        <v>441</v>
      </c>
      <c r="D1654" s="15">
        <v>5000000</v>
      </c>
      <c r="E1654" s="93">
        <v>0.96560864229999999</v>
      </c>
      <c r="F1654" s="18">
        <v>4828043.21</v>
      </c>
      <c r="G1654" s="18">
        <v>0.01</v>
      </c>
      <c r="H1654" s="13"/>
      <c r="I1654" s="13"/>
    </row>
    <row r="1655" spans="1:9">
      <c r="A1655" s="13" t="s">
        <v>2419</v>
      </c>
      <c r="B1655" s="139" t="s">
        <v>813</v>
      </c>
      <c r="C1655" s="139" t="s">
        <v>441</v>
      </c>
      <c r="D1655" s="15">
        <v>5000000</v>
      </c>
      <c r="E1655" s="93">
        <v>0.96624752339999997</v>
      </c>
      <c r="F1655" s="18">
        <v>4831237.62</v>
      </c>
      <c r="G1655" s="18">
        <v>0.01</v>
      </c>
      <c r="H1655" s="13"/>
      <c r="I1655" s="13"/>
    </row>
    <row r="1656" spans="1:9">
      <c r="A1656" s="13" t="s">
        <v>2420</v>
      </c>
      <c r="B1656" s="139" t="s">
        <v>813</v>
      </c>
      <c r="C1656" s="139" t="s">
        <v>441</v>
      </c>
      <c r="D1656" s="15">
        <v>5000000</v>
      </c>
      <c r="E1656" s="93">
        <v>0.96624752339999997</v>
      </c>
      <c r="F1656" s="18">
        <v>4831237.62</v>
      </c>
      <c r="G1656" s="18">
        <v>0.01</v>
      </c>
      <c r="H1656" s="13"/>
      <c r="I1656" s="13"/>
    </row>
    <row r="1657" spans="1:9">
      <c r="A1657" s="13" t="s">
        <v>2421</v>
      </c>
      <c r="B1657" s="139" t="s">
        <v>594</v>
      </c>
      <c r="C1657" s="139" t="s">
        <v>441</v>
      </c>
      <c r="D1657" s="15">
        <v>5000000</v>
      </c>
      <c r="E1657" s="93">
        <v>0.96688748769999999</v>
      </c>
      <c r="F1657" s="18">
        <v>4834437.4400000004</v>
      </c>
      <c r="G1657" s="18">
        <v>0.01</v>
      </c>
      <c r="H1657" s="13"/>
      <c r="I1657" s="13"/>
    </row>
    <row r="1658" spans="1:9">
      <c r="A1658" s="13" t="s">
        <v>2422</v>
      </c>
      <c r="B1658" s="139" t="s">
        <v>594</v>
      </c>
      <c r="C1658" s="139" t="s">
        <v>441</v>
      </c>
      <c r="D1658" s="15">
        <v>5000000</v>
      </c>
      <c r="E1658" s="93">
        <v>0.96688748769999999</v>
      </c>
      <c r="F1658" s="18">
        <v>4834437.4400000004</v>
      </c>
      <c r="G1658" s="18">
        <v>0.01</v>
      </c>
      <c r="H1658" s="13"/>
      <c r="I1658" s="13"/>
    </row>
    <row r="1659" spans="1:9">
      <c r="A1659" s="13" t="s">
        <v>2423</v>
      </c>
      <c r="B1659" s="139" t="s">
        <v>546</v>
      </c>
      <c r="C1659" s="139" t="s">
        <v>441</v>
      </c>
      <c r="D1659" s="15">
        <v>5000000</v>
      </c>
      <c r="E1659" s="93">
        <v>0.96945560369999995</v>
      </c>
      <c r="F1659" s="18">
        <v>4847278.0199999996</v>
      </c>
      <c r="G1659" s="18">
        <v>0.01</v>
      </c>
      <c r="H1659" s="13"/>
      <c r="I1659" s="13"/>
    </row>
    <row r="1660" spans="1:9">
      <c r="A1660" s="13" t="s">
        <v>2424</v>
      </c>
      <c r="B1660" s="139" t="s">
        <v>990</v>
      </c>
      <c r="C1660" s="139" t="s">
        <v>441</v>
      </c>
      <c r="D1660" s="15">
        <v>5000000</v>
      </c>
      <c r="E1660" s="93">
        <v>0.91345925370000003</v>
      </c>
      <c r="F1660" s="18">
        <v>4567296.2699999996</v>
      </c>
      <c r="G1660" s="18">
        <v>0.01</v>
      </c>
      <c r="H1660" s="13"/>
      <c r="I1660" s="13"/>
    </row>
    <row r="1661" spans="1:9">
      <c r="A1661" s="13" t="s">
        <v>2425</v>
      </c>
      <c r="B1661" s="139" t="s">
        <v>2426</v>
      </c>
      <c r="C1661" s="139" t="s">
        <v>441</v>
      </c>
      <c r="D1661" s="15">
        <v>5000000</v>
      </c>
      <c r="E1661" s="93">
        <v>0.90462981769999995</v>
      </c>
      <c r="F1661" s="18">
        <v>4523149.09</v>
      </c>
      <c r="G1661" s="18">
        <v>0.01</v>
      </c>
      <c r="H1661" s="13"/>
      <c r="I1661" s="13"/>
    </row>
    <row r="1662" spans="1:9">
      <c r="A1662" s="13" t="s">
        <v>2427</v>
      </c>
      <c r="B1662" s="139" t="s">
        <v>1954</v>
      </c>
      <c r="C1662" s="139" t="s">
        <v>441</v>
      </c>
      <c r="D1662" s="15">
        <v>5000000</v>
      </c>
      <c r="E1662" s="93">
        <v>0.90114573720000002</v>
      </c>
      <c r="F1662" s="18">
        <v>4505728.6900000004</v>
      </c>
      <c r="G1662" s="18">
        <v>0.01</v>
      </c>
      <c r="H1662" s="13"/>
      <c r="I1662" s="13"/>
    </row>
    <row r="1663" spans="1:9">
      <c r="A1663" s="13" t="s">
        <v>2428</v>
      </c>
      <c r="B1663" s="139" t="s">
        <v>1335</v>
      </c>
      <c r="C1663" s="139" t="s">
        <v>441</v>
      </c>
      <c r="D1663" s="15">
        <v>5000000</v>
      </c>
      <c r="E1663" s="93">
        <v>0.91584296860000003</v>
      </c>
      <c r="F1663" s="18">
        <v>4579214.84</v>
      </c>
      <c r="G1663" s="18">
        <v>0.01</v>
      </c>
      <c r="H1663" s="13"/>
      <c r="I1663" s="13"/>
    </row>
    <row r="1664" spans="1:9">
      <c r="A1664" s="13" t="s">
        <v>2429</v>
      </c>
      <c r="B1664" s="139" t="s">
        <v>1921</v>
      </c>
      <c r="C1664" s="139" t="s">
        <v>441</v>
      </c>
      <c r="D1664" s="15">
        <v>5000000</v>
      </c>
      <c r="E1664" s="93">
        <v>0.91227193510000004</v>
      </c>
      <c r="F1664" s="18">
        <v>4561359.68</v>
      </c>
      <c r="G1664" s="18">
        <v>0.01</v>
      </c>
      <c r="H1664" s="13"/>
      <c r="I1664" s="13"/>
    </row>
    <row r="1665" spans="1:9">
      <c r="A1665" s="13" t="s">
        <v>2430</v>
      </c>
      <c r="B1665" s="139" t="s">
        <v>1983</v>
      </c>
      <c r="C1665" s="139" t="s">
        <v>441</v>
      </c>
      <c r="D1665" s="15">
        <v>5000000</v>
      </c>
      <c r="E1665" s="93">
        <v>0.90346553770000004</v>
      </c>
      <c r="F1665" s="18">
        <v>4517327.6900000004</v>
      </c>
      <c r="G1665" s="18">
        <v>0.01</v>
      </c>
      <c r="H1665" s="13"/>
      <c r="I1665" s="13"/>
    </row>
    <row r="1666" spans="1:9">
      <c r="A1666" s="13" t="s">
        <v>2431</v>
      </c>
      <c r="B1666" s="139" t="s">
        <v>720</v>
      </c>
      <c r="C1666" s="139" t="s">
        <v>441</v>
      </c>
      <c r="D1666" s="15">
        <v>10000000</v>
      </c>
      <c r="E1666" s="93">
        <v>0.94072182569999996</v>
      </c>
      <c r="F1666" s="18">
        <v>9407218.2599999998</v>
      </c>
      <c r="G1666" s="18">
        <v>0.02</v>
      </c>
      <c r="H1666" s="13"/>
      <c r="I1666" s="13"/>
    </row>
    <row r="1667" spans="1:9">
      <c r="A1667" s="13" t="s">
        <v>2432</v>
      </c>
      <c r="B1667" s="139" t="s">
        <v>767</v>
      </c>
      <c r="C1667" s="139" t="s">
        <v>441</v>
      </c>
      <c r="D1667" s="15">
        <v>12500000</v>
      </c>
      <c r="E1667" s="93">
        <v>0.9370988777</v>
      </c>
      <c r="F1667" s="18">
        <v>11713735.970000001</v>
      </c>
      <c r="G1667" s="18">
        <v>0.02</v>
      </c>
      <c r="H1667" s="13"/>
      <c r="I1667" s="13"/>
    </row>
    <row r="1668" spans="1:9">
      <c r="A1668" s="13" t="s">
        <v>2433</v>
      </c>
      <c r="B1668" s="139" t="s">
        <v>720</v>
      </c>
      <c r="C1668" s="139" t="s">
        <v>441</v>
      </c>
      <c r="D1668" s="15">
        <v>8650000</v>
      </c>
      <c r="E1668" s="93">
        <v>0.94072182569999996</v>
      </c>
      <c r="F1668" s="18">
        <v>8137243.79</v>
      </c>
      <c r="G1668" s="18">
        <v>0.02</v>
      </c>
      <c r="H1668" s="13"/>
      <c r="I1668" s="13"/>
    </row>
    <row r="1669" spans="1:9">
      <c r="A1669" s="13" t="s">
        <v>2434</v>
      </c>
      <c r="B1669" s="139" t="s">
        <v>763</v>
      </c>
      <c r="C1669" s="139" t="s">
        <v>441</v>
      </c>
      <c r="D1669" s="15">
        <v>8650000</v>
      </c>
      <c r="E1669" s="93">
        <v>0.93951099410000005</v>
      </c>
      <c r="F1669" s="151">
        <v>8126770.0999999996</v>
      </c>
      <c r="G1669" s="18">
        <v>0.02</v>
      </c>
      <c r="H1669" s="13"/>
      <c r="I1669" s="13"/>
    </row>
    <row r="1670" spans="1:9">
      <c r="A1670" s="13" t="s">
        <v>2435</v>
      </c>
      <c r="B1670" s="139" t="s">
        <v>767</v>
      </c>
      <c r="C1670" s="139" t="s">
        <v>441</v>
      </c>
      <c r="D1670" s="15">
        <v>8650000</v>
      </c>
      <c r="E1670" s="93">
        <v>0.9370988777</v>
      </c>
      <c r="F1670" s="18">
        <v>8105905.29</v>
      </c>
      <c r="G1670" s="18">
        <v>0.02</v>
      </c>
      <c r="H1670" s="13"/>
      <c r="I1670" s="13"/>
    </row>
    <row r="1671" spans="1:9">
      <c r="A1671" s="13" t="s">
        <v>2436</v>
      </c>
      <c r="B1671" s="139" t="s">
        <v>711</v>
      </c>
      <c r="C1671" s="139" t="s">
        <v>441</v>
      </c>
      <c r="D1671" s="15">
        <v>8650000</v>
      </c>
      <c r="E1671" s="154">
        <v>0.944372671</v>
      </c>
      <c r="F1671" s="151">
        <v>8168823.5999999996</v>
      </c>
      <c r="G1671" s="18">
        <v>0.02</v>
      </c>
      <c r="H1671" s="13"/>
      <c r="I1671" s="13"/>
    </row>
    <row r="1672" spans="1:9">
      <c r="A1672" s="13" t="s">
        <v>2437</v>
      </c>
      <c r="B1672" s="139" t="s">
        <v>759</v>
      </c>
      <c r="C1672" s="139" t="s">
        <v>441</v>
      </c>
      <c r="D1672" s="15">
        <v>8650000</v>
      </c>
      <c r="E1672" s="93">
        <v>0.94743691070000002</v>
      </c>
      <c r="F1672" s="18">
        <v>8195329.2800000003</v>
      </c>
      <c r="G1672" s="18">
        <v>0.02</v>
      </c>
      <c r="H1672" s="13"/>
      <c r="I1672" s="13"/>
    </row>
    <row r="1673" spans="1:9">
      <c r="A1673" s="13" t="s">
        <v>2438</v>
      </c>
      <c r="B1673" s="139" t="s">
        <v>631</v>
      </c>
      <c r="C1673" s="139" t="s">
        <v>441</v>
      </c>
      <c r="D1673" s="15">
        <v>8650000</v>
      </c>
      <c r="E1673" s="93">
        <v>0.9486680461</v>
      </c>
      <c r="F1673" s="151">
        <v>8205978.5999999996</v>
      </c>
      <c r="G1673" s="18">
        <v>0.02</v>
      </c>
      <c r="H1673" s="13"/>
      <c r="I1673" s="13"/>
    </row>
    <row r="1674" spans="1:9">
      <c r="A1674" s="13" t="s">
        <v>2439</v>
      </c>
      <c r="B1674" s="139" t="s">
        <v>629</v>
      </c>
      <c r="C1674" s="139" t="s">
        <v>441</v>
      </c>
      <c r="D1674" s="15">
        <v>8650000</v>
      </c>
      <c r="E1674" s="154">
        <v>0.94990261099999995</v>
      </c>
      <c r="F1674" s="18">
        <v>8216657.5899999999</v>
      </c>
      <c r="G1674" s="18">
        <v>0.02</v>
      </c>
      <c r="H1674" s="13"/>
      <c r="I1674" s="13"/>
    </row>
    <row r="1675" spans="1:9">
      <c r="A1675" s="13" t="s">
        <v>2440</v>
      </c>
      <c r="B1675" s="139" t="s">
        <v>636</v>
      </c>
      <c r="C1675" s="139" t="s">
        <v>441</v>
      </c>
      <c r="D1675" s="15">
        <v>8650000</v>
      </c>
      <c r="E1675" s="93">
        <v>0.94315265209999999</v>
      </c>
      <c r="F1675" s="18">
        <v>8158270.4400000004</v>
      </c>
      <c r="G1675" s="18">
        <v>0.02</v>
      </c>
      <c r="H1675" s="13"/>
      <c r="I1675" s="13"/>
    </row>
    <row r="1676" spans="1:9">
      <c r="A1676" s="13" t="s">
        <v>2441</v>
      </c>
      <c r="B1676" s="139" t="s">
        <v>792</v>
      </c>
      <c r="C1676" s="139" t="s">
        <v>441</v>
      </c>
      <c r="D1676" s="15">
        <v>20000000</v>
      </c>
      <c r="E1676" s="93">
        <v>0.9580053556</v>
      </c>
      <c r="F1676" s="18">
        <v>19160107.109999999</v>
      </c>
      <c r="G1676" s="18">
        <v>0.04</v>
      </c>
      <c r="H1676" s="13"/>
      <c r="I1676" s="13"/>
    </row>
    <row r="1677" spans="1:9">
      <c r="A1677" s="13" t="s">
        <v>2442</v>
      </c>
      <c r="B1677" s="139" t="s">
        <v>1870</v>
      </c>
      <c r="C1677" s="139" t="s">
        <v>441</v>
      </c>
      <c r="D1677" s="15">
        <v>20000000</v>
      </c>
      <c r="E1677" s="93">
        <v>0.89711467469999995</v>
      </c>
      <c r="F1677" s="18">
        <v>17942293.489999998</v>
      </c>
      <c r="G1677" s="18">
        <v>0.03</v>
      </c>
      <c r="H1677" s="13"/>
      <c r="I1677" s="13"/>
    </row>
    <row r="1678" spans="1:9">
      <c r="A1678" s="13" t="s">
        <v>2443</v>
      </c>
      <c r="B1678" s="139" t="s">
        <v>1550</v>
      </c>
      <c r="C1678" s="139" t="s">
        <v>441</v>
      </c>
      <c r="D1678" s="15">
        <v>20000000</v>
      </c>
      <c r="E1678" s="93">
        <v>0.89999019250000001</v>
      </c>
      <c r="F1678" s="18">
        <v>17999803.850000001</v>
      </c>
      <c r="G1678" s="18">
        <v>0.03</v>
      </c>
      <c r="H1678" s="13"/>
      <c r="I1678" s="13"/>
    </row>
    <row r="1679" spans="1:9">
      <c r="A1679" s="13" t="s">
        <v>2444</v>
      </c>
      <c r="B1679" s="139" t="s">
        <v>1369</v>
      </c>
      <c r="C1679" s="139" t="s">
        <v>441</v>
      </c>
      <c r="D1679" s="15">
        <v>20000000</v>
      </c>
      <c r="E1679" s="93">
        <v>0.90056759450000001</v>
      </c>
      <c r="F1679" s="18">
        <v>18011351.890000001</v>
      </c>
      <c r="G1679" s="18">
        <v>0.03</v>
      </c>
      <c r="H1679" s="13"/>
      <c r="I1679" s="13"/>
    </row>
    <row r="1680" spans="1:9">
      <c r="A1680" s="13" t="s">
        <v>2445</v>
      </c>
      <c r="B1680" s="139" t="s">
        <v>1954</v>
      </c>
      <c r="C1680" s="139" t="s">
        <v>441</v>
      </c>
      <c r="D1680" s="15">
        <v>20000000</v>
      </c>
      <c r="E1680" s="93">
        <v>0.90114573720000002</v>
      </c>
      <c r="F1680" s="18">
        <v>18022914.739999998</v>
      </c>
      <c r="G1680" s="18">
        <v>0.03</v>
      </c>
      <c r="H1680" s="13"/>
      <c r="I1680" s="13"/>
    </row>
    <row r="1681" spans="1:9">
      <c r="A1681" s="13" t="s">
        <v>2446</v>
      </c>
      <c r="B1681" s="139" t="s">
        <v>2447</v>
      </c>
      <c r="C1681" s="139" t="s">
        <v>441</v>
      </c>
      <c r="D1681" s="15">
        <v>20000000</v>
      </c>
      <c r="E1681" s="93">
        <v>0.89654168869999995</v>
      </c>
      <c r="F1681" s="18">
        <v>17930833.77</v>
      </c>
      <c r="G1681" s="18">
        <v>0.03</v>
      </c>
      <c r="H1681" s="13"/>
      <c r="I1681" s="13"/>
    </row>
    <row r="1682" spans="1:9">
      <c r="A1682" s="13" t="s">
        <v>2448</v>
      </c>
      <c r="B1682" s="139" t="s">
        <v>708</v>
      </c>
      <c r="C1682" s="139" t="s">
        <v>441</v>
      </c>
      <c r="D1682" s="15">
        <v>6000000</v>
      </c>
      <c r="E1682" s="93">
        <v>0.93041059069999998</v>
      </c>
      <c r="F1682" s="18">
        <v>5582463.54</v>
      </c>
      <c r="G1682" s="18">
        <v>0.01</v>
      </c>
      <c r="H1682" s="13"/>
      <c r="I1682" s="13"/>
    </row>
    <row r="1683" spans="1:9">
      <c r="A1683" s="13" t="s">
        <v>2449</v>
      </c>
      <c r="B1683" s="139" t="s">
        <v>852</v>
      </c>
      <c r="C1683" s="139" t="s">
        <v>441</v>
      </c>
      <c r="D1683" s="15">
        <v>100000000</v>
      </c>
      <c r="E1683" s="93">
        <v>0.95634876179999995</v>
      </c>
      <c r="F1683" s="18">
        <v>95634876.180000007</v>
      </c>
      <c r="G1683" s="18">
        <v>0.18</v>
      </c>
      <c r="H1683" s="13"/>
      <c r="I1683" s="13"/>
    </row>
    <row r="1684" spans="1:9">
      <c r="A1684" s="13" t="s">
        <v>2450</v>
      </c>
      <c r="B1684" s="139" t="s">
        <v>575</v>
      </c>
      <c r="C1684" s="139" t="s">
        <v>441</v>
      </c>
      <c r="D1684" s="15">
        <v>100000000</v>
      </c>
      <c r="E1684" s="93">
        <v>0.96842676969999997</v>
      </c>
      <c r="F1684" s="18">
        <v>96842676.969999999</v>
      </c>
      <c r="G1684" s="18">
        <v>0.19</v>
      </c>
      <c r="H1684" s="13"/>
      <c r="I1684" s="13"/>
    </row>
    <row r="1685" spans="1:9">
      <c r="A1685" s="13" t="s">
        <v>2451</v>
      </c>
      <c r="B1685" s="139" t="s">
        <v>694</v>
      </c>
      <c r="C1685" s="139" t="s">
        <v>441</v>
      </c>
      <c r="D1685" s="18">
        <v>2870567.12</v>
      </c>
      <c r="E1685" s="93">
        <v>0.98065568290000005</v>
      </c>
      <c r="F1685" s="18">
        <v>2815037.96</v>
      </c>
      <c r="G1685" s="18">
        <v>0.01</v>
      </c>
      <c r="H1685" s="13"/>
      <c r="I1685" s="13"/>
    </row>
    <row r="1686" spans="1:9">
      <c r="A1686" s="13" t="s">
        <v>2452</v>
      </c>
      <c r="B1686" s="139" t="s">
        <v>575</v>
      </c>
      <c r="C1686" s="139" t="s">
        <v>441</v>
      </c>
      <c r="D1686" s="18">
        <v>2870567.11</v>
      </c>
      <c r="E1686" s="93">
        <v>0.97203739960000002</v>
      </c>
      <c r="F1686" s="18">
        <v>2790298.59</v>
      </c>
      <c r="G1686" s="18">
        <v>0.01</v>
      </c>
      <c r="H1686" s="13"/>
      <c r="I1686" s="13"/>
    </row>
    <row r="1687" spans="1:9">
      <c r="A1687" s="13" t="s">
        <v>2453</v>
      </c>
      <c r="B1687" s="139" t="s">
        <v>798</v>
      </c>
      <c r="C1687" s="139" t="s">
        <v>441</v>
      </c>
      <c r="D1687" s="18">
        <v>2870567.11</v>
      </c>
      <c r="E1687" s="93">
        <v>0.96971323860000003</v>
      </c>
      <c r="F1687" s="18">
        <v>2783626.93</v>
      </c>
      <c r="G1687" s="18">
        <v>0.01</v>
      </c>
      <c r="H1687" s="13"/>
      <c r="I1687" s="13"/>
    </row>
    <row r="1688" spans="1:9">
      <c r="A1688" s="13" t="s">
        <v>2454</v>
      </c>
      <c r="B1688" s="139" t="s">
        <v>852</v>
      </c>
      <c r="C1688" s="139" t="s">
        <v>441</v>
      </c>
      <c r="D1688" s="18">
        <v>2870567.11</v>
      </c>
      <c r="E1688" s="93">
        <v>0.96128538519999995</v>
      </c>
      <c r="F1688" s="18">
        <v>2759434.21</v>
      </c>
      <c r="G1688" s="18">
        <v>0.01</v>
      </c>
      <c r="H1688" s="13"/>
      <c r="I1688" s="13"/>
    </row>
    <row r="1689" spans="1:9">
      <c r="A1689" s="13" t="s">
        <v>2455</v>
      </c>
      <c r="B1689" s="139" t="s">
        <v>842</v>
      </c>
      <c r="C1689" s="139" t="s">
        <v>441</v>
      </c>
      <c r="D1689" s="18">
        <v>2870567.12</v>
      </c>
      <c r="E1689" s="93">
        <v>0.98303265939999995</v>
      </c>
      <c r="F1689" s="18">
        <v>2821861.23</v>
      </c>
      <c r="G1689" s="18">
        <v>0.01</v>
      </c>
      <c r="H1689" s="13"/>
      <c r="I1689" s="13"/>
    </row>
    <row r="1690" spans="1:9">
      <c r="A1690" s="13" t="s">
        <v>2456</v>
      </c>
      <c r="B1690" s="139" t="s">
        <v>688</v>
      </c>
      <c r="C1690" s="139" t="s">
        <v>441</v>
      </c>
      <c r="D1690" s="18">
        <v>2870567.11</v>
      </c>
      <c r="E1690" s="93">
        <v>0.95901229450000003</v>
      </c>
      <c r="F1690" s="18">
        <v>2752909.15</v>
      </c>
      <c r="G1690" s="18">
        <v>0.01</v>
      </c>
      <c r="H1690" s="13"/>
      <c r="I1690" s="13"/>
    </row>
    <row r="1691" spans="1:9">
      <c r="A1691" s="13" t="s">
        <v>2457</v>
      </c>
      <c r="B1691" s="139" t="s">
        <v>571</v>
      </c>
      <c r="C1691" s="139" t="s">
        <v>441</v>
      </c>
      <c r="D1691" s="18">
        <v>2870567.11</v>
      </c>
      <c r="E1691" s="154">
        <v>0.97515376300000001</v>
      </c>
      <c r="F1691" s="18">
        <v>2799244.32</v>
      </c>
      <c r="G1691" s="18">
        <v>0.01</v>
      </c>
      <c r="H1691" s="13"/>
      <c r="I1691" s="13"/>
    </row>
    <row r="1692" spans="1:9">
      <c r="A1692" s="13" t="s">
        <v>2458</v>
      </c>
      <c r="B1692" s="139" t="s">
        <v>624</v>
      </c>
      <c r="C1692" s="139" t="s">
        <v>441</v>
      </c>
      <c r="D1692" s="18">
        <v>2870567.11</v>
      </c>
      <c r="E1692" s="93">
        <v>0.96663149250000002</v>
      </c>
      <c r="F1692" s="18">
        <v>2774780.57</v>
      </c>
      <c r="G1692" s="18">
        <v>0.01</v>
      </c>
      <c r="H1692" s="13"/>
      <c r="I1692" s="13"/>
    </row>
    <row r="1693" spans="1:9">
      <c r="A1693" s="13" t="s">
        <v>2459</v>
      </c>
      <c r="B1693" s="139" t="s">
        <v>518</v>
      </c>
      <c r="C1693" s="139" t="s">
        <v>441</v>
      </c>
      <c r="D1693" s="18">
        <v>2870567.12</v>
      </c>
      <c r="E1693" s="93">
        <v>0.98862410150000002</v>
      </c>
      <c r="F1693" s="18">
        <v>2837911.84</v>
      </c>
      <c r="G1693" s="18">
        <v>0.01</v>
      </c>
      <c r="H1693" s="13"/>
      <c r="I1693" s="13"/>
    </row>
    <row r="1694" spans="1:9">
      <c r="A1694" s="13" t="s">
        <v>2460</v>
      </c>
      <c r="B1694" s="139" t="s">
        <v>713</v>
      </c>
      <c r="C1694" s="139" t="s">
        <v>441</v>
      </c>
      <c r="D1694" s="18">
        <v>2870567.11</v>
      </c>
      <c r="E1694" s="93">
        <v>0.95599808549999998</v>
      </c>
      <c r="F1694" s="18">
        <v>2744256.66</v>
      </c>
      <c r="G1694" s="18">
        <v>0.01</v>
      </c>
      <c r="H1694" s="13"/>
      <c r="I1694" s="13"/>
    </row>
    <row r="1695" spans="1:9">
      <c r="A1695" s="13" t="s">
        <v>2461</v>
      </c>
      <c r="B1695" s="139" t="s">
        <v>561</v>
      </c>
      <c r="C1695" s="139" t="s">
        <v>441</v>
      </c>
      <c r="D1695" s="18">
        <v>2870567.11</v>
      </c>
      <c r="E1695" s="93">
        <v>0.95374990280000005</v>
      </c>
      <c r="F1695" s="151">
        <v>2737803.1</v>
      </c>
      <c r="G1695" s="18">
        <v>0.01</v>
      </c>
      <c r="H1695" s="13"/>
      <c r="I1695" s="13"/>
    </row>
    <row r="1696" spans="1:9">
      <c r="A1696" s="13" t="s">
        <v>2462</v>
      </c>
      <c r="B1696" s="139" t="s">
        <v>612</v>
      </c>
      <c r="C1696" s="139" t="s">
        <v>441</v>
      </c>
      <c r="D1696" s="18">
        <v>2870567.11</v>
      </c>
      <c r="E1696" s="93">
        <v>0.95076863060000005</v>
      </c>
      <c r="F1696" s="18">
        <v>2729245.16</v>
      </c>
      <c r="G1696" s="18">
        <v>0.01</v>
      </c>
      <c r="H1696" s="13"/>
      <c r="I1696" s="13"/>
    </row>
    <row r="1697" spans="1:9">
      <c r="A1697" s="13" t="s">
        <v>2463</v>
      </c>
      <c r="B1697" s="139" t="s">
        <v>1392</v>
      </c>
      <c r="C1697" s="139" t="s">
        <v>441</v>
      </c>
      <c r="D1697" s="18">
        <v>2870567.11</v>
      </c>
      <c r="E1697" s="93">
        <v>0.94854494749999996</v>
      </c>
      <c r="F1697" s="18">
        <v>2722861.93</v>
      </c>
      <c r="G1697" s="18">
        <v>0.01</v>
      </c>
      <c r="H1697" s="13"/>
      <c r="I1697" s="13"/>
    </row>
    <row r="1698" spans="1:9">
      <c r="A1698" s="13" t="s">
        <v>2464</v>
      </c>
      <c r="B1698" s="139" t="s">
        <v>1402</v>
      </c>
      <c r="C1698" s="139" t="s">
        <v>441</v>
      </c>
      <c r="D1698" s="18">
        <v>2870567.11</v>
      </c>
      <c r="E1698" s="93">
        <v>0.94559607440000004</v>
      </c>
      <c r="F1698" s="18">
        <v>2714396.99</v>
      </c>
      <c r="G1698" s="18">
        <v>0.01</v>
      </c>
      <c r="H1698" s="13"/>
      <c r="I1698" s="13"/>
    </row>
    <row r="1699" spans="1:9">
      <c r="A1699" s="13" t="s">
        <v>2465</v>
      </c>
      <c r="B1699" s="139" t="s">
        <v>755</v>
      </c>
      <c r="C1699" s="139" t="s">
        <v>441</v>
      </c>
      <c r="D1699" s="18">
        <v>2870567.11</v>
      </c>
      <c r="E1699" s="93">
        <v>0.94412837179999998</v>
      </c>
      <c r="F1699" s="18">
        <v>2710183.85</v>
      </c>
      <c r="G1699" s="18">
        <v>0.01</v>
      </c>
      <c r="H1699" s="13"/>
      <c r="I1699" s="13"/>
    </row>
    <row r="1700" spans="1:9">
      <c r="A1700" s="13" t="s">
        <v>2466</v>
      </c>
      <c r="B1700" s="139" t="s">
        <v>391</v>
      </c>
      <c r="C1700" s="139" t="s">
        <v>441</v>
      </c>
      <c r="D1700" s="18">
        <v>2870567.11</v>
      </c>
      <c r="E1700" s="154">
        <v>0.97671930799999995</v>
      </c>
      <c r="F1700" s="18">
        <v>2803738.32</v>
      </c>
      <c r="G1700" s="18">
        <v>0.01</v>
      </c>
      <c r="H1700" s="13"/>
      <c r="I1700" s="13"/>
    </row>
    <row r="1701" spans="1:9">
      <c r="A1701" s="13" t="s">
        <v>2467</v>
      </c>
      <c r="B1701" s="139" t="s">
        <v>387</v>
      </c>
      <c r="C1701" s="139" t="s">
        <v>441</v>
      </c>
      <c r="D1701" s="18">
        <v>1768326.86</v>
      </c>
      <c r="E1701" s="93">
        <v>0.97986581520000005</v>
      </c>
      <c r="F1701" s="18">
        <v>1732723.04</v>
      </c>
      <c r="G1701" s="15">
        <v>0</v>
      </c>
      <c r="H1701" s="13"/>
      <c r="I1701" s="13"/>
    </row>
    <row r="1702" spans="1:9">
      <c r="A1702" s="13" t="s">
        <v>2468</v>
      </c>
      <c r="B1702" s="139" t="s">
        <v>190</v>
      </c>
      <c r="C1702" s="139" t="s">
        <v>441</v>
      </c>
      <c r="D1702" s="18">
        <v>1768326.86</v>
      </c>
      <c r="E1702" s="93">
        <v>0.96586404889999999</v>
      </c>
      <c r="F1702" s="18">
        <v>1707963.34</v>
      </c>
      <c r="G1702" s="15">
        <v>0</v>
      </c>
      <c r="H1702" s="13"/>
      <c r="I1702" s="13"/>
    </row>
    <row r="1703" spans="1:9">
      <c r="A1703" s="13" t="s">
        <v>2469</v>
      </c>
      <c r="B1703" s="139" t="s">
        <v>604</v>
      </c>
      <c r="C1703" s="139" t="s">
        <v>441</v>
      </c>
      <c r="D1703" s="15">
        <v>830000</v>
      </c>
      <c r="E1703" s="154">
        <v>0.970486819</v>
      </c>
      <c r="F1703" s="18">
        <v>805504.06</v>
      </c>
      <c r="G1703" s="15">
        <v>0</v>
      </c>
      <c r="H1703" s="13"/>
      <c r="I1703" s="13"/>
    </row>
    <row r="1704" spans="1:9">
      <c r="A1704" s="13" t="s">
        <v>2470</v>
      </c>
      <c r="B1704" s="139" t="s">
        <v>594</v>
      </c>
      <c r="C1704" s="139" t="s">
        <v>441</v>
      </c>
      <c r="D1704" s="15">
        <v>1579236</v>
      </c>
      <c r="E1704" s="93">
        <v>0.96052640050000004</v>
      </c>
      <c r="F1704" s="18">
        <v>1516897.87</v>
      </c>
      <c r="G1704" s="15">
        <v>0</v>
      </c>
      <c r="H1704" s="13"/>
      <c r="I1704" s="13"/>
    </row>
    <row r="1705" spans="1:9">
      <c r="A1705" s="13" t="s">
        <v>2471</v>
      </c>
      <c r="B1705" s="139" t="s">
        <v>813</v>
      </c>
      <c r="C1705" s="139" t="s">
        <v>441</v>
      </c>
      <c r="D1705" s="15">
        <v>1579236</v>
      </c>
      <c r="E1705" s="93">
        <v>0.95976861020000004</v>
      </c>
      <c r="F1705" s="18">
        <v>1515701.14</v>
      </c>
      <c r="G1705" s="15">
        <v>0</v>
      </c>
      <c r="H1705" s="13"/>
      <c r="I1705" s="13"/>
    </row>
    <row r="1706" spans="1:9">
      <c r="A1706" s="13" t="s">
        <v>2472</v>
      </c>
      <c r="B1706" s="139" t="s">
        <v>813</v>
      </c>
      <c r="C1706" s="139" t="s">
        <v>441</v>
      </c>
      <c r="D1706" s="15">
        <v>1579236</v>
      </c>
      <c r="E1706" s="93">
        <v>0.95976861020000004</v>
      </c>
      <c r="F1706" s="18">
        <v>1515701.14</v>
      </c>
      <c r="G1706" s="15">
        <v>0</v>
      </c>
      <c r="H1706" s="13"/>
      <c r="I1706" s="13"/>
    </row>
    <row r="1707" spans="1:9">
      <c r="A1707" s="13" t="s">
        <v>2473</v>
      </c>
      <c r="B1707" s="139" t="s">
        <v>813</v>
      </c>
      <c r="C1707" s="139" t="s">
        <v>441</v>
      </c>
      <c r="D1707" s="15">
        <v>1579236</v>
      </c>
      <c r="E1707" s="93">
        <v>0.95976861020000004</v>
      </c>
      <c r="F1707" s="18">
        <v>1515701.14</v>
      </c>
      <c r="G1707" s="15">
        <v>0</v>
      </c>
      <c r="H1707" s="13"/>
      <c r="I1707" s="13"/>
    </row>
    <row r="1708" spans="1:9">
      <c r="A1708" s="13" t="s">
        <v>2474</v>
      </c>
      <c r="B1708" s="139" t="s">
        <v>546</v>
      </c>
      <c r="C1708" s="139" t="s">
        <v>441</v>
      </c>
      <c r="D1708" s="15">
        <v>1579236</v>
      </c>
      <c r="E1708" s="93">
        <v>0.96356927690000005</v>
      </c>
      <c r="F1708" s="18">
        <v>1521703.29</v>
      </c>
      <c r="G1708" s="15">
        <v>0</v>
      </c>
      <c r="H1708" s="13"/>
      <c r="I1708" s="13"/>
    </row>
    <row r="1709" spans="1:9">
      <c r="A1709" s="13" t="s">
        <v>2475</v>
      </c>
      <c r="B1709" s="139" t="s">
        <v>688</v>
      </c>
      <c r="C1709" s="139" t="s">
        <v>441</v>
      </c>
      <c r="D1709" s="15">
        <v>1579236</v>
      </c>
      <c r="E1709" s="93">
        <v>0.95901229450000003</v>
      </c>
      <c r="F1709" s="18">
        <v>1514506.74</v>
      </c>
      <c r="G1709" s="15">
        <v>0</v>
      </c>
      <c r="H1709" s="13"/>
      <c r="I1709" s="13"/>
    </row>
    <row r="1710" spans="1:9">
      <c r="A1710" s="13" t="s">
        <v>2476</v>
      </c>
      <c r="B1710" s="139" t="s">
        <v>855</v>
      </c>
      <c r="C1710" s="139" t="s">
        <v>441</v>
      </c>
      <c r="D1710" s="15">
        <v>1579236</v>
      </c>
      <c r="E1710" s="154">
        <v>0.958256891</v>
      </c>
      <c r="F1710" s="18">
        <v>1513313.78</v>
      </c>
      <c r="G1710" s="15">
        <v>0</v>
      </c>
      <c r="H1710" s="13"/>
      <c r="I1710" s="13"/>
    </row>
    <row r="1711" spans="1:9">
      <c r="A1711" s="13" t="s">
        <v>2477</v>
      </c>
      <c r="B1711" s="139" t="s">
        <v>713</v>
      </c>
      <c r="C1711" s="139" t="s">
        <v>441</v>
      </c>
      <c r="D1711" s="15">
        <v>1579236</v>
      </c>
      <c r="E1711" s="93">
        <v>0.95599808409999998</v>
      </c>
      <c r="F1711" s="18">
        <v>1509746.59</v>
      </c>
      <c r="G1711" s="15">
        <v>0</v>
      </c>
      <c r="H1711" s="13"/>
      <c r="I1711" s="13"/>
    </row>
    <row r="1712" spans="1:9">
      <c r="A1712" s="13" t="s">
        <v>2478</v>
      </c>
      <c r="B1712" s="139" t="s">
        <v>563</v>
      </c>
      <c r="C1712" s="139" t="s">
        <v>441</v>
      </c>
      <c r="D1712" s="18">
        <v>1579238.43</v>
      </c>
      <c r="E1712" s="93">
        <v>0.95524742289999998</v>
      </c>
      <c r="F1712" s="18">
        <v>1508563.44</v>
      </c>
      <c r="G1712" s="15">
        <v>0</v>
      </c>
      <c r="H1712" s="13"/>
      <c r="I1712" s="13"/>
    </row>
    <row r="1713" spans="1:9">
      <c r="A1713" s="13" t="s">
        <v>2479</v>
      </c>
      <c r="B1713" s="139" t="s">
        <v>852</v>
      </c>
      <c r="C1713" s="139" t="s">
        <v>441</v>
      </c>
      <c r="D1713" s="15">
        <v>1579236</v>
      </c>
      <c r="E1713" s="93">
        <v>0.96128538770000005</v>
      </c>
      <c r="F1713" s="18">
        <v>1518096.49</v>
      </c>
      <c r="G1713" s="15">
        <v>0</v>
      </c>
      <c r="H1713" s="13"/>
      <c r="I1713" s="13"/>
    </row>
    <row r="1714" spans="1:9">
      <c r="A1714" s="13" t="s">
        <v>2480</v>
      </c>
      <c r="B1714" s="139" t="s">
        <v>594</v>
      </c>
      <c r="C1714" s="139" t="s">
        <v>441</v>
      </c>
      <c r="D1714" s="18">
        <v>8778036.6500000004</v>
      </c>
      <c r="E1714" s="93">
        <v>0.9707447428</v>
      </c>
      <c r="F1714" s="18">
        <v>8521232.9299999997</v>
      </c>
      <c r="G1714" s="18">
        <v>0.02</v>
      </c>
      <c r="H1714" s="13"/>
      <c r="I1714" s="13"/>
    </row>
    <row r="1715" spans="1:9">
      <c r="A1715" s="13" t="s">
        <v>2481</v>
      </c>
      <c r="B1715" s="139" t="s">
        <v>594</v>
      </c>
      <c r="C1715" s="139" t="s">
        <v>441</v>
      </c>
      <c r="D1715" s="18">
        <v>65327733.979999997</v>
      </c>
      <c r="E1715" s="93">
        <v>0.9707447428</v>
      </c>
      <c r="F1715" s="18">
        <v>63416554.32</v>
      </c>
      <c r="G1715" s="18">
        <v>0.12</v>
      </c>
      <c r="H1715" s="13"/>
      <c r="I1715" s="13"/>
    </row>
    <row r="1716" spans="1:9">
      <c r="A1716" s="13" t="s">
        <v>2482</v>
      </c>
      <c r="B1716" s="139" t="s">
        <v>488</v>
      </c>
      <c r="C1716" s="139" t="s">
        <v>441</v>
      </c>
      <c r="D1716" s="15">
        <v>750000000</v>
      </c>
      <c r="E1716" s="154">
        <v>0.95619858899999999</v>
      </c>
      <c r="F1716" s="18">
        <v>717148941.75</v>
      </c>
      <c r="G1716" s="18">
        <v>1.37</v>
      </c>
      <c r="H1716" s="13"/>
      <c r="I1716" s="13"/>
    </row>
    <row r="1717" spans="1:9">
      <c r="A1717" s="13" t="s">
        <v>2483</v>
      </c>
      <c r="B1717" s="139" t="s">
        <v>575</v>
      </c>
      <c r="C1717" s="139" t="s">
        <v>441</v>
      </c>
      <c r="D1717" s="15">
        <v>1035000000</v>
      </c>
      <c r="E1717" s="93">
        <v>0.96932690970000002</v>
      </c>
      <c r="F1717" s="18">
        <v>1003253351.54</v>
      </c>
      <c r="G1717" s="18">
        <v>1.92</v>
      </c>
      <c r="H1717" s="13"/>
      <c r="I1717" s="13"/>
    </row>
    <row r="1718" spans="1:9">
      <c r="A1718" s="13" t="s">
        <v>2484</v>
      </c>
      <c r="B1718" s="139" t="s">
        <v>722</v>
      </c>
      <c r="C1718" s="139" t="s">
        <v>441</v>
      </c>
      <c r="D1718" s="15">
        <v>125000000</v>
      </c>
      <c r="E1718" s="93">
        <v>0.92243942850000005</v>
      </c>
      <c r="F1718" s="18">
        <v>115304928.56</v>
      </c>
      <c r="G1718" s="18">
        <v>0.22</v>
      </c>
      <c r="H1718" s="13"/>
      <c r="I1718" s="13"/>
    </row>
    <row r="1719" spans="1:9">
      <c r="A1719" s="13"/>
      <c r="B1719" s="13"/>
      <c r="C1719" s="13" t="s">
        <v>28</v>
      </c>
      <c r="D1719" s="13" t="s">
        <v>28</v>
      </c>
      <c r="E1719" s="13" t="s">
        <v>28</v>
      </c>
      <c r="F1719" s="18">
        <v>44083935557.540001</v>
      </c>
      <c r="G1719" s="18">
        <v>84.22</v>
      </c>
      <c r="H1719" s="13"/>
      <c r="I1719" s="13"/>
    </row>
    <row r="1720" spans="1:9">
      <c r="A1720" s="13" t="s">
        <v>28</v>
      </c>
      <c r="B1720" s="13"/>
      <c r="C1720" s="13"/>
      <c r="D1720" s="13"/>
      <c r="E1720" s="13"/>
      <c r="F1720" s="13"/>
      <c r="G1720" s="13"/>
      <c r="H1720" s="13"/>
      <c r="I1720" s="13"/>
    </row>
    <row r="1721" spans="1:9">
      <c r="A1721" s="13" t="s">
        <v>125</v>
      </c>
      <c r="B1721" s="13"/>
      <c r="C1721" s="13"/>
      <c r="D1721" s="13"/>
      <c r="E1721" s="13"/>
      <c r="F1721" s="13"/>
      <c r="G1721" s="13"/>
      <c r="H1721" s="13"/>
      <c r="I1721" s="13"/>
    </row>
    <row r="1722" spans="1:9">
      <c r="A1722" s="14" t="s">
        <v>9</v>
      </c>
      <c r="B1722" s="14" t="s">
        <v>98</v>
      </c>
      <c r="C1722" s="14" t="s">
        <v>16</v>
      </c>
      <c r="D1722" s="14" t="s">
        <v>100</v>
      </c>
      <c r="E1722" s="14" t="s">
        <v>32</v>
      </c>
      <c r="F1722" s="14" t="s">
        <v>101</v>
      </c>
      <c r="G1722" s="14" t="s">
        <v>4</v>
      </c>
      <c r="H1722" s="14"/>
      <c r="I1722" s="14"/>
    </row>
    <row r="1723" spans="1:9">
      <c r="A1723" s="13" t="s">
        <v>330</v>
      </c>
      <c r="B1723" s="139" t="s">
        <v>331</v>
      </c>
      <c r="C1723" s="139" t="s">
        <v>145</v>
      </c>
      <c r="D1723" s="15">
        <v>20856</v>
      </c>
      <c r="E1723" s="154">
        <v>1284.5067336120001</v>
      </c>
      <c r="F1723" s="18">
        <v>26789672.170000002</v>
      </c>
      <c r="G1723" s="18">
        <v>0.05</v>
      </c>
      <c r="H1723" s="13"/>
      <c r="I1723" s="13"/>
    </row>
    <row r="1724" spans="1:9">
      <c r="A1724" s="13" t="s">
        <v>332</v>
      </c>
      <c r="B1724" s="139" t="s">
        <v>333</v>
      </c>
      <c r="C1724" s="139" t="s">
        <v>145</v>
      </c>
      <c r="D1724" s="15">
        <v>20856</v>
      </c>
      <c r="E1724" s="93">
        <v>1342.9365944844999</v>
      </c>
      <c r="F1724" s="18">
        <v>28008285.43</v>
      </c>
      <c r="G1724" s="18">
        <v>0.05</v>
      </c>
      <c r="H1724" s="13"/>
      <c r="I1724" s="13"/>
    </row>
    <row r="1725" spans="1:9">
      <c r="A1725" s="13" t="s">
        <v>334</v>
      </c>
      <c r="B1725" s="139" t="s">
        <v>335</v>
      </c>
      <c r="C1725" s="139" t="s">
        <v>145</v>
      </c>
      <c r="D1725" s="15">
        <v>20856</v>
      </c>
      <c r="E1725" s="28">
        <v>1231.2330819700001</v>
      </c>
      <c r="F1725" s="18">
        <v>25678593.620000001</v>
      </c>
      <c r="G1725" s="18">
        <v>0.05</v>
      </c>
      <c r="H1725" s="13"/>
      <c r="I1725" s="13"/>
    </row>
    <row r="1726" spans="1:9">
      <c r="A1726" s="13" t="s">
        <v>336</v>
      </c>
      <c r="B1726" s="139" t="s">
        <v>337</v>
      </c>
      <c r="C1726" s="139" t="s">
        <v>145</v>
      </c>
      <c r="D1726" s="15">
        <v>13904</v>
      </c>
      <c r="E1726" s="93">
        <v>1406.5709382740999</v>
      </c>
      <c r="F1726" s="18">
        <v>19556959.949999999</v>
      </c>
      <c r="G1726" s="18">
        <v>0.04</v>
      </c>
      <c r="H1726" s="13"/>
      <c r="I1726" s="13"/>
    </row>
    <row r="1727" spans="1:9">
      <c r="A1727" s="13" t="s">
        <v>489</v>
      </c>
      <c r="B1727" s="139" t="s">
        <v>490</v>
      </c>
      <c r="C1727" s="139" t="s">
        <v>350</v>
      </c>
      <c r="D1727" s="15">
        <v>50000</v>
      </c>
      <c r="E1727" s="93">
        <v>1475.0027603783001</v>
      </c>
      <c r="F1727" s="18">
        <v>73750132.849999994</v>
      </c>
      <c r="G1727" s="18">
        <v>0.14000000000000001</v>
      </c>
      <c r="H1727" s="13"/>
      <c r="I1727" s="13"/>
    </row>
    <row r="1728" spans="1:9">
      <c r="A1728" s="13" t="s">
        <v>516</v>
      </c>
      <c r="B1728" s="139" t="s">
        <v>490</v>
      </c>
      <c r="C1728" s="139" t="s">
        <v>229</v>
      </c>
      <c r="D1728" s="15">
        <v>50000</v>
      </c>
      <c r="E1728" s="93">
        <v>1474.3584400614</v>
      </c>
      <c r="F1728" s="18">
        <v>73717924.239999995</v>
      </c>
      <c r="G1728" s="18">
        <v>0.14000000000000001</v>
      </c>
      <c r="H1728" s="13"/>
      <c r="I1728" s="13"/>
    </row>
    <row r="1729" spans="1:9">
      <c r="A1729" s="13" t="s">
        <v>633</v>
      </c>
      <c r="B1729" s="139" t="s">
        <v>634</v>
      </c>
      <c r="C1729" s="139" t="s">
        <v>358</v>
      </c>
      <c r="D1729" s="15">
        <v>18230</v>
      </c>
      <c r="E1729" s="93">
        <v>1442.2404035075999</v>
      </c>
      <c r="F1729" s="18">
        <v>26292037.34</v>
      </c>
      <c r="G1729" s="18">
        <v>0.05</v>
      </c>
      <c r="H1729" s="13"/>
      <c r="I1729" s="13"/>
    </row>
    <row r="1730" spans="1:9">
      <c r="A1730" s="13" t="s">
        <v>635</v>
      </c>
      <c r="B1730" s="139" t="s">
        <v>636</v>
      </c>
      <c r="C1730" s="139" t="s">
        <v>358</v>
      </c>
      <c r="D1730" s="15">
        <v>18230</v>
      </c>
      <c r="E1730" s="93">
        <v>1452.1653571559</v>
      </c>
      <c r="F1730" s="18">
        <v>26472973.93</v>
      </c>
      <c r="G1730" s="18">
        <v>0.05</v>
      </c>
      <c r="H1730" s="13"/>
      <c r="I1730" s="13"/>
    </row>
    <row r="1731" spans="1:9">
      <c r="A1731" s="13" t="s">
        <v>637</v>
      </c>
      <c r="B1731" s="139" t="s">
        <v>638</v>
      </c>
      <c r="C1731" s="139" t="s">
        <v>358</v>
      </c>
      <c r="D1731" s="15">
        <v>18230</v>
      </c>
      <c r="E1731" s="93">
        <v>1433.3642361305999</v>
      </c>
      <c r="F1731" s="18">
        <v>26130224.609999999</v>
      </c>
      <c r="G1731" s="18">
        <v>0.05</v>
      </c>
      <c r="H1731" s="13"/>
      <c r="I1731" s="13"/>
    </row>
    <row r="1732" spans="1:9">
      <c r="A1732" s="13" t="s">
        <v>639</v>
      </c>
      <c r="B1732" s="139" t="s">
        <v>640</v>
      </c>
      <c r="C1732" s="139" t="s">
        <v>358</v>
      </c>
      <c r="D1732" s="15">
        <v>18230</v>
      </c>
      <c r="E1732" s="93">
        <v>1380.3397063747</v>
      </c>
      <c r="F1732" s="18">
        <v>25163596.34</v>
      </c>
      <c r="G1732" s="18">
        <v>0.05</v>
      </c>
      <c r="H1732" s="13"/>
      <c r="I1732" s="13"/>
    </row>
    <row r="1733" spans="1:9">
      <c r="A1733" s="13" t="s">
        <v>641</v>
      </c>
      <c r="B1733" s="139" t="s">
        <v>642</v>
      </c>
      <c r="C1733" s="139" t="s">
        <v>358</v>
      </c>
      <c r="D1733" s="15">
        <v>18230</v>
      </c>
      <c r="E1733" s="93">
        <v>1406.2101774463999</v>
      </c>
      <c r="F1733" s="18">
        <v>25635209.690000001</v>
      </c>
      <c r="G1733" s="18">
        <v>0.05</v>
      </c>
      <c r="H1733" s="13"/>
      <c r="I1733" s="13"/>
    </row>
    <row r="1734" spans="1:9">
      <c r="A1734" s="13" t="s">
        <v>643</v>
      </c>
      <c r="B1734" s="139" t="s">
        <v>644</v>
      </c>
      <c r="C1734" s="139" t="s">
        <v>358</v>
      </c>
      <c r="D1734" s="15">
        <v>18230</v>
      </c>
      <c r="E1734" s="93">
        <v>1389.4235834504</v>
      </c>
      <c r="F1734" s="18">
        <v>25329198.32</v>
      </c>
      <c r="G1734" s="18">
        <v>0.05</v>
      </c>
      <c r="H1734" s="13"/>
      <c r="I1734" s="13"/>
    </row>
    <row r="1735" spans="1:9">
      <c r="A1735" s="13" t="s">
        <v>645</v>
      </c>
      <c r="B1735" s="139" t="s">
        <v>646</v>
      </c>
      <c r="C1735" s="139" t="s">
        <v>358</v>
      </c>
      <c r="D1735" s="15">
        <v>18230</v>
      </c>
      <c r="E1735" s="93">
        <v>1398.0562590827001</v>
      </c>
      <c r="F1735" s="18">
        <v>25486570.52</v>
      </c>
      <c r="G1735" s="18">
        <v>0.05</v>
      </c>
      <c r="H1735" s="13"/>
      <c r="I1735" s="13"/>
    </row>
    <row r="1736" spans="1:9">
      <c r="A1736" s="13" t="s">
        <v>647</v>
      </c>
      <c r="B1736" s="139" t="s">
        <v>648</v>
      </c>
      <c r="C1736" s="139" t="s">
        <v>358</v>
      </c>
      <c r="D1736" s="15">
        <v>18230</v>
      </c>
      <c r="E1736" s="93">
        <v>1424.5962799058</v>
      </c>
      <c r="F1736" s="18">
        <v>25970395.32</v>
      </c>
      <c r="G1736" s="18">
        <v>0.05</v>
      </c>
      <c r="H1736" s="13"/>
      <c r="I1736" s="13"/>
    </row>
    <row r="1737" spans="1:9">
      <c r="A1737" s="13" t="s">
        <v>649</v>
      </c>
      <c r="B1737" s="139" t="s">
        <v>650</v>
      </c>
      <c r="C1737" s="139" t="s">
        <v>358</v>
      </c>
      <c r="D1737" s="15">
        <v>18230</v>
      </c>
      <c r="E1737" s="93">
        <v>1415.0414946333001</v>
      </c>
      <c r="F1737" s="18">
        <v>25796208.32</v>
      </c>
      <c r="G1737" s="18">
        <v>0.05</v>
      </c>
      <c r="H1737" s="13"/>
      <c r="I1737" s="13"/>
    </row>
    <row r="1738" spans="1:9">
      <c r="A1738" s="13" t="s">
        <v>832</v>
      </c>
      <c r="B1738" s="139" t="s">
        <v>490</v>
      </c>
      <c r="C1738" s="139" t="s">
        <v>399</v>
      </c>
      <c r="D1738" s="15">
        <v>100000</v>
      </c>
      <c r="E1738" s="93">
        <v>1475.6468509721999</v>
      </c>
      <c r="F1738" s="18">
        <v>147564682.91</v>
      </c>
      <c r="G1738" s="18">
        <v>0.28000000000000003</v>
      </c>
      <c r="H1738" s="13"/>
      <c r="I1738" s="13"/>
    </row>
    <row r="1739" spans="1:9">
      <c r="A1739" s="13" t="s">
        <v>833</v>
      </c>
      <c r="B1739" s="139" t="s">
        <v>559</v>
      </c>
      <c r="C1739" s="139" t="s">
        <v>399</v>
      </c>
      <c r="D1739" s="15">
        <v>100000</v>
      </c>
      <c r="E1739" s="93">
        <v>1467.5100446155</v>
      </c>
      <c r="F1739" s="18">
        <v>146751001.12</v>
      </c>
      <c r="G1739" s="18">
        <v>0.28000000000000003</v>
      </c>
      <c r="H1739" s="13"/>
      <c r="I1739" s="13"/>
    </row>
    <row r="1740" spans="1:9">
      <c r="A1740" s="13" t="s">
        <v>1064</v>
      </c>
      <c r="B1740" s="139" t="s">
        <v>629</v>
      </c>
      <c r="C1740" s="139" t="s">
        <v>427</v>
      </c>
      <c r="D1740" s="15">
        <v>50000</v>
      </c>
      <c r="E1740" s="93">
        <v>1458.6354660582999</v>
      </c>
      <c r="F1740" s="151">
        <v>72931773.700000003</v>
      </c>
      <c r="G1740" s="18">
        <v>0.14000000000000001</v>
      </c>
      <c r="H1740" s="13"/>
      <c r="I1740" s="13"/>
    </row>
    <row r="1741" spans="1:9">
      <c r="A1741" s="13" t="s">
        <v>1093</v>
      </c>
      <c r="B1741" s="139" t="s">
        <v>490</v>
      </c>
      <c r="C1741" s="139" t="s">
        <v>162</v>
      </c>
      <c r="D1741" s="15">
        <v>25000</v>
      </c>
      <c r="E1741" s="93">
        <v>1473.7145143590999</v>
      </c>
      <c r="F1741" s="18">
        <v>36842857.82</v>
      </c>
      <c r="G1741" s="18">
        <v>7.0000000000000007E-2</v>
      </c>
      <c r="H1741" s="13"/>
      <c r="I1741" s="13"/>
    </row>
    <row r="1742" spans="1:9">
      <c r="A1742" s="13" t="s">
        <v>1094</v>
      </c>
      <c r="B1742" s="139" t="s">
        <v>559</v>
      </c>
      <c r="C1742" s="139" t="s">
        <v>162</v>
      </c>
      <c r="D1742" s="15">
        <v>25000</v>
      </c>
      <c r="E1742" s="93">
        <v>1463.9318779068999</v>
      </c>
      <c r="F1742" s="18">
        <v>36598303.310000002</v>
      </c>
      <c r="G1742" s="18">
        <v>7.0000000000000007E-2</v>
      </c>
      <c r="H1742" s="13"/>
      <c r="I1742" s="13"/>
    </row>
    <row r="1743" spans="1:9">
      <c r="A1743" s="13" t="s">
        <v>1095</v>
      </c>
      <c r="B1743" s="139" t="s">
        <v>629</v>
      </c>
      <c r="C1743" s="139" t="s">
        <v>162</v>
      </c>
      <c r="D1743" s="15">
        <v>25000</v>
      </c>
      <c r="E1743" s="93">
        <v>1452.5961887271001</v>
      </c>
      <c r="F1743" s="15">
        <v>36314909</v>
      </c>
      <c r="G1743" s="18">
        <v>7.0000000000000007E-2</v>
      </c>
      <c r="H1743" s="13"/>
      <c r="I1743" s="13"/>
    </row>
    <row r="1744" spans="1:9">
      <c r="A1744" s="13" t="s">
        <v>1290</v>
      </c>
      <c r="B1744" s="139" t="s">
        <v>559</v>
      </c>
      <c r="C1744" s="139" t="s">
        <v>368</v>
      </c>
      <c r="D1744" s="15">
        <v>40000</v>
      </c>
      <c r="E1744" s="93">
        <v>1462.1481288072</v>
      </c>
      <c r="F1744" s="18">
        <v>58485931.969999999</v>
      </c>
      <c r="G1744" s="18">
        <v>0.11</v>
      </c>
      <c r="H1744" s="13"/>
      <c r="I1744" s="13"/>
    </row>
    <row r="1745" spans="1:9">
      <c r="A1745" s="13" t="s">
        <v>1425</v>
      </c>
      <c r="B1745" s="139" t="s">
        <v>1424</v>
      </c>
      <c r="C1745" s="139" t="s">
        <v>373</v>
      </c>
      <c r="D1745" s="15">
        <v>500000</v>
      </c>
      <c r="E1745" s="93">
        <v>1446.2572754301</v>
      </c>
      <c r="F1745" s="18">
        <v>723128636.97000003</v>
      </c>
      <c r="G1745" s="18">
        <v>1.38</v>
      </c>
      <c r="H1745" s="13"/>
      <c r="I1745" s="13"/>
    </row>
    <row r="1746" spans="1:9">
      <c r="A1746" s="13" t="s">
        <v>1660</v>
      </c>
      <c r="B1746" s="139" t="s">
        <v>559</v>
      </c>
      <c r="C1746" s="139" t="s">
        <v>394</v>
      </c>
      <c r="D1746" s="15">
        <v>70000</v>
      </c>
      <c r="E1746" s="93">
        <v>1467.5100841361</v>
      </c>
      <c r="F1746" s="18">
        <v>102725712.62</v>
      </c>
      <c r="G1746" s="151">
        <v>0.2</v>
      </c>
      <c r="H1746" s="13"/>
      <c r="I1746" s="13"/>
    </row>
    <row r="1747" spans="1:9">
      <c r="A1747" s="13" t="s">
        <v>1903</v>
      </c>
      <c r="B1747" s="139" t="s">
        <v>1424</v>
      </c>
      <c r="C1747" s="139" t="s">
        <v>402</v>
      </c>
      <c r="D1747" s="15">
        <v>100000</v>
      </c>
      <c r="E1747" s="93">
        <v>1442.1266075071001</v>
      </c>
      <c r="F1747" s="18">
        <v>144212663.84</v>
      </c>
      <c r="G1747" s="18">
        <v>0.28000000000000003</v>
      </c>
      <c r="H1747" s="13"/>
      <c r="I1747" s="13"/>
    </row>
    <row r="1748" spans="1:9">
      <c r="A1748" s="13"/>
      <c r="B1748" s="13"/>
      <c r="C1748" s="13" t="s">
        <v>28</v>
      </c>
      <c r="D1748" s="13" t="s">
        <v>28</v>
      </c>
      <c r="E1748" s="13" t="s">
        <v>28</v>
      </c>
      <c r="F1748" s="18">
        <v>1985334455.9100001</v>
      </c>
      <c r="G1748" s="18">
        <v>3.79</v>
      </c>
      <c r="H1748" s="13"/>
      <c r="I1748" s="13"/>
    </row>
    <row r="1749" spans="1:9">
      <c r="A1749" s="13" t="s">
        <v>28</v>
      </c>
      <c r="B1749" s="13"/>
      <c r="C1749" s="13"/>
      <c r="D1749" s="13"/>
      <c r="E1749" s="13"/>
      <c r="F1749" s="13"/>
      <c r="G1749" s="13"/>
      <c r="H1749" s="13"/>
      <c r="I1749" s="13"/>
    </row>
    <row r="1750" spans="1:9">
      <c r="A1750" s="13" t="s">
        <v>7</v>
      </c>
      <c r="B1750" s="13"/>
      <c r="C1750" s="13"/>
      <c r="D1750" s="13"/>
      <c r="E1750" s="13"/>
      <c r="F1750" s="13"/>
      <c r="G1750" s="13"/>
      <c r="H1750" s="13"/>
      <c r="I1750" s="13"/>
    </row>
    <row r="1751" spans="1:9">
      <c r="A1751" s="14" t="s">
        <v>8</v>
      </c>
      <c r="B1751" s="14" t="s">
        <v>2</v>
      </c>
      <c r="C1751" s="14" t="s">
        <v>4</v>
      </c>
      <c r="D1751" s="14"/>
      <c r="E1751" s="14"/>
      <c r="F1751" s="14"/>
      <c r="G1751" s="14"/>
      <c r="H1751" s="14"/>
      <c r="I1751" s="14"/>
    </row>
    <row r="1752" spans="1:9">
      <c r="A1752" s="13" t="s">
        <v>88</v>
      </c>
      <c r="B1752" s="18">
        <v>2738543.48</v>
      </c>
      <c r="C1752" s="18">
        <v>0.01</v>
      </c>
      <c r="D1752" s="13"/>
      <c r="E1752" s="13"/>
      <c r="F1752" s="13"/>
      <c r="G1752" s="13"/>
      <c r="H1752" s="13"/>
      <c r="I1752" s="13"/>
    </row>
    <row r="1753" spans="1:9">
      <c r="A1753" s="13" t="s">
        <v>28</v>
      </c>
      <c r="B1753" s="18">
        <v>2738543.48</v>
      </c>
      <c r="C1753" s="18">
        <v>0.01</v>
      </c>
      <c r="D1753" s="13"/>
      <c r="E1753" s="13"/>
      <c r="F1753" s="13"/>
      <c r="G1753" s="13"/>
      <c r="H1753" s="13"/>
      <c r="I1753" s="13"/>
    </row>
    <row r="1754" spans="1:9">
      <c r="A1754" s="13" t="s">
        <v>28</v>
      </c>
      <c r="B1754" s="13"/>
      <c r="C1754" s="13"/>
      <c r="D1754" s="13"/>
      <c r="E1754" s="13"/>
      <c r="F1754" s="13"/>
      <c r="G1754" s="13"/>
      <c r="H1754" s="13"/>
      <c r="I1754" s="13"/>
    </row>
    <row r="1755" spans="1:9">
      <c r="A1755" s="13" t="s">
        <v>2485</v>
      </c>
      <c r="B1755" s="13"/>
      <c r="C1755" s="13"/>
      <c r="D1755" s="13"/>
      <c r="E1755" s="13"/>
      <c r="F1755" s="13"/>
      <c r="G1755" s="13"/>
      <c r="H1755" s="13"/>
      <c r="I1755" s="13"/>
    </row>
    <row r="1756" spans="1:9">
      <c r="A1756" s="13" t="s">
        <v>28</v>
      </c>
      <c r="B1756" s="13"/>
      <c r="C1756" s="13"/>
      <c r="D1756" s="13"/>
      <c r="E1756" s="13"/>
      <c r="F1756" s="13"/>
      <c r="G1756" s="13"/>
      <c r="H1756" s="13"/>
      <c r="I1756" s="13"/>
    </row>
    <row r="1757" spans="1:9">
      <c r="A1757" s="13" t="s">
        <v>126</v>
      </c>
      <c r="B1757" s="13"/>
      <c r="C1757" s="13"/>
      <c r="D1757" s="13"/>
      <c r="E1757" s="13"/>
      <c r="F1757" s="13"/>
      <c r="G1757" s="13"/>
      <c r="H1757" s="13"/>
      <c r="I1757" s="13"/>
    </row>
    <row r="1758" spans="1:9">
      <c r="A1758" s="13" t="s">
        <v>470</v>
      </c>
      <c r="B1758" s="13"/>
      <c r="C1758" s="13"/>
      <c r="D1758" s="13"/>
      <c r="E1758" s="13"/>
      <c r="F1758" s="13"/>
      <c r="G1758" s="13"/>
      <c r="H1758" s="13"/>
      <c r="I1758" s="13"/>
    </row>
    <row r="1759" spans="1:9">
      <c r="A1759" s="14" t="s">
        <v>8</v>
      </c>
      <c r="B1759" s="14" t="s">
        <v>127</v>
      </c>
      <c r="C1759" s="14" t="s">
        <v>128</v>
      </c>
      <c r="D1759" s="14"/>
      <c r="E1759" s="14"/>
      <c r="F1759" s="14"/>
      <c r="G1759" s="14"/>
      <c r="H1759" s="14"/>
      <c r="I1759" s="14"/>
    </row>
    <row r="1760" spans="1:9">
      <c r="A1760" s="13" t="s">
        <v>312</v>
      </c>
      <c r="B1760" s="15">
        <v>300000000</v>
      </c>
      <c r="C1760" s="15">
        <v>309840000</v>
      </c>
      <c r="D1760" s="13"/>
      <c r="E1760" s="13"/>
      <c r="F1760" s="13"/>
      <c r="G1760" s="13"/>
      <c r="H1760" s="13"/>
      <c r="I1760" s="13"/>
    </row>
    <row r="1761" spans="1:9">
      <c r="A1761" s="13" t="s">
        <v>988</v>
      </c>
      <c r="B1761" s="15">
        <v>200000000</v>
      </c>
      <c r="C1761" s="15">
        <v>239354022</v>
      </c>
      <c r="D1761" s="13"/>
      <c r="E1761" s="13"/>
      <c r="F1761" s="13"/>
      <c r="G1761" s="13"/>
      <c r="H1761" s="13"/>
      <c r="I1761" s="13"/>
    </row>
    <row r="1762" spans="1:9">
      <c r="A1762" s="13" t="s">
        <v>28</v>
      </c>
      <c r="B1762" s="13"/>
      <c r="C1762" s="13"/>
      <c r="D1762" s="13"/>
      <c r="E1762" s="13"/>
      <c r="F1762" s="13"/>
      <c r="G1762" s="13"/>
      <c r="H1762" s="13"/>
      <c r="I1762" s="13"/>
    </row>
    <row r="1763" spans="1:9">
      <c r="A1763" s="13" t="s">
        <v>12</v>
      </c>
      <c r="B1763" s="13"/>
      <c r="C1763" s="13"/>
      <c r="D1763" s="13"/>
      <c r="E1763" s="13"/>
      <c r="F1763" s="13"/>
      <c r="G1763" s="13"/>
      <c r="H1763" s="13"/>
      <c r="I1763" s="13"/>
    </row>
    <row r="1764" spans="1:9">
      <c r="A1764" s="13" t="s">
        <v>20</v>
      </c>
      <c r="B1764" s="13"/>
      <c r="C1764" s="13"/>
      <c r="D1764" s="13"/>
      <c r="E1764" s="13"/>
      <c r="F1764" s="13"/>
      <c r="G1764" s="13"/>
      <c r="H1764" s="13"/>
      <c r="I1764" s="13"/>
    </row>
    <row r="1765" spans="1:9">
      <c r="A1765" s="14" t="s">
        <v>9</v>
      </c>
      <c r="B1765" s="14" t="s">
        <v>30</v>
      </c>
      <c r="C1765" s="14" t="s">
        <v>25</v>
      </c>
      <c r="D1765" s="14" t="s">
        <v>21</v>
      </c>
      <c r="E1765" s="14"/>
      <c r="F1765" s="14"/>
      <c r="G1765" s="14"/>
      <c r="H1765" s="14"/>
      <c r="I1765" s="14"/>
    </row>
    <row r="1766" spans="1:9">
      <c r="A1766" s="13" t="s">
        <v>31</v>
      </c>
      <c r="B1766" s="139" t="s">
        <v>441</v>
      </c>
      <c r="C1766" s="152">
        <v>1443.367</v>
      </c>
      <c r="D1766" s="13" t="s">
        <v>28</v>
      </c>
      <c r="E1766" s="13"/>
      <c r="F1766" s="13"/>
      <c r="G1766" s="13"/>
      <c r="H1766" s="13"/>
      <c r="I1766" s="13"/>
    </row>
    <row r="1767" spans="1:9">
      <c r="A1767" s="13" t="s">
        <v>13</v>
      </c>
      <c r="B1767" s="139" t="s">
        <v>382</v>
      </c>
      <c r="C1767" s="152">
        <v>1441.021</v>
      </c>
      <c r="D1767" s="18">
        <v>0.16</v>
      </c>
      <c r="E1767" s="13"/>
      <c r="F1767" s="13"/>
      <c r="G1767" s="13"/>
      <c r="H1767" s="13"/>
      <c r="I1767" s="13"/>
    </row>
    <row r="1768" spans="1:9">
      <c r="A1768" s="13" t="s">
        <v>0</v>
      </c>
      <c r="B1768" s="139" t="s">
        <v>172</v>
      </c>
      <c r="C1768" s="152">
        <v>1424.557</v>
      </c>
      <c r="D1768" s="18">
        <v>1.32</v>
      </c>
      <c r="E1768" s="13"/>
      <c r="F1768" s="13"/>
      <c r="G1768" s="13"/>
      <c r="H1768" s="13"/>
      <c r="I1768" s="13"/>
    </row>
    <row r="1769" spans="1:9">
      <c r="A1769" s="13" t="s">
        <v>40</v>
      </c>
      <c r="B1769" s="139" t="s">
        <v>145</v>
      </c>
      <c r="C1769" s="152">
        <v>1231.2270000000001</v>
      </c>
      <c r="D1769" s="18">
        <v>17.23</v>
      </c>
      <c r="E1769" s="13"/>
      <c r="F1769" s="13"/>
      <c r="G1769" s="13"/>
      <c r="H1769" s="13"/>
      <c r="I1769" s="13"/>
    </row>
    <row r="1770" spans="1:9">
      <c r="A1770" s="13" t="s">
        <v>5</v>
      </c>
      <c r="B1770" s="139" t="s">
        <v>89</v>
      </c>
      <c r="C1770" s="15">
        <v>1000</v>
      </c>
      <c r="D1770" s="18">
        <v>44.34</v>
      </c>
      <c r="E1770" s="13"/>
      <c r="F1770" s="13"/>
      <c r="G1770" s="13"/>
      <c r="H1770" s="13"/>
      <c r="I1770" s="13"/>
    </row>
    <row r="1771" spans="1:9">
      <c r="A1771" s="13" t="s">
        <v>28</v>
      </c>
      <c r="B1771" s="13"/>
      <c r="C1771" s="13"/>
      <c r="D1771" s="13"/>
      <c r="E1771" s="13"/>
      <c r="F1771" s="13"/>
      <c r="G1771" s="13"/>
      <c r="H1771" s="13"/>
      <c r="I1771" s="13"/>
    </row>
    <row r="1772" spans="1:9">
      <c r="A1772" s="13" t="s">
        <v>23</v>
      </c>
      <c r="B1772" s="13"/>
      <c r="C1772" s="13"/>
      <c r="D1772" s="13"/>
      <c r="E1772" s="13"/>
      <c r="F1772" s="13"/>
      <c r="G1772" s="13"/>
      <c r="H1772" s="13"/>
      <c r="I1772" s="13"/>
    </row>
    <row r="1773" spans="1:9">
      <c r="A1773" s="14" t="s">
        <v>9</v>
      </c>
      <c r="B1773" s="14" t="s">
        <v>30</v>
      </c>
      <c r="C1773" s="14" t="s">
        <v>25</v>
      </c>
      <c r="D1773" s="14" t="s">
        <v>21</v>
      </c>
      <c r="E1773" s="14"/>
      <c r="F1773" s="14"/>
      <c r="G1773" s="14"/>
      <c r="H1773" s="14"/>
      <c r="I1773" s="14"/>
    </row>
    <row r="1774" spans="1:9">
      <c r="A1774" s="13" t="s">
        <v>31</v>
      </c>
      <c r="B1774" s="139" t="s">
        <v>441</v>
      </c>
      <c r="C1774" s="152">
        <v>1729.5419999999999</v>
      </c>
      <c r="D1774" s="13" t="s">
        <v>28</v>
      </c>
      <c r="E1774" s="13"/>
      <c r="F1774" s="13"/>
      <c r="G1774" s="13"/>
      <c r="H1774" s="13"/>
      <c r="I1774" s="13"/>
    </row>
    <row r="1775" spans="1:9">
      <c r="A1775" s="13" t="s">
        <v>13</v>
      </c>
      <c r="B1775" s="139" t="s">
        <v>382</v>
      </c>
      <c r="C1775" s="152">
        <v>1726.731</v>
      </c>
      <c r="D1775" s="18">
        <v>0.16</v>
      </c>
      <c r="E1775" s="13"/>
      <c r="F1775" s="13"/>
      <c r="G1775" s="13"/>
      <c r="H1775" s="13"/>
      <c r="I1775" s="13"/>
    </row>
    <row r="1776" spans="1:9">
      <c r="A1776" s="13" t="s">
        <v>0</v>
      </c>
      <c r="B1776" s="139" t="s">
        <v>172</v>
      </c>
      <c r="C1776" s="152">
        <v>1707.0029999999999</v>
      </c>
      <c r="D1776" s="18">
        <v>1.32</v>
      </c>
      <c r="E1776" s="13"/>
      <c r="F1776" s="13"/>
      <c r="G1776" s="13"/>
      <c r="H1776" s="13"/>
      <c r="I1776" s="13"/>
    </row>
    <row r="1777" spans="1:9">
      <c r="A1777" s="13" t="s">
        <v>40</v>
      </c>
      <c r="B1777" s="139" t="s">
        <v>145</v>
      </c>
      <c r="C1777" s="152">
        <v>1475.3389999999999</v>
      </c>
      <c r="D1777" s="18">
        <v>17.23</v>
      </c>
      <c r="E1777" s="13"/>
      <c r="F1777" s="13"/>
      <c r="G1777" s="13"/>
      <c r="H1777" s="13"/>
      <c r="I1777" s="13"/>
    </row>
    <row r="1778" spans="1:9">
      <c r="A1778" s="13" t="s">
        <v>5</v>
      </c>
      <c r="B1778" s="139" t="s">
        <v>89</v>
      </c>
      <c r="C1778" s="15">
        <v>1000</v>
      </c>
      <c r="D1778" s="18">
        <v>72.95</v>
      </c>
      <c r="E1778" s="13"/>
      <c r="F1778" s="13"/>
      <c r="G1778" s="13"/>
      <c r="H1778" s="13"/>
      <c r="I1778" s="13"/>
    </row>
    <row r="1779" spans="1:9">
      <c r="A1779" s="13" t="s">
        <v>28</v>
      </c>
      <c r="B1779" s="13"/>
      <c r="C1779" s="13"/>
      <c r="D1779" s="13"/>
      <c r="E1779" s="13"/>
      <c r="F1779" s="13"/>
      <c r="G1779" s="13"/>
      <c r="H1779" s="13"/>
      <c r="I1779" s="13"/>
    </row>
    <row r="1780" spans="1:9">
      <c r="A1780" s="13" t="s">
        <v>22</v>
      </c>
      <c r="B1780" s="13"/>
      <c r="C1780" s="13"/>
      <c r="D1780" s="13"/>
      <c r="E1780" s="13"/>
      <c r="F1780" s="13"/>
      <c r="G1780" s="13"/>
      <c r="H1780" s="13"/>
      <c r="I1780" s="13"/>
    </row>
    <row r="1781" spans="1:9">
      <c r="A1781" s="14" t="s">
        <v>9</v>
      </c>
      <c r="B1781" s="14" t="s">
        <v>30</v>
      </c>
      <c r="C1781" s="14" t="s">
        <v>25</v>
      </c>
      <c r="D1781" s="14" t="s">
        <v>21</v>
      </c>
      <c r="E1781" s="14"/>
      <c r="F1781" s="14"/>
      <c r="G1781" s="14"/>
      <c r="H1781" s="14"/>
      <c r="I1781" s="14"/>
    </row>
    <row r="1782" spans="1:9">
      <c r="A1782" s="13" t="s">
        <v>31</v>
      </c>
      <c r="B1782" s="139" t="s">
        <v>441</v>
      </c>
      <c r="C1782" s="152">
        <v>1742.3869999999999</v>
      </c>
      <c r="D1782" s="13" t="s">
        <v>28</v>
      </c>
      <c r="E1782" s="13"/>
      <c r="F1782" s="13"/>
      <c r="G1782" s="13"/>
      <c r="H1782" s="13"/>
      <c r="I1782" s="13"/>
    </row>
    <row r="1783" spans="1:9">
      <c r="A1783" s="13" t="s">
        <v>13</v>
      </c>
      <c r="B1783" s="139" t="s">
        <v>382</v>
      </c>
      <c r="C1783" s="152">
        <v>1739.5550000000001</v>
      </c>
      <c r="D1783" s="18">
        <v>0.16</v>
      </c>
      <c r="E1783" s="13"/>
      <c r="F1783" s="13"/>
      <c r="G1783" s="13"/>
      <c r="H1783" s="13"/>
      <c r="I1783" s="13"/>
    </row>
    <row r="1784" spans="1:9">
      <c r="A1784" s="13" t="s">
        <v>0</v>
      </c>
      <c r="B1784" s="139" t="s">
        <v>172</v>
      </c>
      <c r="C1784" s="18">
        <v>1719.68</v>
      </c>
      <c r="D1784" s="18">
        <v>1.32</v>
      </c>
      <c r="E1784" s="13"/>
      <c r="F1784" s="13"/>
      <c r="G1784" s="13"/>
      <c r="H1784" s="13"/>
      <c r="I1784" s="13"/>
    </row>
    <row r="1785" spans="1:9">
      <c r="A1785" s="13" t="s">
        <v>40</v>
      </c>
      <c r="B1785" s="139" t="s">
        <v>145</v>
      </c>
      <c r="C1785" s="151">
        <v>1486.3</v>
      </c>
      <c r="D1785" s="18">
        <v>17.23</v>
      </c>
      <c r="E1785" s="13"/>
      <c r="F1785" s="13"/>
      <c r="G1785" s="13"/>
      <c r="H1785" s="13"/>
      <c r="I1785" s="13"/>
    </row>
    <row r="1786" spans="1:9">
      <c r="A1786" s="13" t="s">
        <v>5</v>
      </c>
      <c r="B1786" s="139" t="s">
        <v>89</v>
      </c>
      <c r="C1786" s="15">
        <v>1000</v>
      </c>
      <c r="D1786" s="18">
        <v>74.239999999999995</v>
      </c>
      <c r="E1786" s="13"/>
      <c r="F1786" s="13"/>
      <c r="G1786" s="13"/>
      <c r="H1786" s="13"/>
      <c r="I1786" s="13"/>
    </row>
    <row r="1787" spans="1:9">
      <c r="A1787" s="13" t="s">
        <v>28</v>
      </c>
      <c r="B1787" s="13"/>
      <c r="C1787" s="13"/>
      <c r="D1787" s="13"/>
      <c r="E1787" s="13"/>
      <c r="F1787" s="13"/>
      <c r="G1787" s="13"/>
      <c r="H1787" s="13"/>
      <c r="I1787" s="13"/>
    </row>
    <row r="1788" spans="1:9">
      <c r="A1788" s="13" t="s">
        <v>259</v>
      </c>
      <c r="B1788" s="13"/>
      <c r="C1788" s="13"/>
      <c r="D1788" s="13"/>
      <c r="E1788" s="13"/>
      <c r="F1788" s="13"/>
      <c r="G1788" s="13"/>
      <c r="H1788" s="13"/>
      <c r="I1788" s="13"/>
    </row>
    <row r="1789" spans="1:9">
      <c r="A1789" s="14" t="s">
        <v>9</v>
      </c>
      <c r="B1789" s="14" t="s">
        <v>30</v>
      </c>
      <c r="C1789" s="14" t="s">
        <v>25</v>
      </c>
      <c r="D1789" s="14" t="s">
        <v>21</v>
      </c>
      <c r="E1789" s="14"/>
      <c r="F1789" s="14"/>
      <c r="G1789" s="14"/>
      <c r="H1789" s="14"/>
      <c r="I1789" s="14"/>
    </row>
    <row r="1790" spans="1:9">
      <c r="A1790" s="13" t="s">
        <v>31</v>
      </c>
      <c r="B1790" s="139" t="s">
        <v>441</v>
      </c>
      <c r="C1790" s="152">
        <v>1102.4880000000001</v>
      </c>
      <c r="D1790" s="13" t="s">
        <v>28</v>
      </c>
      <c r="E1790" s="13"/>
      <c r="F1790" s="13"/>
      <c r="G1790" s="13"/>
      <c r="H1790" s="13"/>
      <c r="I1790" s="13"/>
    </row>
    <row r="1791" spans="1:9">
      <c r="A1791" s="13" t="s">
        <v>13</v>
      </c>
      <c r="B1791" s="139" t="s">
        <v>382</v>
      </c>
      <c r="C1791" s="152">
        <v>1102.4880000000001</v>
      </c>
      <c r="D1791" s="15">
        <v>0</v>
      </c>
      <c r="E1791" s="13"/>
      <c r="F1791" s="13"/>
      <c r="G1791" s="13"/>
      <c r="H1791" s="13"/>
      <c r="I1791" s="13"/>
    </row>
    <row r="1792" spans="1:9">
      <c r="A1792" s="13" t="s">
        <v>0</v>
      </c>
      <c r="B1792" s="139" t="s">
        <v>172</v>
      </c>
      <c r="C1792" s="152">
        <v>1102.4880000000001</v>
      </c>
      <c r="D1792" s="15">
        <v>0</v>
      </c>
      <c r="E1792" s="13"/>
      <c r="F1792" s="13"/>
      <c r="G1792" s="13"/>
      <c r="H1792" s="13"/>
      <c r="I1792" s="13"/>
    </row>
    <row r="1793" spans="1:9">
      <c r="A1793" s="13" t="s">
        <v>40</v>
      </c>
      <c r="B1793" s="139" t="s">
        <v>145</v>
      </c>
      <c r="C1793" s="18">
        <v>1047.33</v>
      </c>
      <c r="D1793" s="18">
        <v>5.27</v>
      </c>
      <c r="E1793" s="13"/>
      <c r="F1793" s="13"/>
      <c r="G1793" s="13"/>
      <c r="H1793" s="13"/>
      <c r="I1793" s="13"/>
    </row>
    <row r="1794" spans="1:9">
      <c r="A1794" s="13" t="s">
        <v>5</v>
      </c>
      <c r="B1794" s="139" t="s">
        <v>136</v>
      </c>
      <c r="C1794" s="15">
        <v>1000</v>
      </c>
      <c r="D1794" s="18">
        <v>10.25</v>
      </c>
      <c r="E1794" s="13"/>
      <c r="F1794" s="13"/>
      <c r="G1794" s="13"/>
      <c r="H1794" s="13"/>
      <c r="I1794" s="13"/>
    </row>
    <row r="1795" spans="1:9">
      <c r="A1795" s="13" t="s">
        <v>28</v>
      </c>
      <c r="B1795" s="13"/>
      <c r="C1795" s="13"/>
      <c r="D1795" s="13"/>
      <c r="E1795" s="13"/>
      <c r="F1795" s="13"/>
      <c r="G1795" s="13"/>
      <c r="H1795" s="13"/>
      <c r="I1795" s="13"/>
    </row>
    <row r="1796" spans="1:9">
      <c r="A1796" s="13" t="s">
        <v>12</v>
      </c>
      <c r="B1796" s="13"/>
      <c r="C1796" s="13"/>
      <c r="D1796" s="13"/>
      <c r="E1796" s="13"/>
      <c r="F1796" s="13"/>
      <c r="G1796" s="13"/>
      <c r="H1796" s="13"/>
      <c r="I1796" s="13"/>
    </row>
    <row r="1797" spans="1:9">
      <c r="A1797" s="13"/>
      <c r="B1797" s="13"/>
      <c r="C1797" s="13"/>
      <c r="D1797" s="13"/>
      <c r="E1797" s="13"/>
      <c r="F1797" s="13"/>
      <c r="G1797" s="13"/>
      <c r="H1797" s="13"/>
      <c r="I1797" s="13"/>
    </row>
    <row r="1798" spans="1:9">
      <c r="A1798" s="13" t="s">
        <v>1291</v>
      </c>
      <c r="B1798" s="18">
        <v>77205156.480000004</v>
      </c>
      <c r="C1798" s="15">
        <v>1</v>
      </c>
      <c r="D1798" s="13"/>
      <c r="E1798" s="13"/>
      <c r="F1798" s="13"/>
      <c r="G1798" s="13"/>
      <c r="H1798" s="13"/>
      <c r="I1798" s="13"/>
    </row>
    <row r="1799" spans="1:9">
      <c r="A1799" s="13" t="s">
        <v>1292</v>
      </c>
      <c r="B1799" s="18">
        <v>132343184.62</v>
      </c>
      <c r="C1799" s="15">
        <v>1</v>
      </c>
      <c r="D1799" s="13"/>
      <c r="E1799" s="13"/>
      <c r="F1799" s="13"/>
      <c r="G1799" s="13"/>
      <c r="H1799" s="13"/>
      <c r="I1799" s="13"/>
    </row>
    <row r="1800" spans="1:9">
      <c r="A1800" s="13" t="s">
        <v>1293</v>
      </c>
      <c r="B1800" s="172">
        <v>4545124737.73563</v>
      </c>
      <c r="C1800" s="13" t="s">
        <v>28</v>
      </c>
      <c r="D1800" s="13"/>
      <c r="E1800" s="13"/>
      <c r="F1800" s="13"/>
      <c r="G1800" s="13"/>
      <c r="H1800" s="13"/>
      <c r="I1800" s="13"/>
    </row>
    <row r="1801" spans="1:9">
      <c r="A1801" s="13" t="s">
        <v>1294</v>
      </c>
      <c r="B1801" s="15">
        <v>0</v>
      </c>
      <c r="C1801" s="15">
        <v>0</v>
      </c>
      <c r="D1801" s="13"/>
      <c r="E1801" s="13"/>
      <c r="F1801" s="13"/>
      <c r="G1801" s="13"/>
      <c r="H1801" s="13"/>
      <c r="I1801" s="13"/>
    </row>
    <row r="1802" spans="1:9">
      <c r="A1802" s="13" t="s">
        <v>80</v>
      </c>
      <c r="B1802" s="15">
        <v>0</v>
      </c>
      <c r="C1802" s="15">
        <v>0</v>
      </c>
      <c r="D1802" s="13"/>
      <c r="E1802" s="13"/>
      <c r="F1802" s="13"/>
      <c r="G1802" s="13"/>
      <c r="H1802" s="13"/>
      <c r="I1802" s="13"/>
    </row>
    <row r="1803" spans="1:9">
      <c r="A1803" s="13" t="s">
        <v>1295</v>
      </c>
      <c r="B1803" s="155">
        <v>3524420001.9766579</v>
      </c>
      <c r="C1803" s="13" t="s">
        <v>28</v>
      </c>
      <c r="D1803" s="13"/>
      <c r="E1803" s="13"/>
      <c r="F1803" s="13"/>
      <c r="G1803" s="13"/>
      <c r="H1803" s="13"/>
      <c r="I1803" s="13"/>
    </row>
    <row r="1804" spans="1:9">
      <c r="A1804" s="13" t="s">
        <v>1296</v>
      </c>
      <c r="B1804" s="15">
        <v>0</v>
      </c>
      <c r="C1804" s="15">
        <v>0</v>
      </c>
      <c r="D1804" s="13"/>
      <c r="E1804" s="13"/>
      <c r="F1804" s="13"/>
      <c r="G1804" s="13"/>
      <c r="H1804" s="13"/>
      <c r="I1804" s="13"/>
    </row>
    <row r="1805" spans="1:9">
      <c r="A1805" s="13" t="s">
        <v>1297</v>
      </c>
      <c r="B1805" s="18">
        <v>618768810.63</v>
      </c>
      <c r="C1805" s="15">
        <v>1</v>
      </c>
      <c r="D1805" s="13"/>
      <c r="E1805" s="13"/>
      <c r="F1805" s="13"/>
      <c r="G1805" s="13"/>
      <c r="H1805" s="13"/>
      <c r="I1805" s="13"/>
    </row>
    <row r="1806" spans="1:9">
      <c r="A1806" s="13" t="s">
        <v>1298</v>
      </c>
      <c r="B1806" s="172">
        <v>22777648635.22966</v>
      </c>
      <c r="C1806" s="13" t="s">
        <v>28</v>
      </c>
      <c r="D1806" s="13"/>
      <c r="E1806" s="13"/>
      <c r="F1806" s="13"/>
      <c r="G1806" s="13"/>
      <c r="H1806" s="13"/>
      <c r="I1806" s="13"/>
    </row>
    <row r="1807" spans="1:9">
      <c r="A1807" s="13" t="s">
        <v>1299</v>
      </c>
      <c r="B1807" s="15">
        <v>0</v>
      </c>
      <c r="C1807" s="15">
        <v>0</v>
      </c>
      <c r="D1807" s="13"/>
      <c r="E1807" s="13"/>
      <c r="F1807" s="13"/>
      <c r="G1807" s="13"/>
      <c r="H1807" s="13"/>
      <c r="I1807" s="13"/>
    </row>
    <row r="1808" spans="1:9">
      <c r="A1808" s="13" t="s">
        <v>1300</v>
      </c>
      <c r="B1808" s="15">
        <v>0</v>
      </c>
      <c r="C1808" s="15">
        <v>0</v>
      </c>
      <c r="D1808" s="13"/>
      <c r="E1808" s="13"/>
      <c r="F1808" s="13"/>
      <c r="G1808" s="13"/>
      <c r="H1808" s="13"/>
      <c r="I1808" s="13"/>
    </row>
    <row r="1809" spans="1:9">
      <c r="A1809" s="13" t="s">
        <v>1301</v>
      </c>
      <c r="B1809" s="15">
        <v>0</v>
      </c>
      <c r="C1809" s="13" t="s">
        <v>28</v>
      </c>
      <c r="D1809" s="13"/>
      <c r="E1809" s="13"/>
      <c r="F1809" s="13"/>
      <c r="G1809" s="13"/>
      <c r="H1809" s="13"/>
      <c r="I1809" s="13"/>
    </row>
    <row r="1810" spans="1:9">
      <c r="A1810" s="13" t="s">
        <v>28</v>
      </c>
      <c r="B1810" s="13"/>
      <c r="C1810" s="13"/>
      <c r="D1810" s="13"/>
      <c r="E1810" s="13"/>
      <c r="F1810" s="13"/>
      <c r="G1810" s="13"/>
      <c r="H1810" s="13"/>
      <c r="I1810" s="13"/>
    </row>
    <row r="1811" spans="1:9">
      <c r="A1811" s="13" t="s">
        <v>12</v>
      </c>
      <c r="B1811" s="13"/>
      <c r="C1811" s="13"/>
      <c r="D1811" s="13"/>
      <c r="E1811" s="13"/>
      <c r="F1811" s="13"/>
      <c r="G1811" s="13"/>
      <c r="H1811" s="13"/>
      <c r="I1811" s="13"/>
    </row>
    <row r="1812" spans="1:9">
      <c r="A1812" s="13"/>
      <c r="B1812" s="13"/>
      <c r="C1812" s="13"/>
      <c r="D1812" s="13"/>
      <c r="E1812" s="13"/>
      <c r="F1812" s="13"/>
      <c r="G1812" s="13"/>
      <c r="H1812" s="13"/>
      <c r="I1812" s="13"/>
    </row>
    <row r="1813" spans="1:9">
      <c r="A1813" s="13" t="s">
        <v>1302</v>
      </c>
      <c r="B1813" s="13" t="s">
        <v>28</v>
      </c>
      <c r="C1813" s="15">
        <v>6</v>
      </c>
      <c r="D1813" s="13"/>
      <c r="E1813" s="13"/>
      <c r="F1813" s="13"/>
      <c r="G1813" s="13"/>
      <c r="H1813" s="13"/>
      <c r="I1813" s="13"/>
    </row>
    <row r="1814" spans="1:9">
      <c r="A1814" s="13" t="s">
        <v>28</v>
      </c>
      <c r="B1814" s="13"/>
      <c r="C1814" s="13"/>
      <c r="D1814" s="13"/>
      <c r="E1814" s="13"/>
      <c r="F1814" s="13"/>
      <c r="G1814" s="13"/>
      <c r="H1814" s="13"/>
      <c r="I1814" s="13"/>
    </row>
    <row r="1815" spans="1:9">
      <c r="A1815" s="13" t="s">
        <v>2486</v>
      </c>
      <c r="B1815" s="13"/>
      <c r="C1815" s="13"/>
      <c r="D1815" s="13"/>
      <c r="E1815" s="13"/>
      <c r="F1815" s="13"/>
      <c r="G1815" s="13"/>
      <c r="H1815" s="13"/>
      <c r="I1815" s="13"/>
    </row>
    <row r="1816" spans="1:9">
      <c r="A1816" s="13" t="s">
        <v>12</v>
      </c>
      <c r="B1816" s="13"/>
      <c r="C1816" s="13"/>
      <c r="D1816" s="13"/>
      <c r="E1816" s="13"/>
      <c r="F1816" s="13"/>
      <c r="G1816" s="13"/>
      <c r="H1816" s="13"/>
      <c r="I1816" s="13"/>
    </row>
    <row r="1817" spans="1:9">
      <c r="A1817" s="13" t="s">
        <v>1303</v>
      </c>
      <c r="B1817" s="13"/>
      <c r="C1817" s="13"/>
      <c r="D1817" s="13"/>
      <c r="E1817" s="13"/>
      <c r="F1817" s="13"/>
      <c r="G1817" s="13"/>
      <c r="H1817" s="13"/>
      <c r="I1817" s="13"/>
    </row>
    <row r="1818" spans="1:9">
      <c r="A1818" s="13" t="s">
        <v>1304</v>
      </c>
      <c r="B1818" s="13"/>
      <c r="C1818" s="13"/>
      <c r="D1818" s="13"/>
      <c r="E1818" s="13"/>
      <c r="F1818" s="13"/>
      <c r="G1818" s="13"/>
      <c r="H1818" s="13"/>
      <c r="I1818" s="13"/>
    </row>
    <row r="1819" spans="1:9">
      <c r="A1819" s="13" t="s">
        <v>1305</v>
      </c>
      <c r="B1819" s="13"/>
      <c r="C1819" s="13"/>
      <c r="D1819" s="13"/>
      <c r="E1819" s="13"/>
      <c r="F1819" s="13"/>
      <c r="G1819" s="13"/>
      <c r="H1819" s="13"/>
      <c r="I1819" s="13"/>
    </row>
    <row r="1820" spans="1:9">
      <c r="A1820" s="13" t="s">
        <v>1306</v>
      </c>
      <c r="B1820" s="13"/>
      <c r="C1820" s="13"/>
      <c r="D1820" s="13"/>
      <c r="E1820" s="13"/>
      <c r="F1820" s="13"/>
      <c r="G1820" s="13"/>
      <c r="H1820" s="13"/>
      <c r="I1820" s="13"/>
    </row>
    <row r="1821" spans="1:9">
      <c r="A1821" s="13" t="s">
        <v>1307</v>
      </c>
      <c r="B1821" s="13"/>
      <c r="C1821" s="13"/>
      <c r="D1821" s="13"/>
      <c r="E1821" s="13"/>
      <c r="F1821" s="13"/>
      <c r="G1821" s="13"/>
      <c r="H1821" s="13"/>
      <c r="I1821" s="13"/>
    </row>
    <row r="1822" spans="1:9">
      <c r="A1822" s="13" t="s">
        <v>1308</v>
      </c>
      <c r="B1822" s="13"/>
      <c r="C1822" s="13"/>
      <c r="D1822" s="13"/>
      <c r="E1822" s="13"/>
      <c r="F1822" s="13"/>
      <c r="G1822" s="13"/>
      <c r="H1822" s="13"/>
      <c r="I1822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39257540131.702499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2617169342.1135001</v>
      </c>
      <c r="E2" s="67"/>
      <c r="F2" s="67"/>
      <c r="G2" s="83">
        <f>VLOOKUP(E1,'GESTION MOMENTUM'!A8:B32,2,0)</f>
        <v>52343386842.269997</v>
      </c>
      <c r="H2" s="22">
        <v>-2E-3</v>
      </c>
      <c r="I2" s="23">
        <f>+G2*(1+H2)</f>
        <v>52238700068.585457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10468677368.454</v>
      </c>
      <c r="E3" s="67"/>
      <c r="F3" s="67"/>
      <c r="G3" s="67" t="s">
        <v>37</v>
      </c>
      <c r="H3" s="25">
        <v>0.05</v>
      </c>
      <c r="I3" s="26">
        <f>+I2*H3</f>
        <v>2611935003.4292731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10468677368.454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13085846710.567499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418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413</v>
      </c>
      <c r="C9" s="121" t="s">
        <v>414</v>
      </c>
      <c r="D9" s="121" t="s">
        <v>32</v>
      </c>
      <c r="E9" s="121" t="s">
        <v>415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988</v>
      </c>
      <c r="C10" s="115">
        <v>200000000</v>
      </c>
      <c r="D10" s="132">
        <f>+VLOOKUP(B10,'GESTION MOMENTUM'!A:D,4,0)</f>
        <v>1.1968000000000001</v>
      </c>
      <c r="E10" s="133">
        <v>0.85</v>
      </c>
      <c r="F10" s="134">
        <f>C10*D10*E10</f>
        <v>203456000.00000003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312</v>
      </c>
      <c r="C11" s="115">
        <v>300000000</v>
      </c>
      <c r="D11" s="132">
        <f>+VLOOKUP(B11,'GESTION MOMENTUM'!A:D,4,0)</f>
        <v>1.0327999999999999</v>
      </c>
      <c r="E11" s="133">
        <v>0.6</v>
      </c>
      <c r="F11" s="134">
        <f>C11*D11*E11</f>
        <v>185904000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420</v>
      </c>
      <c r="F13" s="138">
        <f>SUM(F10:F12)</f>
        <v>389360000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406</v>
      </c>
      <c r="C15" s="112" t="s">
        <v>417</v>
      </c>
      <c r="D15" s="112" t="s">
        <v>407</v>
      </c>
      <c r="E15" s="112" t="s">
        <v>408</v>
      </c>
      <c r="F15" s="112" t="s">
        <v>416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352</v>
      </c>
      <c r="B16" s="113" t="s">
        <v>409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430</v>
      </c>
      <c r="B17" s="113" t="s">
        <v>410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328</v>
      </c>
      <c r="B18" s="113" t="s">
        <v>411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822</v>
      </c>
      <c r="B19" s="113" t="s">
        <v>1124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1057</v>
      </c>
      <c r="B20" s="113" t="s">
        <v>1125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412</v>
      </c>
      <c r="C23" s="117">
        <f>F13-F22</f>
        <v>177235000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73" zoomScale="90" zoomScaleNormal="90" workbookViewId="0">
      <selection activeCell="I99" sqref="I99:I100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501</v>
      </c>
      <c r="U2" s="105" t="s">
        <v>377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496</v>
      </c>
      <c r="U3" s="67" t="str" cm="1">
        <f t="array" ref="U3:U25">+_xlfn.UNIQUE(H2:H91)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425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413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281</v>
      </c>
      <c r="U6" s="67" t="str">
        <v>F G SANITARIOS S R L</v>
      </c>
      <c r="V6" s="101">
        <f t="shared" si="1"/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277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272</v>
      </c>
      <c r="J8" s="73"/>
      <c r="K8" s="102" t="s">
        <v>29</v>
      </c>
      <c r="L8" s="103">
        <f>+VLOOKUP(K8,'GESTION MOMENTUM'!A:B,2,0)</f>
        <v>52343386842.269997</v>
      </c>
      <c r="M8" s="74"/>
      <c r="U8" s="67" t="str">
        <v>FRIGORIFICO GENERAL PICO S A</v>
      </c>
      <c r="V8" s="101">
        <f t="shared" si="1"/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3"/>
        <v>267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3"/>
        <v>265</v>
      </c>
      <c r="L10" s="89" t="s">
        <v>123</v>
      </c>
      <c r="M10" s="89" t="s">
        <v>375</v>
      </c>
      <c r="U10" s="67" t="str">
        <v>PORT PLA S.R.L.</v>
      </c>
      <c r="V10" s="101">
        <f t="shared" si="1"/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3"/>
        <v>260</v>
      </c>
      <c r="K11" s="90" t="s">
        <v>133</v>
      </c>
      <c r="L11" s="86">
        <f>+VLOOKUP(K11,'GESTION MOMENTUM'!A:B,2,0)</f>
        <v>-288413807.55000001</v>
      </c>
      <c r="M11" s="104">
        <f>+L11/L8</f>
        <v>-5.5100333575872264E-3</v>
      </c>
      <c r="U11" s="67" t="str">
        <v>CONEXION SALUD SRL</v>
      </c>
      <c r="V11" s="101">
        <f t="shared" si="1"/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3"/>
        <v>258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258</v>
      </c>
      <c r="K13" s="67" t="s">
        <v>376</v>
      </c>
      <c r="L13" s="91">
        <f>+L11+L12</f>
        <v>-100801307.55000001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256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253</v>
      </c>
      <c r="K15" s="67" t="s">
        <v>124</v>
      </c>
      <c r="L15" s="86">
        <f>+SUMIF(G:G,K15,E:E)+E2</f>
        <v>1575561550</v>
      </c>
      <c r="M15" s="104">
        <f>+SUMIF(G:G,K15,E:E)/$L$8</f>
        <v>3.0035414115205918E-2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253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252</v>
      </c>
      <c r="U17" s="67" t="str">
        <v>TRADICION VALORES S.A.</v>
      </c>
      <c r="V17" s="101">
        <f t="shared" si="1"/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3"/>
        <v>252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250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249</v>
      </c>
      <c r="K20" s="108" t="s">
        <v>378</v>
      </c>
      <c r="L20" s="108" t="s">
        <v>123</v>
      </c>
      <c r="M20" s="108" t="s">
        <v>375</v>
      </c>
      <c r="O20" s="111" t="s">
        <v>379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249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8.1194593173858302E-3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245</v>
      </c>
      <c r="K22" s="67" t="str">
        <v>ASOCIACION ATLETICA ARGENTINOS JUNIORS</v>
      </c>
      <c r="L22" s="86">
        <v>300000000</v>
      </c>
      <c r="M22" s="104">
        <f t="shared" ref="M22:M52" si="4">+L22/$L$8</f>
        <v>5.7313830475664686E-3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245</v>
      </c>
      <c r="K23" s="67" t="str">
        <v>NIRO CONSTRUYE S. A.</v>
      </c>
      <c r="L23" s="86">
        <v>258370000</v>
      </c>
      <c r="M23" s="104">
        <f t="shared" si="4"/>
        <v>4.9360581266658281E-3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 t="shared" si="1"/>
        <v>27250000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244</v>
      </c>
      <c r="K24" s="67" t="str">
        <v>PORT PLA S.R.L.</v>
      </c>
      <c r="L24" s="86">
        <v>150000000</v>
      </c>
      <c r="M24" s="104">
        <f t="shared" si="4"/>
        <v>2.8656915237832343E-3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 t="shared" si="1"/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244</v>
      </c>
      <c r="K25" s="67" t="str">
        <v>Maradona Wines</v>
      </c>
      <c r="L25" s="86">
        <v>119500000</v>
      </c>
      <c r="M25" s="104">
        <f t="shared" si="4"/>
        <v>2.2830009139473101E-3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 t="shared" si="1"/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243</v>
      </c>
      <c r="K26" s="67" t="str">
        <v>FRIGORIFICO GENERAL PICO S A</v>
      </c>
      <c r="L26" s="86">
        <v>70000000</v>
      </c>
      <c r="M26" s="104">
        <f t="shared" si="4"/>
        <v>1.3373227110988427E-3</v>
      </c>
      <c r="O26" s="109">
        <f>+SUMIF('Reporte de Cheques'!A:A,'Cheques pendientes'!K26,'Reporte de Cheques'!I:I)</f>
        <v>0</v>
      </c>
      <c r="P26" s="110"/>
      <c r="V26" s="101">
        <f t="shared" si="1"/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3"/>
        <v>243</v>
      </c>
      <c r="K27" s="67" t="str">
        <v>MERCOL RAUL ALBERTO Y MERCOL MAURICIO EDUARDO.</v>
      </c>
      <c r="L27" s="86">
        <v>62500000</v>
      </c>
      <c r="M27" s="104">
        <f t="shared" si="4"/>
        <v>1.194038134909681E-3</v>
      </c>
      <c r="O27" s="109">
        <f>+SUMIF('Reporte de Cheques'!A:A,'Cheques pendientes'!K27,'Reporte de Cheques'!I:I)</f>
        <v>0</v>
      </c>
      <c r="P27" s="110"/>
      <c r="V27" s="101">
        <f t="shared" si="1"/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3"/>
        <v>238</v>
      </c>
      <c r="K28" s="67" t="str">
        <v>FINEX CABA S. A.</v>
      </c>
      <c r="L28" s="86">
        <v>55300000</v>
      </c>
      <c r="M28" s="104">
        <f t="shared" si="4"/>
        <v>1.0564849417680857E-3</v>
      </c>
      <c r="O28" s="109">
        <f>+SUMIF('Reporte de Cheques'!A:A,'Cheques pendientes'!K28,'Reporte de Cheques'!I:I)</f>
        <v>0</v>
      </c>
      <c r="P28" s="110"/>
      <c r="V28" s="101">
        <f t="shared" si="1"/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3"/>
        <v>237</v>
      </c>
      <c r="K29" s="67" t="str">
        <v>AKAI ENERGY LED SRL</v>
      </c>
      <c r="L29" s="86">
        <v>44963000</v>
      </c>
      <c r="M29" s="104">
        <f t="shared" si="4"/>
        <v>8.5900058655910376E-4</v>
      </c>
      <c r="O29" s="109">
        <f>+SUMIF('Reporte de Cheques'!A:A,'Cheques pendientes'!K29,'Reporte de Cheques'!I:I)</f>
        <v>0</v>
      </c>
      <c r="P29" s="110"/>
      <c r="V29" s="101">
        <f t="shared" si="1"/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3"/>
        <v>236</v>
      </c>
      <c r="K30" s="67" t="str">
        <v>INTANSIA S.R.L</v>
      </c>
      <c r="L30" s="86">
        <v>40000000</v>
      </c>
      <c r="M30" s="104">
        <f t="shared" si="4"/>
        <v>7.6418440634219579E-4</v>
      </c>
      <c r="O30" s="109">
        <f>+SUMIF('Reporte de Cheques'!A:A,'Cheques pendientes'!K30,'Reporte de Cheques'!I:I)</f>
        <v>40000000</v>
      </c>
      <c r="P30" s="110"/>
      <c r="V30" s="101">
        <f t="shared" si="1"/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3"/>
        <v>236</v>
      </c>
      <c r="K31" s="67" t="str">
        <v>F G SANITARIOS S R L</v>
      </c>
      <c r="L31" s="86">
        <v>35000000</v>
      </c>
      <c r="M31" s="104">
        <f t="shared" si="4"/>
        <v>6.6866135554942137E-4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232</v>
      </c>
      <c r="K32" s="67" t="str">
        <v>I-LED ARGENTINA S.A.</v>
      </c>
      <c r="L32" s="86">
        <v>27250000</v>
      </c>
      <c r="M32" s="104">
        <f t="shared" si="4"/>
        <v>5.2060062682062088E-4</v>
      </c>
      <c r="O32" s="109">
        <f>+SUMIF('Reporte de Cheques'!A:A,'Cheques pendientes'!K32,'Reporte de Cheques'!I:I)</f>
        <v>65850000</v>
      </c>
      <c r="P32" s="110"/>
      <c r="V32" s="101">
        <f t="shared" si="1"/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3"/>
        <v>230</v>
      </c>
      <c r="K33" s="67" t="str">
        <v>CONEXION SALUD SRL</v>
      </c>
      <c r="L33" s="86">
        <v>27000000</v>
      </c>
      <c r="M33" s="104">
        <f t="shared" si="4"/>
        <v>5.1582447428098212E-4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3"/>
        <v>216</v>
      </c>
      <c r="K34" s="67" t="str">
        <v>TRADICION VALORES S.A.</v>
      </c>
      <c r="L34" s="86">
        <v>25000000</v>
      </c>
      <c r="M34" s="104">
        <f t="shared" si="4"/>
        <v>4.7761525396387237E-4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214</v>
      </c>
      <c r="K35" s="67" t="str">
        <v>BUNYAR S.R.L.</v>
      </c>
      <c r="L35" s="86">
        <v>24800000</v>
      </c>
      <c r="M35" s="104">
        <f t="shared" si="4"/>
        <v>4.7379433193216137E-4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292</v>
      </c>
      <c r="I36" s="65">
        <f t="shared" ca="1" si="3"/>
        <v>211</v>
      </c>
      <c r="K36" s="67" t="str">
        <v>MASTER DESIGN HOME SRL</v>
      </c>
      <c r="L36" s="86">
        <v>24000000</v>
      </c>
      <c r="M36" s="104">
        <f t="shared" si="4"/>
        <v>4.5851064380531746E-4</v>
      </c>
      <c r="O36" s="109">
        <f>+SUMIF('Reporte de Cheques'!A:A,'Cheques pendientes'!K36,'Reporte de Cheques'!I:I)</f>
        <v>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3"/>
        <v>200</v>
      </c>
      <c r="K37" s="67" t="str">
        <v>GROCAL S.A.</v>
      </c>
      <c r="L37" s="86">
        <v>15000000</v>
      </c>
      <c r="M37" s="104">
        <f t="shared" si="4"/>
        <v>2.8656915237832342E-4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3"/>
        <v>196</v>
      </c>
      <c r="K38" s="67" t="str">
        <v>Paccioli Group Sociedad Anonima</v>
      </c>
      <c r="L38" s="86">
        <v>13958000</v>
      </c>
      <c r="M38" s="104">
        <f t="shared" si="4"/>
        <v>2.666621485931092E-4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196</v>
      </c>
      <c r="K39" s="67" t="str">
        <v>RABU INVERSIONES SRL</v>
      </c>
      <c r="L39" s="86">
        <v>7194300</v>
      </c>
      <c r="M39" s="104">
        <f t="shared" si="4"/>
        <v>1.3744429686369147E-4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3"/>
        <v>195</v>
      </c>
      <c r="K40" s="67" t="str">
        <v>UKUMARI SOCIEDAD ANONIMA.</v>
      </c>
      <c r="L40" s="86">
        <v>6812500</v>
      </c>
      <c r="M40" s="104">
        <f t="shared" si="4"/>
        <v>1.3015015670515522E-4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3"/>
        <v>189</v>
      </c>
      <c r="K41" s="67" t="str">
        <v>INVLAC CONSTRUCCIONES S.R.L</v>
      </c>
      <c r="L41" s="86">
        <v>4000000</v>
      </c>
      <c r="M41" s="104">
        <f t="shared" si="4"/>
        <v>7.6418440634219581E-5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3"/>
        <v>188</v>
      </c>
      <c r="K42" s="67" t="str">
        <v>MIANI CLARA A Y MIANI ADA CLELIA</v>
      </c>
      <c r="L42" s="86">
        <v>3125000</v>
      </c>
      <c r="M42" s="104">
        <f t="shared" si="4"/>
        <v>5.9701906745484046E-5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3"/>
        <v>188</v>
      </c>
      <c r="K43" s="67" t="str">
        <v>LOPEZ LUCIA SOLEDAD</v>
      </c>
      <c r="L43" s="86">
        <v>995000</v>
      </c>
      <c r="M43" s="104">
        <f t="shared" si="4"/>
        <v>1.9009087107762122E-5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3"/>
        <v>186</v>
      </c>
      <c r="K44" s="67">
        <v>0</v>
      </c>
      <c r="L44" s="86">
        <v>0</v>
      </c>
      <c r="M44" s="104">
        <f t="shared" si="4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182</v>
      </c>
      <c r="K45" s="67">
        <v>0</v>
      </c>
      <c r="L45" s="86">
        <v>0</v>
      </c>
      <c r="M45" s="104">
        <f t="shared" si="4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182</v>
      </c>
      <c r="K46" s="67">
        <v>0</v>
      </c>
      <c r="L46" s="86">
        <v>0</v>
      </c>
      <c r="M46" s="104">
        <f t="shared" si="4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181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5">+TODAY()-C48</f>
        <v>180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5"/>
        <v>180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5"/>
        <v>180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5"/>
        <v>180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5"/>
        <v>179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179</v>
      </c>
      <c r="O53" s="110"/>
      <c r="P53" s="110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5"/>
        <v>179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5"/>
        <v>179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5"/>
        <v>176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5"/>
        <v>175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5"/>
        <v>175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5"/>
        <v>175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5"/>
        <v>175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5"/>
        <v>175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5"/>
        <v>174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174</v>
      </c>
    </row>
    <row r="64" spans="1:16">
      <c r="A64" s="27" t="s">
        <v>102</v>
      </c>
      <c r="B64" s="27" t="s">
        <v>301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174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5"/>
        <v>173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5"/>
        <v>172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5"/>
        <v>168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5"/>
        <v>168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5"/>
        <v>168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5"/>
        <v>168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5"/>
        <v>167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5"/>
        <v>167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5"/>
        <v>167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5"/>
        <v>166</v>
      </c>
    </row>
    <row r="75" spans="1:9">
      <c r="A75" s="27" t="s">
        <v>102</v>
      </c>
      <c r="B75" s="27" t="s">
        <v>303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159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5"/>
        <v>159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5"/>
        <v>148</v>
      </c>
    </row>
    <row r="78" spans="1:9">
      <c r="A78" s="27" t="s">
        <v>102</v>
      </c>
      <c r="B78" s="27" t="s">
        <v>305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146</v>
      </c>
    </row>
    <row r="79" spans="1:9">
      <c r="A79" s="27" t="s">
        <v>102</v>
      </c>
      <c r="B79" s="27" t="s">
        <v>302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139</v>
      </c>
    </row>
    <row r="80" spans="1:9">
      <c r="A80" s="27" t="s">
        <v>102</v>
      </c>
      <c r="B80" s="27" t="s">
        <v>304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130</v>
      </c>
    </row>
    <row r="81" spans="1:9">
      <c r="A81" s="27" t="s">
        <v>102</v>
      </c>
      <c r="B81" s="27" t="s">
        <v>325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125</v>
      </c>
    </row>
    <row r="82" spans="1:9">
      <c r="A82" s="27" t="s">
        <v>102</v>
      </c>
      <c r="B82" s="27" t="s">
        <v>356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5"/>
        <v>125</v>
      </c>
    </row>
    <row r="83" spans="1:9">
      <c r="A83" s="27" t="s">
        <v>102</v>
      </c>
      <c r="B83" s="27" t="s">
        <v>523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111</v>
      </c>
    </row>
    <row r="84" spans="1:9">
      <c r="A84" s="27" t="s">
        <v>102</v>
      </c>
      <c r="B84" s="27" t="s">
        <v>324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97</v>
      </c>
    </row>
    <row r="85" spans="1:9">
      <c r="A85" s="27" t="s">
        <v>102</v>
      </c>
      <c r="B85" s="27" t="s">
        <v>526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300</v>
      </c>
      <c r="I85" s="36">
        <f t="shared" ca="1" si="5"/>
        <v>63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5"/>
        <v>63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49</v>
      </c>
    </row>
    <row r="88" spans="1:9">
      <c r="A88" s="27" t="s">
        <v>102</v>
      </c>
      <c r="B88" s="27" t="s">
        <v>531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300</v>
      </c>
      <c r="I88" s="36">
        <f t="shared" ca="1" si="5"/>
        <v>48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6">+TODAY()-C89</f>
        <v>34</v>
      </c>
    </row>
    <row r="90" spans="1:9">
      <c r="A90" s="27" t="s">
        <v>102</v>
      </c>
      <c r="B90" s="27" t="s">
        <v>419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405</v>
      </c>
      <c r="I90" s="36">
        <f t="shared" ca="1" si="6"/>
        <v>33</v>
      </c>
    </row>
    <row r="91" spans="1:9">
      <c r="A91" s="27" t="s">
        <v>102</v>
      </c>
      <c r="B91" s="27" t="s">
        <v>524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300</v>
      </c>
      <c r="I91" s="36">
        <f t="shared" ca="1" si="6"/>
        <v>33</v>
      </c>
    </row>
    <row r="92" spans="1:9">
      <c r="A92" s="27" t="s">
        <v>102</v>
      </c>
      <c r="B92" s="27" t="s">
        <v>996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997</v>
      </c>
      <c r="I92" s="36">
        <f t="shared" ca="1" si="6"/>
        <v>21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6"/>
        <v>21</v>
      </c>
    </row>
    <row r="94" spans="1:9">
      <c r="A94" s="27" t="s">
        <v>102</v>
      </c>
      <c r="B94" s="27" t="s">
        <v>529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300</v>
      </c>
      <c r="I94" s="36">
        <f t="shared" ca="1" si="6"/>
        <v>20</v>
      </c>
    </row>
    <row r="95" spans="1:9">
      <c r="A95" s="27" t="s">
        <v>102</v>
      </c>
      <c r="B95" s="27" t="s">
        <v>993</v>
      </c>
      <c r="C95" s="47">
        <v>46206</v>
      </c>
      <c r="D95" s="27" t="s">
        <v>123</v>
      </c>
      <c r="E95" s="70">
        <v>2000000</v>
      </c>
      <c r="F95" s="27"/>
      <c r="G95" s="27" t="s">
        <v>124</v>
      </c>
      <c r="H95" s="27" t="s">
        <v>997</v>
      </c>
      <c r="I95" s="36">
        <f t="shared" ref="I95:I100" ca="1" si="7">+TODAY()-C95</f>
        <v>18</v>
      </c>
    </row>
    <row r="96" spans="1:9">
      <c r="A96" s="27" t="s">
        <v>102</v>
      </c>
      <c r="B96" s="27" t="s">
        <v>994</v>
      </c>
      <c r="C96" s="47">
        <v>46209</v>
      </c>
      <c r="D96" s="27" t="s">
        <v>123</v>
      </c>
      <c r="E96" s="70">
        <v>2000000</v>
      </c>
      <c r="F96" s="27"/>
      <c r="G96" s="27" t="s">
        <v>124</v>
      </c>
      <c r="H96" s="27" t="s">
        <v>997</v>
      </c>
      <c r="I96" s="36">
        <f t="shared" ca="1" si="7"/>
        <v>15</v>
      </c>
    </row>
    <row r="97" spans="1:9">
      <c r="A97" s="27" t="s">
        <v>102</v>
      </c>
      <c r="B97" s="27" t="s">
        <v>995</v>
      </c>
      <c r="C97" s="47">
        <v>46210</v>
      </c>
      <c r="D97" s="27" t="s">
        <v>123</v>
      </c>
      <c r="E97" s="70">
        <v>2000000</v>
      </c>
      <c r="F97" s="27"/>
      <c r="G97" s="27" t="s">
        <v>124</v>
      </c>
      <c r="H97" s="27" t="s">
        <v>997</v>
      </c>
      <c r="I97" s="36">
        <f t="shared" ca="1" si="7"/>
        <v>14</v>
      </c>
    </row>
    <row r="98" spans="1:9">
      <c r="A98" s="27" t="s">
        <v>102</v>
      </c>
      <c r="B98" s="27" t="s">
        <v>2258</v>
      </c>
      <c r="C98" s="47">
        <v>46216</v>
      </c>
      <c r="D98" s="27" t="s">
        <v>123</v>
      </c>
      <c r="E98" s="70">
        <v>2000000</v>
      </c>
      <c r="F98" s="27"/>
      <c r="G98" s="27" t="s">
        <v>124</v>
      </c>
      <c r="H98" s="27" t="s">
        <v>997</v>
      </c>
      <c r="I98" s="36">
        <f t="shared" ca="1" si="7"/>
        <v>8</v>
      </c>
    </row>
    <row r="99" spans="1:9">
      <c r="A99" s="27" t="s">
        <v>102</v>
      </c>
      <c r="B99" s="27" t="s">
        <v>525</v>
      </c>
      <c r="C99" s="47">
        <v>46219</v>
      </c>
      <c r="D99" s="27" t="s">
        <v>123</v>
      </c>
      <c r="E99" s="70">
        <v>5450000</v>
      </c>
      <c r="F99" s="27"/>
      <c r="G99" s="27" t="s">
        <v>124</v>
      </c>
      <c r="H99" s="27" t="s">
        <v>300</v>
      </c>
      <c r="I99" s="36">
        <f t="shared" ca="1" si="7"/>
        <v>5</v>
      </c>
    </row>
    <row r="100" spans="1:9">
      <c r="A100" s="27" t="s">
        <v>102</v>
      </c>
      <c r="B100" s="27" t="s">
        <v>1576</v>
      </c>
      <c r="C100" s="47">
        <v>46223</v>
      </c>
      <c r="D100" s="27" t="s">
        <v>123</v>
      </c>
      <c r="E100" s="70">
        <v>10000000</v>
      </c>
      <c r="F100" s="27"/>
      <c r="G100" s="27" t="s">
        <v>124</v>
      </c>
      <c r="H100" s="27" t="s">
        <v>1585</v>
      </c>
      <c r="I100" s="36">
        <f t="shared" ca="1" si="7"/>
        <v>1</v>
      </c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SUM(E2:E102-E63,E53,E46,E39,E35,E3,E2)</f>
        <v>1382580300</v>
      </c>
    </row>
    <row r="107" spans="1:9">
      <c r="H107" s="4"/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24:B25 B47:B48">
    <cfRule type="expression" dxfId="8" priority="1064" stopIfTrue="1">
      <formula>AND(COUNTIF($B$5:$B$1005, B24)+COUNTIF($B$1007:$B$1016, B24)+COUNTIF($B$1018:$B$1027, B24)+COUNTIF($B$1043:$B$65568, B24)&gt;1,NOT(ISBLANK(B24)))</formula>
    </cfRule>
  </conditionalFormatting>
  <conditionalFormatting sqref="B35 B68">
    <cfRule type="expression" dxfId="7" priority="1066" stopIfTrue="1">
      <formula>AND(COUNTIF($B$5:$B$966, B35)+COUNTIF($B$968:$B$977, B35)+COUNTIF($B$979:$B$988, B35)+COUNTIF($B$1004:$B$65531, B35)&gt;1,NOT(ISBLANK(B35)))</formula>
    </cfRule>
  </conditionalFormatting>
  <conditionalFormatting sqref="B47:B54 B80:B85">
    <cfRule type="expression" dxfId="6" priority="1068" stopIfTrue="1">
      <formula>AND(COUNTIF($B$5:$B$975, B47)+COUNTIF($B$977:$B$986, B47)+COUNTIF($B$988:$B$997, B47)+COUNTIF($B$1013:$B$65542, B47)&gt;1,NOT(ISBLANK(B47)))</formula>
    </cfRule>
  </conditionalFormatting>
  <conditionalFormatting sqref="B49:B79 B81:B83 B86:B102 B26:B34 B36:B46">
    <cfRule type="expression" dxfId="5" priority="1070" stopIfTrue="1">
      <formula>AND(COUNTIF($B$5:$B$994, B26)+COUNTIF($B$996:$B$1005, B26)+COUNTIF($B$1007:$B$1016, B26)+COUNTIF($B$1032:$B$65557, B26)&gt;1,NOT(ISBLANK(B26)))</formula>
    </cfRule>
  </conditionalFormatting>
  <conditionalFormatting sqref="B74">
    <cfRule type="expression" dxfId="4" priority="1076" stopIfTrue="1">
      <formula>AND(COUNTIF($B$5:$B$948, B74)+COUNTIF($B$950:$B$959, B74)+COUNTIF($B$961:$B$970, B74)+COUNTIF($B$986:$B$65515, B74)&gt;1,NOT(ISBLANK(B74)))</formula>
    </cfRule>
  </conditionalFormatting>
  <conditionalFormatting sqref="B80">
    <cfRule type="expression" dxfId="3" priority="1077" stopIfTrue="1">
      <formula>AND(COUNTIF($B$5:$B$942, B80)+COUNTIF($B$944:$B$953, B80)+COUNTIF($B$955:$B$964, B80)+COUNTIF($B$980:$B$65509, B80)&gt;1,NOT(ISBLANK(B80)))</formula>
    </cfRule>
  </conditionalFormatting>
  <conditionalFormatting sqref="B84:B87">
    <cfRule type="expression" dxfId="2" priority="1062" stopIfTrue="1">
      <formula>AND(COUNTIF($B$5:$B$943, B84)+COUNTIF($B$945:$B$954, B84)+COUNTIF($B$956:$B$965, B84)+COUNTIF($B$981:$B$65510,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29"/>
  <sheetViews>
    <sheetView workbookViewId="0">
      <selection activeCell="B8" sqref="B8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323</v>
      </c>
      <c r="B6" s="160">
        <v>5.4003316451396784E-2</v>
      </c>
    </row>
    <row r="7" spans="1:2">
      <c r="A7" s="161" t="s">
        <v>1108</v>
      </c>
      <c r="B7" s="162">
        <v>3.8406950890023259E-2</v>
      </c>
    </row>
    <row r="8" spans="1:2">
      <c r="A8" s="161" t="s">
        <v>1388</v>
      </c>
      <c r="B8" s="162">
        <v>3.7584828831763215E-2</v>
      </c>
    </row>
    <row r="9" spans="1:2">
      <c r="A9" s="161" t="s">
        <v>481</v>
      </c>
      <c r="B9" s="162">
        <v>3.6434782972981014E-2</v>
      </c>
    </row>
    <row r="10" spans="1:2">
      <c r="A10" s="161" t="s">
        <v>2189</v>
      </c>
      <c r="B10" s="162">
        <v>3.4067484225917273E-2</v>
      </c>
    </row>
    <row r="11" spans="1:2">
      <c r="A11" s="161" t="s">
        <v>1310</v>
      </c>
      <c r="B11" s="162">
        <v>3.2149790265511805E-2</v>
      </c>
    </row>
    <row r="12" spans="1:2">
      <c r="A12" s="161" t="s">
        <v>193</v>
      </c>
      <c r="B12" s="162">
        <v>3.156461270211898E-2</v>
      </c>
    </row>
    <row r="13" spans="1:2">
      <c r="A13" s="161" t="s">
        <v>1937</v>
      </c>
      <c r="B13" s="162">
        <v>2.809726889664594E-2</v>
      </c>
    </row>
    <row r="14" spans="1:2">
      <c r="A14" s="161" t="s">
        <v>2408</v>
      </c>
      <c r="B14" s="162">
        <v>2.7601912517140212E-2</v>
      </c>
    </row>
    <row r="15" spans="1:2">
      <c r="A15" s="161" t="s">
        <v>737</v>
      </c>
      <c r="B15" s="162">
        <v>2.3756630284007652E-2</v>
      </c>
    </row>
    <row r="16" spans="1:2">
      <c r="A16" s="161" t="s">
        <v>344</v>
      </c>
      <c r="B16" s="162">
        <v>2.3059598888860201E-2</v>
      </c>
    </row>
    <row r="17" spans="1:11">
      <c r="A17" s="161" t="s">
        <v>473</v>
      </c>
      <c r="B17" s="162">
        <v>2.2012581314250046E-2</v>
      </c>
    </row>
    <row r="18" spans="1:11">
      <c r="A18" s="161" t="s">
        <v>149</v>
      </c>
      <c r="B18" s="162">
        <v>2.147270604751569E-2</v>
      </c>
    </row>
    <row r="19" spans="1:11">
      <c r="A19" s="161" t="s">
        <v>1345</v>
      </c>
      <c r="B19" s="162">
        <v>1.8155738183703876E-2</v>
      </c>
    </row>
    <row r="20" spans="1:11">
      <c r="A20" s="161" t="s">
        <v>472</v>
      </c>
      <c r="B20" s="162">
        <v>1.7298938745892296E-2</v>
      </c>
    </row>
    <row r="21" spans="1:11">
      <c r="A21" s="161" t="s">
        <v>186</v>
      </c>
      <c r="B21" s="162">
        <v>1.6243222332787719E-2</v>
      </c>
    </row>
    <row r="22" spans="1:11">
      <c r="A22" s="161" t="s">
        <v>1516</v>
      </c>
      <c r="B22" s="162">
        <v>1.5793303002966188E-2</v>
      </c>
    </row>
    <row r="23" spans="1:11">
      <c r="A23" s="161" t="s">
        <v>2112</v>
      </c>
      <c r="B23" s="162">
        <v>1.5650478826553224E-2</v>
      </c>
    </row>
    <row r="24" spans="1:11">
      <c r="A24" s="161" t="s">
        <v>739</v>
      </c>
      <c r="B24" s="162">
        <v>1.5224890019583985E-2</v>
      </c>
    </row>
    <row r="25" spans="1:11">
      <c r="A25" s="161" t="s">
        <v>698</v>
      </c>
      <c r="B25" s="162">
        <v>1.5178406153164093E-2</v>
      </c>
    </row>
    <row r="26" spans="1:11">
      <c r="A26" s="161" t="s">
        <v>141</v>
      </c>
      <c r="B26" s="162">
        <v>1.4984554738794165E-2</v>
      </c>
      <c r="I26" s="11"/>
    </row>
    <row r="27" spans="1:11">
      <c r="A27" s="161" t="s">
        <v>208</v>
      </c>
      <c r="B27" s="162">
        <v>1.4851379304429542E-2</v>
      </c>
    </row>
    <row r="28" spans="1:11">
      <c r="A28" s="161" t="s">
        <v>456</v>
      </c>
      <c r="B28" s="162">
        <v>1.4238107938068022E-2</v>
      </c>
      <c r="K28" s="19"/>
    </row>
    <row r="29" spans="1:11">
      <c r="A29" s="161" t="s">
        <v>322</v>
      </c>
      <c r="B29" s="162">
        <v>1.3371617035915037E-2</v>
      </c>
    </row>
    <row r="30" spans="1:11">
      <c r="A30" s="161" t="s">
        <v>1862</v>
      </c>
      <c r="B30" s="162">
        <v>1.2433427251444966E-2</v>
      </c>
    </row>
    <row r="31" spans="1:11">
      <c r="A31" s="161" t="s">
        <v>1526</v>
      </c>
      <c r="B31" s="162">
        <v>1.1568463382923916E-2</v>
      </c>
    </row>
    <row r="32" spans="1:11">
      <c r="A32" s="161" t="s">
        <v>1863</v>
      </c>
      <c r="B32" s="162">
        <v>1.0410989128105605E-2</v>
      </c>
    </row>
    <row r="33" spans="1:2">
      <c r="A33" s="161" t="s">
        <v>209</v>
      </c>
      <c r="B33" s="162">
        <v>1.0099314638879291E-2</v>
      </c>
    </row>
    <row r="34" spans="1:2">
      <c r="A34" s="161" t="s">
        <v>486</v>
      </c>
      <c r="B34" s="162">
        <v>9.9595462504990847E-3</v>
      </c>
    </row>
    <row r="35" spans="1:2">
      <c r="A35" s="161" t="s">
        <v>403</v>
      </c>
      <c r="B35" s="162">
        <v>9.3652035518937971E-3</v>
      </c>
    </row>
    <row r="36" spans="1:2">
      <c r="A36" s="161" t="s">
        <v>581</v>
      </c>
      <c r="B36" s="162">
        <v>9.2885359472195395E-3</v>
      </c>
    </row>
    <row r="37" spans="1:2">
      <c r="A37" s="161" t="s">
        <v>511</v>
      </c>
      <c r="B37" s="162">
        <v>9.1888893502439749E-3</v>
      </c>
    </row>
    <row r="38" spans="1:2">
      <c r="A38" s="161" t="s">
        <v>834</v>
      </c>
      <c r="B38" s="162">
        <v>9.1496246582640686E-3</v>
      </c>
    </row>
    <row r="39" spans="1:2">
      <c r="A39" s="161" t="s">
        <v>461</v>
      </c>
      <c r="B39" s="162">
        <v>8.7864149831624761E-3</v>
      </c>
    </row>
    <row r="40" spans="1:2">
      <c r="A40" s="161" t="s">
        <v>661</v>
      </c>
      <c r="B40" s="162">
        <v>8.3900131780134876E-3</v>
      </c>
    </row>
    <row r="41" spans="1:2">
      <c r="A41" s="161" t="s">
        <v>522</v>
      </c>
      <c r="B41" s="162">
        <v>8.204375583930194E-3</v>
      </c>
    </row>
    <row r="42" spans="1:2">
      <c r="A42" s="161" t="s">
        <v>365</v>
      </c>
      <c r="B42" s="162">
        <v>7.6380781568950069E-3</v>
      </c>
    </row>
    <row r="43" spans="1:2">
      <c r="A43" s="161" t="s">
        <v>129</v>
      </c>
      <c r="B43" s="162">
        <v>7.5652916991553352E-3</v>
      </c>
    </row>
    <row r="44" spans="1:2">
      <c r="A44" s="161" t="s">
        <v>310</v>
      </c>
      <c r="B44" s="162">
        <v>7.5290133460425273E-3</v>
      </c>
    </row>
    <row r="45" spans="1:2">
      <c r="A45" s="161" t="s">
        <v>380</v>
      </c>
      <c r="B45" s="162">
        <v>7.2815815597097175E-3</v>
      </c>
    </row>
    <row r="46" spans="1:2">
      <c r="A46" s="161" t="s">
        <v>475</v>
      </c>
      <c r="B46" s="162">
        <v>6.7588343674300127E-3</v>
      </c>
    </row>
    <row r="47" spans="1:2">
      <c r="A47" s="161" t="s">
        <v>257</v>
      </c>
      <c r="B47" s="162">
        <v>6.4972973896458841E-3</v>
      </c>
    </row>
    <row r="48" spans="1:2">
      <c r="A48" s="161" t="s">
        <v>254</v>
      </c>
      <c r="B48" s="162">
        <v>6.4971082057713623E-3</v>
      </c>
    </row>
    <row r="49" spans="1:2">
      <c r="A49" s="161" t="s">
        <v>478</v>
      </c>
      <c r="B49" s="162">
        <v>6.3149990238274617E-3</v>
      </c>
    </row>
    <row r="50" spans="1:2">
      <c r="A50" s="161" t="s">
        <v>1938</v>
      </c>
      <c r="B50" s="162">
        <v>5.8429912127411672E-3</v>
      </c>
    </row>
    <row r="51" spans="1:2">
      <c r="A51" s="161" t="s">
        <v>1263</v>
      </c>
      <c r="B51" s="162">
        <v>5.7075298026112269E-3</v>
      </c>
    </row>
    <row r="52" spans="1:2">
      <c r="A52" s="161" t="s">
        <v>138</v>
      </c>
      <c r="B52" s="162">
        <v>5.610146835382317E-3</v>
      </c>
    </row>
    <row r="53" spans="1:2">
      <c r="A53" s="161" t="s">
        <v>1016</v>
      </c>
      <c r="B53" s="162">
        <v>5.5878412468309017E-3</v>
      </c>
    </row>
    <row r="54" spans="1:2">
      <c r="A54" s="161" t="s">
        <v>147</v>
      </c>
      <c r="B54" s="162">
        <v>5.1658577867319299E-3</v>
      </c>
    </row>
    <row r="55" spans="1:2">
      <c r="A55" s="161" t="s">
        <v>653</v>
      </c>
      <c r="B55" s="162">
        <v>5.153604919448506E-3</v>
      </c>
    </row>
    <row r="56" spans="1:2">
      <c r="A56" s="161" t="s">
        <v>1044</v>
      </c>
      <c r="B56" s="162">
        <v>4.7440269938007328E-3</v>
      </c>
    </row>
    <row r="57" spans="1:2">
      <c r="A57" s="161" t="s">
        <v>163</v>
      </c>
      <c r="B57" s="162">
        <v>4.5211808312861212E-3</v>
      </c>
    </row>
    <row r="58" spans="1:2">
      <c r="A58" s="161" t="s">
        <v>510</v>
      </c>
      <c r="B58" s="162">
        <v>3.5162339075555152E-3</v>
      </c>
    </row>
    <row r="59" spans="1:2">
      <c r="A59" s="161" t="s">
        <v>1507</v>
      </c>
      <c r="B59" s="162">
        <v>2.6399261027447709E-3</v>
      </c>
    </row>
    <row r="60" spans="1:2">
      <c r="A60" s="161" t="s">
        <v>970</v>
      </c>
      <c r="B60" s="162">
        <v>2.5635955708190154E-3</v>
      </c>
    </row>
    <row r="61" spans="1:2">
      <c r="A61" s="161" t="s">
        <v>512</v>
      </c>
      <c r="B61" s="162">
        <v>2.4454750465503334E-3</v>
      </c>
    </row>
    <row r="62" spans="1:2">
      <c r="A62" s="161" t="s">
        <v>1555</v>
      </c>
      <c r="B62" s="162">
        <v>2.4206183238521493E-3</v>
      </c>
    </row>
    <row r="63" spans="1:2">
      <c r="A63" s="161" t="s">
        <v>197</v>
      </c>
      <c r="B63" s="162">
        <v>2.3963884967657945E-3</v>
      </c>
    </row>
    <row r="64" spans="1:2">
      <c r="A64" s="161" t="s">
        <v>360</v>
      </c>
      <c r="B64" s="162">
        <v>2.3913659322388763E-3</v>
      </c>
    </row>
    <row r="65" spans="1:2">
      <c r="A65" s="161" t="s">
        <v>432</v>
      </c>
      <c r="B65" s="162">
        <v>2.2986688363895013E-3</v>
      </c>
    </row>
    <row r="66" spans="1:2">
      <c r="A66" s="161" t="s">
        <v>1065</v>
      </c>
      <c r="B66" s="162">
        <v>2.0027199685073199E-3</v>
      </c>
    </row>
    <row r="67" spans="1:2">
      <c r="A67" s="161" t="s">
        <v>2407</v>
      </c>
      <c r="B67" s="162">
        <v>1.9527202877563093E-3</v>
      </c>
    </row>
    <row r="68" spans="1:2">
      <c r="A68" s="161" t="s">
        <v>338</v>
      </c>
      <c r="B68" s="162">
        <v>1.9187889124425862E-3</v>
      </c>
    </row>
    <row r="69" spans="1:2">
      <c r="A69" s="161" t="s">
        <v>1075</v>
      </c>
      <c r="B69" s="162">
        <v>1.8580382494181309E-3</v>
      </c>
    </row>
    <row r="70" spans="1:2">
      <c r="A70" s="161" t="s">
        <v>971</v>
      </c>
      <c r="B70" s="162">
        <v>1.8511988268614321E-3</v>
      </c>
    </row>
    <row r="71" spans="1:2">
      <c r="A71" s="161" t="s">
        <v>582</v>
      </c>
      <c r="B71" s="162">
        <v>1.8118554895479332E-3</v>
      </c>
    </row>
    <row r="72" spans="1:2">
      <c r="A72" s="161" t="s">
        <v>1045</v>
      </c>
      <c r="B72" s="162">
        <v>1.6888434546332657E-3</v>
      </c>
    </row>
    <row r="73" spans="1:2">
      <c r="A73" s="161" t="s">
        <v>1597</v>
      </c>
      <c r="B73" s="162">
        <v>1.6612919733367869E-3</v>
      </c>
    </row>
    <row r="74" spans="1:2">
      <c r="A74" s="161" t="s">
        <v>347</v>
      </c>
      <c r="B74" s="162">
        <v>1.6488484739785221E-3</v>
      </c>
    </row>
    <row r="75" spans="1:2">
      <c r="A75" s="161" t="s">
        <v>580</v>
      </c>
      <c r="B75" s="162">
        <v>1.6390184732599862E-3</v>
      </c>
    </row>
    <row r="76" spans="1:2">
      <c r="A76" s="161" t="s">
        <v>700</v>
      </c>
      <c r="B76" s="162">
        <v>1.6221526956964076E-3</v>
      </c>
    </row>
    <row r="77" spans="1:2">
      <c r="A77" s="161" t="s">
        <v>132</v>
      </c>
      <c r="B77" s="162">
        <v>1.5023060919648126E-3</v>
      </c>
    </row>
    <row r="78" spans="1:2">
      <c r="A78" s="161" t="s">
        <v>340</v>
      </c>
      <c r="B78" s="162">
        <v>1.4820401754063492E-3</v>
      </c>
    </row>
    <row r="79" spans="1:2">
      <c r="A79" s="161" t="s">
        <v>820</v>
      </c>
      <c r="B79" s="162">
        <v>1.4276576957334512E-3</v>
      </c>
    </row>
    <row r="80" spans="1:2">
      <c r="A80" s="161" t="s">
        <v>2410</v>
      </c>
      <c r="B80" s="162">
        <v>1.3168435877938022E-3</v>
      </c>
    </row>
    <row r="81" spans="1:2">
      <c r="A81" s="161" t="s">
        <v>583</v>
      </c>
      <c r="B81" s="162">
        <v>1.2982761760050843E-3</v>
      </c>
    </row>
    <row r="82" spans="1:2">
      <c r="A82" s="161" t="s">
        <v>300</v>
      </c>
      <c r="B82" s="162">
        <v>1.1978485728449605E-3</v>
      </c>
    </row>
    <row r="83" spans="1:2">
      <c r="A83" s="161" t="s">
        <v>1508</v>
      </c>
      <c r="B83" s="162">
        <v>1.1927971361908409E-3</v>
      </c>
    </row>
    <row r="84" spans="1:2">
      <c r="A84" s="161" t="s">
        <v>1553</v>
      </c>
      <c r="B84" s="162">
        <v>1.1415054750778255E-3</v>
      </c>
    </row>
    <row r="85" spans="1:2">
      <c r="A85" s="161" t="s">
        <v>1415</v>
      </c>
      <c r="B85" s="162">
        <v>1.1322749644584404E-3</v>
      </c>
    </row>
    <row r="86" spans="1:2">
      <c r="A86" s="161" t="s">
        <v>699</v>
      </c>
      <c r="B86" s="162">
        <v>1.113626374999625E-3</v>
      </c>
    </row>
    <row r="87" spans="1:2">
      <c r="A87" s="161" t="s">
        <v>2056</v>
      </c>
      <c r="B87" s="162">
        <v>1.0679711392634038E-3</v>
      </c>
    </row>
    <row r="88" spans="1:2">
      <c r="A88" s="161" t="s">
        <v>1904</v>
      </c>
      <c r="B88" s="162">
        <v>1.0183420587287256E-3</v>
      </c>
    </row>
    <row r="89" spans="1:2">
      <c r="A89" s="161" t="s">
        <v>1017</v>
      </c>
      <c r="B89" s="162">
        <v>9.9613470150911065E-4</v>
      </c>
    </row>
    <row r="90" spans="1:2">
      <c r="A90" s="161" t="s">
        <v>1744</v>
      </c>
      <c r="B90" s="162">
        <v>9.5802632306067181E-4</v>
      </c>
    </row>
    <row r="91" spans="1:2">
      <c r="A91" s="161" t="s">
        <v>655</v>
      </c>
      <c r="B91" s="162">
        <v>9.524991190338675E-4</v>
      </c>
    </row>
    <row r="92" spans="1:2">
      <c r="A92" s="161" t="s">
        <v>738</v>
      </c>
      <c r="B92" s="162">
        <v>9.5179884953761236E-4</v>
      </c>
    </row>
    <row r="93" spans="1:2">
      <c r="A93" s="161" t="s">
        <v>1461</v>
      </c>
      <c r="B93" s="162">
        <v>9.0988832856513579E-4</v>
      </c>
    </row>
    <row r="94" spans="1:2">
      <c r="A94" s="161" t="s">
        <v>2409</v>
      </c>
      <c r="B94" s="162">
        <v>8.5141341988895344E-4</v>
      </c>
    </row>
    <row r="95" spans="1:2">
      <c r="A95" s="161" t="s">
        <v>2488</v>
      </c>
      <c r="B95" s="162">
        <v>8.4969251903693418E-4</v>
      </c>
    </row>
    <row r="96" spans="1:2">
      <c r="A96" s="161" t="s">
        <v>2114</v>
      </c>
      <c r="B96" s="162">
        <v>8.4408712293446695E-4</v>
      </c>
    </row>
    <row r="97" spans="1:2">
      <c r="A97" s="161" t="s">
        <v>1046</v>
      </c>
      <c r="B97" s="162">
        <v>8.4376904443609854E-4</v>
      </c>
    </row>
    <row r="98" spans="1:2">
      <c r="A98" s="161" t="s">
        <v>242</v>
      </c>
      <c r="B98" s="162">
        <v>8.315435393152509E-4</v>
      </c>
    </row>
    <row r="99" spans="1:2">
      <c r="A99" s="161" t="s">
        <v>1944</v>
      </c>
      <c r="B99" s="162">
        <v>8.16647661563166E-4</v>
      </c>
    </row>
    <row r="100" spans="1:2">
      <c r="A100" s="161" t="s">
        <v>654</v>
      </c>
      <c r="B100" s="162">
        <v>7.5940042893485804E-4</v>
      </c>
    </row>
    <row r="101" spans="1:2">
      <c r="A101" s="161" t="s">
        <v>1864</v>
      </c>
      <c r="B101" s="162">
        <v>7.5338785989944701E-4</v>
      </c>
    </row>
    <row r="102" spans="1:2">
      <c r="A102" s="161" t="s">
        <v>1168</v>
      </c>
      <c r="B102" s="162">
        <v>7.3806758176867752E-4</v>
      </c>
    </row>
    <row r="103" spans="1:2">
      <c r="A103" s="161" t="s">
        <v>122</v>
      </c>
      <c r="B103" s="162">
        <v>7.3336055342926125E-4</v>
      </c>
    </row>
    <row r="104" spans="1:2">
      <c r="A104" s="161" t="s">
        <v>1585</v>
      </c>
      <c r="B104" s="162">
        <v>7.1980190855879694E-4</v>
      </c>
    </row>
    <row r="105" spans="1:2">
      <c r="A105" s="161" t="s">
        <v>1759</v>
      </c>
      <c r="B105" s="162">
        <v>7.0898791595259362E-4</v>
      </c>
    </row>
    <row r="106" spans="1:2">
      <c r="A106" s="161" t="s">
        <v>821</v>
      </c>
      <c r="B106" s="162">
        <v>6.9287971978953806E-4</v>
      </c>
    </row>
    <row r="107" spans="1:2">
      <c r="A107" s="161" t="s">
        <v>651</v>
      </c>
      <c r="B107" s="162">
        <v>6.6042159520871067E-4</v>
      </c>
    </row>
    <row r="108" spans="1:2">
      <c r="A108" s="161" t="s">
        <v>1657</v>
      </c>
      <c r="B108" s="162">
        <v>6.5969139860488847E-4</v>
      </c>
    </row>
    <row r="109" spans="1:2">
      <c r="A109" s="161" t="s">
        <v>1389</v>
      </c>
      <c r="B109" s="162">
        <v>6.5099450184977876E-4</v>
      </c>
    </row>
    <row r="110" spans="1:2">
      <c r="A110" s="161" t="s">
        <v>985</v>
      </c>
      <c r="B110" s="162">
        <v>6.4630146370089772E-4</v>
      </c>
    </row>
    <row r="111" spans="1:2">
      <c r="A111" s="161" t="s">
        <v>1554</v>
      </c>
      <c r="B111" s="162">
        <v>5.7052020001352661E-4</v>
      </c>
    </row>
    <row r="112" spans="1:2">
      <c r="A112" s="161" t="s">
        <v>491</v>
      </c>
      <c r="B112" s="162">
        <v>5.6254536231914302E-4</v>
      </c>
    </row>
    <row r="113" spans="1:2">
      <c r="A113" s="161" t="s">
        <v>1666</v>
      </c>
      <c r="B113" s="162">
        <v>5.559772306488579E-4</v>
      </c>
    </row>
    <row r="114" spans="1:2">
      <c r="A114" s="161" t="s">
        <v>215</v>
      </c>
      <c r="B114" s="162">
        <v>5.543776719121559E-4</v>
      </c>
    </row>
    <row r="115" spans="1:2">
      <c r="A115" s="161" t="s">
        <v>1524</v>
      </c>
      <c r="B115" s="162">
        <v>5.5141207549356088E-4</v>
      </c>
    </row>
    <row r="116" spans="1:2">
      <c r="A116" s="161" t="s">
        <v>2057</v>
      </c>
      <c r="B116" s="162">
        <v>5.3981608348673688E-4</v>
      </c>
    </row>
    <row r="117" spans="1:2">
      <c r="A117" s="161" t="s">
        <v>1939</v>
      </c>
      <c r="B117" s="162">
        <v>5.3780265556898884E-4</v>
      </c>
    </row>
    <row r="118" spans="1:2">
      <c r="A118" s="161" t="s">
        <v>395</v>
      </c>
      <c r="B118" s="162">
        <v>5.3739330611564352E-4</v>
      </c>
    </row>
    <row r="119" spans="1:2">
      <c r="A119" s="161" t="s">
        <v>1481</v>
      </c>
      <c r="B119" s="162">
        <v>5.1461462792352637E-4</v>
      </c>
    </row>
    <row r="120" spans="1:2">
      <c r="A120" s="161" t="s">
        <v>697</v>
      </c>
      <c r="B120" s="162">
        <v>4.9292098303494131E-4</v>
      </c>
    </row>
    <row r="121" spans="1:2">
      <c r="A121" s="161" t="s">
        <v>910</v>
      </c>
      <c r="B121" s="162">
        <v>4.6566300015338599E-4</v>
      </c>
    </row>
    <row r="122" spans="1:2">
      <c r="A122" s="161" t="s">
        <v>1941</v>
      </c>
      <c r="B122" s="162">
        <v>4.6078934840684463E-4</v>
      </c>
    </row>
    <row r="123" spans="1:2">
      <c r="A123" s="161" t="s">
        <v>2190</v>
      </c>
      <c r="B123" s="162">
        <v>4.452557599596663E-4</v>
      </c>
    </row>
    <row r="124" spans="1:2">
      <c r="A124" s="161" t="s">
        <v>1587</v>
      </c>
      <c r="B124" s="162">
        <v>4.1159063023261868E-4</v>
      </c>
    </row>
    <row r="125" spans="1:2">
      <c r="A125" s="161" t="s">
        <v>371</v>
      </c>
      <c r="B125" s="162">
        <v>4.094608021112148E-4</v>
      </c>
    </row>
    <row r="126" spans="1:2">
      <c r="A126" s="161" t="s">
        <v>659</v>
      </c>
      <c r="B126" s="162">
        <v>4.0188450300683381E-4</v>
      </c>
    </row>
    <row r="127" spans="1:2">
      <c r="A127" s="161" t="s">
        <v>1107</v>
      </c>
      <c r="B127" s="162">
        <v>3.8047630818387044E-4</v>
      </c>
    </row>
    <row r="128" spans="1:2">
      <c r="A128" s="161" t="s">
        <v>652</v>
      </c>
      <c r="B128" s="162">
        <v>3.7475241112411761E-4</v>
      </c>
    </row>
    <row r="129" spans="1:2">
      <c r="A129" s="161" t="s">
        <v>658</v>
      </c>
      <c r="B129" s="162">
        <v>3.7458559666963913E-4</v>
      </c>
    </row>
    <row r="130" spans="1:2">
      <c r="A130" s="161" t="s">
        <v>2196</v>
      </c>
      <c r="B130" s="162">
        <v>3.6927315883214816E-4</v>
      </c>
    </row>
    <row r="131" spans="1:2">
      <c r="A131" s="161" t="s">
        <v>950</v>
      </c>
      <c r="B131" s="162">
        <v>3.4488153151708545E-4</v>
      </c>
    </row>
    <row r="132" spans="1:2">
      <c r="A132" s="161" t="s">
        <v>2238</v>
      </c>
      <c r="B132" s="162">
        <v>3.4471118441289911E-4</v>
      </c>
    </row>
    <row r="133" spans="1:2">
      <c r="A133" s="161" t="s">
        <v>1268</v>
      </c>
      <c r="B133" s="162">
        <v>3.3747398227661722E-4</v>
      </c>
    </row>
    <row r="134" spans="1:2">
      <c r="A134" s="161" t="s">
        <v>1154</v>
      </c>
      <c r="B134" s="162">
        <v>2.887754402680725E-4</v>
      </c>
    </row>
    <row r="135" spans="1:2">
      <c r="A135" s="161" t="s">
        <v>1714</v>
      </c>
      <c r="B135" s="162">
        <v>2.8368674439284517E-4</v>
      </c>
    </row>
    <row r="136" spans="1:2">
      <c r="A136" s="161" t="s">
        <v>2113</v>
      </c>
      <c r="B136" s="162">
        <v>2.8085108626140089E-4</v>
      </c>
    </row>
    <row r="137" spans="1:2">
      <c r="A137" s="161" t="s">
        <v>1656</v>
      </c>
      <c r="B137" s="162">
        <v>2.7554455151859188E-4</v>
      </c>
    </row>
    <row r="138" spans="1:2">
      <c r="A138" s="161" t="s">
        <v>2331</v>
      </c>
      <c r="B138" s="162">
        <v>2.5303572119156272E-4</v>
      </c>
    </row>
    <row r="139" spans="1:2">
      <c r="A139" s="161" t="s">
        <v>1348</v>
      </c>
      <c r="B139" s="162">
        <v>2.4778868599867012E-4</v>
      </c>
    </row>
    <row r="140" spans="1:2">
      <c r="A140" s="161" t="s">
        <v>1433</v>
      </c>
      <c r="B140" s="162">
        <v>2.4375782833492552E-4</v>
      </c>
    </row>
    <row r="141" spans="1:2">
      <c r="A141" s="161" t="s">
        <v>1018</v>
      </c>
      <c r="B141" s="162">
        <v>2.4247805716478424E-4</v>
      </c>
    </row>
    <row r="142" spans="1:2">
      <c r="A142" s="161" t="s">
        <v>554</v>
      </c>
      <c r="B142" s="162">
        <v>2.3948532588392803E-4</v>
      </c>
    </row>
    <row r="143" spans="1:2">
      <c r="A143" s="161" t="s">
        <v>1467</v>
      </c>
      <c r="B143" s="162">
        <v>2.3937997823002581E-4</v>
      </c>
    </row>
    <row r="144" spans="1:2">
      <c r="A144" s="161" t="s">
        <v>2242</v>
      </c>
      <c r="B144" s="162">
        <v>2.3103243688027544E-4</v>
      </c>
    </row>
    <row r="145" spans="1:2">
      <c r="A145" s="161" t="s">
        <v>1594</v>
      </c>
      <c r="B145" s="162">
        <v>2.3054198303001428E-4</v>
      </c>
    </row>
    <row r="146" spans="1:2">
      <c r="A146" s="161" t="s">
        <v>535</v>
      </c>
      <c r="B146" s="162">
        <v>2.224005445626297E-4</v>
      </c>
    </row>
    <row r="147" spans="1:2">
      <c r="A147" s="161" t="s">
        <v>2116</v>
      </c>
      <c r="B147" s="162">
        <v>2.071764839020495E-4</v>
      </c>
    </row>
    <row r="148" spans="1:2">
      <c r="A148" s="161" t="s">
        <v>2118</v>
      </c>
      <c r="B148" s="162">
        <v>2.0177229729938326E-4</v>
      </c>
    </row>
    <row r="149" spans="1:2">
      <c r="A149" s="161" t="s">
        <v>1047</v>
      </c>
      <c r="B149" s="162">
        <v>2.0021848673125437E-4</v>
      </c>
    </row>
    <row r="150" spans="1:2">
      <c r="A150" s="161" t="s">
        <v>1590</v>
      </c>
      <c r="B150" s="162">
        <v>2.0006742850444309E-4</v>
      </c>
    </row>
    <row r="151" spans="1:2">
      <c r="A151" s="161" t="s">
        <v>555</v>
      </c>
      <c r="B151" s="162">
        <v>1.9688788494492764E-4</v>
      </c>
    </row>
    <row r="152" spans="1:2">
      <c r="A152" s="161" t="s">
        <v>1940</v>
      </c>
      <c r="B152" s="162">
        <v>1.8922558134755463E-4</v>
      </c>
    </row>
    <row r="153" spans="1:2">
      <c r="A153" s="161" t="s">
        <v>660</v>
      </c>
      <c r="B153" s="162">
        <v>1.886434132587483E-4</v>
      </c>
    </row>
    <row r="154" spans="1:2">
      <c r="A154" s="161" t="s">
        <v>1346</v>
      </c>
      <c r="B154" s="162">
        <v>1.8442297255427526E-4</v>
      </c>
    </row>
    <row r="155" spans="1:2">
      <c r="A155" s="161" t="s">
        <v>2195</v>
      </c>
      <c r="B155" s="162">
        <v>1.7715295496600013E-4</v>
      </c>
    </row>
    <row r="156" spans="1:2">
      <c r="A156" s="161" t="s">
        <v>1347</v>
      </c>
      <c r="B156" s="162">
        <v>1.6281096875989017E-4</v>
      </c>
    </row>
    <row r="157" spans="1:2">
      <c r="A157" s="161" t="s">
        <v>1269</v>
      </c>
      <c r="B157" s="162">
        <v>1.6048747367285537E-4</v>
      </c>
    </row>
    <row r="158" spans="1:2">
      <c r="A158" s="161" t="s">
        <v>1452</v>
      </c>
      <c r="B158" s="162">
        <v>1.5682011966024564E-4</v>
      </c>
    </row>
    <row r="159" spans="1:2">
      <c r="A159" s="161" t="s">
        <v>1429</v>
      </c>
      <c r="B159" s="162">
        <v>1.5385281340619988E-4</v>
      </c>
    </row>
    <row r="160" spans="1:2">
      <c r="A160" s="161" t="s">
        <v>2330</v>
      </c>
      <c r="B160" s="162">
        <v>1.5282005495522618E-4</v>
      </c>
    </row>
    <row r="161" spans="1:2">
      <c r="A161" s="161" t="s">
        <v>1552</v>
      </c>
      <c r="B161" s="162">
        <v>1.5201831476200484E-4</v>
      </c>
    </row>
    <row r="162" spans="1:2">
      <c r="A162" s="161" t="s">
        <v>1163</v>
      </c>
      <c r="B162" s="162">
        <v>1.5155589672723703E-4</v>
      </c>
    </row>
    <row r="163" spans="1:2">
      <c r="A163" s="161" t="s">
        <v>657</v>
      </c>
      <c r="B163" s="162">
        <v>1.5054435182145442E-4</v>
      </c>
    </row>
    <row r="164" spans="1:2">
      <c r="A164" s="161" t="s">
        <v>1279</v>
      </c>
      <c r="B164" s="162">
        <v>1.4828581743815209E-4</v>
      </c>
    </row>
    <row r="165" spans="1:2">
      <c r="A165" s="161" t="s">
        <v>404</v>
      </c>
      <c r="B165" s="162">
        <v>1.276957936480675E-4</v>
      </c>
    </row>
    <row r="166" spans="1:2">
      <c r="A166" s="161" t="s">
        <v>1048</v>
      </c>
      <c r="B166" s="162">
        <v>1.2468044032732482E-4</v>
      </c>
    </row>
    <row r="167" spans="1:2">
      <c r="A167" s="161" t="s">
        <v>1586</v>
      </c>
      <c r="B167" s="162">
        <v>1.225658058413314E-4</v>
      </c>
    </row>
    <row r="168" spans="1:2">
      <c r="A168" s="161" t="s">
        <v>2202</v>
      </c>
      <c r="B168" s="162">
        <v>1.2006538958791581E-4</v>
      </c>
    </row>
    <row r="169" spans="1:2">
      <c r="A169" s="161" t="s">
        <v>656</v>
      </c>
      <c r="B169" s="162">
        <v>1.1845799330617072E-4</v>
      </c>
    </row>
    <row r="170" spans="1:2">
      <c r="A170" s="161" t="s">
        <v>2199</v>
      </c>
      <c r="B170" s="162">
        <v>1.0567535919232815E-4</v>
      </c>
    </row>
    <row r="171" spans="1:2">
      <c r="A171" s="161" t="s">
        <v>1781</v>
      </c>
      <c r="B171" s="162">
        <v>1.0516498328465797E-4</v>
      </c>
    </row>
    <row r="172" spans="1:2">
      <c r="A172" s="161" t="s">
        <v>2248</v>
      </c>
      <c r="B172" s="162">
        <v>1.0283292770330763E-4</v>
      </c>
    </row>
    <row r="173" spans="1:2">
      <c r="A173" s="161" t="s">
        <v>1588</v>
      </c>
      <c r="B173" s="162">
        <v>9.9948474428179969E-5</v>
      </c>
    </row>
    <row r="174" spans="1:2">
      <c r="A174" s="161" t="s">
        <v>882</v>
      </c>
      <c r="B174" s="162">
        <v>9.7726054708196001E-5</v>
      </c>
    </row>
    <row r="175" spans="1:2">
      <c r="A175" s="161" t="s">
        <v>1825</v>
      </c>
      <c r="B175" s="162">
        <v>9.7320671405581383E-5</v>
      </c>
    </row>
    <row r="176" spans="1:2">
      <c r="A176" s="161" t="s">
        <v>1612</v>
      </c>
      <c r="B176" s="162">
        <v>9.0555887942489192E-5</v>
      </c>
    </row>
    <row r="177" spans="1:2">
      <c r="A177" s="161" t="s">
        <v>1270</v>
      </c>
      <c r="B177" s="162">
        <v>8.7799007496718094E-5</v>
      </c>
    </row>
    <row r="178" spans="1:2">
      <c r="A178" s="161" t="s">
        <v>2117</v>
      </c>
      <c r="B178" s="162">
        <v>8.2620819171595579E-5</v>
      </c>
    </row>
    <row r="179" spans="1:2">
      <c r="A179" s="161" t="s">
        <v>1431</v>
      </c>
      <c r="B179" s="162">
        <v>7.2661222171361916E-5</v>
      </c>
    </row>
    <row r="180" spans="1:2">
      <c r="A180" s="161" t="s">
        <v>1779</v>
      </c>
      <c r="B180" s="162">
        <v>6.947006577161138E-5</v>
      </c>
    </row>
    <row r="181" spans="1:2">
      <c r="A181" s="161" t="s">
        <v>2489</v>
      </c>
      <c r="B181" s="162">
        <v>6.5997392273041996E-5</v>
      </c>
    </row>
    <row r="182" spans="1:2">
      <c r="A182" s="161" t="s">
        <v>1159</v>
      </c>
      <c r="B182" s="162">
        <v>6.2410382879670264E-5</v>
      </c>
    </row>
    <row r="183" spans="1:2">
      <c r="A183" s="161" t="s">
        <v>2234</v>
      </c>
      <c r="B183" s="162">
        <v>6.0959999517548999E-5</v>
      </c>
    </row>
    <row r="184" spans="1:2">
      <c r="A184" s="161" t="s">
        <v>1438</v>
      </c>
      <c r="B184" s="162">
        <v>6.0321874886523112E-5</v>
      </c>
    </row>
    <row r="185" spans="1:2">
      <c r="A185" s="161" t="s">
        <v>2115</v>
      </c>
      <c r="B185" s="162">
        <v>5.9939286640574872E-5</v>
      </c>
    </row>
    <row r="186" spans="1:2">
      <c r="A186" s="161" t="s">
        <v>2193</v>
      </c>
      <c r="B186" s="162">
        <v>5.9026478306279925E-5</v>
      </c>
    </row>
    <row r="187" spans="1:2">
      <c r="A187" s="161" t="s">
        <v>2203</v>
      </c>
      <c r="B187" s="162">
        <v>5.7709492607835517E-5</v>
      </c>
    </row>
    <row r="188" spans="1:2">
      <c r="A188" s="161" t="s">
        <v>1266</v>
      </c>
      <c r="B188" s="162">
        <v>5.5434422845912322E-5</v>
      </c>
    </row>
    <row r="189" spans="1:2">
      <c r="A189" s="161" t="s">
        <v>2188</v>
      </c>
      <c r="B189" s="162">
        <v>5.3931960665766123E-5</v>
      </c>
    </row>
    <row r="190" spans="1:2">
      <c r="A190" s="161" t="s">
        <v>1840</v>
      </c>
      <c r="B190" s="162">
        <v>5.2280535066185478E-5</v>
      </c>
    </row>
    <row r="191" spans="1:2">
      <c r="A191" s="161" t="s">
        <v>1272</v>
      </c>
      <c r="B191" s="162">
        <v>4.9996958709852696E-5</v>
      </c>
    </row>
    <row r="192" spans="1:2">
      <c r="A192" s="161" t="s">
        <v>1264</v>
      </c>
      <c r="B192" s="162">
        <v>4.6436762122008704E-5</v>
      </c>
    </row>
    <row r="193" spans="1:2">
      <c r="A193" s="161" t="s">
        <v>1274</v>
      </c>
      <c r="B193" s="162">
        <v>4.5675343661989043E-5</v>
      </c>
    </row>
    <row r="194" spans="1:2">
      <c r="A194" s="161" t="s">
        <v>2204</v>
      </c>
      <c r="B194" s="162">
        <v>4.5483041457321962E-5</v>
      </c>
    </row>
    <row r="195" spans="1:2">
      <c r="A195" s="161" t="s">
        <v>1280</v>
      </c>
      <c r="B195" s="162">
        <v>4.5347860876827274E-5</v>
      </c>
    </row>
    <row r="196" spans="1:2">
      <c r="A196" s="161" t="s">
        <v>1275</v>
      </c>
      <c r="B196" s="162">
        <v>4.2758717322003432E-5</v>
      </c>
    </row>
    <row r="197" spans="1:2">
      <c r="A197" s="161" t="s">
        <v>1273</v>
      </c>
      <c r="B197" s="162">
        <v>4.2348487439589338E-5</v>
      </c>
    </row>
    <row r="198" spans="1:2">
      <c r="A198" s="161" t="s">
        <v>2194</v>
      </c>
      <c r="B198" s="162">
        <v>4.0224788370480246E-5</v>
      </c>
    </row>
    <row r="199" spans="1:2">
      <c r="A199" s="161" t="s">
        <v>1444</v>
      </c>
      <c r="B199" s="162">
        <v>3.871169007010289E-5</v>
      </c>
    </row>
    <row r="200" spans="1:2">
      <c r="A200" s="161" t="s">
        <v>1446</v>
      </c>
      <c r="B200" s="162">
        <v>3.7952330739942227E-5</v>
      </c>
    </row>
    <row r="201" spans="1:2">
      <c r="A201" s="161" t="s">
        <v>1442</v>
      </c>
      <c r="B201" s="162">
        <v>3.7864972994863101E-5</v>
      </c>
    </row>
    <row r="202" spans="1:2">
      <c r="A202" s="161" t="s">
        <v>537</v>
      </c>
      <c r="B202" s="162">
        <v>3.4647067280221374E-5</v>
      </c>
    </row>
    <row r="203" spans="1:2">
      <c r="A203" s="161" t="s">
        <v>1281</v>
      </c>
      <c r="B203" s="162">
        <v>3.1898634733588625E-5</v>
      </c>
    </row>
    <row r="204" spans="1:2">
      <c r="A204" s="161" t="s">
        <v>2205</v>
      </c>
      <c r="B204" s="162">
        <v>3.1193431381885404E-5</v>
      </c>
    </row>
    <row r="205" spans="1:2">
      <c r="A205" s="161" t="s">
        <v>1277</v>
      </c>
      <c r="B205" s="162">
        <v>3.0351537293247818E-5</v>
      </c>
    </row>
    <row r="206" spans="1:2">
      <c r="A206" s="161" t="s">
        <v>1265</v>
      </c>
      <c r="B206" s="162">
        <v>2.9941026977871089E-5</v>
      </c>
    </row>
    <row r="207" spans="1:2">
      <c r="A207" s="161" t="s">
        <v>2191</v>
      </c>
      <c r="B207" s="162">
        <v>2.851090422594886E-5</v>
      </c>
    </row>
    <row r="208" spans="1:2">
      <c r="A208" s="161" t="s">
        <v>1161</v>
      </c>
      <c r="B208" s="162">
        <v>2.7840257811100567E-5</v>
      </c>
    </row>
    <row r="209" spans="1:2">
      <c r="A209" s="161" t="s">
        <v>1309</v>
      </c>
      <c r="B209" s="162">
        <v>2.7588630224184702E-5</v>
      </c>
    </row>
    <row r="210" spans="1:2">
      <c r="A210" s="161" t="s">
        <v>2192</v>
      </c>
      <c r="B210" s="162">
        <v>2.63143556935627E-5</v>
      </c>
    </row>
    <row r="211" spans="1:2">
      <c r="A211" s="161" t="s">
        <v>1457</v>
      </c>
      <c r="B211" s="162">
        <v>2.5404856161323426E-5</v>
      </c>
    </row>
    <row r="212" spans="1:2">
      <c r="A212" s="161" t="s">
        <v>1842</v>
      </c>
      <c r="B212" s="162">
        <v>2.424327731875721E-5</v>
      </c>
    </row>
    <row r="213" spans="1:2">
      <c r="A213" s="161" t="s">
        <v>1276</v>
      </c>
      <c r="B213" s="162">
        <v>2.3199589846639955E-5</v>
      </c>
    </row>
    <row r="214" spans="1:2">
      <c r="A214" s="161" t="s">
        <v>1459</v>
      </c>
      <c r="B214" s="162">
        <v>2.2930314931797897E-5</v>
      </c>
    </row>
    <row r="215" spans="1:2">
      <c r="A215" s="161" t="s">
        <v>1488</v>
      </c>
      <c r="B215" s="162">
        <v>2.1009028040106541E-5</v>
      </c>
    </row>
    <row r="216" spans="1:2">
      <c r="A216" s="161" t="s">
        <v>1267</v>
      </c>
      <c r="B216" s="162">
        <v>2.0999160137396131E-5</v>
      </c>
    </row>
    <row r="217" spans="1:2">
      <c r="A217" s="161" t="s">
        <v>2200</v>
      </c>
      <c r="B217" s="162">
        <v>2.0795435948032834E-5</v>
      </c>
    </row>
    <row r="218" spans="1:2">
      <c r="A218" s="161" t="s">
        <v>1483</v>
      </c>
      <c r="B218" s="162">
        <v>2.0622780546806639E-5</v>
      </c>
    </row>
    <row r="219" spans="1:2">
      <c r="A219" s="161" t="s">
        <v>1278</v>
      </c>
      <c r="B219" s="162">
        <v>1.9848674701095903E-5</v>
      </c>
    </row>
    <row r="220" spans="1:2">
      <c r="A220" s="161" t="s">
        <v>1486</v>
      </c>
      <c r="B220" s="162">
        <v>1.9241825250729553E-5</v>
      </c>
    </row>
    <row r="221" spans="1:2">
      <c r="A221" s="161" t="s">
        <v>1271</v>
      </c>
      <c r="B221" s="162">
        <v>1.9181461192357204E-5</v>
      </c>
    </row>
    <row r="222" spans="1:2">
      <c r="A222" s="161" t="s">
        <v>1455</v>
      </c>
      <c r="B222" s="162">
        <v>1.891611732617191E-5</v>
      </c>
    </row>
    <row r="223" spans="1:2">
      <c r="A223" s="161" t="s">
        <v>2201</v>
      </c>
      <c r="B223" s="162">
        <v>1.8471400519236242E-5</v>
      </c>
    </row>
    <row r="224" spans="1:2">
      <c r="A224" s="161" t="s">
        <v>2197</v>
      </c>
      <c r="B224" s="162">
        <v>1.6558781346228488E-5</v>
      </c>
    </row>
    <row r="225" spans="1:2">
      <c r="A225" s="161" t="s">
        <v>2198</v>
      </c>
      <c r="B225" s="162">
        <v>1.5993255093152667E-5</v>
      </c>
    </row>
    <row r="226" spans="1:2">
      <c r="A226" s="163" t="s">
        <v>75</v>
      </c>
      <c r="B226" s="164">
        <v>0.88942477147053722</v>
      </c>
    </row>
    <row r="227" spans="1:2">
      <c r="B227"/>
    </row>
    <row r="228" spans="1:2">
      <c r="B228"/>
    </row>
    <row r="229" spans="1:2">
      <c r="B229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674"/>
  <sheetViews>
    <sheetView topLeftCell="L1641" zoomScaleNormal="100" workbookViewId="0">
      <selection activeCell="W4" sqref="W4:W167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52343386842.269997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698</v>
      </c>
      <c r="B4" s="13" t="s">
        <v>471</v>
      </c>
      <c r="C4" s="139">
        <v>46223</v>
      </c>
      <c r="D4" s="139" t="s">
        <v>441</v>
      </c>
      <c r="E4" s="28">
        <v>1</v>
      </c>
      <c r="F4" s="13"/>
      <c r="G4" s="18">
        <v>20000000</v>
      </c>
      <c r="H4" s="18">
        <v>20000000</v>
      </c>
      <c r="I4" s="18">
        <v>20000000</v>
      </c>
      <c r="J4" s="18">
        <v>20000000</v>
      </c>
      <c r="K4" s="15">
        <v>30169</v>
      </c>
      <c r="L4" s="13" t="s">
        <v>102</v>
      </c>
      <c r="M4" s="13" t="s">
        <v>103</v>
      </c>
      <c r="N4" s="139" t="s">
        <v>327</v>
      </c>
      <c r="O4" s="139" t="s">
        <v>327</v>
      </c>
      <c r="P4" s="28">
        <v>27</v>
      </c>
      <c r="Q4" s="13" t="s">
        <v>54</v>
      </c>
      <c r="R4" s="13" t="s">
        <v>28</v>
      </c>
      <c r="S4" s="13"/>
      <c r="T4" s="13"/>
      <c r="U4" s="13" t="s">
        <v>788</v>
      </c>
      <c r="V4" s="13" t="s">
        <v>788</v>
      </c>
      <c r="W4" s="59">
        <f>+J4/$W$2</f>
        <v>3.8209220317109789E-4</v>
      </c>
    </row>
    <row r="5" spans="1:29">
      <c r="A5" s="13" t="s">
        <v>581</v>
      </c>
      <c r="B5" s="13" t="s">
        <v>471</v>
      </c>
      <c r="C5" s="139">
        <v>46223</v>
      </c>
      <c r="D5" s="139" t="s">
        <v>441</v>
      </c>
      <c r="E5" s="28">
        <v>1</v>
      </c>
      <c r="F5" s="13"/>
      <c r="G5" s="18">
        <v>1500000</v>
      </c>
      <c r="H5" s="18">
        <v>1500000</v>
      </c>
      <c r="I5" s="18">
        <v>1500000</v>
      </c>
      <c r="J5" s="18">
        <v>1500000</v>
      </c>
      <c r="K5" s="15">
        <v>821</v>
      </c>
      <c r="L5" s="13" t="s">
        <v>102</v>
      </c>
      <c r="M5" s="13" t="s">
        <v>103</v>
      </c>
      <c r="N5" s="139" t="s">
        <v>172</v>
      </c>
      <c r="O5" s="139" t="s">
        <v>172</v>
      </c>
      <c r="P5" s="28">
        <v>25</v>
      </c>
      <c r="Q5" s="13" t="s">
        <v>54</v>
      </c>
      <c r="R5" s="13" t="s">
        <v>28</v>
      </c>
      <c r="S5" s="13"/>
      <c r="T5" s="13"/>
      <c r="U5" s="13" t="s">
        <v>1797</v>
      </c>
      <c r="V5" s="13" t="s">
        <v>1797</v>
      </c>
      <c r="W5" s="59">
        <f t="shared" ref="W5:W68" si="0">+J5/$W$2</f>
        <v>2.8656915237832341E-5</v>
      </c>
    </row>
    <row r="6" spans="1:29">
      <c r="A6" s="13" t="s">
        <v>581</v>
      </c>
      <c r="B6" s="13" t="s">
        <v>471</v>
      </c>
      <c r="C6" s="139">
        <v>46223</v>
      </c>
      <c r="D6" s="139" t="s">
        <v>441</v>
      </c>
      <c r="E6" s="28">
        <v>1</v>
      </c>
      <c r="F6" s="13"/>
      <c r="G6" s="18">
        <v>2360000</v>
      </c>
      <c r="H6" s="18">
        <v>2360000</v>
      </c>
      <c r="I6" s="18">
        <v>2360000</v>
      </c>
      <c r="J6" s="18">
        <v>2360000</v>
      </c>
      <c r="K6" s="15">
        <v>450</v>
      </c>
      <c r="L6" s="13" t="s">
        <v>102</v>
      </c>
      <c r="M6" s="13" t="s">
        <v>103</v>
      </c>
      <c r="N6" s="139" t="s">
        <v>172</v>
      </c>
      <c r="O6" s="139" t="s">
        <v>172</v>
      </c>
      <c r="P6" s="28">
        <v>25</v>
      </c>
      <c r="Q6" s="13" t="s">
        <v>54</v>
      </c>
      <c r="R6" s="13" t="s">
        <v>28</v>
      </c>
      <c r="S6" s="13"/>
      <c r="T6" s="13"/>
      <c r="U6" s="13" t="s">
        <v>1798</v>
      </c>
      <c r="V6" s="13" t="s">
        <v>1798</v>
      </c>
      <c r="W6" s="59">
        <f t="shared" si="0"/>
        <v>4.5086879974189553E-5</v>
      </c>
    </row>
    <row r="7" spans="1:29">
      <c r="A7" s="13" t="s">
        <v>1266</v>
      </c>
      <c r="B7" s="13" t="s">
        <v>471</v>
      </c>
      <c r="C7" s="139">
        <v>46223</v>
      </c>
      <c r="D7" s="139" t="s">
        <v>441</v>
      </c>
      <c r="E7" s="28">
        <v>1</v>
      </c>
      <c r="F7" s="13"/>
      <c r="G7" s="18">
        <v>2890000</v>
      </c>
      <c r="H7" s="18">
        <v>2890000</v>
      </c>
      <c r="I7" s="18">
        <v>2890000</v>
      </c>
      <c r="J7" s="18">
        <v>2890000</v>
      </c>
      <c r="K7" s="15">
        <v>1236</v>
      </c>
      <c r="L7" s="13" t="s">
        <v>102</v>
      </c>
      <c r="M7" s="13" t="s">
        <v>103</v>
      </c>
      <c r="N7" s="139" t="s">
        <v>319</v>
      </c>
      <c r="O7" s="139" t="s">
        <v>319</v>
      </c>
      <c r="P7" s="28">
        <v>33</v>
      </c>
      <c r="Q7" s="13" t="s">
        <v>54</v>
      </c>
      <c r="R7" s="13" t="s">
        <v>28</v>
      </c>
      <c r="S7" s="13"/>
      <c r="T7" s="13"/>
      <c r="U7" s="13" t="s">
        <v>1232</v>
      </c>
      <c r="V7" s="13" t="s">
        <v>1232</v>
      </c>
      <c r="W7" s="59">
        <f t="shared" si="0"/>
        <v>5.5212323358223646E-5</v>
      </c>
    </row>
    <row r="8" spans="1:29">
      <c r="A8" s="13" t="s">
        <v>1271</v>
      </c>
      <c r="B8" s="13" t="s">
        <v>471</v>
      </c>
      <c r="C8" s="139">
        <v>46223</v>
      </c>
      <c r="D8" s="139" t="s">
        <v>441</v>
      </c>
      <c r="E8" s="28">
        <v>1</v>
      </c>
      <c r="F8" s="13"/>
      <c r="G8" s="18">
        <v>1000000</v>
      </c>
      <c r="H8" s="18">
        <v>1000000</v>
      </c>
      <c r="I8" s="18">
        <v>1000000</v>
      </c>
      <c r="J8" s="18">
        <v>1000000</v>
      </c>
      <c r="K8" s="15">
        <v>677</v>
      </c>
      <c r="L8" s="13" t="s">
        <v>102</v>
      </c>
      <c r="M8" s="13" t="s">
        <v>103</v>
      </c>
      <c r="N8" s="139" t="s">
        <v>319</v>
      </c>
      <c r="O8" s="139" t="s">
        <v>319</v>
      </c>
      <c r="P8" s="28">
        <v>33</v>
      </c>
      <c r="Q8" s="13" t="s">
        <v>54</v>
      </c>
      <c r="R8" s="13" t="s">
        <v>28</v>
      </c>
      <c r="S8" s="13"/>
      <c r="T8" s="13"/>
      <c r="U8" s="13" t="s">
        <v>1250</v>
      </c>
      <c r="V8" s="13" t="s">
        <v>1250</v>
      </c>
      <c r="W8" s="59">
        <f t="shared" si="0"/>
        <v>1.9104610158554895E-5</v>
      </c>
    </row>
    <row r="9" spans="1:29">
      <c r="A9" s="13" t="s">
        <v>1273</v>
      </c>
      <c r="B9" s="13" t="s">
        <v>471</v>
      </c>
      <c r="C9" s="139">
        <v>46223</v>
      </c>
      <c r="D9" s="139" t="s">
        <v>441</v>
      </c>
      <c r="E9" s="28">
        <v>1</v>
      </c>
      <c r="F9" s="13"/>
      <c r="G9" s="18">
        <v>1039967.56</v>
      </c>
      <c r="H9" s="18">
        <v>1039967.56</v>
      </c>
      <c r="I9" s="18">
        <v>1039967.56</v>
      </c>
      <c r="J9" s="18">
        <v>1039967.56</v>
      </c>
      <c r="K9" s="15">
        <v>1117</v>
      </c>
      <c r="L9" s="13" t="s">
        <v>102</v>
      </c>
      <c r="M9" s="13" t="s">
        <v>103</v>
      </c>
      <c r="N9" s="139" t="s">
        <v>319</v>
      </c>
      <c r="O9" s="139" t="s">
        <v>319</v>
      </c>
      <c r="P9" s="28">
        <v>33</v>
      </c>
      <c r="Q9" s="13" t="s">
        <v>54</v>
      </c>
      <c r="R9" s="13" t="s">
        <v>28</v>
      </c>
      <c r="S9" s="13"/>
      <c r="T9" s="13"/>
      <c r="U9" s="13" t="s">
        <v>1256</v>
      </c>
      <c r="V9" s="13" t="s">
        <v>1256</v>
      </c>
      <c r="W9" s="59">
        <f t="shared" si="0"/>
        <v>1.9868174811343549E-5</v>
      </c>
    </row>
    <row r="10" spans="1:29">
      <c r="A10" s="13" t="s">
        <v>1863</v>
      </c>
      <c r="B10" s="13" t="s">
        <v>471</v>
      </c>
      <c r="C10" s="139">
        <v>46223</v>
      </c>
      <c r="D10" s="139" t="s">
        <v>441</v>
      </c>
      <c r="E10" s="28">
        <v>1</v>
      </c>
      <c r="F10" s="13"/>
      <c r="G10" s="18">
        <v>39141775.439999998</v>
      </c>
      <c r="H10" s="18">
        <v>39141775.439999998</v>
      </c>
      <c r="I10" s="18">
        <v>39141775.439999998</v>
      </c>
      <c r="J10" s="18">
        <v>39141775.439999998</v>
      </c>
      <c r="K10" s="15">
        <v>68114484</v>
      </c>
      <c r="L10" s="13" t="s">
        <v>102</v>
      </c>
      <c r="M10" s="13" t="s">
        <v>103</v>
      </c>
      <c r="N10" s="139" t="s">
        <v>431</v>
      </c>
      <c r="O10" s="139" t="s">
        <v>431</v>
      </c>
      <c r="P10" s="28">
        <v>22</v>
      </c>
      <c r="Q10" s="13" t="s">
        <v>54</v>
      </c>
      <c r="R10" s="13" t="s">
        <v>28</v>
      </c>
      <c r="S10" s="13"/>
      <c r="T10" s="13"/>
      <c r="U10" s="13" t="s">
        <v>1924</v>
      </c>
      <c r="V10" s="13" t="s">
        <v>1924</v>
      </c>
      <c r="W10" s="59">
        <f t="shared" si="0"/>
        <v>7.4778836069489842E-4</v>
      </c>
    </row>
    <row r="11" spans="1:29">
      <c r="A11" s="13" t="s">
        <v>698</v>
      </c>
      <c r="B11" s="13" t="s">
        <v>471</v>
      </c>
      <c r="C11" s="139">
        <v>46223</v>
      </c>
      <c r="D11" s="139" t="s">
        <v>441</v>
      </c>
      <c r="E11" s="28">
        <v>1</v>
      </c>
      <c r="F11" s="13"/>
      <c r="G11" s="18">
        <v>5000000</v>
      </c>
      <c r="H11" s="18">
        <v>5000000</v>
      </c>
      <c r="I11" s="18">
        <v>5000000</v>
      </c>
      <c r="J11" s="18">
        <v>5000000</v>
      </c>
      <c r="K11" s="15">
        <v>16779601</v>
      </c>
      <c r="L11" s="13" t="s">
        <v>102</v>
      </c>
      <c r="M11" s="13" t="s">
        <v>103</v>
      </c>
      <c r="N11" s="139" t="s">
        <v>341</v>
      </c>
      <c r="O11" s="139" t="s">
        <v>341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926</v>
      </c>
      <c r="V11" s="13" t="s">
        <v>926</v>
      </c>
      <c r="W11" s="59">
        <f t="shared" si="0"/>
        <v>9.5523050792774473E-5</v>
      </c>
    </row>
    <row r="12" spans="1:29">
      <c r="A12" s="13" t="s">
        <v>197</v>
      </c>
      <c r="B12" s="13" t="s">
        <v>471</v>
      </c>
      <c r="C12" s="139">
        <v>46223</v>
      </c>
      <c r="D12" s="139" t="s">
        <v>441</v>
      </c>
      <c r="E12" s="28">
        <v>1</v>
      </c>
      <c r="F12" s="13"/>
      <c r="G12" s="18">
        <v>2500000</v>
      </c>
      <c r="H12" s="18">
        <v>2500000</v>
      </c>
      <c r="I12" s="18">
        <v>2500000</v>
      </c>
      <c r="J12" s="18">
        <v>2500000</v>
      </c>
      <c r="K12" s="15">
        <v>6124</v>
      </c>
      <c r="L12" s="13" t="s">
        <v>102</v>
      </c>
      <c r="M12" s="13" t="s">
        <v>103</v>
      </c>
      <c r="N12" s="139" t="s">
        <v>319</v>
      </c>
      <c r="O12" s="139" t="s">
        <v>319</v>
      </c>
      <c r="P12" s="28">
        <v>20</v>
      </c>
      <c r="Q12" s="13" t="s">
        <v>54</v>
      </c>
      <c r="R12" s="13" t="s">
        <v>28</v>
      </c>
      <c r="S12" s="13"/>
      <c r="T12" s="13"/>
      <c r="U12" s="13" t="s">
        <v>1198</v>
      </c>
      <c r="V12" s="13" t="s">
        <v>1198</v>
      </c>
      <c r="W12" s="59">
        <f t="shared" si="0"/>
        <v>4.7761525396387237E-5</v>
      </c>
      <c r="AC12" s="56"/>
    </row>
    <row r="13" spans="1:29">
      <c r="A13" s="13" t="s">
        <v>472</v>
      </c>
      <c r="B13" s="13" t="s">
        <v>471</v>
      </c>
      <c r="C13" s="139">
        <v>46223</v>
      </c>
      <c r="D13" s="139" t="s">
        <v>441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522</v>
      </c>
      <c r="L13" s="13" t="s">
        <v>102</v>
      </c>
      <c r="M13" s="13" t="s">
        <v>103</v>
      </c>
      <c r="N13" s="139" t="s">
        <v>362</v>
      </c>
      <c r="O13" s="139" t="s">
        <v>362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1096</v>
      </c>
      <c r="V13" s="13" t="s">
        <v>1096</v>
      </c>
      <c r="W13" s="59">
        <f t="shared" si="0"/>
        <v>1.9104610158554895E-4</v>
      </c>
    </row>
    <row r="14" spans="1:29">
      <c r="A14" s="13" t="s">
        <v>481</v>
      </c>
      <c r="B14" s="13" t="s">
        <v>471</v>
      </c>
      <c r="C14" s="139">
        <v>46223</v>
      </c>
      <c r="D14" s="139" t="s">
        <v>441</v>
      </c>
      <c r="E14" s="28">
        <v>1</v>
      </c>
      <c r="F14" s="13"/>
      <c r="G14" s="18">
        <v>15000000</v>
      </c>
      <c r="H14" s="18">
        <v>15000000</v>
      </c>
      <c r="I14" s="18">
        <v>15000000</v>
      </c>
      <c r="J14" s="18">
        <v>15000000</v>
      </c>
      <c r="K14" s="15">
        <v>70219528</v>
      </c>
      <c r="L14" s="13" t="s">
        <v>102</v>
      </c>
      <c r="M14" s="13" t="s">
        <v>103</v>
      </c>
      <c r="N14" s="139" t="s">
        <v>357</v>
      </c>
      <c r="O14" s="139" t="s">
        <v>357</v>
      </c>
      <c r="P14" s="28">
        <v>31</v>
      </c>
      <c r="Q14" s="13" t="s">
        <v>54</v>
      </c>
      <c r="R14" s="13" t="s">
        <v>28</v>
      </c>
      <c r="S14" s="13"/>
      <c r="T14" s="13"/>
      <c r="U14" s="13" t="s">
        <v>1003</v>
      </c>
      <c r="V14" s="13" t="s">
        <v>1003</v>
      </c>
      <c r="W14" s="59">
        <f t="shared" si="0"/>
        <v>2.8656915237832342E-4</v>
      </c>
    </row>
    <row r="15" spans="1:29">
      <c r="A15" s="13" t="s">
        <v>347</v>
      </c>
      <c r="B15" s="13" t="s">
        <v>471</v>
      </c>
      <c r="C15" s="139">
        <v>46223</v>
      </c>
      <c r="D15" s="139" t="s">
        <v>441</v>
      </c>
      <c r="E15" s="28">
        <v>1</v>
      </c>
      <c r="F15" s="13"/>
      <c r="G15" s="18">
        <v>8000000</v>
      </c>
      <c r="H15" s="18">
        <v>8000000</v>
      </c>
      <c r="I15" s="18">
        <v>8000000</v>
      </c>
      <c r="J15" s="18">
        <v>8000000</v>
      </c>
      <c r="K15" s="15">
        <v>60524090</v>
      </c>
      <c r="L15" s="13" t="s">
        <v>102</v>
      </c>
      <c r="M15" s="13" t="s">
        <v>103</v>
      </c>
      <c r="N15" s="139" t="s">
        <v>299</v>
      </c>
      <c r="O15" s="139" t="s">
        <v>299</v>
      </c>
      <c r="P15" s="28">
        <v>38</v>
      </c>
      <c r="Q15" s="13" t="s">
        <v>54</v>
      </c>
      <c r="R15" s="13" t="s">
        <v>28</v>
      </c>
      <c r="S15" s="13"/>
      <c r="T15" s="13"/>
      <c r="U15" s="13" t="s">
        <v>480</v>
      </c>
      <c r="V15" s="13" t="s">
        <v>480</v>
      </c>
      <c r="W15" s="59">
        <f t="shared" si="0"/>
        <v>1.5283688126843916E-4</v>
      </c>
    </row>
    <row r="16" spans="1:29">
      <c r="A16" s="13" t="s">
        <v>347</v>
      </c>
      <c r="B16" s="13" t="s">
        <v>471</v>
      </c>
      <c r="C16" s="139">
        <v>46223</v>
      </c>
      <c r="D16" s="139" t="s">
        <v>441</v>
      </c>
      <c r="E16" s="28">
        <v>1</v>
      </c>
      <c r="F16" s="13"/>
      <c r="G16" s="18">
        <v>3500000</v>
      </c>
      <c r="H16" s="18">
        <v>3500000</v>
      </c>
      <c r="I16" s="18">
        <v>3500000</v>
      </c>
      <c r="J16" s="18">
        <v>3500000</v>
      </c>
      <c r="K16" s="15">
        <v>60524036</v>
      </c>
      <c r="L16" s="13" t="s">
        <v>102</v>
      </c>
      <c r="M16" s="13" t="s">
        <v>103</v>
      </c>
      <c r="N16" s="139" t="s">
        <v>240</v>
      </c>
      <c r="O16" s="139" t="s">
        <v>240</v>
      </c>
      <c r="P16" s="28">
        <v>40</v>
      </c>
      <c r="Q16" s="13" t="s">
        <v>54</v>
      </c>
      <c r="R16" s="13" t="s">
        <v>28</v>
      </c>
      <c r="S16" s="13"/>
      <c r="T16" s="13"/>
      <c r="U16" s="13" t="s">
        <v>440</v>
      </c>
      <c r="V16" s="13" t="s">
        <v>440</v>
      </c>
      <c r="W16" s="59">
        <f t="shared" si="0"/>
        <v>6.6866135554942129E-5</v>
      </c>
    </row>
    <row r="17" spans="1:29">
      <c r="A17" s="13" t="s">
        <v>242</v>
      </c>
      <c r="B17" s="13" t="s">
        <v>471</v>
      </c>
      <c r="C17" s="139">
        <v>46223</v>
      </c>
      <c r="D17" s="139" t="s">
        <v>441</v>
      </c>
      <c r="E17" s="28">
        <v>1</v>
      </c>
      <c r="F17" s="13"/>
      <c r="G17" s="18">
        <v>4100000</v>
      </c>
      <c r="H17" s="18">
        <v>4100000</v>
      </c>
      <c r="I17" s="18">
        <v>4100000</v>
      </c>
      <c r="J17" s="18">
        <v>4100000</v>
      </c>
      <c r="K17" s="15">
        <v>1021</v>
      </c>
      <c r="L17" s="13" t="s">
        <v>102</v>
      </c>
      <c r="M17" s="13" t="s">
        <v>103</v>
      </c>
      <c r="N17" s="139" t="s">
        <v>258</v>
      </c>
      <c r="O17" s="139" t="s">
        <v>258</v>
      </c>
      <c r="P17" s="28">
        <v>40</v>
      </c>
      <c r="Q17" s="13" t="s">
        <v>54</v>
      </c>
      <c r="R17" s="13" t="s">
        <v>28</v>
      </c>
      <c r="S17" s="13"/>
      <c r="T17" s="13"/>
      <c r="U17" s="13" t="s">
        <v>446</v>
      </c>
      <c r="V17" s="13" t="s">
        <v>446</v>
      </c>
      <c r="W17" s="59">
        <f t="shared" si="0"/>
        <v>7.8328901650075064E-5</v>
      </c>
    </row>
    <row r="18" spans="1:29">
      <c r="A18" s="13" t="s">
        <v>138</v>
      </c>
      <c r="B18" s="13" t="s">
        <v>471</v>
      </c>
      <c r="C18" s="139">
        <v>46223</v>
      </c>
      <c r="D18" s="139" t="s">
        <v>441</v>
      </c>
      <c r="E18" s="28">
        <v>1</v>
      </c>
      <c r="F18" s="13"/>
      <c r="G18" s="18">
        <v>100000000</v>
      </c>
      <c r="H18" s="18">
        <v>100000000</v>
      </c>
      <c r="I18" s="18">
        <v>100000000</v>
      </c>
      <c r="J18" s="18">
        <v>100000000</v>
      </c>
      <c r="K18" s="15">
        <v>693</v>
      </c>
      <c r="L18" s="13" t="s">
        <v>102</v>
      </c>
      <c r="M18" s="13" t="s">
        <v>103</v>
      </c>
      <c r="N18" s="139" t="s">
        <v>368</v>
      </c>
      <c r="O18" s="139" t="s">
        <v>368</v>
      </c>
      <c r="P18" s="28">
        <v>35</v>
      </c>
      <c r="Q18" s="13" t="s">
        <v>54</v>
      </c>
      <c r="R18" s="13" t="s">
        <v>28</v>
      </c>
      <c r="S18" s="13"/>
      <c r="T18" s="13"/>
      <c r="U18" s="13" t="s">
        <v>1288</v>
      </c>
      <c r="V18" s="13" t="s">
        <v>1288</v>
      </c>
      <c r="W18" s="59">
        <f t="shared" si="0"/>
        <v>1.9104610158554895E-3</v>
      </c>
    </row>
    <row r="19" spans="1:29">
      <c r="A19" s="13" t="s">
        <v>340</v>
      </c>
      <c r="B19" s="13" t="s">
        <v>471</v>
      </c>
      <c r="C19" s="139">
        <v>46223</v>
      </c>
      <c r="D19" s="139" t="s">
        <v>441</v>
      </c>
      <c r="E19" s="28">
        <v>1</v>
      </c>
      <c r="F19" s="13"/>
      <c r="G19" s="18">
        <v>3000000</v>
      </c>
      <c r="H19" s="18">
        <v>3000000</v>
      </c>
      <c r="I19" s="18">
        <v>3000000</v>
      </c>
      <c r="J19" s="18">
        <v>3000000</v>
      </c>
      <c r="K19" s="15">
        <v>40743001</v>
      </c>
      <c r="L19" s="13" t="s">
        <v>102</v>
      </c>
      <c r="M19" s="13" t="s">
        <v>103</v>
      </c>
      <c r="N19" s="139" t="s">
        <v>362</v>
      </c>
      <c r="O19" s="139" t="s">
        <v>362</v>
      </c>
      <c r="P19" s="28">
        <v>36</v>
      </c>
      <c r="Q19" s="13" t="s">
        <v>54</v>
      </c>
      <c r="R19" s="13" t="s">
        <v>28</v>
      </c>
      <c r="S19" s="13"/>
      <c r="T19" s="13"/>
      <c r="U19" s="13" t="s">
        <v>1099</v>
      </c>
      <c r="V19" s="13" t="s">
        <v>1099</v>
      </c>
      <c r="W19" s="59">
        <f t="shared" si="0"/>
        <v>5.7313830475664683E-5</v>
      </c>
    </row>
    <row r="20" spans="1:29">
      <c r="A20" s="13" t="s">
        <v>661</v>
      </c>
      <c r="B20" s="13" t="s">
        <v>471</v>
      </c>
      <c r="C20" s="139">
        <v>46223</v>
      </c>
      <c r="D20" s="139" t="s">
        <v>441</v>
      </c>
      <c r="E20" s="28">
        <v>1</v>
      </c>
      <c r="F20" s="13"/>
      <c r="G20" s="18">
        <v>15000000</v>
      </c>
      <c r="H20" s="18">
        <v>15000000</v>
      </c>
      <c r="I20" s="18">
        <v>15000000</v>
      </c>
      <c r="J20" s="18">
        <v>15000000</v>
      </c>
      <c r="K20" s="15">
        <v>172</v>
      </c>
      <c r="L20" s="13" t="s">
        <v>102</v>
      </c>
      <c r="M20" s="13" t="s">
        <v>103</v>
      </c>
      <c r="N20" s="139" t="s">
        <v>358</v>
      </c>
      <c r="O20" s="139" t="s">
        <v>358</v>
      </c>
      <c r="P20" s="28">
        <v>32</v>
      </c>
      <c r="Q20" s="13" t="s">
        <v>54</v>
      </c>
      <c r="R20" s="13" t="s">
        <v>28</v>
      </c>
      <c r="S20" s="13"/>
      <c r="T20" s="13"/>
      <c r="U20" s="13" t="s">
        <v>597</v>
      </c>
      <c r="V20" s="13" t="s">
        <v>597</v>
      </c>
      <c r="W20" s="59">
        <f t="shared" si="0"/>
        <v>2.8656915237832342E-4</v>
      </c>
    </row>
    <row r="21" spans="1:29">
      <c r="A21" s="13" t="s">
        <v>1585</v>
      </c>
      <c r="B21" s="13" t="s">
        <v>471</v>
      </c>
      <c r="C21" s="139">
        <v>46223</v>
      </c>
      <c r="D21" s="139" t="s">
        <v>441</v>
      </c>
      <c r="E21" s="28">
        <v>1</v>
      </c>
      <c r="F21" s="13"/>
      <c r="G21" s="18">
        <v>10000000</v>
      </c>
      <c r="H21" s="18">
        <v>10000000</v>
      </c>
      <c r="I21" s="18">
        <v>10000000</v>
      </c>
      <c r="J21" s="18">
        <v>10000000</v>
      </c>
      <c r="K21" s="15">
        <v>215</v>
      </c>
      <c r="L21" s="13" t="s">
        <v>102</v>
      </c>
      <c r="M21" s="13" t="s">
        <v>103</v>
      </c>
      <c r="N21" s="139" t="s">
        <v>381</v>
      </c>
      <c r="O21" s="139" t="s">
        <v>381</v>
      </c>
      <c r="P21" s="28">
        <v>34</v>
      </c>
      <c r="Q21" s="13" t="s">
        <v>54</v>
      </c>
      <c r="R21" s="13" t="s">
        <v>28</v>
      </c>
      <c r="S21" s="13"/>
      <c r="T21" s="13"/>
      <c r="U21" s="13" t="s">
        <v>1576</v>
      </c>
      <c r="V21" s="13" t="s">
        <v>1576</v>
      </c>
      <c r="W21" s="59">
        <f t="shared" si="0"/>
        <v>1.9104610158554895E-4</v>
      </c>
    </row>
    <row r="22" spans="1:29">
      <c r="A22" s="13" t="s">
        <v>2056</v>
      </c>
      <c r="B22" s="13" t="s">
        <v>471</v>
      </c>
      <c r="C22" s="139">
        <v>46223</v>
      </c>
      <c r="D22" s="139" t="s">
        <v>441</v>
      </c>
      <c r="E22" s="28">
        <v>1</v>
      </c>
      <c r="F22" s="13"/>
      <c r="G22" s="18">
        <v>11806811.59</v>
      </c>
      <c r="H22" s="18">
        <v>11806811.59</v>
      </c>
      <c r="I22" s="18">
        <v>11806811.59</v>
      </c>
      <c r="J22" s="18">
        <v>11806811.59</v>
      </c>
      <c r="K22" s="15">
        <v>205</v>
      </c>
      <c r="L22" s="13" t="s">
        <v>102</v>
      </c>
      <c r="M22" s="13" t="s">
        <v>103</v>
      </c>
      <c r="N22" s="139" t="s">
        <v>509</v>
      </c>
      <c r="O22" s="139" t="s">
        <v>509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2051</v>
      </c>
      <c r="V22" s="13" t="s">
        <v>2051</v>
      </c>
      <c r="W22" s="59">
        <f t="shared" si="0"/>
        <v>2.2556453264245766E-4</v>
      </c>
      <c r="AC22" s="56"/>
    </row>
    <row r="23" spans="1:29">
      <c r="A23" s="13" t="s">
        <v>2056</v>
      </c>
      <c r="B23" s="13" t="s">
        <v>471</v>
      </c>
      <c r="C23" s="139">
        <v>46223</v>
      </c>
      <c r="D23" s="139" t="s">
        <v>441</v>
      </c>
      <c r="E23" s="28">
        <v>1</v>
      </c>
      <c r="F23" s="13"/>
      <c r="G23" s="18">
        <v>15549511.49</v>
      </c>
      <c r="H23" s="18">
        <v>15549511.49</v>
      </c>
      <c r="I23" s="18">
        <v>15549511.49</v>
      </c>
      <c r="J23" s="18">
        <v>15549511.49</v>
      </c>
      <c r="K23" s="15">
        <v>207</v>
      </c>
      <c r="L23" s="13" t="s">
        <v>102</v>
      </c>
      <c r="M23" s="13" t="s">
        <v>103</v>
      </c>
      <c r="N23" s="139" t="s">
        <v>509</v>
      </c>
      <c r="O23" s="139" t="s">
        <v>509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2052</v>
      </c>
      <c r="V23" s="13" t="s">
        <v>2052</v>
      </c>
      <c r="W23" s="59">
        <f t="shared" si="0"/>
        <v>2.9706735517242005E-4</v>
      </c>
    </row>
    <row r="24" spans="1:29">
      <c r="A24" s="13" t="s">
        <v>2056</v>
      </c>
      <c r="B24" s="13" t="s">
        <v>471</v>
      </c>
      <c r="C24" s="139">
        <v>46223</v>
      </c>
      <c r="D24" s="139" t="s">
        <v>441</v>
      </c>
      <c r="E24" s="28">
        <v>1</v>
      </c>
      <c r="F24" s="13"/>
      <c r="G24" s="18">
        <v>15549511.49</v>
      </c>
      <c r="H24" s="18">
        <v>15549511.49</v>
      </c>
      <c r="I24" s="18">
        <v>15549511.49</v>
      </c>
      <c r="J24" s="18">
        <v>15549511.49</v>
      </c>
      <c r="K24" s="15">
        <v>206</v>
      </c>
      <c r="L24" s="13" t="s">
        <v>102</v>
      </c>
      <c r="M24" s="13" t="s">
        <v>103</v>
      </c>
      <c r="N24" s="139" t="s">
        <v>509</v>
      </c>
      <c r="O24" s="139" t="s">
        <v>509</v>
      </c>
      <c r="P24" s="28">
        <v>30</v>
      </c>
      <c r="Q24" s="13" t="s">
        <v>54</v>
      </c>
      <c r="R24" s="13" t="s">
        <v>28</v>
      </c>
      <c r="S24" s="13"/>
      <c r="T24" s="13"/>
      <c r="U24" s="13" t="s">
        <v>2053</v>
      </c>
      <c r="V24" s="13" t="s">
        <v>2053</v>
      </c>
      <c r="W24" s="59">
        <f t="shared" si="0"/>
        <v>2.9706735517242005E-4</v>
      </c>
    </row>
    <row r="25" spans="1:29">
      <c r="A25" s="13" t="s">
        <v>2056</v>
      </c>
      <c r="B25" s="13" t="s">
        <v>471</v>
      </c>
      <c r="C25" s="139">
        <v>46223</v>
      </c>
      <c r="D25" s="139" t="s">
        <v>441</v>
      </c>
      <c r="E25" s="28">
        <v>1</v>
      </c>
      <c r="F25" s="13"/>
      <c r="G25" s="18">
        <v>12771422.16</v>
      </c>
      <c r="H25" s="18">
        <v>12771422.16</v>
      </c>
      <c r="I25" s="18">
        <v>12771422.16</v>
      </c>
      <c r="J25" s="18">
        <v>12771422.16</v>
      </c>
      <c r="K25" s="15">
        <v>209</v>
      </c>
      <c r="L25" s="13" t="s">
        <v>102</v>
      </c>
      <c r="M25" s="13" t="s">
        <v>103</v>
      </c>
      <c r="N25" s="139" t="s">
        <v>509</v>
      </c>
      <c r="O25" s="139" t="s">
        <v>509</v>
      </c>
      <c r="P25" s="28">
        <v>30</v>
      </c>
      <c r="Q25" s="13" t="s">
        <v>54</v>
      </c>
      <c r="R25" s="13" t="s">
        <v>28</v>
      </c>
      <c r="S25" s="13"/>
      <c r="T25" s="13"/>
      <c r="U25" s="13" t="s">
        <v>2054</v>
      </c>
      <c r="V25" s="13" t="s">
        <v>2054</v>
      </c>
      <c r="W25" s="59">
        <f t="shared" si="0"/>
        <v>2.4399304153712909E-4</v>
      </c>
    </row>
    <row r="26" spans="1:29">
      <c r="A26" s="13" t="s">
        <v>698</v>
      </c>
      <c r="B26" s="13" t="s">
        <v>471</v>
      </c>
      <c r="C26" s="139">
        <v>46224</v>
      </c>
      <c r="D26" s="139" t="s">
        <v>441</v>
      </c>
      <c r="E26" s="28">
        <v>0.99920611000000004</v>
      </c>
      <c r="F26" s="13"/>
      <c r="G26" s="18">
        <v>5000000</v>
      </c>
      <c r="H26" s="18">
        <v>4996030.5599999996</v>
      </c>
      <c r="I26" s="18">
        <v>5000000</v>
      </c>
      <c r="J26" s="18">
        <v>4996030.5599999996</v>
      </c>
      <c r="K26" s="15">
        <v>16771074</v>
      </c>
      <c r="L26" s="13" t="s">
        <v>102</v>
      </c>
      <c r="M26" s="13" t="s">
        <v>103</v>
      </c>
      <c r="N26" s="139" t="s">
        <v>397</v>
      </c>
      <c r="O26" s="139" t="s">
        <v>397</v>
      </c>
      <c r="P26" s="28">
        <v>29</v>
      </c>
      <c r="Q26" s="13" t="s">
        <v>54</v>
      </c>
      <c r="R26" s="13" t="s">
        <v>28</v>
      </c>
      <c r="S26" s="13"/>
      <c r="T26" s="13"/>
      <c r="U26" s="13" t="s">
        <v>662</v>
      </c>
      <c r="V26" s="13" t="s">
        <v>662</v>
      </c>
      <c r="W26" s="59">
        <f t="shared" si="0"/>
        <v>9.5447216189026692E-5</v>
      </c>
    </row>
    <row r="27" spans="1:29">
      <c r="A27" s="13" t="s">
        <v>510</v>
      </c>
      <c r="B27" s="13" t="s">
        <v>471</v>
      </c>
      <c r="C27" s="139">
        <v>46224</v>
      </c>
      <c r="D27" s="139" t="s">
        <v>441</v>
      </c>
      <c r="E27" s="28">
        <v>0.99920611000000004</v>
      </c>
      <c r="F27" s="13"/>
      <c r="G27" s="18">
        <v>12500000</v>
      </c>
      <c r="H27" s="18">
        <v>12490076.390000001</v>
      </c>
      <c r="I27" s="18">
        <v>12500000</v>
      </c>
      <c r="J27" s="18">
        <v>12490076.390000001</v>
      </c>
      <c r="K27" s="15">
        <v>28996504</v>
      </c>
      <c r="L27" s="13" t="s">
        <v>102</v>
      </c>
      <c r="M27" s="13" t="s">
        <v>103</v>
      </c>
      <c r="N27" s="139" t="s">
        <v>154</v>
      </c>
      <c r="O27" s="139" t="s">
        <v>154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496</v>
      </c>
      <c r="V27" s="13" t="s">
        <v>496</v>
      </c>
      <c r="W27" s="59">
        <f t="shared" si="0"/>
        <v>2.3861804028152067E-4</v>
      </c>
    </row>
    <row r="28" spans="1:29">
      <c r="A28" s="13" t="s">
        <v>581</v>
      </c>
      <c r="B28" s="13" t="s">
        <v>471</v>
      </c>
      <c r="C28" s="139">
        <v>46224</v>
      </c>
      <c r="D28" s="139" t="s">
        <v>441</v>
      </c>
      <c r="E28" s="28">
        <v>0.99931555000000005</v>
      </c>
      <c r="F28" s="13"/>
      <c r="G28" s="18">
        <v>464617.82</v>
      </c>
      <c r="H28" s="18">
        <v>464299.81</v>
      </c>
      <c r="I28" s="18">
        <v>464617.82</v>
      </c>
      <c r="J28" s="18">
        <v>464299.81</v>
      </c>
      <c r="K28" s="15">
        <v>359</v>
      </c>
      <c r="L28" s="13" t="s">
        <v>102</v>
      </c>
      <c r="M28" s="13" t="s">
        <v>103</v>
      </c>
      <c r="N28" s="139" t="s">
        <v>172</v>
      </c>
      <c r="O28" s="139" t="s">
        <v>172</v>
      </c>
      <c r="P28" s="28">
        <v>25</v>
      </c>
      <c r="Q28" s="13" t="s">
        <v>54</v>
      </c>
      <c r="R28" s="13" t="s">
        <v>28</v>
      </c>
      <c r="S28" s="13"/>
      <c r="T28" s="13"/>
      <c r="U28" s="13" t="s">
        <v>1790</v>
      </c>
      <c r="V28" s="13" t="s">
        <v>1790</v>
      </c>
      <c r="W28" s="59">
        <f t="shared" si="0"/>
        <v>8.8702668667411076E-6</v>
      </c>
    </row>
    <row r="29" spans="1:29">
      <c r="A29" s="13" t="s">
        <v>581</v>
      </c>
      <c r="B29" s="13" t="s">
        <v>471</v>
      </c>
      <c r="C29" s="139">
        <v>46224</v>
      </c>
      <c r="D29" s="139" t="s">
        <v>441</v>
      </c>
      <c r="E29" s="28">
        <v>0.99931554</v>
      </c>
      <c r="F29" s="13"/>
      <c r="G29" s="18">
        <v>2931229.1</v>
      </c>
      <c r="H29" s="18">
        <v>2929222.79</v>
      </c>
      <c r="I29" s="18">
        <v>2931229.1</v>
      </c>
      <c r="J29" s="18">
        <v>2929222.79</v>
      </c>
      <c r="K29" s="15">
        <v>90031830</v>
      </c>
      <c r="L29" s="13" t="s">
        <v>102</v>
      </c>
      <c r="M29" s="13" t="s">
        <v>103</v>
      </c>
      <c r="N29" s="139" t="s">
        <v>172</v>
      </c>
      <c r="O29" s="139" t="s">
        <v>172</v>
      </c>
      <c r="P29" s="28">
        <v>25</v>
      </c>
      <c r="Q29" s="13" t="s">
        <v>54</v>
      </c>
      <c r="R29" s="13" t="s">
        <v>28</v>
      </c>
      <c r="S29" s="13"/>
      <c r="T29" s="13"/>
      <c r="U29" s="13" t="s">
        <v>1791</v>
      </c>
      <c r="V29" s="13" t="s">
        <v>1791</v>
      </c>
      <c r="W29" s="59">
        <f t="shared" si="0"/>
        <v>5.5961659470504513E-5</v>
      </c>
      <c r="AC29" s="56"/>
    </row>
    <row r="30" spans="1:29">
      <c r="A30" s="13" t="s">
        <v>581</v>
      </c>
      <c r="B30" s="13" t="s">
        <v>471</v>
      </c>
      <c r="C30" s="139">
        <v>46224</v>
      </c>
      <c r="D30" s="139" t="s">
        <v>441</v>
      </c>
      <c r="E30" s="28">
        <v>0.99931554</v>
      </c>
      <c r="F30" s="13"/>
      <c r="G30" s="18">
        <v>16389480.369999999</v>
      </c>
      <c r="H30" s="18">
        <v>16378262.43</v>
      </c>
      <c r="I30" s="18">
        <v>16389480.369999999</v>
      </c>
      <c r="J30" s="18">
        <v>16378262.43</v>
      </c>
      <c r="K30" s="15">
        <v>29496673</v>
      </c>
      <c r="L30" s="13" t="s">
        <v>102</v>
      </c>
      <c r="M30" s="13" t="s">
        <v>103</v>
      </c>
      <c r="N30" s="139" t="s">
        <v>172</v>
      </c>
      <c r="O30" s="139" t="s">
        <v>172</v>
      </c>
      <c r="P30" s="28">
        <v>25</v>
      </c>
      <c r="Q30" s="13" t="s">
        <v>54</v>
      </c>
      <c r="R30" s="13" t="s">
        <v>28</v>
      </c>
      <c r="S30" s="13"/>
      <c r="T30" s="13"/>
      <c r="U30" s="13" t="s">
        <v>1792</v>
      </c>
      <c r="V30" s="13" t="s">
        <v>1792</v>
      </c>
      <c r="W30" s="59">
        <f t="shared" si="0"/>
        <v>3.1290031879965596E-4</v>
      </c>
    </row>
    <row r="31" spans="1:29">
      <c r="A31" s="13" t="s">
        <v>581</v>
      </c>
      <c r="B31" s="13" t="s">
        <v>471</v>
      </c>
      <c r="C31" s="139">
        <v>46224</v>
      </c>
      <c r="D31" s="139" t="s">
        <v>441</v>
      </c>
      <c r="E31" s="28">
        <v>0.99931554</v>
      </c>
      <c r="F31" s="13"/>
      <c r="G31" s="18">
        <v>16877622.050000001</v>
      </c>
      <c r="H31" s="18">
        <v>16866069.989999998</v>
      </c>
      <c r="I31" s="18">
        <v>16877622.050000001</v>
      </c>
      <c r="J31" s="18">
        <v>16866069.989999998</v>
      </c>
      <c r="K31" s="15">
        <v>50448693</v>
      </c>
      <c r="L31" s="13" t="s">
        <v>102</v>
      </c>
      <c r="M31" s="13" t="s">
        <v>103</v>
      </c>
      <c r="N31" s="139" t="s">
        <v>172</v>
      </c>
      <c r="O31" s="139" t="s">
        <v>172</v>
      </c>
      <c r="P31" s="28">
        <v>25</v>
      </c>
      <c r="Q31" s="13" t="s">
        <v>54</v>
      </c>
      <c r="R31" s="13" t="s">
        <v>28</v>
      </c>
      <c r="S31" s="13"/>
      <c r="T31" s="13"/>
      <c r="U31" s="13" t="s">
        <v>1793</v>
      </c>
      <c r="V31" s="13" t="s">
        <v>1793</v>
      </c>
      <c r="W31" s="59">
        <f t="shared" si="0"/>
        <v>3.2221969206585184E-4</v>
      </c>
      <c r="AC31" s="56"/>
    </row>
    <row r="32" spans="1:29">
      <c r="A32" s="13" t="s">
        <v>581</v>
      </c>
      <c r="B32" s="13" t="s">
        <v>471</v>
      </c>
      <c r="C32" s="139">
        <v>46224</v>
      </c>
      <c r="D32" s="139" t="s">
        <v>441</v>
      </c>
      <c r="E32" s="28">
        <v>0.99931554</v>
      </c>
      <c r="F32" s="13"/>
      <c r="G32" s="18">
        <v>600000</v>
      </c>
      <c r="H32" s="18">
        <v>599589.32999999996</v>
      </c>
      <c r="I32" s="18">
        <v>600000</v>
      </c>
      <c r="J32" s="18">
        <v>599589.32999999996</v>
      </c>
      <c r="K32" s="15">
        <v>839</v>
      </c>
      <c r="L32" s="13" t="s">
        <v>102</v>
      </c>
      <c r="M32" s="13" t="s">
        <v>103</v>
      </c>
      <c r="N32" s="139" t="s">
        <v>172</v>
      </c>
      <c r="O32" s="139" t="s">
        <v>172</v>
      </c>
      <c r="P32" s="28">
        <v>25</v>
      </c>
      <c r="Q32" s="13" t="s">
        <v>54</v>
      </c>
      <c r="R32" s="13" t="s">
        <v>28</v>
      </c>
      <c r="S32" s="13"/>
      <c r="T32" s="13"/>
      <c r="U32" s="13" t="s">
        <v>1794</v>
      </c>
      <c r="V32" s="13" t="s">
        <v>1794</v>
      </c>
      <c r="W32" s="59">
        <f t="shared" si="0"/>
        <v>1.1454920404879122E-5</v>
      </c>
    </row>
    <row r="33" spans="1:29">
      <c r="A33" s="13" t="s">
        <v>581</v>
      </c>
      <c r="B33" s="13" t="s">
        <v>471</v>
      </c>
      <c r="C33" s="139">
        <v>46224</v>
      </c>
      <c r="D33" s="139" t="s">
        <v>441</v>
      </c>
      <c r="E33" s="28">
        <v>0.99931554</v>
      </c>
      <c r="F33" s="13"/>
      <c r="G33" s="18">
        <v>121501.73</v>
      </c>
      <c r="H33" s="18">
        <v>121418.57</v>
      </c>
      <c r="I33" s="18">
        <v>121501.73</v>
      </c>
      <c r="J33" s="18">
        <v>121418.57</v>
      </c>
      <c r="K33" s="15">
        <v>159</v>
      </c>
      <c r="L33" s="13" t="s">
        <v>102</v>
      </c>
      <c r="M33" s="13" t="s">
        <v>103</v>
      </c>
      <c r="N33" s="139" t="s">
        <v>172</v>
      </c>
      <c r="O33" s="139" t="s">
        <v>172</v>
      </c>
      <c r="P33" s="28">
        <v>25</v>
      </c>
      <c r="Q33" s="13" t="s">
        <v>54</v>
      </c>
      <c r="R33" s="13" t="s">
        <v>28</v>
      </c>
      <c r="S33" s="13"/>
      <c r="T33" s="13"/>
      <c r="U33" s="13" t="s">
        <v>1795</v>
      </c>
      <c r="V33" s="13" t="s">
        <v>1795</v>
      </c>
      <c r="W33" s="59">
        <f t="shared" si="0"/>
        <v>2.3196544458592089E-6</v>
      </c>
    </row>
    <row r="34" spans="1:29">
      <c r="A34" s="13" t="s">
        <v>581</v>
      </c>
      <c r="B34" s="13" t="s">
        <v>471</v>
      </c>
      <c r="C34" s="139">
        <v>46224</v>
      </c>
      <c r="D34" s="139" t="s">
        <v>441</v>
      </c>
      <c r="E34" s="28">
        <v>0.99931554</v>
      </c>
      <c r="F34" s="13"/>
      <c r="G34" s="18">
        <v>1500000</v>
      </c>
      <c r="H34" s="18">
        <v>1498973.31</v>
      </c>
      <c r="I34" s="18">
        <v>1500000</v>
      </c>
      <c r="J34" s="18">
        <v>1498973.31</v>
      </c>
      <c r="K34" s="15">
        <v>809</v>
      </c>
      <c r="L34" s="13" t="s">
        <v>102</v>
      </c>
      <c r="M34" s="13" t="s">
        <v>103</v>
      </c>
      <c r="N34" s="139" t="s">
        <v>172</v>
      </c>
      <c r="O34" s="139" t="s">
        <v>172</v>
      </c>
      <c r="P34" s="28">
        <v>25</v>
      </c>
      <c r="Q34" s="13" t="s">
        <v>54</v>
      </c>
      <c r="R34" s="13" t="s">
        <v>28</v>
      </c>
      <c r="S34" s="13"/>
      <c r="T34" s="13"/>
      <c r="U34" s="13" t="s">
        <v>1796</v>
      </c>
      <c r="V34" s="13" t="s">
        <v>1796</v>
      </c>
      <c r="W34" s="59">
        <f t="shared" si="0"/>
        <v>2.8637300725628658E-5</v>
      </c>
    </row>
    <row r="35" spans="1:29">
      <c r="A35" s="13" t="s">
        <v>1108</v>
      </c>
      <c r="B35" s="13" t="s">
        <v>471</v>
      </c>
      <c r="C35" s="139">
        <v>46224</v>
      </c>
      <c r="D35" s="139" t="s">
        <v>441</v>
      </c>
      <c r="E35" s="28">
        <v>0.99904201999999998</v>
      </c>
      <c r="F35" s="13"/>
      <c r="G35" s="18">
        <v>1000000000</v>
      </c>
      <c r="H35" s="18">
        <v>999042016.10000002</v>
      </c>
      <c r="I35" s="18">
        <v>1000000000</v>
      </c>
      <c r="J35" s="18">
        <v>999042016.10000002</v>
      </c>
      <c r="K35" s="15">
        <v>150840</v>
      </c>
      <c r="L35" s="13" t="s">
        <v>102</v>
      </c>
      <c r="M35" s="13" t="s">
        <v>103</v>
      </c>
      <c r="N35" s="139" t="s">
        <v>428</v>
      </c>
      <c r="O35" s="139" t="s">
        <v>428</v>
      </c>
      <c r="P35" s="28">
        <v>35</v>
      </c>
      <c r="Q35" s="13" t="s">
        <v>54</v>
      </c>
      <c r="R35" s="13" t="s">
        <v>28</v>
      </c>
      <c r="S35" s="13"/>
      <c r="T35" s="13"/>
      <c r="U35" s="13" t="s">
        <v>1109</v>
      </c>
      <c r="V35" s="13" t="s">
        <v>1109</v>
      </c>
      <c r="W35" s="59">
        <f t="shared" si="0"/>
        <v>1.9086308249607224E-2</v>
      </c>
      <c r="AC35" s="56"/>
    </row>
    <row r="36" spans="1:29">
      <c r="A36" s="13" t="s">
        <v>1275</v>
      </c>
      <c r="B36" s="13" t="s">
        <v>471</v>
      </c>
      <c r="C36" s="139">
        <v>46224</v>
      </c>
      <c r="D36" s="139" t="s">
        <v>441</v>
      </c>
      <c r="E36" s="28">
        <v>0.99909671</v>
      </c>
      <c r="F36" s="13"/>
      <c r="G36" s="18">
        <v>1100000</v>
      </c>
      <c r="H36" s="18">
        <v>1099006.3799999999</v>
      </c>
      <c r="I36" s="18">
        <v>1100000</v>
      </c>
      <c r="J36" s="18">
        <v>1099006.3799999999</v>
      </c>
      <c r="K36" s="15">
        <v>2229</v>
      </c>
      <c r="L36" s="13" t="s">
        <v>102</v>
      </c>
      <c r="M36" s="13" t="s">
        <v>103</v>
      </c>
      <c r="N36" s="139" t="s">
        <v>319</v>
      </c>
      <c r="O36" s="139" t="s">
        <v>319</v>
      </c>
      <c r="P36" s="28">
        <v>33</v>
      </c>
      <c r="Q36" s="13" t="s">
        <v>54</v>
      </c>
      <c r="R36" s="13" t="s">
        <v>28</v>
      </c>
      <c r="S36" s="13"/>
      <c r="T36" s="13"/>
      <c r="U36" s="13" t="s">
        <v>1258</v>
      </c>
      <c r="V36" s="13" t="s">
        <v>1258</v>
      </c>
      <c r="W36" s="59">
        <f t="shared" si="0"/>
        <v>2.099608845166464E-5</v>
      </c>
    </row>
    <row r="37" spans="1:29">
      <c r="A37" s="13" t="s">
        <v>512</v>
      </c>
      <c r="B37" s="13" t="s">
        <v>471</v>
      </c>
      <c r="C37" s="139">
        <v>46224</v>
      </c>
      <c r="D37" s="139" t="s">
        <v>441</v>
      </c>
      <c r="E37" s="28">
        <v>0.99901466999999999</v>
      </c>
      <c r="F37" s="13"/>
      <c r="G37" s="18">
        <v>20000000</v>
      </c>
      <c r="H37" s="18">
        <v>19980293.489999998</v>
      </c>
      <c r="I37" s="18">
        <v>20000000</v>
      </c>
      <c r="J37" s="18">
        <v>19980293.489999998</v>
      </c>
      <c r="K37" s="15">
        <v>436</v>
      </c>
      <c r="L37" s="13" t="s">
        <v>102</v>
      </c>
      <c r="M37" s="13" t="s">
        <v>103</v>
      </c>
      <c r="N37" s="139" t="s">
        <v>370</v>
      </c>
      <c r="O37" s="139" t="s">
        <v>370</v>
      </c>
      <c r="P37" s="28">
        <v>36</v>
      </c>
      <c r="Q37" s="13" t="s">
        <v>54</v>
      </c>
      <c r="R37" s="13" t="s">
        <v>28</v>
      </c>
      <c r="S37" s="13"/>
      <c r="T37" s="13"/>
      <c r="U37" s="13" t="s">
        <v>1140</v>
      </c>
      <c r="V37" s="13" t="s">
        <v>1140</v>
      </c>
      <c r="W37" s="59">
        <f t="shared" si="0"/>
        <v>3.8171571797996219E-4</v>
      </c>
    </row>
    <row r="38" spans="1:29">
      <c r="A38" s="13" t="s">
        <v>654</v>
      </c>
      <c r="B38" s="13" t="s">
        <v>471</v>
      </c>
      <c r="C38" s="139">
        <v>46224</v>
      </c>
      <c r="D38" s="139" t="s">
        <v>441</v>
      </c>
      <c r="E38" s="28">
        <v>0.99909671</v>
      </c>
      <c r="F38" s="13"/>
      <c r="G38" s="18">
        <v>10000000</v>
      </c>
      <c r="H38" s="18">
        <v>9990967.1099999994</v>
      </c>
      <c r="I38" s="18">
        <v>10000000</v>
      </c>
      <c r="J38" s="18">
        <v>9990967.1099999994</v>
      </c>
      <c r="K38" s="15">
        <v>13633526</v>
      </c>
      <c r="L38" s="13" t="s">
        <v>102</v>
      </c>
      <c r="M38" s="13" t="s">
        <v>103</v>
      </c>
      <c r="N38" s="139" t="s">
        <v>162</v>
      </c>
      <c r="O38" s="139" t="s">
        <v>162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1083</v>
      </c>
      <c r="V38" s="13" t="s">
        <v>1083</v>
      </c>
      <c r="W38" s="59">
        <f t="shared" si="0"/>
        <v>1.9087353174349384E-4</v>
      </c>
    </row>
    <row r="39" spans="1:29">
      <c r="A39" s="13" t="s">
        <v>699</v>
      </c>
      <c r="B39" s="13" t="s">
        <v>471</v>
      </c>
      <c r="C39" s="139">
        <v>46224</v>
      </c>
      <c r="D39" s="139" t="s">
        <v>441</v>
      </c>
      <c r="E39" s="28">
        <v>0.99904201999999998</v>
      </c>
      <c r="F39" s="13"/>
      <c r="G39" s="18">
        <v>10000000</v>
      </c>
      <c r="H39" s="18">
        <v>9990420.1799999997</v>
      </c>
      <c r="I39" s="18">
        <v>10000000</v>
      </c>
      <c r="J39" s="18">
        <v>9990420.1799999997</v>
      </c>
      <c r="K39" s="15">
        <v>40624310</v>
      </c>
      <c r="L39" s="13" t="s">
        <v>102</v>
      </c>
      <c r="M39" s="13" t="s">
        <v>103</v>
      </c>
      <c r="N39" s="139" t="s">
        <v>397</v>
      </c>
      <c r="O39" s="139" t="s">
        <v>397</v>
      </c>
      <c r="P39" s="28">
        <v>35</v>
      </c>
      <c r="Q39" s="13" t="s">
        <v>54</v>
      </c>
      <c r="R39" s="13" t="s">
        <v>28</v>
      </c>
      <c r="S39" s="13"/>
      <c r="T39" s="13"/>
      <c r="U39" s="13" t="s">
        <v>684</v>
      </c>
      <c r="V39" s="13" t="s">
        <v>684</v>
      </c>
      <c r="W39" s="59">
        <f t="shared" si="0"/>
        <v>1.9086308285905983E-4</v>
      </c>
    </row>
    <row r="40" spans="1:29">
      <c r="A40" s="13" t="s">
        <v>1018</v>
      </c>
      <c r="B40" s="13" t="s">
        <v>471</v>
      </c>
      <c r="C40" s="139">
        <v>46224</v>
      </c>
      <c r="D40" s="139" t="s">
        <v>441</v>
      </c>
      <c r="E40" s="28">
        <v>0.99909671</v>
      </c>
      <c r="F40" s="13"/>
      <c r="G40" s="18">
        <v>4190169.08</v>
      </c>
      <c r="H40" s="18">
        <v>4186384.14</v>
      </c>
      <c r="I40" s="18">
        <v>4190169.08</v>
      </c>
      <c r="J40" s="18">
        <v>4186384.14</v>
      </c>
      <c r="K40" s="15">
        <v>13668587</v>
      </c>
      <c r="L40" s="13" t="s">
        <v>102</v>
      </c>
      <c r="M40" s="13" t="s">
        <v>103</v>
      </c>
      <c r="N40" s="139" t="s">
        <v>381</v>
      </c>
      <c r="O40" s="139" t="s">
        <v>381</v>
      </c>
      <c r="P40" s="28">
        <v>33</v>
      </c>
      <c r="Q40" s="13" t="s">
        <v>54</v>
      </c>
      <c r="R40" s="13" t="s">
        <v>28</v>
      </c>
      <c r="S40" s="13"/>
      <c r="T40" s="13"/>
      <c r="U40" s="13" t="s">
        <v>1569</v>
      </c>
      <c r="V40" s="13" t="s">
        <v>1569</v>
      </c>
      <c r="W40" s="59">
        <f t="shared" si="0"/>
        <v>7.99792369686571E-5</v>
      </c>
    </row>
    <row r="41" spans="1:29">
      <c r="A41" s="13" t="s">
        <v>1047</v>
      </c>
      <c r="B41" s="13" t="s">
        <v>471</v>
      </c>
      <c r="C41" s="139">
        <v>46224</v>
      </c>
      <c r="D41" s="139" t="s">
        <v>441</v>
      </c>
      <c r="E41" s="28">
        <v>0.99898732999999995</v>
      </c>
      <c r="F41" s="13"/>
      <c r="G41" s="18">
        <v>5000000</v>
      </c>
      <c r="H41" s="18">
        <v>4994936.6399999997</v>
      </c>
      <c r="I41" s="18">
        <v>5000000</v>
      </c>
      <c r="J41" s="18">
        <v>4994936.6399999997</v>
      </c>
      <c r="K41" s="15">
        <v>66786647</v>
      </c>
      <c r="L41" s="13" t="s">
        <v>102</v>
      </c>
      <c r="M41" s="13" t="s">
        <v>103</v>
      </c>
      <c r="N41" s="139" t="s">
        <v>364</v>
      </c>
      <c r="O41" s="139" t="s">
        <v>364</v>
      </c>
      <c r="P41" s="28">
        <v>37</v>
      </c>
      <c r="Q41" s="13" t="s">
        <v>54</v>
      </c>
      <c r="R41" s="13" t="s">
        <v>28</v>
      </c>
      <c r="S41" s="13"/>
      <c r="T41" s="13"/>
      <c r="U41" s="13" t="s">
        <v>1041</v>
      </c>
      <c r="V41" s="13" t="s">
        <v>1041</v>
      </c>
      <c r="W41" s="59">
        <f t="shared" si="0"/>
        <v>9.5426317273882043E-5</v>
      </c>
    </row>
    <row r="42" spans="1:29">
      <c r="A42" s="13" t="s">
        <v>472</v>
      </c>
      <c r="B42" s="13" t="s">
        <v>471</v>
      </c>
      <c r="C42" s="139">
        <v>46224</v>
      </c>
      <c r="D42" s="139" t="s">
        <v>441</v>
      </c>
      <c r="E42" s="28">
        <v>0.99917876000000005</v>
      </c>
      <c r="F42" s="13"/>
      <c r="G42" s="18">
        <v>10250000</v>
      </c>
      <c r="H42" s="18">
        <v>10241582.279999999</v>
      </c>
      <c r="I42" s="18">
        <v>10250000</v>
      </c>
      <c r="J42" s="18">
        <v>10241582.279999999</v>
      </c>
      <c r="K42" s="15">
        <v>454</v>
      </c>
      <c r="L42" s="13" t="s">
        <v>102</v>
      </c>
      <c r="M42" s="13" t="s">
        <v>103</v>
      </c>
      <c r="N42" s="139" t="s">
        <v>359</v>
      </c>
      <c r="O42" s="139" t="s">
        <v>359</v>
      </c>
      <c r="P42" s="28">
        <v>30</v>
      </c>
      <c r="Q42" s="13" t="s">
        <v>54</v>
      </c>
      <c r="R42" s="13" t="s">
        <v>28</v>
      </c>
      <c r="S42" s="13"/>
      <c r="T42" s="13"/>
      <c r="U42" s="13" t="s">
        <v>967</v>
      </c>
      <c r="V42" s="13" t="s">
        <v>967</v>
      </c>
      <c r="W42" s="59">
        <f t="shared" si="0"/>
        <v>1.9566143686616379E-4</v>
      </c>
    </row>
    <row r="43" spans="1:29">
      <c r="A43" s="13" t="s">
        <v>475</v>
      </c>
      <c r="B43" s="13" t="s">
        <v>471</v>
      </c>
      <c r="C43" s="139">
        <v>46224</v>
      </c>
      <c r="D43" s="139" t="s">
        <v>441</v>
      </c>
      <c r="E43" s="28">
        <v>0.99890531000000005</v>
      </c>
      <c r="F43" s="13"/>
      <c r="G43" s="18">
        <v>100000000</v>
      </c>
      <c r="H43" s="18">
        <v>99890531.170000002</v>
      </c>
      <c r="I43" s="18">
        <v>100000000</v>
      </c>
      <c r="J43" s="18">
        <v>99890531.170000002</v>
      </c>
      <c r="K43" s="15">
        <v>305</v>
      </c>
      <c r="L43" s="13" t="s">
        <v>102</v>
      </c>
      <c r="M43" s="13" t="s">
        <v>103</v>
      </c>
      <c r="N43" s="139" t="s">
        <v>320</v>
      </c>
      <c r="O43" s="139" t="s">
        <v>320</v>
      </c>
      <c r="P43" s="28">
        <v>40</v>
      </c>
      <c r="Q43" s="13" t="s">
        <v>54</v>
      </c>
      <c r="R43" s="13" t="s">
        <v>28</v>
      </c>
      <c r="S43" s="13"/>
      <c r="T43" s="13"/>
      <c r="U43" s="13" t="s">
        <v>476</v>
      </c>
      <c r="V43" s="13" t="s">
        <v>476</v>
      </c>
      <c r="W43" s="59">
        <f t="shared" si="0"/>
        <v>1.9083696565338265E-3</v>
      </c>
    </row>
    <row r="44" spans="1:29">
      <c r="A44" s="13" t="s">
        <v>310</v>
      </c>
      <c r="B44" s="13" t="s">
        <v>471</v>
      </c>
      <c r="C44" s="139">
        <v>46224</v>
      </c>
      <c r="D44" s="139" t="s">
        <v>441</v>
      </c>
      <c r="E44" s="28">
        <v>0.99909671</v>
      </c>
      <c r="F44" s="13"/>
      <c r="G44" s="18">
        <v>50000000</v>
      </c>
      <c r="H44" s="18">
        <v>49954835.399999999</v>
      </c>
      <c r="I44" s="18">
        <v>50000000</v>
      </c>
      <c r="J44" s="18">
        <v>49954835.399999999</v>
      </c>
      <c r="K44" s="15">
        <v>29007572</v>
      </c>
      <c r="L44" s="13" t="s">
        <v>102</v>
      </c>
      <c r="M44" s="13" t="s">
        <v>103</v>
      </c>
      <c r="N44" s="139" t="s">
        <v>154</v>
      </c>
      <c r="O44" s="139" t="s">
        <v>154</v>
      </c>
      <c r="P44" s="28">
        <v>33</v>
      </c>
      <c r="Q44" s="13" t="s">
        <v>54</v>
      </c>
      <c r="R44" s="13" t="s">
        <v>28</v>
      </c>
      <c r="S44" s="13"/>
      <c r="T44" s="13"/>
      <c r="U44" s="13" t="s">
        <v>503</v>
      </c>
      <c r="V44" s="13" t="s">
        <v>503</v>
      </c>
      <c r="W44" s="59">
        <f t="shared" si="0"/>
        <v>9.5436765585177764E-4</v>
      </c>
    </row>
    <row r="45" spans="1:29">
      <c r="A45" s="13" t="s">
        <v>1279</v>
      </c>
      <c r="B45" s="13" t="s">
        <v>471</v>
      </c>
      <c r="C45" s="139">
        <v>46224</v>
      </c>
      <c r="D45" s="139" t="s">
        <v>441</v>
      </c>
      <c r="E45" s="28">
        <v>0.99909671</v>
      </c>
      <c r="F45" s="13"/>
      <c r="G45" s="18">
        <v>1000000</v>
      </c>
      <c r="H45" s="18">
        <v>999096.71</v>
      </c>
      <c r="I45" s="18">
        <v>1000000</v>
      </c>
      <c r="J45" s="18">
        <v>999096.71</v>
      </c>
      <c r="K45" s="15">
        <v>2417</v>
      </c>
      <c r="L45" s="13" t="s">
        <v>102</v>
      </c>
      <c r="M45" s="13" t="s">
        <v>103</v>
      </c>
      <c r="N45" s="139" t="s">
        <v>319</v>
      </c>
      <c r="O45" s="139" t="s">
        <v>319</v>
      </c>
      <c r="P45" s="28">
        <v>33</v>
      </c>
      <c r="Q45" s="13" t="s">
        <v>54</v>
      </c>
      <c r="R45" s="13" t="s">
        <v>28</v>
      </c>
      <c r="S45" s="13"/>
      <c r="T45" s="13"/>
      <c r="U45" s="13" t="s">
        <v>1233</v>
      </c>
      <c r="V45" s="13" t="s">
        <v>1233</v>
      </c>
      <c r="W45" s="59">
        <f t="shared" si="0"/>
        <v>1.9087353155244772E-5</v>
      </c>
    </row>
    <row r="46" spans="1:29">
      <c r="A46" s="13" t="s">
        <v>1744</v>
      </c>
      <c r="B46" s="13" t="s">
        <v>471</v>
      </c>
      <c r="C46" s="139">
        <v>46224</v>
      </c>
      <c r="D46" s="139" t="s">
        <v>441</v>
      </c>
      <c r="E46" s="28">
        <v>0.99912407000000003</v>
      </c>
      <c r="F46" s="13"/>
      <c r="G46" s="18">
        <v>15219785.369999999</v>
      </c>
      <c r="H46" s="18">
        <v>15206453.85</v>
      </c>
      <c r="I46" s="18">
        <v>15219785.369999999</v>
      </c>
      <c r="J46" s="18">
        <v>15206453.85</v>
      </c>
      <c r="K46" s="15">
        <v>84234464</v>
      </c>
      <c r="L46" s="13" t="s">
        <v>102</v>
      </c>
      <c r="M46" s="13" t="s">
        <v>103</v>
      </c>
      <c r="N46" s="139" t="s">
        <v>457</v>
      </c>
      <c r="O46" s="139" t="s">
        <v>457</v>
      </c>
      <c r="P46" s="28">
        <v>32</v>
      </c>
      <c r="Q46" s="13" t="s">
        <v>54</v>
      </c>
      <c r="R46" s="13" t="s">
        <v>28</v>
      </c>
      <c r="S46" s="13"/>
      <c r="T46" s="13"/>
      <c r="U46" s="13" t="s">
        <v>1743</v>
      </c>
      <c r="V46" s="13" t="s">
        <v>1743</v>
      </c>
      <c r="W46" s="59">
        <f t="shared" si="0"/>
        <v>2.9051337269830619E-4</v>
      </c>
    </row>
    <row r="47" spans="1:29">
      <c r="A47" s="13" t="s">
        <v>122</v>
      </c>
      <c r="B47" s="13" t="s">
        <v>471</v>
      </c>
      <c r="C47" s="139">
        <v>46224</v>
      </c>
      <c r="D47" s="139" t="s">
        <v>441</v>
      </c>
      <c r="E47" s="28">
        <v>0.99874130999999999</v>
      </c>
      <c r="F47" s="13"/>
      <c r="G47" s="18">
        <v>10000000</v>
      </c>
      <c r="H47" s="18">
        <v>9987413.1400000006</v>
      </c>
      <c r="I47" s="18">
        <v>10000000</v>
      </c>
      <c r="J47" s="18">
        <v>9987413.1400000006</v>
      </c>
      <c r="K47" s="15">
        <v>3925</v>
      </c>
      <c r="L47" s="13" t="s">
        <v>102</v>
      </c>
      <c r="M47" s="13" t="s">
        <v>103</v>
      </c>
      <c r="N47" s="139" t="s">
        <v>121</v>
      </c>
      <c r="O47" s="139" t="s">
        <v>121</v>
      </c>
      <c r="P47" s="28">
        <v>46</v>
      </c>
      <c r="Q47" s="13" t="s">
        <v>54</v>
      </c>
      <c r="R47" s="13" t="s">
        <v>28</v>
      </c>
      <c r="S47" s="13"/>
      <c r="T47" s="13"/>
      <c r="U47" s="13" t="s">
        <v>167</v>
      </c>
      <c r="V47" s="13" t="s">
        <v>167</v>
      </c>
      <c r="W47" s="59">
        <f t="shared" si="0"/>
        <v>1.9080563453212866E-4</v>
      </c>
    </row>
    <row r="48" spans="1:29">
      <c r="A48" s="13" t="s">
        <v>242</v>
      </c>
      <c r="B48" s="13" t="s">
        <v>471</v>
      </c>
      <c r="C48" s="139">
        <v>46224</v>
      </c>
      <c r="D48" s="139" t="s">
        <v>441</v>
      </c>
      <c r="E48" s="28">
        <v>0.99890531000000005</v>
      </c>
      <c r="F48" s="13"/>
      <c r="G48" s="18">
        <v>4100000</v>
      </c>
      <c r="H48" s="18">
        <v>4095511.77</v>
      </c>
      <c r="I48" s="18">
        <v>4100000</v>
      </c>
      <c r="J48" s="18">
        <v>4095511.77</v>
      </c>
      <c r="K48" s="15">
        <v>1022</v>
      </c>
      <c r="L48" s="13" t="s">
        <v>102</v>
      </c>
      <c r="M48" s="13" t="s">
        <v>103</v>
      </c>
      <c r="N48" s="139" t="s">
        <v>258</v>
      </c>
      <c r="O48" s="139" t="s">
        <v>258</v>
      </c>
      <c r="P48" s="28">
        <v>40</v>
      </c>
      <c r="Q48" s="13" t="s">
        <v>54</v>
      </c>
      <c r="R48" s="13" t="s">
        <v>28</v>
      </c>
      <c r="S48" s="13"/>
      <c r="T48" s="13"/>
      <c r="U48" s="13" t="s">
        <v>447</v>
      </c>
      <c r="V48" s="13" t="s">
        <v>447</v>
      </c>
      <c r="W48" s="59">
        <f t="shared" si="0"/>
        <v>7.824315576562314E-5</v>
      </c>
    </row>
    <row r="49" spans="1:29">
      <c r="A49" s="13" t="s">
        <v>147</v>
      </c>
      <c r="B49" s="13" t="s">
        <v>471</v>
      </c>
      <c r="C49" s="139">
        <v>46224</v>
      </c>
      <c r="D49" s="139" t="s">
        <v>441</v>
      </c>
      <c r="E49" s="28">
        <v>0.99885064000000001</v>
      </c>
      <c r="F49" s="13"/>
      <c r="G49" s="18">
        <v>20000000</v>
      </c>
      <c r="H49" s="18">
        <v>19977012.82</v>
      </c>
      <c r="I49" s="18">
        <v>20000000</v>
      </c>
      <c r="J49" s="18">
        <v>19977012.82</v>
      </c>
      <c r="K49" s="15">
        <v>4022</v>
      </c>
      <c r="L49" s="13" t="s">
        <v>102</v>
      </c>
      <c r="M49" s="13" t="s">
        <v>103</v>
      </c>
      <c r="N49" s="139" t="s">
        <v>241</v>
      </c>
      <c r="O49" s="139" t="s">
        <v>241</v>
      </c>
      <c r="P49" s="28">
        <v>42</v>
      </c>
      <c r="Q49" s="13" t="s">
        <v>54</v>
      </c>
      <c r="R49" s="13" t="s">
        <v>28</v>
      </c>
      <c r="S49" s="13"/>
      <c r="T49" s="13"/>
      <c r="U49" s="13" t="s">
        <v>482</v>
      </c>
      <c r="V49" s="13" t="s">
        <v>482</v>
      </c>
      <c r="W49" s="59">
        <f t="shared" si="0"/>
        <v>3.8165304205855339E-4</v>
      </c>
    </row>
    <row r="50" spans="1:29">
      <c r="A50" s="13" t="s">
        <v>1508</v>
      </c>
      <c r="B50" s="13" t="s">
        <v>471</v>
      </c>
      <c r="C50" s="139">
        <v>46224</v>
      </c>
      <c r="D50" s="139" t="s">
        <v>441</v>
      </c>
      <c r="E50" s="28">
        <v>0.99917876999999999</v>
      </c>
      <c r="F50" s="13"/>
      <c r="G50" s="18">
        <v>5766326.21</v>
      </c>
      <c r="H50" s="18">
        <v>5761590.71</v>
      </c>
      <c r="I50" s="18">
        <v>5766326.21</v>
      </c>
      <c r="J50" s="18">
        <v>5761590.71</v>
      </c>
      <c r="K50" s="15">
        <v>59</v>
      </c>
      <c r="L50" s="13" t="s">
        <v>102</v>
      </c>
      <c r="M50" s="13" t="s">
        <v>103</v>
      </c>
      <c r="N50" s="139" t="s">
        <v>509</v>
      </c>
      <c r="O50" s="139" t="s">
        <v>509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2036</v>
      </c>
      <c r="V50" s="13" t="s">
        <v>2036</v>
      </c>
      <c r="W50" s="59">
        <f t="shared" si="0"/>
        <v>1.1007294440770151E-4</v>
      </c>
    </row>
    <row r="51" spans="1:29">
      <c r="A51" s="13" t="s">
        <v>340</v>
      </c>
      <c r="B51" s="13" t="s">
        <v>471</v>
      </c>
      <c r="C51" s="139">
        <v>46224</v>
      </c>
      <c r="D51" s="139" t="s">
        <v>441</v>
      </c>
      <c r="E51" s="28">
        <v>0.99898732999999995</v>
      </c>
      <c r="F51" s="13"/>
      <c r="G51" s="18">
        <v>5000000</v>
      </c>
      <c r="H51" s="18">
        <v>4994936.66</v>
      </c>
      <c r="I51" s="18">
        <v>5000000</v>
      </c>
      <c r="J51" s="18">
        <v>4994936.66</v>
      </c>
      <c r="K51" s="15">
        <v>40734601</v>
      </c>
      <c r="L51" s="13" t="s">
        <v>102</v>
      </c>
      <c r="M51" s="13" t="s">
        <v>103</v>
      </c>
      <c r="N51" s="139" t="s">
        <v>326</v>
      </c>
      <c r="O51" s="139" t="s">
        <v>326</v>
      </c>
      <c r="P51" s="28">
        <v>37</v>
      </c>
      <c r="Q51" s="13" t="s">
        <v>54</v>
      </c>
      <c r="R51" s="13" t="s">
        <v>28</v>
      </c>
      <c r="S51" s="13"/>
      <c r="T51" s="13"/>
      <c r="U51" s="13" t="s">
        <v>972</v>
      </c>
      <c r="V51" s="13" t="s">
        <v>972</v>
      </c>
      <c r="W51" s="59">
        <f t="shared" si="0"/>
        <v>9.5426317655974256E-5</v>
      </c>
      <c r="AC51" s="56"/>
    </row>
    <row r="52" spans="1:29">
      <c r="A52" s="13" t="s">
        <v>340</v>
      </c>
      <c r="B52" s="13" t="s">
        <v>471</v>
      </c>
      <c r="C52" s="139">
        <v>46224</v>
      </c>
      <c r="D52" s="139" t="s">
        <v>441</v>
      </c>
      <c r="E52" s="28">
        <v>0.99901466999999999</v>
      </c>
      <c r="F52" s="13"/>
      <c r="G52" s="18">
        <v>3750000</v>
      </c>
      <c r="H52" s="18">
        <v>3746305.01</v>
      </c>
      <c r="I52" s="18">
        <v>3750000</v>
      </c>
      <c r="J52" s="18">
        <v>3746305.01</v>
      </c>
      <c r="K52" s="15">
        <v>40742998</v>
      </c>
      <c r="L52" s="13" t="s">
        <v>102</v>
      </c>
      <c r="M52" s="13" t="s">
        <v>103</v>
      </c>
      <c r="N52" s="139" t="s">
        <v>362</v>
      </c>
      <c r="O52" s="139" t="s">
        <v>362</v>
      </c>
      <c r="P52" s="28">
        <v>36</v>
      </c>
      <c r="Q52" s="13" t="s">
        <v>54</v>
      </c>
      <c r="R52" s="13" t="s">
        <v>28</v>
      </c>
      <c r="S52" s="13"/>
      <c r="T52" s="13"/>
      <c r="U52" s="13" t="s">
        <v>1100</v>
      </c>
      <c r="V52" s="13" t="s">
        <v>1100</v>
      </c>
      <c r="W52" s="59">
        <f t="shared" si="0"/>
        <v>7.1571696751091091E-5</v>
      </c>
    </row>
    <row r="53" spans="1:29">
      <c r="A53" s="13" t="s">
        <v>1277</v>
      </c>
      <c r="B53" s="13" t="s">
        <v>471</v>
      </c>
      <c r="C53" s="139">
        <v>46224</v>
      </c>
      <c r="D53" s="139" t="s">
        <v>441</v>
      </c>
      <c r="E53" s="28">
        <v>0.99909671</v>
      </c>
      <c r="F53" s="13"/>
      <c r="G53" s="18">
        <v>1583767.68</v>
      </c>
      <c r="H53" s="18">
        <v>1582337.08</v>
      </c>
      <c r="I53" s="18">
        <v>1583767.68</v>
      </c>
      <c r="J53" s="18">
        <v>1582337.08</v>
      </c>
      <c r="K53" s="15">
        <v>90015591</v>
      </c>
      <c r="L53" s="13" t="s">
        <v>102</v>
      </c>
      <c r="M53" s="13" t="s">
        <v>103</v>
      </c>
      <c r="N53" s="139" t="s">
        <v>319</v>
      </c>
      <c r="O53" s="139" t="s">
        <v>319</v>
      </c>
      <c r="P53" s="28">
        <v>33</v>
      </c>
      <c r="Q53" s="13" t="s">
        <v>54</v>
      </c>
      <c r="R53" s="13" t="s">
        <v>28</v>
      </c>
      <c r="S53" s="13"/>
      <c r="T53" s="13"/>
      <c r="U53" s="13" t="s">
        <v>1255</v>
      </c>
      <c r="V53" s="13" t="s">
        <v>1255</v>
      </c>
      <c r="W53" s="59">
        <f t="shared" si="0"/>
        <v>3.0229933052826091E-5</v>
      </c>
      <c r="AC53" s="56"/>
    </row>
    <row r="54" spans="1:29">
      <c r="A54" s="13" t="s">
        <v>698</v>
      </c>
      <c r="B54" s="13" t="s">
        <v>471</v>
      </c>
      <c r="C54" s="139">
        <v>46225</v>
      </c>
      <c r="D54" s="139" t="s">
        <v>441</v>
      </c>
      <c r="E54" s="28">
        <v>0.99841347999999996</v>
      </c>
      <c r="F54" s="13"/>
      <c r="G54" s="18">
        <v>5000000</v>
      </c>
      <c r="H54" s="18">
        <v>4992067.42</v>
      </c>
      <c r="I54" s="18">
        <v>5000000</v>
      </c>
      <c r="J54" s="18">
        <v>4992067.42</v>
      </c>
      <c r="K54" s="15">
        <v>16771075</v>
      </c>
      <c r="L54" s="13" t="s">
        <v>102</v>
      </c>
      <c r="M54" s="13" t="s">
        <v>103</v>
      </c>
      <c r="N54" s="139" t="s">
        <v>397</v>
      </c>
      <c r="O54" s="139" t="s">
        <v>397</v>
      </c>
      <c r="P54" s="28">
        <v>29</v>
      </c>
      <c r="Q54" s="13" t="s">
        <v>54</v>
      </c>
      <c r="R54" s="13" t="s">
        <v>28</v>
      </c>
      <c r="S54" s="13"/>
      <c r="T54" s="13"/>
      <c r="U54" s="13" t="s">
        <v>663</v>
      </c>
      <c r="V54" s="13" t="s">
        <v>663</v>
      </c>
      <c r="W54" s="59">
        <f t="shared" si="0"/>
        <v>9.5371501944322917E-5</v>
      </c>
    </row>
    <row r="55" spans="1:29">
      <c r="A55" s="13" t="s">
        <v>581</v>
      </c>
      <c r="B55" s="13" t="s">
        <v>471</v>
      </c>
      <c r="C55" s="139">
        <v>46225</v>
      </c>
      <c r="D55" s="139" t="s">
        <v>441</v>
      </c>
      <c r="E55" s="28">
        <v>0.99863203</v>
      </c>
      <c r="F55" s="13"/>
      <c r="G55" s="18">
        <v>42634813.590000004</v>
      </c>
      <c r="H55" s="18">
        <v>42576490.57</v>
      </c>
      <c r="I55" s="18">
        <v>42634813.590000004</v>
      </c>
      <c r="J55" s="18">
        <v>42576490.57</v>
      </c>
      <c r="K55" s="15">
        <v>588</v>
      </c>
      <c r="L55" s="13" t="s">
        <v>102</v>
      </c>
      <c r="M55" s="13" t="s">
        <v>103</v>
      </c>
      <c r="N55" s="139" t="s">
        <v>172</v>
      </c>
      <c r="O55" s="139" t="s">
        <v>172</v>
      </c>
      <c r="P55" s="28">
        <v>25</v>
      </c>
      <c r="Q55" s="13" t="s">
        <v>54</v>
      </c>
      <c r="R55" s="13" t="s">
        <v>28</v>
      </c>
      <c r="S55" s="13"/>
      <c r="T55" s="13"/>
      <c r="U55" s="13" t="s">
        <v>1789</v>
      </c>
      <c r="V55" s="13" t="s">
        <v>1789</v>
      </c>
      <c r="W55" s="59">
        <f t="shared" si="0"/>
        <v>8.134072542592387E-4</v>
      </c>
    </row>
    <row r="56" spans="1:29">
      <c r="A56" s="13" t="s">
        <v>581</v>
      </c>
      <c r="B56" s="13" t="s">
        <v>471</v>
      </c>
      <c r="C56" s="139">
        <v>46225</v>
      </c>
      <c r="D56" s="139" t="s">
        <v>441</v>
      </c>
      <c r="E56" s="28">
        <v>0.99863203</v>
      </c>
      <c r="F56" s="13"/>
      <c r="G56" s="18">
        <v>9902875.5</v>
      </c>
      <c r="H56" s="18">
        <v>9889328.6899999995</v>
      </c>
      <c r="I56" s="18">
        <v>9902875.5</v>
      </c>
      <c r="J56" s="18">
        <v>9889328.6899999995</v>
      </c>
      <c r="K56" s="15">
        <v>29577227</v>
      </c>
      <c r="L56" s="13" t="s">
        <v>102</v>
      </c>
      <c r="M56" s="13" t="s">
        <v>103</v>
      </c>
      <c r="N56" s="139" t="s">
        <v>172</v>
      </c>
      <c r="O56" s="139" t="s">
        <v>172</v>
      </c>
      <c r="P56" s="28">
        <v>25</v>
      </c>
      <c r="Q56" s="13" t="s">
        <v>54</v>
      </c>
      <c r="R56" s="13" t="s">
        <v>28</v>
      </c>
      <c r="S56" s="13"/>
      <c r="T56" s="13"/>
      <c r="U56" s="13" t="s">
        <v>1806</v>
      </c>
      <c r="V56" s="13" t="s">
        <v>1806</v>
      </c>
      <c r="W56" s="59">
        <f t="shared" si="0"/>
        <v>1.8893176935226236E-4</v>
      </c>
    </row>
    <row r="57" spans="1:29">
      <c r="A57" s="13" t="s">
        <v>581</v>
      </c>
      <c r="B57" s="13" t="s">
        <v>471</v>
      </c>
      <c r="C57" s="139">
        <v>46225</v>
      </c>
      <c r="D57" s="139" t="s">
        <v>441</v>
      </c>
      <c r="E57" s="28">
        <v>0.99863203</v>
      </c>
      <c r="F57" s="13"/>
      <c r="G57" s="18">
        <v>1000000</v>
      </c>
      <c r="H57" s="18">
        <v>998632.03</v>
      </c>
      <c r="I57" s="18">
        <v>1000000</v>
      </c>
      <c r="J57" s="18">
        <v>998632.03</v>
      </c>
      <c r="K57" s="15">
        <v>10174481</v>
      </c>
      <c r="L57" s="13" t="s">
        <v>102</v>
      </c>
      <c r="M57" s="13" t="s">
        <v>103</v>
      </c>
      <c r="N57" s="139" t="s">
        <v>172</v>
      </c>
      <c r="O57" s="139" t="s">
        <v>172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1808</v>
      </c>
      <c r="V57" s="13" t="s">
        <v>1808</v>
      </c>
      <c r="W57" s="59">
        <f t="shared" si="0"/>
        <v>1.9078475624996296E-5</v>
      </c>
    </row>
    <row r="58" spans="1:29">
      <c r="A58" s="13" t="s">
        <v>581</v>
      </c>
      <c r="B58" s="13" t="s">
        <v>471</v>
      </c>
      <c r="C58" s="139">
        <v>46225</v>
      </c>
      <c r="D58" s="139" t="s">
        <v>441</v>
      </c>
      <c r="E58" s="28">
        <v>0.99863203</v>
      </c>
      <c r="F58" s="13"/>
      <c r="G58" s="18">
        <v>2008734.21</v>
      </c>
      <c r="H58" s="18">
        <v>2005986.33</v>
      </c>
      <c r="I58" s="18">
        <v>2008734.21</v>
      </c>
      <c r="J58" s="18">
        <v>2005986.33</v>
      </c>
      <c r="K58" s="15">
        <v>842389</v>
      </c>
      <c r="L58" s="13" t="s">
        <v>102</v>
      </c>
      <c r="M58" s="13" t="s">
        <v>103</v>
      </c>
      <c r="N58" s="139" t="s">
        <v>172</v>
      </c>
      <c r="O58" s="139" t="s">
        <v>172</v>
      </c>
      <c r="P58" s="28">
        <v>25</v>
      </c>
      <c r="Q58" s="13" t="s">
        <v>54</v>
      </c>
      <c r="R58" s="13" t="s">
        <v>28</v>
      </c>
      <c r="S58" s="13"/>
      <c r="T58" s="13"/>
      <c r="U58" s="13" t="s">
        <v>1809</v>
      </c>
      <c r="V58" s="13" t="s">
        <v>1809</v>
      </c>
      <c r="W58" s="59">
        <f t="shared" si="0"/>
        <v>3.8323586818040251E-5</v>
      </c>
    </row>
    <row r="59" spans="1:29">
      <c r="A59" s="13" t="s">
        <v>581</v>
      </c>
      <c r="B59" s="13" t="s">
        <v>471</v>
      </c>
      <c r="C59" s="139">
        <v>46225</v>
      </c>
      <c r="D59" s="139" t="s">
        <v>441</v>
      </c>
      <c r="E59" s="28">
        <v>0.99863203</v>
      </c>
      <c r="F59" s="13"/>
      <c r="G59" s="18">
        <v>1000000</v>
      </c>
      <c r="H59" s="18">
        <v>998632.03</v>
      </c>
      <c r="I59" s="18">
        <v>1000000</v>
      </c>
      <c r="J59" s="18">
        <v>998632.03</v>
      </c>
      <c r="K59" s="15">
        <v>850</v>
      </c>
      <c r="L59" s="13" t="s">
        <v>102</v>
      </c>
      <c r="M59" s="13" t="s">
        <v>103</v>
      </c>
      <c r="N59" s="139" t="s">
        <v>172</v>
      </c>
      <c r="O59" s="139" t="s">
        <v>172</v>
      </c>
      <c r="P59" s="28">
        <v>25</v>
      </c>
      <c r="Q59" s="13" t="s">
        <v>54</v>
      </c>
      <c r="R59" s="13" t="s">
        <v>28</v>
      </c>
      <c r="S59" s="13"/>
      <c r="T59" s="13"/>
      <c r="U59" s="13" t="s">
        <v>1810</v>
      </c>
      <c r="V59" s="13" t="s">
        <v>1810</v>
      </c>
      <c r="W59" s="59">
        <f t="shared" si="0"/>
        <v>1.9078475624996296E-5</v>
      </c>
    </row>
    <row r="60" spans="1:29">
      <c r="A60" s="13" t="s">
        <v>581</v>
      </c>
      <c r="B60" s="13" t="s">
        <v>471</v>
      </c>
      <c r="C60" s="139">
        <v>46225</v>
      </c>
      <c r="D60" s="139" t="s">
        <v>441</v>
      </c>
      <c r="E60" s="28">
        <v>0.99863203</v>
      </c>
      <c r="F60" s="13"/>
      <c r="G60" s="18">
        <v>1948054</v>
      </c>
      <c r="H60" s="18">
        <v>1945389.13</v>
      </c>
      <c r="I60" s="18">
        <v>1948054</v>
      </c>
      <c r="J60" s="18">
        <v>1945389.13</v>
      </c>
      <c r="K60" s="15">
        <v>10035319</v>
      </c>
      <c r="L60" s="13" t="s">
        <v>102</v>
      </c>
      <c r="M60" s="13" t="s">
        <v>103</v>
      </c>
      <c r="N60" s="139" t="s">
        <v>172</v>
      </c>
      <c r="O60" s="139" t="s">
        <v>172</v>
      </c>
      <c r="P60" s="28">
        <v>25</v>
      </c>
      <c r="Q60" s="13" t="s">
        <v>54</v>
      </c>
      <c r="R60" s="13" t="s">
        <v>28</v>
      </c>
      <c r="S60" s="13"/>
      <c r="T60" s="13"/>
      <c r="U60" s="13" t="s">
        <v>1811</v>
      </c>
      <c r="V60" s="13" t="s">
        <v>1811</v>
      </c>
      <c r="W60" s="59">
        <f t="shared" si="0"/>
        <v>3.7165900935340268E-5</v>
      </c>
    </row>
    <row r="61" spans="1:29">
      <c r="A61" s="13" t="s">
        <v>581</v>
      </c>
      <c r="B61" s="13" t="s">
        <v>471</v>
      </c>
      <c r="C61" s="139">
        <v>46225</v>
      </c>
      <c r="D61" s="139" t="s">
        <v>441</v>
      </c>
      <c r="E61" s="28">
        <v>0.99863203</v>
      </c>
      <c r="F61" s="13"/>
      <c r="G61" s="18">
        <v>500000</v>
      </c>
      <c r="H61" s="18">
        <v>499316.02</v>
      </c>
      <c r="I61" s="18">
        <v>500000</v>
      </c>
      <c r="J61" s="18">
        <v>499316.02</v>
      </c>
      <c r="K61" s="15">
        <v>851</v>
      </c>
      <c r="L61" s="13" t="s">
        <v>102</v>
      </c>
      <c r="M61" s="13" t="s">
        <v>103</v>
      </c>
      <c r="N61" s="139" t="s">
        <v>172</v>
      </c>
      <c r="O61" s="139" t="s">
        <v>172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1814</v>
      </c>
      <c r="V61" s="13" t="s">
        <v>1814</v>
      </c>
      <c r="W61" s="59">
        <f t="shared" si="0"/>
        <v>9.5392379080211995E-6</v>
      </c>
    </row>
    <row r="62" spans="1:29">
      <c r="A62" s="13" t="s">
        <v>581</v>
      </c>
      <c r="B62" s="13" t="s">
        <v>471</v>
      </c>
      <c r="C62" s="139">
        <v>46225</v>
      </c>
      <c r="D62" s="139" t="s">
        <v>441</v>
      </c>
      <c r="E62" s="28">
        <v>0.99863203</v>
      </c>
      <c r="F62" s="13"/>
      <c r="G62" s="18">
        <v>5000000</v>
      </c>
      <c r="H62" s="18">
        <v>4993160.17</v>
      </c>
      <c r="I62" s="18">
        <v>5000000</v>
      </c>
      <c r="J62" s="18">
        <v>4993160.17</v>
      </c>
      <c r="K62" s="15">
        <v>44500100</v>
      </c>
      <c r="L62" s="13" t="s">
        <v>102</v>
      </c>
      <c r="M62" s="13" t="s">
        <v>103</v>
      </c>
      <c r="N62" s="139" t="s">
        <v>172</v>
      </c>
      <c r="O62" s="139" t="s">
        <v>172</v>
      </c>
      <c r="P62" s="28">
        <v>25</v>
      </c>
      <c r="Q62" s="13" t="s">
        <v>54</v>
      </c>
      <c r="R62" s="13" t="s">
        <v>28</v>
      </c>
      <c r="S62" s="13"/>
      <c r="T62" s="13"/>
      <c r="U62" s="13" t="s">
        <v>1815</v>
      </c>
      <c r="V62" s="13" t="s">
        <v>1815</v>
      </c>
      <c r="W62" s="59">
        <f t="shared" si="0"/>
        <v>9.539237850707369E-5</v>
      </c>
    </row>
    <row r="63" spans="1:29">
      <c r="A63" s="13" t="s">
        <v>1269</v>
      </c>
      <c r="B63" s="13" t="s">
        <v>471</v>
      </c>
      <c r="C63" s="139">
        <v>46225</v>
      </c>
      <c r="D63" s="139" t="s">
        <v>441</v>
      </c>
      <c r="E63" s="28">
        <v>0.99819504999999997</v>
      </c>
      <c r="F63" s="13"/>
      <c r="G63" s="18">
        <v>1701000</v>
      </c>
      <c r="H63" s="18">
        <v>1697929.78</v>
      </c>
      <c r="I63" s="18">
        <v>1701000</v>
      </c>
      <c r="J63" s="18">
        <v>1697929.78</v>
      </c>
      <c r="K63" s="15">
        <v>67242828</v>
      </c>
      <c r="L63" s="13" t="s">
        <v>102</v>
      </c>
      <c r="M63" s="13" t="s">
        <v>103</v>
      </c>
      <c r="N63" s="139" t="s">
        <v>319</v>
      </c>
      <c r="O63" s="139" t="s">
        <v>319</v>
      </c>
      <c r="P63" s="28">
        <v>33</v>
      </c>
      <c r="Q63" s="13" t="s">
        <v>54</v>
      </c>
      <c r="R63" s="13" t="s">
        <v>28</v>
      </c>
      <c r="S63" s="13"/>
      <c r="T63" s="13"/>
      <c r="U63" s="13" t="s">
        <v>1246</v>
      </c>
      <c r="V63" s="13" t="s">
        <v>1246</v>
      </c>
      <c r="W63" s="59">
        <f t="shared" si="0"/>
        <v>3.2438286523500879E-5</v>
      </c>
      <c r="AC63" s="56"/>
    </row>
    <row r="64" spans="1:29">
      <c r="A64" s="13" t="s">
        <v>1270</v>
      </c>
      <c r="B64" s="13" t="s">
        <v>471</v>
      </c>
      <c r="C64" s="139">
        <v>46225</v>
      </c>
      <c r="D64" s="139" t="s">
        <v>441</v>
      </c>
      <c r="E64" s="28">
        <v>0.99819504000000003</v>
      </c>
      <c r="F64" s="13"/>
      <c r="G64" s="18">
        <v>2300000</v>
      </c>
      <c r="H64" s="18">
        <v>2295848.6</v>
      </c>
      <c r="I64" s="18">
        <v>2300000</v>
      </c>
      <c r="J64" s="18">
        <v>2295848.6</v>
      </c>
      <c r="K64" s="15">
        <v>1395</v>
      </c>
      <c r="L64" s="13" t="s">
        <v>102</v>
      </c>
      <c r="M64" s="13" t="s">
        <v>103</v>
      </c>
      <c r="N64" s="139" t="s">
        <v>319</v>
      </c>
      <c r="O64" s="139" t="s">
        <v>319</v>
      </c>
      <c r="P64" s="28">
        <v>33</v>
      </c>
      <c r="Q64" s="13" t="s">
        <v>54</v>
      </c>
      <c r="R64" s="13" t="s">
        <v>28</v>
      </c>
      <c r="S64" s="13"/>
      <c r="T64" s="13"/>
      <c r="U64" s="13" t="s">
        <v>1248</v>
      </c>
      <c r="V64" s="13" t="s">
        <v>1248</v>
      </c>
      <c r="W64" s="59">
        <f t="shared" si="0"/>
        <v>4.3861292486064034E-5</v>
      </c>
    </row>
    <row r="65" spans="1:29">
      <c r="A65" s="13" t="s">
        <v>1276</v>
      </c>
      <c r="B65" s="13" t="s">
        <v>471</v>
      </c>
      <c r="C65" s="139">
        <v>46225</v>
      </c>
      <c r="D65" s="139" t="s">
        <v>441</v>
      </c>
      <c r="E65" s="28">
        <v>0.99819504999999997</v>
      </c>
      <c r="F65" s="13"/>
      <c r="G65" s="18">
        <v>1211666.8</v>
      </c>
      <c r="H65" s="18">
        <v>1209479.8</v>
      </c>
      <c r="I65" s="18">
        <v>1211666.8</v>
      </c>
      <c r="J65" s="18">
        <v>1209479.8</v>
      </c>
      <c r="K65" s="15">
        <v>1798382</v>
      </c>
      <c r="L65" s="13" t="s">
        <v>102</v>
      </c>
      <c r="M65" s="13" t="s">
        <v>103</v>
      </c>
      <c r="N65" s="139" t="s">
        <v>319</v>
      </c>
      <c r="O65" s="139" t="s">
        <v>319</v>
      </c>
      <c r="P65" s="28">
        <v>33</v>
      </c>
      <c r="Q65" s="13" t="s">
        <v>54</v>
      </c>
      <c r="R65" s="13" t="s">
        <v>28</v>
      </c>
      <c r="S65" s="13"/>
      <c r="T65" s="13"/>
      <c r="U65" s="13" t="s">
        <v>1260</v>
      </c>
      <c r="V65" s="13" t="s">
        <v>1260</v>
      </c>
      <c r="W65" s="59">
        <f t="shared" si="0"/>
        <v>2.3106640073646943E-5</v>
      </c>
    </row>
    <row r="66" spans="1:29">
      <c r="A66" s="13" t="s">
        <v>1429</v>
      </c>
      <c r="B66" s="13" t="s">
        <v>471</v>
      </c>
      <c r="C66" s="139">
        <v>46225</v>
      </c>
      <c r="D66" s="139" t="s">
        <v>441</v>
      </c>
      <c r="E66" s="28">
        <v>0.99824966000000004</v>
      </c>
      <c r="F66" s="13"/>
      <c r="G66" s="18">
        <v>5188161.21</v>
      </c>
      <c r="H66" s="18">
        <v>5179080.1500000004</v>
      </c>
      <c r="I66" s="18">
        <v>5188161.21</v>
      </c>
      <c r="J66" s="18">
        <v>5179080.1500000004</v>
      </c>
      <c r="K66" s="15">
        <v>6570</v>
      </c>
      <c r="L66" s="13" t="s">
        <v>102</v>
      </c>
      <c r="M66" s="13" t="s">
        <v>103</v>
      </c>
      <c r="N66" s="139" t="s">
        <v>373</v>
      </c>
      <c r="O66" s="139" t="s">
        <v>373</v>
      </c>
      <c r="P66" s="28">
        <v>32</v>
      </c>
      <c r="Q66" s="13" t="s">
        <v>54</v>
      </c>
      <c r="R66" s="13" t="s">
        <v>28</v>
      </c>
      <c r="S66" s="13"/>
      <c r="T66" s="13"/>
      <c r="U66" s="13" t="s">
        <v>1430</v>
      </c>
      <c r="V66" s="13" t="s">
        <v>1430</v>
      </c>
      <c r="W66" s="59">
        <f t="shared" si="0"/>
        <v>9.8944307245660019E-5</v>
      </c>
    </row>
    <row r="67" spans="1:29">
      <c r="A67" s="13" t="s">
        <v>1438</v>
      </c>
      <c r="B67" s="13" t="s">
        <v>471</v>
      </c>
      <c r="C67" s="139">
        <v>46225</v>
      </c>
      <c r="D67" s="139" t="s">
        <v>441</v>
      </c>
      <c r="E67" s="28">
        <v>0.99824966000000004</v>
      </c>
      <c r="F67" s="13"/>
      <c r="G67" s="18">
        <v>1050000</v>
      </c>
      <c r="H67" s="18">
        <v>1048162.14</v>
      </c>
      <c r="I67" s="18">
        <v>1050000</v>
      </c>
      <c r="J67" s="18">
        <v>1048162.14</v>
      </c>
      <c r="K67" s="15">
        <v>3467332</v>
      </c>
      <c r="L67" s="13" t="s">
        <v>102</v>
      </c>
      <c r="M67" s="13" t="s">
        <v>103</v>
      </c>
      <c r="N67" s="139" t="s">
        <v>373</v>
      </c>
      <c r="O67" s="139" t="s">
        <v>373</v>
      </c>
      <c r="P67" s="28">
        <v>32</v>
      </c>
      <c r="Q67" s="13" t="s">
        <v>54</v>
      </c>
      <c r="R67" s="13" t="s">
        <v>28</v>
      </c>
      <c r="S67" s="13"/>
      <c r="T67" s="13"/>
      <c r="U67" s="13" t="s">
        <v>1439</v>
      </c>
      <c r="V67" s="13" t="s">
        <v>1439</v>
      </c>
      <c r="W67" s="59">
        <f t="shared" si="0"/>
        <v>2.0024729067656639E-5</v>
      </c>
    </row>
    <row r="68" spans="1:29">
      <c r="A68" s="13" t="s">
        <v>1446</v>
      </c>
      <c r="B68" s="13" t="s">
        <v>471</v>
      </c>
      <c r="C68" s="139">
        <v>46225</v>
      </c>
      <c r="D68" s="139" t="s">
        <v>441</v>
      </c>
      <c r="E68" s="28">
        <v>0.99824966000000004</v>
      </c>
      <c r="F68" s="13"/>
      <c r="G68" s="18">
        <v>1982063.64</v>
      </c>
      <c r="H68" s="18">
        <v>1978594.35</v>
      </c>
      <c r="I68" s="18">
        <v>1982063.64</v>
      </c>
      <c r="J68" s="18">
        <v>1978594.35</v>
      </c>
      <c r="K68" s="15">
        <v>11265545</v>
      </c>
      <c r="L68" s="13" t="s">
        <v>102</v>
      </c>
      <c r="M68" s="13" t="s">
        <v>103</v>
      </c>
      <c r="N68" s="139" t="s">
        <v>373</v>
      </c>
      <c r="O68" s="139" t="s">
        <v>373</v>
      </c>
      <c r="P68" s="28">
        <v>32</v>
      </c>
      <c r="Q68" s="13" t="s">
        <v>54</v>
      </c>
      <c r="R68" s="13" t="s">
        <v>28</v>
      </c>
      <c r="S68" s="13"/>
      <c r="T68" s="13"/>
      <c r="U68" s="13" t="s">
        <v>1447</v>
      </c>
      <c r="V68" s="13" t="s">
        <v>1447</v>
      </c>
      <c r="W68" s="59">
        <f t="shared" si="0"/>
        <v>3.7800273718669323E-5</v>
      </c>
    </row>
    <row r="69" spans="1:29">
      <c r="A69" s="13" t="s">
        <v>1863</v>
      </c>
      <c r="B69" s="13" t="s">
        <v>471</v>
      </c>
      <c r="C69" s="139">
        <v>46225</v>
      </c>
      <c r="D69" s="139" t="s">
        <v>441</v>
      </c>
      <c r="E69" s="28">
        <v>0.99879598999999997</v>
      </c>
      <c r="F69" s="13"/>
      <c r="G69" s="18">
        <v>39141775.439999998</v>
      </c>
      <c r="H69" s="18">
        <v>39094648.359999999</v>
      </c>
      <c r="I69" s="18">
        <v>39141775.439999998</v>
      </c>
      <c r="J69" s="18">
        <v>39094648.359999999</v>
      </c>
      <c r="K69" s="15">
        <v>68114485</v>
      </c>
      <c r="L69" s="13" t="s">
        <v>102</v>
      </c>
      <c r="M69" s="13" t="s">
        <v>103</v>
      </c>
      <c r="N69" s="139" t="s">
        <v>431</v>
      </c>
      <c r="O69" s="139" t="s">
        <v>431</v>
      </c>
      <c r="P69" s="28">
        <v>22</v>
      </c>
      <c r="Q69" s="13" t="s">
        <v>54</v>
      </c>
      <c r="R69" s="13" t="s">
        <v>28</v>
      </c>
      <c r="S69" s="13"/>
      <c r="T69" s="13"/>
      <c r="U69" s="13" t="s">
        <v>1925</v>
      </c>
      <c r="V69" s="13" t="s">
        <v>1925</v>
      </c>
      <c r="W69" s="59">
        <f t="shared" ref="W69:W132" si="1">+J69/$W$2</f>
        <v>7.4688801620358743E-4</v>
      </c>
    </row>
    <row r="70" spans="1:29">
      <c r="A70" s="13" t="s">
        <v>512</v>
      </c>
      <c r="B70" s="13" t="s">
        <v>471</v>
      </c>
      <c r="C70" s="139">
        <v>46225</v>
      </c>
      <c r="D70" s="139" t="s">
        <v>441</v>
      </c>
      <c r="E70" s="28">
        <v>0.99803127999999997</v>
      </c>
      <c r="F70" s="13"/>
      <c r="G70" s="18">
        <v>20000000</v>
      </c>
      <c r="H70" s="18">
        <v>19960625.620000001</v>
      </c>
      <c r="I70" s="18">
        <v>20000000</v>
      </c>
      <c r="J70" s="18">
        <v>19960625.620000001</v>
      </c>
      <c r="K70" s="15">
        <v>422</v>
      </c>
      <c r="L70" s="13" t="s">
        <v>102</v>
      </c>
      <c r="M70" s="13" t="s">
        <v>103</v>
      </c>
      <c r="N70" s="139" t="s">
        <v>428</v>
      </c>
      <c r="O70" s="139" t="s">
        <v>428</v>
      </c>
      <c r="P70" s="28">
        <v>36</v>
      </c>
      <c r="Q70" s="13" t="s">
        <v>54</v>
      </c>
      <c r="R70" s="13" t="s">
        <v>28</v>
      </c>
      <c r="S70" s="13"/>
      <c r="T70" s="13"/>
      <c r="U70" s="13" t="s">
        <v>1122</v>
      </c>
      <c r="V70" s="13" t="s">
        <v>1122</v>
      </c>
      <c r="W70" s="59">
        <f t="shared" si="1"/>
        <v>3.8133997099096311E-4</v>
      </c>
    </row>
    <row r="71" spans="1:29">
      <c r="A71" s="13" t="s">
        <v>537</v>
      </c>
      <c r="B71" s="13" t="s">
        <v>471</v>
      </c>
      <c r="C71" s="139">
        <v>46225</v>
      </c>
      <c r="D71" s="139" t="s">
        <v>441</v>
      </c>
      <c r="E71" s="28">
        <v>0.99824964000000005</v>
      </c>
      <c r="F71" s="13"/>
      <c r="G71" s="18">
        <v>1809446</v>
      </c>
      <c r="H71" s="18">
        <v>1806278.83</v>
      </c>
      <c r="I71" s="18">
        <v>1809446</v>
      </c>
      <c r="J71" s="18">
        <v>1806278.83</v>
      </c>
      <c r="K71" s="15">
        <v>9947</v>
      </c>
      <c r="L71" s="13" t="s">
        <v>102</v>
      </c>
      <c r="M71" s="13" t="s">
        <v>103</v>
      </c>
      <c r="N71" s="139" t="s">
        <v>341</v>
      </c>
      <c r="O71" s="139" t="s">
        <v>341</v>
      </c>
      <c r="P71" s="28">
        <v>32</v>
      </c>
      <c r="Q71" s="13" t="s">
        <v>54</v>
      </c>
      <c r="R71" s="13" t="s">
        <v>28</v>
      </c>
      <c r="S71" s="13"/>
      <c r="T71" s="13"/>
      <c r="U71" s="13" t="s">
        <v>949</v>
      </c>
      <c r="V71" s="13" t="s">
        <v>949</v>
      </c>
      <c r="W71" s="59">
        <f t="shared" si="1"/>
        <v>3.4508252884800654E-5</v>
      </c>
    </row>
    <row r="72" spans="1:29">
      <c r="A72" s="13" t="s">
        <v>656</v>
      </c>
      <c r="B72" s="13" t="s">
        <v>471</v>
      </c>
      <c r="C72" s="139">
        <v>46225</v>
      </c>
      <c r="D72" s="139" t="s">
        <v>441</v>
      </c>
      <c r="E72" s="28">
        <v>0.99792214000000001</v>
      </c>
      <c r="F72" s="13"/>
      <c r="G72" s="18">
        <v>3116595.02</v>
      </c>
      <c r="H72" s="18">
        <v>3110119.17</v>
      </c>
      <c r="I72" s="18">
        <v>3116595.02</v>
      </c>
      <c r="J72" s="18">
        <v>3110119.17</v>
      </c>
      <c r="K72" s="15">
        <v>103</v>
      </c>
      <c r="L72" s="13" t="s">
        <v>102</v>
      </c>
      <c r="M72" s="13" t="s">
        <v>103</v>
      </c>
      <c r="N72" s="139" t="s">
        <v>358</v>
      </c>
      <c r="O72" s="139" t="s">
        <v>358</v>
      </c>
      <c r="P72" s="28">
        <v>38</v>
      </c>
      <c r="Q72" s="13" t="s">
        <v>54</v>
      </c>
      <c r="R72" s="13" t="s">
        <v>28</v>
      </c>
      <c r="S72" s="13"/>
      <c r="T72" s="13"/>
      <c r="U72" s="13" t="s">
        <v>609</v>
      </c>
      <c r="V72" s="13" t="s">
        <v>609</v>
      </c>
      <c r="W72" s="59">
        <f t="shared" si="1"/>
        <v>5.9417614289498314E-5</v>
      </c>
    </row>
    <row r="73" spans="1:29">
      <c r="A73" s="13" t="s">
        <v>1047</v>
      </c>
      <c r="B73" s="13" t="s">
        <v>471</v>
      </c>
      <c r="C73" s="139">
        <v>46225</v>
      </c>
      <c r="D73" s="139" t="s">
        <v>441</v>
      </c>
      <c r="E73" s="28">
        <v>0.99797670999999999</v>
      </c>
      <c r="F73" s="13"/>
      <c r="G73" s="18">
        <v>5454223.6600000001</v>
      </c>
      <c r="H73" s="18">
        <v>5443188.21</v>
      </c>
      <c r="I73" s="18">
        <v>5454223.6600000001</v>
      </c>
      <c r="J73" s="18">
        <v>5443188.21</v>
      </c>
      <c r="K73" s="15">
        <v>66786698</v>
      </c>
      <c r="L73" s="13" t="s">
        <v>102</v>
      </c>
      <c r="M73" s="13" t="s">
        <v>103</v>
      </c>
      <c r="N73" s="139" t="s">
        <v>364</v>
      </c>
      <c r="O73" s="139" t="s">
        <v>364</v>
      </c>
      <c r="P73" s="28">
        <v>37</v>
      </c>
      <c r="Q73" s="13" t="s">
        <v>54</v>
      </c>
      <c r="R73" s="13" t="s">
        <v>28</v>
      </c>
      <c r="S73" s="13"/>
      <c r="T73" s="13"/>
      <c r="U73" s="13" t="s">
        <v>1042</v>
      </c>
      <c r="V73" s="13" t="s">
        <v>1042</v>
      </c>
      <c r="W73" s="59">
        <f t="shared" si="1"/>
        <v>1.0398998877169223E-4</v>
      </c>
    </row>
    <row r="74" spans="1:29">
      <c r="A74" s="13" t="s">
        <v>197</v>
      </c>
      <c r="B74" s="13" t="s">
        <v>471</v>
      </c>
      <c r="C74" s="139">
        <v>46225</v>
      </c>
      <c r="D74" s="139" t="s">
        <v>441</v>
      </c>
      <c r="E74" s="28">
        <v>0.99890531000000005</v>
      </c>
      <c r="F74" s="13"/>
      <c r="G74" s="18">
        <v>2500000</v>
      </c>
      <c r="H74" s="18">
        <v>2497263.2799999998</v>
      </c>
      <c r="I74" s="18">
        <v>2500000</v>
      </c>
      <c r="J74" s="18">
        <v>2497263.2799999998</v>
      </c>
      <c r="K74" s="15">
        <v>6125</v>
      </c>
      <c r="L74" s="13" t="s">
        <v>102</v>
      </c>
      <c r="M74" s="13" t="s">
        <v>103</v>
      </c>
      <c r="N74" s="139" t="s">
        <v>319</v>
      </c>
      <c r="O74" s="139" t="s">
        <v>319</v>
      </c>
      <c r="P74" s="28">
        <v>20</v>
      </c>
      <c r="Q74" s="13" t="s">
        <v>54</v>
      </c>
      <c r="R74" s="13" t="s">
        <v>28</v>
      </c>
      <c r="S74" s="13"/>
      <c r="T74" s="13"/>
      <c r="U74" s="13" t="s">
        <v>1196</v>
      </c>
      <c r="V74" s="13" t="s">
        <v>1196</v>
      </c>
      <c r="W74" s="59">
        <f t="shared" si="1"/>
        <v>4.770924142767411E-5</v>
      </c>
      <c r="AC74" s="56"/>
    </row>
    <row r="75" spans="1:29">
      <c r="A75" s="13" t="s">
        <v>970</v>
      </c>
      <c r="B75" s="13" t="s">
        <v>471</v>
      </c>
      <c r="C75" s="139">
        <v>46225</v>
      </c>
      <c r="D75" s="139" t="s">
        <v>441</v>
      </c>
      <c r="E75" s="28">
        <v>0.99846811000000002</v>
      </c>
      <c r="F75" s="13"/>
      <c r="G75" s="18">
        <v>6500000</v>
      </c>
      <c r="H75" s="18">
        <v>6490042.7000000002</v>
      </c>
      <c r="I75" s="18">
        <v>6500000</v>
      </c>
      <c r="J75" s="18">
        <v>6490042.7000000002</v>
      </c>
      <c r="K75" s="15">
        <v>29175495</v>
      </c>
      <c r="L75" s="13" t="s">
        <v>102</v>
      </c>
      <c r="M75" s="13" t="s">
        <v>103</v>
      </c>
      <c r="N75" s="139" t="s">
        <v>359</v>
      </c>
      <c r="O75" s="139" t="s">
        <v>359</v>
      </c>
      <c r="P75" s="28">
        <v>28</v>
      </c>
      <c r="Q75" s="13" t="s">
        <v>54</v>
      </c>
      <c r="R75" s="13" t="s">
        <v>28</v>
      </c>
      <c r="S75" s="13"/>
      <c r="T75" s="13"/>
      <c r="U75" s="13" t="s">
        <v>957</v>
      </c>
      <c r="V75" s="13" t="s">
        <v>957</v>
      </c>
      <c r="W75" s="59">
        <f t="shared" si="1"/>
        <v>1.2398973569587504E-4</v>
      </c>
    </row>
    <row r="76" spans="1:29">
      <c r="A76" s="13" t="s">
        <v>472</v>
      </c>
      <c r="B76" s="13" t="s">
        <v>471</v>
      </c>
      <c r="C76" s="139">
        <v>46225</v>
      </c>
      <c r="D76" s="139" t="s">
        <v>441</v>
      </c>
      <c r="E76" s="28">
        <v>0.99835885999999996</v>
      </c>
      <c r="F76" s="13"/>
      <c r="G76" s="18">
        <v>8750000</v>
      </c>
      <c r="H76" s="18">
        <v>8735640.0500000007</v>
      </c>
      <c r="I76" s="18">
        <v>8750000</v>
      </c>
      <c r="J76" s="18">
        <v>8735640.0500000007</v>
      </c>
      <c r="K76" s="15">
        <v>631</v>
      </c>
      <c r="L76" s="13" t="s">
        <v>102</v>
      </c>
      <c r="M76" s="13" t="s">
        <v>103</v>
      </c>
      <c r="N76" s="139" t="s">
        <v>381</v>
      </c>
      <c r="O76" s="139" t="s">
        <v>381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1578</v>
      </c>
      <c r="V76" s="13" t="s">
        <v>1578</v>
      </c>
      <c r="W76" s="59">
        <f t="shared" si="1"/>
        <v>1.66890997640709E-4</v>
      </c>
    </row>
    <row r="77" spans="1:29">
      <c r="A77" s="13" t="s">
        <v>472</v>
      </c>
      <c r="B77" s="13" t="s">
        <v>471</v>
      </c>
      <c r="C77" s="139">
        <v>46225</v>
      </c>
      <c r="D77" s="139" t="s">
        <v>441</v>
      </c>
      <c r="E77" s="28">
        <v>0.99835887000000001</v>
      </c>
      <c r="F77" s="13"/>
      <c r="G77" s="18">
        <v>10000000</v>
      </c>
      <c r="H77" s="18">
        <v>9983588.6600000001</v>
      </c>
      <c r="I77" s="18">
        <v>10000000</v>
      </c>
      <c r="J77" s="18">
        <v>9983588.6600000001</v>
      </c>
      <c r="K77" s="15">
        <v>519</v>
      </c>
      <c r="L77" s="13" t="s">
        <v>102</v>
      </c>
      <c r="M77" s="13" t="s">
        <v>103</v>
      </c>
      <c r="N77" s="139" t="s">
        <v>162</v>
      </c>
      <c r="O77" s="139" t="s">
        <v>162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1086</v>
      </c>
      <c r="V77" s="13" t="s">
        <v>1086</v>
      </c>
      <c r="W77" s="59">
        <f t="shared" si="1"/>
        <v>1.9073256933266946E-4</v>
      </c>
    </row>
    <row r="78" spans="1:29">
      <c r="A78" s="13" t="s">
        <v>475</v>
      </c>
      <c r="B78" s="13" t="s">
        <v>471</v>
      </c>
      <c r="C78" s="139">
        <v>46225</v>
      </c>
      <c r="D78" s="139" t="s">
        <v>441</v>
      </c>
      <c r="E78" s="28">
        <v>0.99803129000000002</v>
      </c>
      <c r="F78" s="13"/>
      <c r="G78" s="18">
        <v>65000000</v>
      </c>
      <c r="H78" s="18">
        <v>64872033.600000001</v>
      </c>
      <c r="I78" s="18">
        <v>65000000</v>
      </c>
      <c r="J78" s="18">
        <v>64872033.600000001</v>
      </c>
      <c r="K78" s="15">
        <v>311</v>
      </c>
      <c r="L78" s="13" t="s">
        <v>102</v>
      </c>
      <c r="M78" s="13" t="s">
        <v>103</v>
      </c>
      <c r="N78" s="139" t="s">
        <v>345</v>
      </c>
      <c r="O78" s="139" t="s">
        <v>345</v>
      </c>
      <c r="P78" s="28">
        <v>36</v>
      </c>
      <c r="Q78" s="13" t="s">
        <v>54</v>
      </c>
      <c r="R78" s="13" t="s">
        <v>28</v>
      </c>
      <c r="S78" s="13"/>
      <c r="T78" s="13"/>
      <c r="U78" s="13" t="s">
        <v>534</v>
      </c>
      <c r="V78" s="13" t="s">
        <v>534</v>
      </c>
      <c r="W78" s="59">
        <f t="shared" si="1"/>
        <v>1.2393549121206746E-3</v>
      </c>
    </row>
    <row r="79" spans="1:29">
      <c r="A79" s="13" t="s">
        <v>1280</v>
      </c>
      <c r="B79" s="13" t="s">
        <v>471</v>
      </c>
      <c r="C79" s="139">
        <v>46225</v>
      </c>
      <c r="D79" s="139" t="s">
        <v>441</v>
      </c>
      <c r="E79" s="28">
        <v>0.99819504999999997</v>
      </c>
      <c r="F79" s="13"/>
      <c r="G79" s="18">
        <v>2368425.38</v>
      </c>
      <c r="H79" s="18">
        <v>2364150.4900000002</v>
      </c>
      <c r="I79" s="18">
        <v>2368425.38</v>
      </c>
      <c r="J79" s="18">
        <v>2364150.4900000002</v>
      </c>
      <c r="K79" s="15">
        <v>9870354</v>
      </c>
      <c r="L79" s="13" t="s">
        <v>102</v>
      </c>
      <c r="M79" s="13" t="s">
        <v>103</v>
      </c>
      <c r="N79" s="139" t="s">
        <v>319</v>
      </c>
      <c r="O79" s="139" t="s">
        <v>319</v>
      </c>
      <c r="P79" s="28">
        <v>33</v>
      </c>
      <c r="Q79" s="13" t="s">
        <v>54</v>
      </c>
      <c r="R79" s="13" t="s">
        <v>28</v>
      </c>
      <c r="S79" s="13"/>
      <c r="T79" s="13"/>
      <c r="U79" s="13" t="s">
        <v>1261</v>
      </c>
      <c r="V79" s="13" t="s">
        <v>1261</v>
      </c>
      <c r="W79" s="59">
        <f t="shared" si="1"/>
        <v>4.5166173467606538E-5</v>
      </c>
    </row>
    <row r="80" spans="1:29">
      <c r="A80" s="13" t="s">
        <v>472</v>
      </c>
      <c r="B80" s="13" t="s">
        <v>471</v>
      </c>
      <c r="C80" s="139">
        <v>46225</v>
      </c>
      <c r="D80" s="139" t="s">
        <v>441</v>
      </c>
      <c r="E80" s="28">
        <v>0.99835885999999996</v>
      </c>
      <c r="F80" s="13"/>
      <c r="G80" s="18">
        <v>10000000</v>
      </c>
      <c r="H80" s="18">
        <v>9983588.6400000006</v>
      </c>
      <c r="I80" s="18">
        <v>10000000</v>
      </c>
      <c r="J80" s="18">
        <v>9983588.6400000006</v>
      </c>
      <c r="K80" s="15">
        <v>606</v>
      </c>
      <c r="L80" s="13" t="s">
        <v>102</v>
      </c>
      <c r="M80" s="13" t="s">
        <v>103</v>
      </c>
      <c r="N80" s="139" t="s">
        <v>343</v>
      </c>
      <c r="O80" s="139" t="s">
        <v>343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1499</v>
      </c>
      <c r="V80" s="13" t="s">
        <v>1499</v>
      </c>
      <c r="W80" s="59">
        <f t="shared" si="1"/>
        <v>1.9073256895057726E-4</v>
      </c>
    </row>
    <row r="81" spans="1:29">
      <c r="A81" s="13" t="s">
        <v>473</v>
      </c>
      <c r="B81" s="13" t="s">
        <v>471</v>
      </c>
      <c r="C81" s="139">
        <v>46225</v>
      </c>
      <c r="D81" s="139" t="s">
        <v>441</v>
      </c>
      <c r="E81" s="28">
        <v>0.99792214000000001</v>
      </c>
      <c r="F81" s="13"/>
      <c r="G81" s="18">
        <v>50000000</v>
      </c>
      <c r="H81" s="18">
        <v>49896107</v>
      </c>
      <c r="I81" s="18">
        <v>50000000</v>
      </c>
      <c r="J81" s="18">
        <v>49896107</v>
      </c>
      <c r="K81" s="15">
        <v>67105505</v>
      </c>
      <c r="L81" s="13" t="s">
        <v>102</v>
      </c>
      <c r="M81" s="13" t="s">
        <v>103</v>
      </c>
      <c r="N81" s="139" t="s">
        <v>370</v>
      </c>
      <c r="O81" s="139" t="s">
        <v>370</v>
      </c>
      <c r="P81" s="28">
        <v>38</v>
      </c>
      <c r="Q81" s="13" t="s">
        <v>54</v>
      </c>
      <c r="R81" s="13" t="s">
        <v>28</v>
      </c>
      <c r="S81" s="13"/>
      <c r="T81" s="13"/>
      <c r="U81" s="13" t="s">
        <v>1129</v>
      </c>
      <c r="V81" s="13" t="s">
        <v>1129</v>
      </c>
      <c r="W81" s="59">
        <f t="shared" si="1"/>
        <v>9.5324567266454204E-4</v>
      </c>
    </row>
    <row r="82" spans="1:29">
      <c r="A82" s="13" t="s">
        <v>242</v>
      </c>
      <c r="B82" s="13" t="s">
        <v>471</v>
      </c>
      <c r="C82" s="139">
        <v>46225</v>
      </c>
      <c r="D82" s="139" t="s">
        <v>441</v>
      </c>
      <c r="E82" s="28">
        <v>0.99781301</v>
      </c>
      <c r="F82" s="13"/>
      <c r="G82" s="18">
        <v>4100000</v>
      </c>
      <c r="H82" s="18">
        <v>4091033.35</v>
      </c>
      <c r="I82" s="18">
        <v>4100000</v>
      </c>
      <c r="J82" s="18">
        <v>4091033.35</v>
      </c>
      <c r="K82" s="15">
        <v>1023</v>
      </c>
      <c r="L82" s="13" t="s">
        <v>102</v>
      </c>
      <c r="M82" s="13" t="s">
        <v>103</v>
      </c>
      <c r="N82" s="139" t="s">
        <v>258</v>
      </c>
      <c r="O82" s="139" t="s">
        <v>258</v>
      </c>
      <c r="P82" s="28">
        <v>40</v>
      </c>
      <c r="Q82" s="13" t="s">
        <v>54</v>
      </c>
      <c r="R82" s="13" t="s">
        <v>28</v>
      </c>
      <c r="S82" s="13"/>
      <c r="T82" s="13"/>
      <c r="U82" s="13" t="s">
        <v>451</v>
      </c>
      <c r="V82" s="13" t="s">
        <v>451</v>
      </c>
      <c r="W82" s="59">
        <f t="shared" si="1"/>
        <v>7.8157597297396863E-5</v>
      </c>
    </row>
    <row r="83" spans="1:29">
      <c r="A83" s="13" t="s">
        <v>323</v>
      </c>
      <c r="B83" s="13" t="s">
        <v>471</v>
      </c>
      <c r="C83" s="139">
        <v>46225</v>
      </c>
      <c r="D83" s="139" t="s">
        <v>441</v>
      </c>
      <c r="E83" s="28">
        <v>0.99841347999999996</v>
      </c>
      <c r="F83" s="13"/>
      <c r="G83" s="18">
        <v>40000000</v>
      </c>
      <c r="H83" s="18">
        <v>39936539.390000001</v>
      </c>
      <c r="I83" s="18">
        <v>40000000</v>
      </c>
      <c r="J83" s="18">
        <v>39936539.390000001</v>
      </c>
      <c r="K83" s="15">
        <v>54026408</v>
      </c>
      <c r="L83" s="13" t="s">
        <v>102</v>
      </c>
      <c r="M83" s="13" t="s">
        <v>103</v>
      </c>
      <c r="N83" s="139" t="s">
        <v>160</v>
      </c>
      <c r="O83" s="139" t="s">
        <v>160</v>
      </c>
      <c r="P83" s="28">
        <v>29</v>
      </c>
      <c r="Q83" s="13" t="s">
        <v>54</v>
      </c>
      <c r="R83" s="13" t="s">
        <v>28</v>
      </c>
      <c r="S83" s="13"/>
      <c r="T83" s="13"/>
      <c r="U83" s="13" t="s">
        <v>900</v>
      </c>
      <c r="V83" s="13" t="s">
        <v>900</v>
      </c>
      <c r="W83" s="59">
        <f t="shared" si="1"/>
        <v>7.6297201612772177E-4</v>
      </c>
      <c r="AC83" s="56"/>
    </row>
    <row r="84" spans="1:29">
      <c r="A84" s="13" t="s">
        <v>323</v>
      </c>
      <c r="B84" s="13" t="s">
        <v>471</v>
      </c>
      <c r="C84" s="139">
        <v>46225</v>
      </c>
      <c r="D84" s="139" t="s">
        <v>441</v>
      </c>
      <c r="E84" s="28">
        <v>0.99841347999999996</v>
      </c>
      <c r="F84" s="13"/>
      <c r="G84" s="18">
        <v>12500000</v>
      </c>
      <c r="H84" s="18">
        <v>12480168.560000001</v>
      </c>
      <c r="I84" s="18">
        <v>12500000</v>
      </c>
      <c r="J84" s="18">
        <v>12480168.560000001</v>
      </c>
      <c r="K84" s="15">
        <v>9798603</v>
      </c>
      <c r="L84" s="13" t="s">
        <v>102</v>
      </c>
      <c r="M84" s="13" t="s">
        <v>103</v>
      </c>
      <c r="N84" s="139" t="s">
        <v>160</v>
      </c>
      <c r="O84" s="139" t="s">
        <v>160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904</v>
      </c>
      <c r="V84" s="13" t="s">
        <v>904</v>
      </c>
      <c r="W84" s="59">
        <f t="shared" si="1"/>
        <v>2.3842875505185343E-4</v>
      </c>
    </row>
    <row r="85" spans="1:29">
      <c r="A85" s="13" t="s">
        <v>323</v>
      </c>
      <c r="B85" s="13" t="s">
        <v>471</v>
      </c>
      <c r="C85" s="139">
        <v>46225</v>
      </c>
      <c r="D85" s="139" t="s">
        <v>441</v>
      </c>
      <c r="E85" s="28">
        <v>0.99841347999999996</v>
      </c>
      <c r="F85" s="13"/>
      <c r="G85" s="18">
        <v>4166666.7</v>
      </c>
      <c r="H85" s="18">
        <v>4160056.21</v>
      </c>
      <c r="I85" s="18">
        <v>4166666.7</v>
      </c>
      <c r="J85" s="18">
        <v>4160056.21</v>
      </c>
      <c r="K85" s="15">
        <v>13567715</v>
      </c>
      <c r="L85" s="13" t="s">
        <v>102</v>
      </c>
      <c r="M85" s="13" t="s">
        <v>103</v>
      </c>
      <c r="N85" s="139" t="s">
        <v>341</v>
      </c>
      <c r="O85" s="139" t="s">
        <v>341</v>
      </c>
      <c r="P85" s="28">
        <v>29</v>
      </c>
      <c r="Q85" s="13" t="s">
        <v>54</v>
      </c>
      <c r="R85" s="13" t="s">
        <v>28</v>
      </c>
      <c r="S85" s="13"/>
      <c r="T85" s="13"/>
      <c r="U85" s="13" t="s">
        <v>941</v>
      </c>
      <c r="V85" s="13" t="s">
        <v>941</v>
      </c>
      <c r="W85" s="59">
        <f t="shared" si="1"/>
        <v>7.9476252129725378E-5</v>
      </c>
    </row>
    <row r="86" spans="1:29">
      <c r="A86" s="13" t="s">
        <v>323</v>
      </c>
      <c r="B86" s="13" t="s">
        <v>471</v>
      </c>
      <c r="C86" s="139">
        <v>46225</v>
      </c>
      <c r="D86" s="139" t="s">
        <v>441</v>
      </c>
      <c r="E86" s="28">
        <v>0.99841347999999996</v>
      </c>
      <c r="F86" s="13"/>
      <c r="G86" s="18">
        <v>10000000</v>
      </c>
      <c r="H86" s="18">
        <v>9984134.8200000003</v>
      </c>
      <c r="I86" s="18">
        <v>10000000</v>
      </c>
      <c r="J86" s="18">
        <v>9984134.8200000003</v>
      </c>
      <c r="K86" s="15">
        <v>66581708</v>
      </c>
      <c r="L86" s="13" t="s">
        <v>102</v>
      </c>
      <c r="M86" s="13" t="s">
        <v>103</v>
      </c>
      <c r="N86" s="139" t="s">
        <v>341</v>
      </c>
      <c r="O86" s="139" t="s">
        <v>341</v>
      </c>
      <c r="P86" s="28">
        <v>29</v>
      </c>
      <c r="Q86" s="13" t="s">
        <v>54</v>
      </c>
      <c r="R86" s="13" t="s">
        <v>28</v>
      </c>
      <c r="S86" s="13"/>
      <c r="T86" s="13"/>
      <c r="U86" s="13" t="s">
        <v>942</v>
      </c>
      <c r="V86" s="13" t="s">
        <v>942</v>
      </c>
      <c r="W86" s="59">
        <f t="shared" si="1"/>
        <v>1.9074300350655366E-4</v>
      </c>
    </row>
    <row r="87" spans="1:29">
      <c r="A87" s="13" t="s">
        <v>323</v>
      </c>
      <c r="B87" s="13" t="s">
        <v>471</v>
      </c>
      <c r="C87" s="139">
        <v>46225</v>
      </c>
      <c r="D87" s="139" t="s">
        <v>441</v>
      </c>
      <c r="E87" s="28">
        <v>0.99841347999999996</v>
      </c>
      <c r="F87" s="13"/>
      <c r="G87" s="18">
        <v>3500000</v>
      </c>
      <c r="H87" s="18">
        <v>3494447.18</v>
      </c>
      <c r="I87" s="18">
        <v>3500000</v>
      </c>
      <c r="J87" s="18">
        <v>3494447.18</v>
      </c>
      <c r="K87" s="15">
        <v>405</v>
      </c>
      <c r="L87" s="13" t="s">
        <v>102</v>
      </c>
      <c r="M87" s="13" t="s">
        <v>103</v>
      </c>
      <c r="N87" s="139" t="s">
        <v>327</v>
      </c>
      <c r="O87" s="139" t="s">
        <v>327</v>
      </c>
      <c r="P87" s="28">
        <v>29</v>
      </c>
      <c r="Q87" s="13" t="s">
        <v>54</v>
      </c>
      <c r="R87" s="13" t="s">
        <v>28</v>
      </c>
      <c r="S87" s="13"/>
      <c r="T87" s="13"/>
      <c r="U87" s="13" t="s">
        <v>817</v>
      </c>
      <c r="V87" s="13" t="s">
        <v>817</v>
      </c>
      <c r="W87" s="59">
        <f t="shared" si="1"/>
        <v>6.6760051093561515E-5</v>
      </c>
    </row>
    <row r="88" spans="1:29">
      <c r="A88" s="13" t="s">
        <v>323</v>
      </c>
      <c r="B88" s="13" t="s">
        <v>471</v>
      </c>
      <c r="C88" s="139">
        <v>46225</v>
      </c>
      <c r="D88" s="139" t="s">
        <v>441</v>
      </c>
      <c r="E88" s="28">
        <v>0.99841349000000001</v>
      </c>
      <c r="F88" s="13"/>
      <c r="G88" s="18">
        <v>11000000</v>
      </c>
      <c r="H88" s="18">
        <v>10982548.34</v>
      </c>
      <c r="I88" s="18">
        <v>11000000</v>
      </c>
      <c r="J88" s="18">
        <v>10982548.34</v>
      </c>
      <c r="K88" s="15">
        <v>269</v>
      </c>
      <c r="L88" s="13" t="s">
        <v>102</v>
      </c>
      <c r="M88" s="13" t="s">
        <v>103</v>
      </c>
      <c r="N88" s="139" t="s">
        <v>151</v>
      </c>
      <c r="O88" s="139" t="s">
        <v>151</v>
      </c>
      <c r="P88" s="28">
        <v>29</v>
      </c>
      <c r="Q88" s="13" t="s">
        <v>54</v>
      </c>
      <c r="R88" s="13" t="s">
        <v>28</v>
      </c>
      <c r="S88" s="13"/>
      <c r="T88" s="13"/>
      <c r="U88" s="13" t="s">
        <v>539</v>
      </c>
      <c r="V88" s="13" t="s">
        <v>539</v>
      </c>
      <c r="W88" s="59">
        <f t="shared" si="1"/>
        <v>2.098173045831842E-4</v>
      </c>
    </row>
    <row r="89" spans="1:29">
      <c r="A89" s="13" t="s">
        <v>1065</v>
      </c>
      <c r="B89" s="13" t="s">
        <v>471</v>
      </c>
      <c r="C89" s="139">
        <v>46225</v>
      </c>
      <c r="D89" s="139" t="s">
        <v>441</v>
      </c>
      <c r="E89" s="28">
        <v>0.99824966000000004</v>
      </c>
      <c r="F89" s="13"/>
      <c r="G89" s="18">
        <v>70000000</v>
      </c>
      <c r="H89" s="18">
        <v>69877476.010000005</v>
      </c>
      <c r="I89" s="18">
        <v>70000000</v>
      </c>
      <c r="J89" s="18">
        <v>69877476.010000005</v>
      </c>
      <c r="K89" s="15">
        <v>9756466</v>
      </c>
      <c r="L89" s="13" t="s">
        <v>102</v>
      </c>
      <c r="M89" s="13" t="s">
        <v>103</v>
      </c>
      <c r="N89" s="139" t="s">
        <v>394</v>
      </c>
      <c r="O89" s="139" t="s">
        <v>394</v>
      </c>
      <c r="P89" s="28">
        <v>32</v>
      </c>
      <c r="Q89" s="13" t="s">
        <v>54</v>
      </c>
      <c r="R89" s="13" t="s">
        <v>28</v>
      </c>
      <c r="S89" s="13"/>
      <c r="T89" s="13"/>
      <c r="U89" s="13" t="s">
        <v>1659</v>
      </c>
      <c r="V89" s="13" t="s">
        <v>1659</v>
      </c>
      <c r="W89" s="59">
        <f t="shared" si="1"/>
        <v>1.334981938034822E-3</v>
      </c>
    </row>
    <row r="90" spans="1:29">
      <c r="A90" s="13" t="s">
        <v>1281</v>
      </c>
      <c r="B90" s="13" t="s">
        <v>471</v>
      </c>
      <c r="C90" s="139">
        <v>46225</v>
      </c>
      <c r="D90" s="139" t="s">
        <v>441</v>
      </c>
      <c r="E90" s="28">
        <v>0.99819504999999997</v>
      </c>
      <c r="F90" s="13"/>
      <c r="G90" s="18">
        <v>1666000</v>
      </c>
      <c r="H90" s="18">
        <v>1662992.95</v>
      </c>
      <c r="I90" s="18">
        <v>1666000</v>
      </c>
      <c r="J90" s="18">
        <v>1662992.95</v>
      </c>
      <c r="K90" s="15">
        <v>2845</v>
      </c>
      <c r="L90" s="13" t="s">
        <v>102</v>
      </c>
      <c r="M90" s="13" t="s">
        <v>103</v>
      </c>
      <c r="N90" s="139" t="s">
        <v>319</v>
      </c>
      <c r="O90" s="139" t="s">
        <v>319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1235</v>
      </c>
      <c r="V90" s="13" t="s">
        <v>1235</v>
      </c>
      <c r="W90" s="59">
        <f t="shared" si="1"/>
        <v>3.1770832006175173E-5</v>
      </c>
    </row>
    <row r="91" spans="1:29">
      <c r="A91" s="13" t="s">
        <v>1044</v>
      </c>
      <c r="B91" s="13" t="s">
        <v>471</v>
      </c>
      <c r="C91" s="139">
        <v>46225</v>
      </c>
      <c r="D91" s="139" t="s">
        <v>441</v>
      </c>
      <c r="E91" s="28">
        <v>0.99819504999999997</v>
      </c>
      <c r="F91" s="13"/>
      <c r="G91" s="18">
        <v>50000000</v>
      </c>
      <c r="H91" s="18">
        <v>49909752.619999997</v>
      </c>
      <c r="I91" s="18">
        <v>50000000</v>
      </c>
      <c r="J91" s="18">
        <v>49909752.619999997</v>
      </c>
      <c r="K91" s="15">
        <v>134</v>
      </c>
      <c r="L91" s="13" t="s">
        <v>102</v>
      </c>
      <c r="M91" s="13" t="s">
        <v>103</v>
      </c>
      <c r="N91" s="139" t="s">
        <v>364</v>
      </c>
      <c r="O91" s="139" t="s">
        <v>364</v>
      </c>
      <c r="P91" s="28">
        <v>33</v>
      </c>
      <c r="Q91" s="13" t="s">
        <v>54</v>
      </c>
      <c r="R91" s="13" t="s">
        <v>28</v>
      </c>
      <c r="S91" s="13"/>
      <c r="T91" s="13"/>
      <c r="U91" s="13" t="s">
        <v>1040</v>
      </c>
      <c r="V91" s="13" t="s">
        <v>1040</v>
      </c>
      <c r="W91" s="59">
        <f t="shared" si="1"/>
        <v>9.5350636691501369E-4</v>
      </c>
    </row>
    <row r="92" spans="1:29">
      <c r="A92" s="13" t="s">
        <v>1612</v>
      </c>
      <c r="B92" s="13" t="s">
        <v>471</v>
      </c>
      <c r="C92" s="139">
        <v>46225</v>
      </c>
      <c r="D92" s="139" t="s">
        <v>441</v>
      </c>
      <c r="E92" s="28">
        <v>0.99835885999999996</v>
      </c>
      <c r="F92" s="13"/>
      <c r="G92" s="18">
        <v>1606134</v>
      </c>
      <c r="H92" s="18">
        <v>1603498.12</v>
      </c>
      <c r="I92" s="18">
        <v>1606134</v>
      </c>
      <c r="J92" s="18">
        <v>1603498.12</v>
      </c>
      <c r="K92" s="15">
        <v>67236921</v>
      </c>
      <c r="L92" s="13" t="s">
        <v>102</v>
      </c>
      <c r="M92" s="13" t="s">
        <v>103</v>
      </c>
      <c r="N92" s="139" t="s">
        <v>389</v>
      </c>
      <c r="O92" s="139" t="s">
        <v>389</v>
      </c>
      <c r="P92" s="28">
        <v>30</v>
      </c>
      <c r="Q92" s="13" t="s">
        <v>54</v>
      </c>
      <c r="R92" s="13" t="s">
        <v>28</v>
      </c>
      <c r="S92" s="13"/>
      <c r="T92" s="13"/>
      <c r="U92" s="13" t="s">
        <v>1615</v>
      </c>
      <c r="V92" s="13" t="s">
        <v>1615</v>
      </c>
      <c r="W92" s="59">
        <f t="shared" si="1"/>
        <v>3.0634206472575675E-5</v>
      </c>
    </row>
    <row r="93" spans="1:29">
      <c r="A93" s="13" t="s">
        <v>141</v>
      </c>
      <c r="B93" s="13" t="s">
        <v>471</v>
      </c>
      <c r="C93" s="139">
        <v>46225</v>
      </c>
      <c r="D93" s="139" t="s">
        <v>441</v>
      </c>
      <c r="E93" s="28">
        <v>0.99797670999999999</v>
      </c>
      <c r="F93" s="13"/>
      <c r="G93" s="18">
        <v>100000000</v>
      </c>
      <c r="H93" s="18">
        <v>99797670.75</v>
      </c>
      <c r="I93" s="18">
        <v>100000000</v>
      </c>
      <c r="J93" s="18">
        <v>99797670.75</v>
      </c>
      <c r="K93" s="15">
        <v>7376</v>
      </c>
      <c r="L93" s="13" t="s">
        <v>102</v>
      </c>
      <c r="M93" s="13" t="s">
        <v>103</v>
      </c>
      <c r="N93" s="139" t="s">
        <v>399</v>
      </c>
      <c r="O93" s="139" t="s">
        <v>399</v>
      </c>
      <c r="P93" s="28">
        <v>37</v>
      </c>
      <c r="Q93" s="13" t="s">
        <v>54</v>
      </c>
      <c r="R93" s="13" t="s">
        <v>28</v>
      </c>
      <c r="S93" s="13"/>
      <c r="T93" s="13"/>
      <c r="U93" s="13" t="s">
        <v>828</v>
      </c>
      <c r="V93" s="13" t="s">
        <v>828</v>
      </c>
      <c r="W93" s="59">
        <f t="shared" si="1"/>
        <v>1.9065955944105666E-3</v>
      </c>
    </row>
    <row r="94" spans="1:29">
      <c r="A94" s="13" t="s">
        <v>163</v>
      </c>
      <c r="B94" s="13" t="s">
        <v>471</v>
      </c>
      <c r="C94" s="139">
        <v>46225</v>
      </c>
      <c r="D94" s="139" t="s">
        <v>441</v>
      </c>
      <c r="E94" s="28">
        <v>0.99835887000000001</v>
      </c>
      <c r="F94" s="13"/>
      <c r="G94" s="18">
        <v>15000000</v>
      </c>
      <c r="H94" s="18">
        <v>14975383.01</v>
      </c>
      <c r="I94" s="18">
        <v>15000000</v>
      </c>
      <c r="J94" s="18">
        <v>14975383.01</v>
      </c>
      <c r="K94" s="15">
        <v>2833124</v>
      </c>
      <c r="L94" s="13" t="s">
        <v>102</v>
      </c>
      <c r="M94" s="13" t="s">
        <v>103</v>
      </c>
      <c r="N94" s="139" t="s">
        <v>348</v>
      </c>
      <c r="O94" s="139" t="s">
        <v>348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732</v>
      </c>
      <c r="V94" s="13" t="s">
        <v>732</v>
      </c>
      <c r="W94" s="59">
        <f t="shared" si="1"/>
        <v>2.860988543810964E-4</v>
      </c>
    </row>
    <row r="95" spans="1:29">
      <c r="A95" s="13" t="s">
        <v>1657</v>
      </c>
      <c r="B95" s="13" t="s">
        <v>471</v>
      </c>
      <c r="C95" s="139">
        <v>46225</v>
      </c>
      <c r="D95" s="139" t="s">
        <v>441</v>
      </c>
      <c r="E95" s="28">
        <v>0.99835887000000001</v>
      </c>
      <c r="F95" s="13"/>
      <c r="G95" s="18">
        <v>2700000</v>
      </c>
      <c r="H95" s="18">
        <v>2695568.95</v>
      </c>
      <c r="I95" s="18">
        <v>2700000</v>
      </c>
      <c r="J95" s="18">
        <v>2695568.95</v>
      </c>
      <c r="K95" s="15">
        <v>6266</v>
      </c>
      <c r="L95" s="13" t="s">
        <v>102</v>
      </c>
      <c r="M95" s="13" t="s">
        <v>103</v>
      </c>
      <c r="N95" s="139" t="s">
        <v>170</v>
      </c>
      <c r="O95" s="139" t="s">
        <v>170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1630</v>
      </c>
      <c r="V95" s="13" t="s">
        <v>1630</v>
      </c>
      <c r="W95" s="59">
        <f t="shared" si="1"/>
        <v>5.1497793945255153E-5</v>
      </c>
      <c r="AC95" s="56"/>
    </row>
    <row r="96" spans="1:29">
      <c r="A96" s="13" t="s">
        <v>340</v>
      </c>
      <c r="B96" s="13" t="s">
        <v>471</v>
      </c>
      <c r="C96" s="139">
        <v>46225</v>
      </c>
      <c r="D96" s="139" t="s">
        <v>441</v>
      </c>
      <c r="E96" s="28">
        <v>0.99803129000000002</v>
      </c>
      <c r="F96" s="13"/>
      <c r="G96" s="18">
        <v>5000000</v>
      </c>
      <c r="H96" s="18">
        <v>4990156.45</v>
      </c>
      <c r="I96" s="18">
        <v>5000000</v>
      </c>
      <c r="J96" s="18">
        <v>4990156.45</v>
      </c>
      <c r="K96" s="15">
        <v>40742990</v>
      </c>
      <c r="L96" s="13" t="s">
        <v>102</v>
      </c>
      <c r="M96" s="13" t="s">
        <v>103</v>
      </c>
      <c r="N96" s="139" t="s">
        <v>362</v>
      </c>
      <c r="O96" s="139" t="s">
        <v>362</v>
      </c>
      <c r="P96" s="28">
        <v>36</v>
      </c>
      <c r="Q96" s="13" t="s">
        <v>54</v>
      </c>
      <c r="R96" s="13" t="s">
        <v>28</v>
      </c>
      <c r="S96" s="13"/>
      <c r="T96" s="13"/>
      <c r="U96" s="13" t="s">
        <v>1101</v>
      </c>
      <c r="V96" s="13" t="s">
        <v>1101</v>
      </c>
      <c r="W96" s="59">
        <f t="shared" si="1"/>
        <v>9.5334993607448237E-5</v>
      </c>
    </row>
    <row r="97" spans="1:29">
      <c r="A97" s="13" t="s">
        <v>1552</v>
      </c>
      <c r="B97" s="13" t="s">
        <v>471</v>
      </c>
      <c r="C97" s="139">
        <v>46225</v>
      </c>
      <c r="D97" s="139" t="s">
        <v>441</v>
      </c>
      <c r="E97" s="28">
        <v>0.99808587000000004</v>
      </c>
      <c r="F97" s="13"/>
      <c r="G97" s="18">
        <v>2501996.42</v>
      </c>
      <c r="H97" s="18">
        <v>2497207.2799999998</v>
      </c>
      <c r="I97" s="18">
        <v>2501996.42</v>
      </c>
      <c r="J97" s="18">
        <v>2497207.2799999998</v>
      </c>
      <c r="K97" s="15">
        <v>8222</v>
      </c>
      <c r="L97" s="13" t="s">
        <v>102</v>
      </c>
      <c r="M97" s="13" t="s">
        <v>103</v>
      </c>
      <c r="N97" s="139" t="s">
        <v>400</v>
      </c>
      <c r="O97" s="139" t="s">
        <v>400</v>
      </c>
      <c r="P97" s="28">
        <v>35</v>
      </c>
      <c r="Q97" s="13" t="s">
        <v>54</v>
      </c>
      <c r="R97" s="13" t="s">
        <v>28</v>
      </c>
      <c r="S97" s="13"/>
      <c r="T97" s="13"/>
      <c r="U97" s="13" t="s">
        <v>1534</v>
      </c>
      <c r="V97" s="13" t="s">
        <v>1534</v>
      </c>
      <c r="W97" s="59">
        <f t="shared" si="1"/>
        <v>4.7708171569505237E-5</v>
      </c>
    </row>
    <row r="98" spans="1:29">
      <c r="A98" s="13" t="s">
        <v>1590</v>
      </c>
      <c r="B98" s="13" t="s">
        <v>471</v>
      </c>
      <c r="C98" s="139">
        <v>46225</v>
      </c>
      <c r="D98" s="139" t="s">
        <v>441</v>
      </c>
      <c r="E98" s="28">
        <v>0.99835885999999996</v>
      </c>
      <c r="F98" s="13"/>
      <c r="G98" s="18">
        <v>3533450.77</v>
      </c>
      <c r="H98" s="18">
        <v>3527651.9</v>
      </c>
      <c r="I98" s="18">
        <v>3533450.77</v>
      </c>
      <c r="J98" s="18">
        <v>3527651.9</v>
      </c>
      <c r="K98" s="15">
        <v>9755699</v>
      </c>
      <c r="L98" s="13" t="s">
        <v>102</v>
      </c>
      <c r="M98" s="13" t="s">
        <v>103</v>
      </c>
      <c r="N98" s="139" t="s">
        <v>389</v>
      </c>
      <c r="O98" s="139" t="s">
        <v>389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1592</v>
      </c>
      <c r="V98" s="13" t="s">
        <v>1592</v>
      </c>
      <c r="W98" s="59">
        <f t="shared" si="1"/>
        <v>6.7394414324585476E-5</v>
      </c>
      <c r="AC98" s="56"/>
    </row>
    <row r="99" spans="1:29">
      <c r="A99" s="13" t="s">
        <v>581</v>
      </c>
      <c r="B99" s="13" t="s">
        <v>471</v>
      </c>
      <c r="C99" s="139">
        <v>46226</v>
      </c>
      <c r="D99" s="139" t="s">
        <v>441</v>
      </c>
      <c r="E99" s="28">
        <v>0.99794943999999997</v>
      </c>
      <c r="F99" s="13"/>
      <c r="G99" s="18">
        <v>500000</v>
      </c>
      <c r="H99" s="18">
        <v>498974.71999999997</v>
      </c>
      <c r="I99" s="18">
        <v>500000</v>
      </c>
      <c r="J99" s="18">
        <v>498974.71999999997</v>
      </c>
      <c r="K99" s="15">
        <v>67962937</v>
      </c>
      <c r="L99" s="13" t="s">
        <v>102</v>
      </c>
      <c r="M99" s="13" t="s">
        <v>103</v>
      </c>
      <c r="N99" s="139" t="s">
        <v>172</v>
      </c>
      <c r="O99" s="139" t="s">
        <v>172</v>
      </c>
      <c r="P99" s="28">
        <v>25</v>
      </c>
      <c r="Q99" s="13" t="s">
        <v>54</v>
      </c>
      <c r="R99" s="13" t="s">
        <v>28</v>
      </c>
      <c r="S99" s="13"/>
      <c r="T99" s="13"/>
      <c r="U99" s="13" t="s">
        <v>1816</v>
      </c>
      <c r="V99" s="13" t="s">
        <v>1816</v>
      </c>
      <c r="W99" s="59">
        <f t="shared" si="1"/>
        <v>9.5327175045740836E-6</v>
      </c>
      <c r="AC99" s="56"/>
    </row>
    <row r="100" spans="1:29">
      <c r="A100" s="13" t="s">
        <v>1937</v>
      </c>
      <c r="B100" s="13" t="s">
        <v>471</v>
      </c>
      <c r="C100" s="139">
        <v>46226</v>
      </c>
      <c r="D100" s="139" t="s">
        <v>441</v>
      </c>
      <c r="E100" s="28">
        <v>0.99688646999999997</v>
      </c>
      <c r="F100" s="13"/>
      <c r="G100" s="18">
        <v>750000000</v>
      </c>
      <c r="H100" s="18">
        <v>747664849.79999995</v>
      </c>
      <c r="I100" s="18">
        <v>750000000</v>
      </c>
      <c r="J100" s="18">
        <v>747664849.79999995</v>
      </c>
      <c r="K100" s="15">
        <v>155861</v>
      </c>
      <c r="L100" s="13" t="s">
        <v>102</v>
      </c>
      <c r="M100" s="13" t="s">
        <v>103</v>
      </c>
      <c r="N100" s="139" t="s">
        <v>431</v>
      </c>
      <c r="O100" s="139" t="s">
        <v>431</v>
      </c>
      <c r="P100" s="28">
        <v>38</v>
      </c>
      <c r="Q100" s="13" t="s">
        <v>54</v>
      </c>
      <c r="R100" s="13" t="s">
        <v>28</v>
      </c>
      <c r="S100" s="13"/>
      <c r="T100" s="13"/>
      <c r="U100" s="13" t="s">
        <v>1915</v>
      </c>
      <c r="V100" s="13" t="s">
        <v>1915</v>
      </c>
      <c r="W100" s="59">
        <f t="shared" si="1"/>
        <v>1.4283845484683498E-2</v>
      </c>
    </row>
    <row r="101" spans="1:29">
      <c r="A101" s="13" t="s">
        <v>1274</v>
      </c>
      <c r="B101" s="13" t="s">
        <v>471</v>
      </c>
      <c r="C101" s="139">
        <v>46226</v>
      </c>
      <c r="D101" s="139" t="s">
        <v>441</v>
      </c>
      <c r="E101" s="28">
        <v>0.99729502000000003</v>
      </c>
      <c r="F101" s="13"/>
      <c r="G101" s="18">
        <v>2387682</v>
      </c>
      <c r="H101" s="18">
        <v>2381223.37</v>
      </c>
      <c r="I101" s="18">
        <v>2387682</v>
      </c>
      <c r="J101" s="18">
        <v>2381223.37</v>
      </c>
      <c r="K101" s="15">
        <v>84084371</v>
      </c>
      <c r="L101" s="13" t="s">
        <v>102</v>
      </c>
      <c r="M101" s="13" t="s">
        <v>103</v>
      </c>
      <c r="N101" s="139" t="s">
        <v>319</v>
      </c>
      <c r="O101" s="139" t="s">
        <v>319</v>
      </c>
      <c r="P101" s="28">
        <v>33</v>
      </c>
      <c r="Q101" s="13" t="s">
        <v>54</v>
      </c>
      <c r="R101" s="13" t="s">
        <v>28</v>
      </c>
      <c r="S101" s="13"/>
      <c r="T101" s="13"/>
      <c r="U101" s="13" t="s">
        <v>1257</v>
      </c>
      <c r="V101" s="13" t="s">
        <v>1257</v>
      </c>
      <c r="W101" s="59">
        <f t="shared" si="1"/>
        <v>4.5492344184290326E-5</v>
      </c>
    </row>
    <row r="102" spans="1:29">
      <c r="A102" s="13" t="s">
        <v>697</v>
      </c>
      <c r="B102" s="13" t="s">
        <v>471</v>
      </c>
      <c r="C102" s="139">
        <v>46226</v>
      </c>
      <c r="D102" s="139" t="s">
        <v>441</v>
      </c>
      <c r="E102" s="28">
        <v>0.99713154000000004</v>
      </c>
      <c r="F102" s="13"/>
      <c r="G102" s="18">
        <v>5450000</v>
      </c>
      <c r="H102" s="18">
        <v>5434366.9000000004</v>
      </c>
      <c r="I102" s="18">
        <v>5450000</v>
      </c>
      <c r="J102" s="18">
        <v>5434366.9000000004</v>
      </c>
      <c r="K102" s="15">
        <v>6898</v>
      </c>
      <c r="L102" s="13" t="s">
        <v>102</v>
      </c>
      <c r="M102" s="13" t="s">
        <v>103</v>
      </c>
      <c r="N102" s="139" t="s">
        <v>397</v>
      </c>
      <c r="O102" s="139" t="s">
        <v>397</v>
      </c>
      <c r="P102" s="28">
        <v>35</v>
      </c>
      <c r="Q102" s="13" t="s">
        <v>54</v>
      </c>
      <c r="R102" s="13" t="s">
        <v>28</v>
      </c>
      <c r="S102" s="13"/>
      <c r="T102" s="13"/>
      <c r="U102" s="13" t="s">
        <v>685</v>
      </c>
      <c r="V102" s="13" t="s">
        <v>685</v>
      </c>
      <c r="W102" s="59">
        <f t="shared" si="1"/>
        <v>1.0382146108305448E-4</v>
      </c>
    </row>
    <row r="103" spans="1:29">
      <c r="A103" s="13" t="s">
        <v>698</v>
      </c>
      <c r="B103" s="13" t="s">
        <v>471</v>
      </c>
      <c r="C103" s="139">
        <v>46226</v>
      </c>
      <c r="D103" s="139" t="s">
        <v>441</v>
      </c>
      <c r="E103" s="28">
        <v>0.99762211999999995</v>
      </c>
      <c r="F103" s="13"/>
      <c r="G103" s="18">
        <v>5000000</v>
      </c>
      <c r="H103" s="18">
        <v>4988110.58</v>
      </c>
      <c r="I103" s="18">
        <v>5000000</v>
      </c>
      <c r="J103" s="18">
        <v>4988110.58</v>
      </c>
      <c r="K103" s="15">
        <v>16779602</v>
      </c>
      <c r="L103" s="13" t="s">
        <v>102</v>
      </c>
      <c r="M103" s="13" t="s">
        <v>103</v>
      </c>
      <c r="N103" s="139" t="s">
        <v>341</v>
      </c>
      <c r="O103" s="139" t="s">
        <v>341</v>
      </c>
      <c r="P103" s="28">
        <v>29</v>
      </c>
      <c r="Q103" s="13" t="s">
        <v>54</v>
      </c>
      <c r="R103" s="13" t="s">
        <v>28</v>
      </c>
      <c r="S103" s="13"/>
      <c r="T103" s="13"/>
      <c r="U103" s="13" t="s">
        <v>925</v>
      </c>
      <c r="V103" s="13" t="s">
        <v>925</v>
      </c>
      <c r="W103" s="59">
        <f t="shared" si="1"/>
        <v>9.5295908058663149E-5</v>
      </c>
    </row>
    <row r="104" spans="1:29">
      <c r="A104" s="13" t="s">
        <v>970</v>
      </c>
      <c r="B104" s="13" t="s">
        <v>471</v>
      </c>
      <c r="C104" s="139">
        <v>46226</v>
      </c>
      <c r="D104" s="139" t="s">
        <v>441</v>
      </c>
      <c r="E104" s="28">
        <v>0.99770391000000003</v>
      </c>
      <c r="F104" s="13"/>
      <c r="G104" s="18">
        <v>6500000</v>
      </c>
      <c r="H104" s="18">
        <v>6485075.4500000002</v>
      </c>
      <c r="I104" s="18">
        <v>6500000</v>
      </c>
      <c r="J104" s="18">
        <v>6485075.4500000002</v>
      </c>
      <c r="K104" s="15">
        <v>29175489</v>
      </c>
      <c r="L104" s="13" t="s">
        <v>102</v>
      </c>
      <c r="M104" s="13" t="s">
        <v>103</v>
      </c>
      <c r="N104" s="139" t="s">
        <v>359</v>
      </c>
      <c r="O104" s="139" t="s">
        <v>359</v>
      </c>
      <c r="P104" s="28">
        <v>28</v>
      </c>
      <c r="Q104" s="13" t="s">
        <v>54</v>
      </c>
      <c r="R104" s="13" t="s">
        <v>28</v>
      </c>
      <c r="S104" s="13"/>
      <c r="T104" s="13"/>
      <c r="U104" s="13" t="s">
        <v>958</v>
      </c>
      <c r="V104" s="13" t="s">
        <v>958</v>
      </c>
      <c r="W104" s="59">
        <f t="shared" si="1"/>
        <v>1.2389483832106495E-4</v>
      </c>
    </row>
    <row r="105" spans="1:29">
      <c r="A105" s="13" t="s">
        <v>472</v>
      </c>
      <c r="B105" s="13" t="s">
        <v>471</v>
      </c>
      <c r="C105" s="139">
        <v>46226</v>
      </c>
      <c r="D105" s="139" t="s">
        <v>441</v>
      </c>
      <c r="E105" s="28">
        <v>0.99754032000000004</v>
      </c>
      <c r="F105" s="13"/>
      <c r="G105" s="18">
        <v>10000000</v>
      </c>
      <c r="H105" s="18">
        <v>9975403.2200000007</v>
      </c>
      <c r="I105" s="18">
        <v>10000000</v>
      </c>
      <c r="J105" s="18">
        <v>9975403.2200000007</v>
      </c>
      <c r="K105" s="15">
        <v>547</v>
      </c>
      <c r="L105" s="13" t="s">
        <v>102</v>
      </c>
      <c r="M105" s="13" t="s">
        <v>103</v>
      </c>
      <c r="N105" s="139" t="s">
        <v>428</v>
      </c>
      <c r="O105" s="139" t="s">
        <v>428</v>
      </c>
      <c r="P105" s="28">
        <v>30</v>
      </c>
      <c r="Q105" s="13" t="s">
        <v>54</v>
      </c>
      <c r="R105" s="13" t="s">
        <v>28</v>
      </c>
      <c r="S105" s="13"/>
      <c r="T105" s="13"/>
      <c r="U105" s="13" t="s">
        <v>1118</v>
      </c>
      <c r="V105" s="13" t="s">
        <v>1118</v>
      </c>
      <c r="W105" s="59">
        <f t="shared" si="1"/>
        <v>1.9057618969249321E-4</v>
      </c>
    </row>
    <row r="106" spans="1:29">
      <c r="A106" s="13" t="s">
        <v>432</v>
      </c>
      <c r="B106" s="13" t="s">
        <v>471</v>
      </c>
      <c r="C106" s="139">
        <v>46226</v>
      </c>
      <c r="D106" s="139" t="s">
        <v>441</v>
      </c>
      <c r="E106" s="28">
        <v>0.99704981999999998</v>
      </c>
      <c r="F106" s="13"/>
      <c r="G106" s="18">
        <v>1250000</v>
      </c>
      <c r="H106" s="18">
        <v>1246312.28</v>
      </c>
      <c r="I106" s="18">
        <v>1250000</v>
      </c>
      <c r="J106" s="18">
        <v>1246312.28</v>
      </c>
      <c r="K106" s="15">
        <v>2503</v>
      </c>
      <c r="L106" s="13" t="s">
        <v>102</v>
      </c>
      <c r="M106" s="13" t="s">
        <v>103</v>
      </c>
      <c r="N106" s="139" t="s">
        <v>427</v>
      </c>
      <c r="O106" s="139" t="s">
        <v>427</v>
      </c>
      <c r="P106" s="28">
        <v>36</v>
      </c>
      <c r="Q106" s="13" t="s">
        <v>54</v>
      </c>
      <c r="R106" s="13" t="s">
        <v>28</v>
      </c>
      <c r="S106" s="13"/>
      <c r="T106" s="13"/>
      <c r="U106" s="13" t="s">
        <v>1062</v>
      </c>
      <c r="V106" s="13" t="s">
        <v>1062</v>
      </c>
      <c r="W106" s="59">
        <f t="shared" si="1"/>
        <v>2.3810310245219713E-5</v>
      </c>
    </row>
    <row r="107" spans="1:29">
      <c r="A107" s="13" t="s">
        <v>147</v>
      </c>
      <c r="B107" s="13" t="s">
        <v>471</v>
      </c>
      <c r="C107" s="139">
        <v>46226</v>
      </c>
      <c r="D107" s="139" t="s">
        <v>441</v>
      </c>
      <c r="E107" s="28">
        <v>0.99672311000000002</v>
      </c>
      <c r="F107" s="13"/>
      <c r="G107" s="18">
        <v>10000000</v>
      </c>
      <c r="H107" s="18">
        <v>9967231.0700000003</v>
      </c>
      <c r="I107" s="18">
        <v>10000000</v>
      </c>
      <c r="J107" s="18">
        <v>9967231.0700000003</v>
      </c>
      <c r="K107" s="15">
        <v>4093</v>
      </c>
      <c r="L107" s="13" t="s">
        <v>102</v>
      </c>
      <c r="M107" s="13" t="s">
        <v>103</v>
      </c>
      <c r="N107" s="139" t="s">
        <v>358</v>
      </c>
      <c r="O107" s="139" t="s">
        <v>358</v>
      </c>
      <c r="P107" s="28">
        <v>40</v>
      </c>
      <c r="Q107" s="13" t="s">
        <v>54</v>
      </c>
      <c r="R107" s="13" t="s">
        <v>28</v>
      </c>
      <c r="S107" s="13"/>
      <c r="T107" s="13"/>
      <c r="U107" s="13" t="s">
        <v>605</v>
      </c>
      <c r="V107" s="13" t="s">
        <v>605</v>
      </c>
      <c r="W107" s="59">
        <f t="shared" si="1"/>
        <v>1.9042006395258599E-4</v>
      </c>
    </row>
    <row r="108" spans="1:29">
      <c r="A108" s="13" t="s">
        <v>149</v>
      </c>
      <c r="B108" s="13" t="s">
        <v>471</v>
      </c>
      <c r="C108" s="139">
        <v>46226</v>
      </c>
      <c r="D108" s="139" t="s">
        <v>441</v>
      </c>
      <c r="E108" s="28">
        <v>0.99770391999999997</v>
      </c>
      <c r="F108" s="13"/>
      <c r="G108" s="18">
        <v>50000000</v>
      </c>
      <c r="H108" s="18">
        <v>49885195.909999996</v>
      </c>
      <c r="I108" s="18">
        <v>50000000</v>
      </c>
      <c r="J108" s="18">
        <v>49885195.909999996</v>
      </c>
      <c r="K108" s="15">
        <v>4576</v>
      </c>
      <c r="L108" s="13" t="s">
        <v>102</v>
      </c>
      <c r="M108" s="13" t="s">
        <v>103</v>
      </c>
      <c r="N108" s="139" t="s">
        <v>326</v>
      </c>
      <c r="O108" s="139" t="s">
        <v>326</v>
      </c>
      <c r="P108" s="28">
        <v>28</v>
      </c>
      <c r="Q108" s="13" t="s">
        <v>54</v>
      </c>
      <c r="R108" s="13" t="s">
        <v>28</v>
      </c>
      <c r="S108" s="13"/>
      <c r="T108" s="13"/>
      <c r="U108" s="13" t="s">
        <v>980</v>
      </c>
      <c r="V108" s="13" t="s">
        <v>980</v>
      </c>
      <c r="W108" s="59">
        <f t="shared" si="1"/>
        <v>9.5303722054368705E-4</v>
      </c>
    </row>
    <row r="109" spans="1:29">
      <c r="A109" s="13" t="s">
        <v>323</v>
      </c>
      <c r="B109" s="13" t="s">
        <v>471</v>
      </c>
      <c r="C109" s="139">
        <v>46226</v>
      </c>
      <c r="D109" s="139" t="s">
        <v>441</v>
      </c>
      <c r="E109" s="28">
        <v>0.99762211999999995</v>
      </c>
      <c r="F109" s="13"/>
      <c r="G109" s="18">
        <v>25000000</v>
      </c>
      <c r="H109" s="18">
        <v>24940552.91</v>
      </c>
      <c r="I109" s="18">
        <v>25000000</v>
      </c>
      <c r="J109" s="18">
        <v>24940552.91</v>
      </c>
      <c r="K109" s="15">
        <v>3419</v>
      </c>
      <c r="L109" s="13" t="s">
        <v>102</v>
      </c>
      <c r="M109" s="13" t="s">
        <v>103</v>
      </c>
      <c r="N109" s="139" t="s">
        <v>341</v>
      </c>
      <c r="O109" s="139" t="s">
        <v>341</v>
      </c>
      <c r="P109" s="28">
        <v>29</v>
      </c>
      <c r="Q109" s="13" t="s">
        <v>54</v>
      </c>
      <c r="R109" s="13" t="s">
        <v>28</v>
      </c>
      <c r="S109" s="13"/>
      <c r="T109" s="13"/>
      <c r="U109" s="13" t="s">
        <v>939</v>
      </c>
      <c r="V109" s="13" t="s">
        <v>939</v>
      </c>
      <c r="W109" s="59">
        <f t="shared" si="1"/>
        <v>4.7647954048436183E-4</v>
      </c>
    </row>
    <row r="110" spans="1:29">
      <c r="A110" s="13" t="s">
        <v>323</v>
      </c>
      <c r="B110" s="13" t="s">
        <v>471</v>
      </c>
      <c r="C110" s="139">
        <v>46226</v>
      </c>
      <c r="D110" s="139" t="s">
        <v>441</v>
      </c>
      <c r="E110" s="28">
        <v>0.99762211999999995</v>
      </c>
      <c r="F110" s="13"/>
      <c r="G110" s="18">
        <v>10000000</v>
      </c>
      <c r="H110" s="18">
        <v>9976221.1600000001</v>
      </c>
      <c r="I110" s="18">
        <v>10000000</v>
      </c>
      <c r="J110" s="18">
        <v>9976221.1600000001</v>
      </c>
      <c r="K110" s="15">
        <v>66581742</v>
      </c>
      <c r="L110" s="13" t="s">
        <v>102</v>
      </c>
      <c r="M110" s="13" t="s">
        <v>103</v>
      </c>
      <c r="N110" s="139" t="s">
        <v>341</v>
      </c>
      <c r="O110" s="139" t="s">
        <v>341</v>
      </c>
      <c r="P110" s="28">
        <v>29</v>
      </c>
      <c r="Q110" s="13" t="s">
        <v>54</v>
      </c>
      <c r="R110" s="13" t="s">
        <v>28</v>
      </c>
      <c r="S110" s="13"/>
      <c r="T110" s="13"/>
      <c r="U110" s="13" t="s">
        <v>943</v>
      </c>
      <c r="V110" s="13" t="s">
        <v>943</v>
      </c>
      <c r="W110" s="59">
        <f t="shared" si="1"/>
        <v>1.905918161173263E-4</v>
      </c>
    </row>
    <row r="111" spans="1:29">
      <c r="A111" s="13" t="s">
        <v>365</v>
      </c>
      <c r="B111" s="13" t="s">
        <v>471</v>
      </c>
      <c r="C111" s="139">
        <v>46226</v>
      </c>
      <c r="D111" s="139" t="s">
        <v>441</v>
      </c>
      <c r="E111" s="28">
        <v>0.99754032000000004</v>
      </c>
      <c r="F111" s="13"/>
      <c r="G111" s="18">
        <v>100000000</v>
      </c>
      <c r="H111" s="18">
        <v>99754032.200000003</v>
      </c>
      <c r="I111" s="18">
        <v>100000000</v>
      </c>
      <c r="J111" s="18">
        <v>99754032.200000003</v>
      </c>
      <c r="K111" s="15">
        <v>16751418</v>
      </c>
      <c r="L111" s="13" t="s">
        <v>102</v>
      </c>
      <c r="M111" s="13" t="s">
        <v>103</v>
      </c>
      <c r="N111" s="139" t="s">
        <v>394</v>
      </c>
      <c r="O111" s="139" t="s">
        <v>394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1661</v>
      </c>
      <c r="V111" s="13" t="s">
        <v>1661</v>
      </c>
      <c r="W111" s="59">
        <f t="shared" si="1"/>
        <v>1.9057618969249321E-3</v>
      </c>
    </row>
    <row r="112" spans="1:29">
      <c r="A112" s="13" t="s">
        <v>738</v>
      </c>
      <c r="B112" s="13" t="s">
        <v>471</v>
      </c>
      <c r="C112" s="139">
        <v>46226</v>
      </c>
      <c r="D112" s="139" t="s">
        <v>441</v>
      </c>
      <c r="E112" s="28">
        <v>0.99770391999999997</v>
      </c>
      <c r="F112" s="13"/>
      <c r="G112" s="18">
        <v>25000000</v>
      </c>
      <c r="H112" s="18">
        <v>24942598.050000001</v>
      </c>
      <c r="I112" s="18">
        <v>25000000</v>
      </c>
      <c r="J112" s="18">
        <v>24942598.050000001</v>
      </c>
      <c r="K112" s="15">
        <v>895</v>
      </c>
      <c r="L112" s="13" t="s">
        <v>102</v>
      </c>
      <c r="M112" s="13" t="s">
        <v>103</v>
      </c>
      <c r="N112" s="139" t="s">
        <v>327</v>
      </c>
      <c r="O112" s="139" t="s">
        <v>327</v>
      </c>
      <c r="P112" s="28">
        <v>28</v>
      </c>
      <c r="Q112" s="13" t="s">
        <v>54</v>
      </c>
      <c r="R112" s="13" t="s">
        <v>28</v>
      </c>
      <c r="S112" s="13"/>
      <c r="T112" s="13"/>
      <c r="U112" s="13" t="s">
        <v>793</v>
      </c>
      <c r="V112" s="13" t="s">
        <v>793</v>
      </c>
      <c r="W112" s="59">
        <f t="shared" si="1"/>
        <v>4.7651861208678154E-4</v>
      </c>
      <c r="AC112" s="56"/>
    </row>
    <row r="113" spans="1:23">
      <c r="A113" s="13" t="s">
        <v>1825</v>
      </c>
      <c r="B113" s="13" t="s">
        <v>471</v>
      </c>
      <c r="C113" s="139">
        <v>46226</v>
      </c>
      <c r="D113" s="139" t="s">
        <v>441</v>
      </c>
      <c r="E113" s="28">
        <v>0.99754034000000003</v>
      </c>
      <c r="F113" s="13"/>
      <c r="G113" s="18">
        <v>330000</v>
      </c>
      <c r="H113" s="18">
        <v>329188.31</v>
      </c>
      <c r="I113" s="18">
        <v>330000</v>
      </c>
      <c r="J113" s="18">
        <v>329188.31</v>
      </c>
      <c r="K113" s="15">
        <v>9918440</v>
      </c>
      <c r="L113" s="13" t="s">
        <v>102</v>
      </c>
      <c r="M113" s="13" t="s">
        <v>103</v>
      </c>
      <c r="N113" s="139" t="s">
        <v>172</v>
      </c>
      <c r="O113" s="139" t="s">
        <v>172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1826</v>
      </c>
      <c r="V113" s="13" t="s">
        <v>1826</v>
      </c>
      <c r="W113" s="59">
        <f t="shared" si="1"/>
        <v>6.289014331303518E-6</v>
      </c>
    </row>
    <row r="114" spans="1:23">
      <c r="A114" s="13" t="s">
        <v>1825</v>
      </c>
      <c r="B114" s="13" t="s">
        <v>471</v>
      </c>
      <c r="C114" s="139">
        <v>46226</v>
      </c>
      <c r="D114" s="139" t="s">
        <v>441</v>
      </c>
      <c r="E114" s="28">
        <v>0.99754034999999996</v>
      </c>
      <c r="F114" s="13"/>
      <c r="G114" s="18">
        <v>415000</v>
      </c>
      <c r="H114" s="18">
        <v>413979.25</v>
      </c>
      <c r="I114" s="18">
        <v>415000</v>
      </c>
      <c r="J114" s="18">
        <v>413979.25</v>
      </c>
      <c r="K114" s="15">
        <v>9918434</v>
      </c>
      <c r="L114" s="13" t="s">
        <v>102</v>
      </c>
      <c r="M114" s="13" t="s">
        <v>103</v>
      </c>
      <c r="N114" s="139" t="s">
        <v>172</v>
      </c>
      <c r="O114" s="139" t="s">
        <v>172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1828</v>
      </c>
      <c r="V114" s="13" t="s">
        <v>1828</v>
      </c>
      <c r="W114" s="59">
        <f t="shared" si="1"/>
        <v>7.9089121849809361E-6</v>
      </c>
    </row>
    <row r="115" spans="1:23">
      <c r="A115" s="13" t="s">
        <v>510</v>
      </c>
      <c r="B115" s="13" t="s">
        <v>471</v>
      </c>
      <c r="C115" s="139">
        <v>46227</v>
      </c>
      <c r="D115" s="139" t="s">
        <v>441</v>
      </c>
      <c r="E115" s="28">
        <v>0.99683199</v>
      </c>
      <c r="F115" s="13"/>
      <c r="G115" s="18">
        <v>12500000</v>
      </c>
      <c r="H115" s="18">
        <v>12460399.890000001</v>
      </c>
      <c r="I115" s="18">
        <v>12500000</v>
      </c>
      <c r="J115" s="18">
        <v>12460399.890000001</v>
      </c>
      <c r="K115" s="15">
        <v>28996510</v>
      </c>
      <c r="L115" s="13" t="s">
        <v>102</v>
      </c>
      <c r="M115" s="13" t="s">
        <v>103</v>
      </c>
      <c r="N115" s="139" t="s">
        <v>154</v>
      </c>
      <c r="O115" s="139" t="s">
        <v>154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497</v>
      </c>
      <c r="V115" s="13" t="s">
        <v>497</v>
      </c>
      <c r="W115" s="59">
        <f t="shared" si="1"/>
        <v>2.3805108231815032E-4</v>
      </c>
    </row>
    <row r="116" spans="1:23">
      <c r="A116" s="13" t="s">
        <v>581</v>
      </c>
      <c r="B116" s="13" t="s">
        <v>471</v>
      </c>
      <c r="C116" s="139">
        <v>46227</v>
      </c>
      <c r="D116" s="139" t="s">
        <v>441</v>
      </c>
      <c r="E116" s="28">
        <v>0.99726778000000005</v>
      </c>
      <c r="F116" s="13"/>
      <c r="G116" s="18">
        <v>1754500</v>
      </c>
      <c r="H116" s="18">
        <v>1749706.31</v>
      </c>
      <c r="I116" s="18">
        <v>1754500</v>
      </c>
      <c r="J116" s="18">
        <v>1749706.31</v>
      </c>
      <c r="K116" s="15">
        <v>1420</v>
      </c>
      <c r="L116" s="13" t="s">
        <v>102</v>
      </c>
      <c r="M116" s="13" t="s">
        <v>103</v>
      </c>
      <c r="N116" s="139" t="s">
        <v>172</v>
      </c>
      <c r="O116" s="139" t="s">
        <v>172</v>
      </c>
      <c r="P116" s="28">
        <v>25</v>
      </c>
      <c r="Q116" s="13" t="s">
        <v>54</v>
      </c>
      <c r="R116" s="13" t="s">
        <v>28</v>
      </c>
      <c r="S116" s="13"/>
      <c r="T116" s="13"/>
      <c r="U116" s="13" t="s">
        <v>1783</v>
      </c>
      <c r="V116" s="13" t="s">
        <v>1783</v>
      </c>
      <c r="W116" s="59">
        <f t="shared" si="1"/>
        <v>3.3427456944513603E-5</v>
      </c>
    </row>
    <row r="117" spans="1:23">
      <c r="A117" s="13" t="s">
        <v>581</v>
      </c>
      <c r="B117" s="13" t="s">
        <v>471</v>
      </c>
      <c r="C117" s="139">
        <v>46227</v>
      </c>
      <c r="D117" s="139" t="s">
        <v>441</v>
      </c>
      <c r="E117" s="28">
        <v>0.99726777</v>
      </c>
      <c r="F117" s="13"/>
      <c r="G117" s="18">
        <v>1000000</v>
      </c>
      <c r="H117" s="18">
        <v>997267.77</v>
      </c>
      <c r="I117" s="18">
        <v>1000000</v>
      </c>
      <c r="J117" s="18">
        <v>997267.77</v>
      </c>
      <c r="K117" s="15">
        <v>852</v>
      </c>
      <c r="L117" s="13" t="s">
        <v>102</v>
      </c>
      <c r="M117" s="13" t="s">
        <v>103</v>
      </c>
      <c r="N117" s="139" t="s">
        <v>172</v>
      </c>
      <c r="O117" s="139" t="s">
        <v>172</v>
      </c>
      <c r="P117" s="28">
        <v>25</v>
      </c>
      <c r="Q117" s="13" t="s">
        <v>54</v>
      </c>
      <c r="R117" s="13" t="s">
        <v>28</v>
      </c>
      <c r="S117" s="13"/>
      <c r="T117" s="13"/>
      <c r="U117" s="13" t="s">
        <v>1784</v>
      </c>
      <c r="V117" s="13" t="s">
        <v>1784</v>
      </c>
      <c r="W117" s="59">
        <f t="shared" si="1"/>
        <v>1.9052411969541387E-5</v>
      </c>
    </row>
    <row r="118" spans="1:23">
      <c r="A118" s="13" t="s">
        <v>581</v>
      </c>
      <c r="B118" s="13" t="s">
        <v>471</v>
      </c>
      <c r="C118" s="139">
        <v>46227</v>
      </c>
      <c r="D118" s="139" t="s">
        <v>441</v>
      </c>
      <c r="E118" s="28">
        <v>0.99726778000000005</v>
      </c>
      <c r="F118" s="13"/>
      <c r="G118" s="18">
        <v>755183.27</v>
      </c>
      <c r="H118" s="18">
        <v>753119.94</v>
      </c>
      <c r="I118" s="18">
        <v>755183.27</v>
      </c>
      <c r="J118" s="18">
        <v>753119.94</v>
      </c>
      <c r="K118" s="15">
        <v>1857772</v>
      </c>
      <c r="L118" s="13" t="s">
        <v>102</v>
      </c>
      <c r="M118" s="13" t="s">
        <v>103</v>
      </c>
      <c r="N118" s="139" t="s">
        <v>172</v>
      </c>
      <c r="O118" s="139" t="s">
        <v>172</v>
      </c>
      <c r="P118" s="28">
        <v>25</v>
      </c>
      <c r="Q118" s="13" t="s">
        <v>54</v>
      </c>
      <c r="R118" s="13" t="s">
        <v>28</v>
      </c>
      <c r="S118" s="13"/>
      <c r="T118" s="13"/>
      <c r="U118" s="13" t="s">
        <v>1817</v>
      </c>
      <c r="V118" s="13" t="s">
        <v>1817</v>
      </c>
      <c r="W118" s="59">
        <f t="shared" si="1"/>
        <v>1.4388062856334251E-5</v>
      </c>
    </row>
    <row r="119" spans="1:23">
      <c r="A119" s="13" t="s">
        <v>581</v>
      </c>
      <c r="B119" s="13" t="s">
        <v>471</v>
      </c>
      <c r="C119" s="139">
        <v>46227</v>
      </c>
      <c r="D119" s="139" t="s">
        <v>441</v>
      </c>
      <c r="E119" s="28">
        <v>0.99726778000000005</v>
      </c>
      <c r="F119" s="13"/>
      <c r="G119" s="18">
        <v>700000</v>
      </c>
      <c r="H119" s="18">
        <v>698087.44</v>
      </c>
      <c r="I119" s="18">
        <v>700000</v>
      </c>
      <c r="J119" s="18">
        <v>698087.44</v>
      </c>
      <c r="K119" s="15">
        <v>816</v>
      </c>
      <c r="L119" s="13" t="s">
        <v>102</v>
      </c>
      <c r="M119" s="13" t="s">
        <v>103</v>
      </c>
      <c r="N119" s="139" t="s">
        <v>172</v>
      </c>
      <c r="O119" s="139" t="s">
        <v>172</v>
      </c>
      <c r="P119" s="28">
        <v>25</v>
      </c>
      <c r="Q119" s="13" t="s">
        <v>54</v>
      </c>
      <c r="R119" s="13" t="s">
        <v>28</v>
      </c>
      <c r="S119" s="13"/>
      <c r="T119" s="13"/>
      <c r="U119" s="13" t="s">
        <v>1818</v>
      </c>
      <c r="V119" s="13" t="s">
        <v>1818</v>
      </c>
      <c r="W119" s="59">
        <f t="shared" si="1"/>
        <v>1.333668839778358E-5</v>
      </c>
    </row>
    <row r="120" spans="1:23">
      <c r="A120" s="13" t="s">
        <v>1264</v>
      </c>
      <c r="B120" s="13" t="s">
        <v>471</v>
      </c>
      <c r="C120" s="139">
        <v>46227</v>
      </c>
      <c r="D120" s="139" t="s">
        <v>441</v>
      </c>
      <c r="E120" s="28">
        <v>0.99639661000000002</v>
      </c>
      <c r="F120" s="13"/>
      <c r="G120" s="18">
        <v>2429673.98</v>
      </c>
      <c r="H120" s="18">
        <v>2420918.91</v>
      </c>
      <c r="I120" s="18">
        <v>2429673.98</v>
      </c>
      <c r="J120" s="18">
        <v>2420918.91</v>
      </c>
      <c r="K120" s="15">
        <v>26</v>
      </c>
      <c r="L120" s="13" t="s">
        <v>102</v>
      </c>
      <c r="M120" s="13" t="s">
        <v>103</v>
      </c>
      <c r="N120" s="139" t="s">
        <v>319</v>
      </c>
      <c r="O120" s="139" t="s">
        <v>319</v>
      </c>
      <c r="P120" s="28">
        <v>33</v>
      </c>
      <c r="Q120" s="13" t="s">
        <v>54</v>
      </c>
      <c r="R120" s="13" t="s">
        <v>28</v>
      </c>
      <c r="S120" s="13"/>
      <c r="T120" s="13"/>
      <c r="U120" s="13" t="s">
        <v>1230</v>
      </c>
      <c r="V120" s="13" t="s">
        <v>1230</v>
      </c>
      <c r="W120" s="59">
        <f t="shared" si="1"/>
        <v>4.6250712001023643E-5</v>
      </c>
    </row>
    <row r="121" spans="1:23">
      <c r="A121" s="13" t="s">
        <v>1275</v>
      </c>
      <c r="B121" s="13" t="s">
        <v>471</v>
      </c>
      <c r="C121" s="139">
        <v>46227</v>
      </c>
      <c r="D121" s="139" t="s">
        <v>441</v>
      </c>
      <c r="E121" s="28">
        <v>0.99639661000000002</v>
      </c>
      <c r="F121" s="13"/>
      <c r="G121" s="18">
        <v>1134249.7</v>
      </c>
      <c r="H121" s="18">
        <v>1130162.55</v>
      </c>
      <c r="I121" s="18">
        <v>1134249.7</v>
      </c>
      <c r="J121" s="18">
        <v>1130162.55</v>
      </c>
      <c r="K121" s="15">
        <v>2230</v>
      </c>
      <c r="L121" s="13" t="s">
        <v>102</v>
      </c>
      <c r="M121" s="13" t="s">
        <v>103</v>
      </c>
      <c r="N121" s="139" t="s">
        <v>319</v>
      </c>
      <c r="O121" s="139" t="s">
        <v>319</v>
      </c>
      <c r="P121" s="28">
        <v>33</v>
      </c>
      <c r="Q121" s="13" t="s">
        <v>54</v>
      </c>
      <c r="R121" s="13" t="s">
        <v>28</v>
      </c>
      <c r="S121" s="13"/>
      <c r="T121" s="13"/>
      <c r="U121" s="13" t="s">
        <v>1259</v>
      </c>
      <c r="V121" s="13" t="s">
        <v>1259</v>
      </c>
      <c r="W121" s="59">
        <f t="shared" si="1"/>
        <v>2.1591314933548306E-5</v>
      </c>
    </row>
    <row r="122" spans="1:23">
      <c r="A122" s="13" t="s">
        <v>698</v>
      </c>
      <c r="B122" s="13" t="s">
        <v>471</v>
      </c>
      <c r="C122" s="139">
        <v>46227</v>
      </c>
      <c r="D122" s="139" t="s">
        <v>441</v>
      </c>
      <c r="E122" s="28">
        <v>0.99672311000000002</v>
      </c>
      <c r="F122" s="13"/>
      <c r="G122" s="18">
        <v>1040000</v>
      </c>
      <c r="H122" s="18">
        <v>1036592.03</v>
      </c>
      <c r="I122" s="18">
        <v>1040000</v>
      </c>
      <c r="J122" s="18">
        <v>1036592.03</v>
      </c>
      <c r="K122" s="15">
        <v>12201550</v>
      </c>
      <c r="L122" s="13" t="s">
        <v>102</v>
      </c>
      <c r="M122" s="13" t="s">
        <v>103</v>
      </c>
      <c r="N122" s="139" t="s">
        <v>341</v>
      </c>
      <c r="O122" s="139" t="s">
        <v>341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916</v>
      </c>
      <c r="V122" s="13" t="s">
        <v>916</v>
      </c>
      <c r="W122" s="59">
        <f t="shared" si="1"/>
        <v>1.9803686626615042E-5</v>
      </c>
    </row>
    <row r="123" spans="1:23">
      <c r="A123" s="13" t="s">
        <v>698</v>
      </c>
      <c r="B123" s="13" t="s">
        <v>471</v>
      </c>
      <c r="C123" s="139">
        <v>46227</v>
      </c>
      <c r="D123" s="139" t="s">
        <v>441</v>
      </c>
      <c r="E123" s="28">
        <v>0.99683200000000005</v>
      </c>
      <c r="F123" s="13"/>
      <c r="G123" s="18">
        <v>5000000</v>
      </c>
      <c r="H123" s="18">
        <v>4984159.9800000004</v>
      </c>
      <c r="I123" s="18">
        <v>5000000</v>
      </c>
      <c r="J123" s="18">
        <v>4984159.9800000004</v>
      </c>
      <c r="K123" s="15">
        <v>16779603</v>
      </c>
      <c r="L123" s="13" t="s">
        <v>102</v>
      </c>
      <c r="M123" s="13" t="s">
        <v>103</v>
      </c>
      <c r="N123" s="139" t="s">
        <v>341</v>
      </c>
      <c r="O123" s="139" t="s">
        <v>341</v>
      </c>
      <c r="P123" s="28">
        <v>29</v>
      </c>
      <c r="Q123" s="13" t="s">
        <v>54</v>
      </c>
      <c r="R123" s="13" t="s">
        <v>28</v>
      </c>
      <c r="S123" s="13"/>
      <c r="T123" s="13"/>
      <c r="U123" s="13" t="s">
        <v>924</v>
      </c>
      <c r="V123" s="13" t="s">
        <v>924</v>
      </c>
      <c r="W123" s="59">
        <f t="shared" si="1"/>
        <v>9.5220433385770765E-5</v>
      </c>
    </row>
    <row r="124" spans="1:23">
      <c r="A124" s="13" t="s">
        <v>950</v>
      </c>
      <c r="B124" s="13" t="s">
        <v>471</v>
      </c>
      <c r="C124" s="139">
        <v>46227</v>
      </c>
      <c r="D124" s="139" t="s">
        <v>441</v>
      </c>
      <c r="E124" s="28">
        <v>0.99672311000000002</v>
      </c>
      <c r="F124" s="13"/>
      <c r="G124" s="18">
        <v>6013017.5</v>
      </c>
      <c r="H124" s="18">
        <v>5993313.5099999998</v>
      </c>
      <c r="I124" s="18">
        <v>6013017.5</v>
      </c>
      <c r="J124" s="18">
        <v>5993313.5099999998</v>
      </c>
      <c r="K124" s="15">
        <v>66632353</v>
      </c>
      <c r="L124" s="13" t="s">
        <v>102</v>
      </c>
      <c r="M124" s="13" t="s">
        <v>103</v>
      </c>
      <c r="N124" s="139" t="s">
        <v>341</v>
      </c>
      <c r="O124" s="139" t="s">
        <v>341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933</v>
      </c>
      <c r="V124" s="13" t="s">
        <v>933</v>
      </c>
      <c r="W124" s="59">
        <f t="shared" si="1"/>
        <v>1.1449991816655029E-4</v>
      </c>
    </row>
    <row r="125" spans="1:23">
      <c r="A125" s="13" t="s">
        <v>950</v>
      </c>
      <c r="B125" s="13" t="s">
        <v>471</v>
      </c>
      <c r="C125" s="139">
        <v>46227</v>
      </c>
      <c r="D125" s="139" t="s">
        <v>441</v>
      </c>
      <c r="E125" s="28">
        <v>0.99672311000000002</v>
      </c>
      <c r="F125" s="13"/>
      <c r="G125" s="18">
        <v>6013017.5</v>
      </c>
      <c r="H125" s="18">
        <v>5993313.5099999998</v>
      </c>
      <c r="I125" s="18">
        <v>6013017.5</v>
      </c>
      <c r="J125" s="18">
        <v>5993313.5099999998</v>
      </c>
      <c r="K125" s="15">
        <v>66632320</v>
      </c>
      <c r="L125" s="13" t="s">
        <v>102</v>
      </c>
      <c r="M125" s="13" t="s">
        <v>103</v>
      </c>
      <c r="N125" s="139" t="s">
        <v>341</v>
      </c>
      <c r="O125" s="139" t="s">
        <v>341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934</v>
      </c>
      <c r="V125" s="13" t="s">
        <v>934</v>
      </c>
      <c r="W125" s="59">
        <f t="shared" si="1"/>
        <v>1.1449991816655029E-4</v>
      </c>
    </row>
    <row r="126" spans="1:23">
      <c r="A126" s="13" t="s">
        <v>950</v>
      </c>
      <c r="B126" s="13" t="s">
        <v>471</v>
      </c>
      <c r="C126" s="139">
        <v>46227</v>
      </c>
      <c r="D126" s="139" t="s">
        <v>441</v>
      </c>
      <c r="E126" s="28">
        <v>0.99672311000000002</v>
      </c>
      <c r="F126" s="13"/>
      <c r="G126" s="18">
        <v>6013017.5</v>
      </c>
      <c r="H126" s="18">
        <v>5993313.5099999998</v>
      </c>
      <c r="I126" s="18">
        <v>6013017.5</v>
      </c>
      <c r="J126" s="18">
        <v>5993313.5099999998</v>
      </c>
      <c r="K126" s="15">
        <v>66632294</v>
      </c>
      <c r="L126" s="13" t="s">
        <v>102</v>
      </c>
      <c r="M126" s="13" t="s">
        <v>103</v>
      </c>
      <c r="N126" s="139" t="s">
        <v>341</v>
      </c>
      <c r="O126" s="139" t="s">
        <v>341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935</v>
      </c>
      <c r="V126" s="13" t="s">
        <v>935</v>
      </c>
      <c r="W126" s="59">
        <f t="shared" si="1"/>
        <v>1.1449991816655029E-4</v>
      </c>
    </row>
    <row r="127" spans="1:23">
      <c r="A127" s="13" t="s">
        <v>197</v>
      </c>
      <c r="B127" s="13" t="s">
        <v>471</v>
      </c>
      <c r="C127" s="139">
        <v>46227</v>
      </c>
      <c r="D127" s="139" t="s">
        <v>441</v>
      </c>
      <c r="E127" s="28">
        <v>0.99781302000000005</v>
      </c>
      <c r="F127" s="13"/>
      <c r="G127" s="18">
        <v>2500000</v>
      </c>
      <c r="H127" s="18">
        <v>2494532.56</v>
      </c>
      <c r="I127" s="18">
        <v>2500000</v>
      </c>
      <c r="J127" s="18">
        <v>2494532.56</v>
      </c>
      <c r="K127" s="15">
        <v>6126</v>
      </c>
      <c r="L127" s="13" t="s">
        <v>102</v>
      </c>
      <c r="M127" s="13" t="s">
        <v>103</v>
      </c>
      <c r="N127" s="139" t="s">
        <v>319</v>
      </c>
      <c r="O127" s="139" t="s">
        <v>319</v>
      </c>
      <c r="P127" s="28">
        <v>20</v>
      </c>
      <c r="Q127" s="13" t="s">
        <v>54</v>
      </c>
      <c r="R127" s="13" t="s">
        <v>28</v>
      </c>
      <c r="S127" s="13"/>
      <c r="T127" s="13"/>
      <c r="U127" s="13" t="s">
        <v>1195</v>
      </c>
      <c r="V127" s="13" t="s">
        <v>1195</v>
      </c>
      <c r="W127" s="59">
        <f t="shared" si="1"/>
        <v>4.7657072086621951E-5</v>
      </c>
    </row>
    <row r="128" spans="1:23">
      <c r="A128" s="13" t="s">
        <v>737</v>
      </c>
      <c r="B128" s="13" t="s">
        <v>471</v>
      </c>
      <c r="C128" s="139">
        <v>46227</v>
      </c>
      <c r="D128" s="139" t="s">
        <v>441</v>
      </c>
      <c r="E128" s="28">
        <v>0.99694090000000002</v>
      </c>
      <c r="F128" s="13"/>
      <c r="G128" s="18">
        <v>15000000</v>
      </c>
      <c r="H128" s="18">
        <v>14954113.449999999</v>
      </c>
      <c r="I128" s="18">
        <v>15000000</v>
      </c>
      <c r="J128" s="18">
        <v>14954113.449999999</v>
      </c>
      <c r="K128" s="15">
        <v>29131906</v>
      </c>
      <c r="L128" s="13" t="s">
        <v>102</v>
      </c>
      <c r="M128" s="13" t="s">
        <v>103</v>
      </c>
      <c r="N128" s="139" t="s">
        <v>348</v>
      </c>
      <c r="O128" s="139" t="s">
        <v>348</v>
      </c>
      <c r="P128" s="28">
        <v>28</v>
      </c>
      <c r="Q128" s="13" t="s">
        <v>54</v>
      </c>
      <c r="R128" s="13" t="s">
        <v>28</v>
      </c>
      <c r="S128" s="13"/>
      <c r="T128" s="13"/>
      <c r="U128" s="13" t="s">
        <v>733</v>
      </c>
      <c r="V128" s="13" t="s">
        <v>733</v>
      </c>
      <c r="W128" s="59">
        <f t="shared" si="1"/>
        <v>2.8569250772905237E-4</v>
      </c>
    </row>
    <row r="129" spans="1:29">
      <c r="A129" s="13" t="s">
        <v>472</v>
      </c>
      <c r="B129" s="13" t="s">
        <v>471</v>
      </c>
      <c r="C129" s="139">
        <v>46227</v>
      </c>
      <c r="D129" s="139" t="s">
        <v>441</v>
      </c>
      <c r="E129" s="28">
        <v>0.99672311000000002</v>
      </c>
      <c r="F129" s="13"/>
      <c r="G129" s="18">
        <v>10000000</v>
      </c>
      <c r="H129" s="18">
        <v>9967231.0600000005</v>
      </c>
      <c r="I129" s="18">
        <v>10000000</v>
      </c>
      <c r="J129" s="18">
        <v>9967231.0600000005</v>
      </c>
      <c r="K129" s="15">
        <v>523</v>
      </c>
      <c r="L129" s="13" t="s">
        <v>102</v>
      </c>
      <c r="M129" s="13" t="s">
        <v>103</v>
      </c>
      <c r="N129" s="139" t="s">
        <v>362</v>
      </c>
      <c r="O129" s="139" t="s">
        <v>362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1097</v>
      </c>
      <c r="V129" s="13" t="s">
        <v>1097</v>
      </c>
      <c r="W129" s="59">
        <f t="shared" si="1"/>
        <v>1.9042006376153989E-4</v>
      </c>
    </row>
    <row r="130" spans="1:29">
      <c r="A130" s="13" t="s">
        <v>347</v>
      </c>
      <c r="B130" s="13" t="s">
        <v>471</v>
      </c>
      <c r="C130" s="139">
        <v>46227</v>
      </c>
      <c r="D130" s="139" t="s">
        <v>441</v>
      </c>
      <c r="E130" s="28">
        <v>0.99563557999999996</v>
      </c>
      <c r="F130" s="13"/>
      <c r="G130" s="18">
        <v>3500000</v>
      </c>
      <c r="H130" s="18">
        <v>3484724.52</v>
      </c>
      <c r="I130" s="18">
        <v>3500000</v>
      </c>
      <c r="J130" s="18">
        <v>3484724.52</v>
      </c>
      <c r="K130" s="15">
        <v>60524037</v>
      </c>
      <c r="L130" s="13" t="s">
        <v>102</v>
      </c>
      <c r="M130" s="13" t="s">
        <v>103</v>
      </c>
      <c r="N130" s="139" t="s">
        <v>240</v>
      </c>
      <c r="O130" s="139" t="s">
        <v>240</v>
      </c>
      <c r="P130" s="28">
        <v>40</v>
      </c>
      <c r="Q130" s="13" t="s">
        <v>54</v>
      </c>
      <c r="R130" s="13" t="s">
        <v>28</v>
      </c>
      <c r="S130" s="13"/>
      <c r="T130" s="13"/>
      <c r="U130" s="13" t="s">
        <v>442</v>
      </c>
      <c r="V130" s="13" t="s">
        <v>442</v>
      </c>
      <c r="W130" s="59">
        <f t="shared" si="1"/>
        <v>6.6574303464557333E-5</v>
      </c>
    </row>
    <row r="131" spans="1:29">
      <c r="A131" s="13" t="s">
        <v>149</v>
      </c>
      <c r="B131" s="13" t="s">
        <v>471</v>
      </c>
      <c r="C131" s="139">
        <v>46227</v>
      </c>
      <c r="D131" s="139" t="s">
        <v>441</v>
      </c>
      <c r="E131" s="28">
        <v>0.99694088999999997</v>
      </c>
      <c r="F131" s="13"/>
      <c r="G131" s="18">
        <v>50000000</v>
      </c>
      <c r="H131" s="18">
        <v>49847044.689999998</v>
      </c>
      <c r="I131" s="18">
        <v>50000000</v>
      </c>
      <c r="J131" s="18">
        <v>49847044.689999998</v>
      </c>
      <c r="K131" s="15">
        <v>4635</v>
      </c>
      <c r="L131" s="13" t="s">
        <v>102</v>
      </c>
      <c r="M131" s="13" t="s">
        <v>103</v>
      </c>
      <c r="N131" s="139" t="s">
        <v>349</v>
      </c>
      <c r="O131" s="139" t="s">
        <v>349</v>
      </c>
      <c r="P131" s="28">
        <v>28</v>
      </c>
      <c r="Q131" s="13" t="s">
        <v>54</v>
      </c>
      <c r="R131" s="13" t="s">
        <v>28</v>
      </c>
      <c r="S131" s="13"/>
      <c r="T131" s="13"/>
      <c r="U131" s="13" t="s">
        <v>1013</v>
      </c>
      <c r="V131" s="13" t="s">
        <v>1013</v>
      </c>
      <c r="W131" s="59">
        <f t="shared" si="1"/>
        <v>9.5230835635851379E-4</v>
      </c>
    </row>
    <row r="132" spans="1:29">
      <c r="A132" s="13" t="s">
        <v>323</v>
      </c>
      <c r="B132" s="13" t="s">
        <v>471</v>
      </c>
      <c r="C132" s="139">
        <v>46227</v>
      </c>
      <c r="D132" s="139" t="s">
        <v>441</v>
      </c>
      <c r="E132" s="28">
        <v>0.99683199</v>
      </c>
      <c r="F132" s="13"/>
      <c r="G132" s="18">
        <v>40000000</v>
      </c>
      <c r="H132" s="18">
        <v>39873279.530000001</v>
      </c>
      <c r="I132" s="18">
        <v>40000000</v>
      </c>
      <c r="J132" s="18">
        <v>39873279.530000001</v>
      </c>
      <c r="K132" s="15">
        <v>54026409</v>
      </c>
      <c r="L132" s="13" t="s">
        <v>102</v>
      </c>
      <c r="M132" s="13" t="s">
        <v>103</v>
      </c>
      <c r="N132" s="139" t="s">
        <v>160</v>
      </c>
      <c r="O132" s="139" t="s">
        <v>160</v>
      </c>
      <c r="P132" s="28">
        <v>29</v>
      </c>
      <c r="Q132" s="13" t="s">
        <v>54</v>
      </c>
      <c r="R132" s="13" t="s">
        <v>28</v>
      </c>
      <c r="S132" s="13"/>
      <c r="T132" s="13"/>
      <c r="U132" s="13" t="s">
        <v>901</v>
      </c>
      <c r="V132" s="13" t="s">
        <v>901</v>
      </c>
      <c r="W132" s="59">
        <f t="shared" si="1"/>
        <v>7.6176346116373702E-4</v>
      </c>
      <c r="AC132" s="56"/>
    </row>
    <row r="133" spans="1:29">
      <c r="A133" s="13" t="s">
        <v>323</v>
      </c>
      <c r="B133" s="13" t="s">
        <v>471</v>
      </c>
      <c r="C133" s="139">
        <v>46227</v>
      </c>
      <c r="D133" s="139" t="s">
        <v>441</v>
      </c>
      <c r="E133" s="28">
        <v>0.99683199</v>
      </c>
      <c r="F133" s="13"/>
      <c r="G133" s="18">
        <v>12500000</v>
      </c>
      <c r="H133" s="18">
        <v>12460399.84</v>
      </c>
      <c r="I133" s="18">
        <v>12500000</v>
      </c>
      <c r="J133" s="18">
        <v>12460399.84</v>
      </c>
      <c r="K133" s="15">
        <v>4954</v>
      </c>
      <c r="L133" s="13" t="s">
        <v>102</v>
      </c>
      <c r="M133" s="13" t="s">
        <v>103</v>
      </c>
      <c r="N133" s="139" t="s">
        <v>355</v>
      </c>
      <c r="O133" s="139" t="s">
        <v>355</v>
      </c>
      <c r="P133" s="28">
        <v>29</v>
      </c>
      <c r="Q133" s="13" t="s">
        <v>54</v>
      </c>
      <c r="R133" s="13" t="s">
        <v>28</v>
      </c>
      <c r="S133" s="13"/>
      <c r="T133" s="13"/>
      <c r="U133" s="13" t="s">
        <v>840</v>
      </c>
      <c r="V133" s="13" t="s">
        <v>840</v>
      </c>
      <c r="W133" s="59">
        <f t="shared" ref="W133:W196" si="2">+J133/$W$2</f>
        <v>2.3805108136291979E-4</v>
      </c>
    </row>
    <row r="134" spans="1:29">
      <c r="A134" s="13" t="s">
        <v>323</v>
      </c>
      <c r="B134" s="13" t="s">
        <v>471</v>
      </c>
      <c r="C134" s="139">
        <v>46227</v>
      </c>
      <c r="D134" s="139" t="s">
        <v>441</v>
      </c>
      <c r="E134" s="28">
        <v>0.99672311000000002</v>
      </c>
      <c r="F134" s="13"/>
      <c r="G134" s="18">
        <v>10000000</v>
      </c>
      <c r="H134" s="18">
        <v>9967231.0999999996</v>
      </c>
      <c r="I134" s="18">
        <v>10000000</v>
      </c>
      <c r="J134" s="18">
        <v>9967231.0999999996</v>
      </c>
      <c r="K134" s="15">
        <v>1372330</v>
      </c>
      <c r="L134" s="13" t="s">
        <v>102</v>
      </c>
      <c r="M134" s="13" t="s">
        <v>103</v>
      </c>
      <c r="N134" s="139" t="s">
        <v>229</v>
      </c>
      <c r="O134" s="139" t="s">
        <v>229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513</v>
      </c>
      <c r="V134" s="13" t="s">
        <v>513</v>
      </c>
      <c r="W134" s="59">
        <f t="shared" si="2"/>
        <v>1.9042006452572426E-4</v>
      </c>
    </row>
    <row r="135" spans="1:29">
      <c r="A135" s="13" t="s">
        <v>323</v>
      </c>
      <c r="B135" s="13" t="s">
        <v>471</v>
      </c>
      <c r="C135" s="139">
        <v>46227</v>
      </c>
      <c r="D135" s="139" t="s">
        <v>441</v>
      </c>
      <c r="E135" s="28">
        <v>0.99683199</v>
      </c>
      <c r="F135" s="13"/>
      <c r="G135" s="18">
        <v>20000000</v>
      </c>
      <c r="H135" s="18">
        <v>19936639.789999999</v>
      </c>
      <c r="I135" s="18">
        <v>20000000</v>
      </c>
      <c r="J135" s="18">
        <v>19936639.789999999</v>
      </c>
      <c r="K135" s="15">
        <v>66179083</v>
      </c>
      <c r="L135" s="13" t="s">
        <v>102</v>
      </c>
      <c r="M135" s="13" t="s">
        <v>103</v>
      </c>
      <c r="N135" s="139" t="s">
        <v>151</v>
      </c>
      <c r="O135" s="139" t="s">
        <v>151</v>
      </c>
      <c r="P135" s="28">
        <v>29</v>
      </c>
      <c r="Q135" s="13" t="s">
        <v>54</v>
      </c>
      <c r="R135" s="13" t="s">
        <v>28</v>
      </c>
      <c r="S135" s="13"/>
      <c r="T135" s="13"/>
      <c r="U135" s="13" t="s">
        <v>541</v>
      </c>
      <c r="V135" s="13" t="s">
        <v>541</v>
      </c>
      <c r="W135" s="59">
        <f t="shared" si="2"/>
        <v>3.8088173105948369E-4</v>
      </c>
    </row>
    <row r="136" spans="1:29">
      <c r="A136" s="13" t="s">
        <v>323</v>
      </c>
      <c r="B136" s="13" t="s">
        <v>471</v>
      </c>
      <c r="C136" s="139">
        <v>46227</v>
      </c>
      <c r="D136" s="139" t="s">
        <v>441</v>
      </c>
      <c r="E136" s="28">
        <v>0.99683199</v>
      </c>
      <c r="F136" s="13"/>
      <c r="G136" s="18">
        <v>10000000</v>
      </c>
      <c r="H136" s="18">
        <v>9968319.9000000004</v>
      </c>
      <c r="I136" s="18">
        <v>10000000</v>
      </c>
      <c r="J136" s="18">
        <v>9968319.9000000004</v>
      </c>
      <c r="K136" s="15">
        <v>491333</v>
      </c>
      <c r="L136" s="13" t="s">
        <v>102</v>
      </c>
      <c r="M136" s="13" t="s">
        <v>103</v>
      </c>
      <c r="N136" s="139" t="s">
        <v>151</v>
      </c>
      <c r="O136" s="139" t="s">
        <v>151</v>
      </c>
      <c r="P136" s="28">
        <v>29</v>
      </c>
      <c r="Q136" s="13" t="s">
        <v>54</v>
      </c>
      <c r="R136" s="13" t="s">
        <v>28</v>
      </c>
      <c r="S136" s="13"/>
      <c r="T136" s="13"/>
      <c r="U136" s="13" t="s">
        <v>542</v>
      </c>
      <c r="V136" s="13" t="s">
        <v>542</v>
      </c>
      <c r="W136" s="59">
        <f t="shared" si="2"/>
        <v>1.9044086562526491E-4</v>
      </c>
    </row>
    <row r="137" spans="1:29">
      <c r="A137" s="13" t="s">
        <v>478</v>
      </c>
      <c r="B137" s="13" t="s">
        <v>471</v>
      </c>
      <c r="C137" s="139">
        <v>46227</v>
      </c>
      <c r="D137" s="139" t="s">
        <v>441</v>
      </c>
      <c r="E137" s="28">
        <v>0.99617904000000002</v>
      </c>
      <c r="F137" s="13"/>
      <c r="G137" s="18">
        <v>16600000</v>
      </c>
      <c r="H137" s="18">
        <v>16536572.130000001</v>
      </c>
      <c r="I137" s="18">
        <v>16600000</v>
      </c>
      <c r="J137" s="18">
        <v>16536572.130000001</v>
      </c>
      <c r="K137" s="15">
        <v>290</v>
      </c>
      <c r="L137" s="13" t="s">
        <v>102</v>
      </c>
      <c r="M137" s="13" t="s">
        <v>103</v>
      </c>
      <c r="N137" s="139" t="s">
        <v>151</v>
      </c>
      <c r="O137" s="139" t="s">
        <v>151</v>
      </c>
      <c r="P137" s="28">
        <v>35</v>
      </c>
      <c r="Q137" s="13" t="s">
        <v>54</v>
      </c>
      <c r="R137" s="13" t="s">
        <v>28</v>
      </c>
      <c r="S137" s="13"/>
      <c r="T137" s="13"/>
      <c r="U137" s="13" t="s">
        <v>551</v>
      </c>
      <c r="V137" s="13" t="s">
        <v>551</v>
      </c>
      <c r="W137" s="59">
        <f t="shared" si="2"/>
        <v>3.1592476390247375E-4</v>
      </c>
    </row>
    <row r="138" spans="1:29">
      <c r="A138" s="13" t="s">
        <v>2407</v>
      </c>
      <c r="B138" s="13" t="s">
        <v>471</v>
      </c>
      <c r="C138" s="139">
        <v>46227</v>
      </c>
      <c r="D138" s="139" t="s">
        <v>441</v>
      </c>
      <c r="E138" s="28">
        <v>0.99737677000000002</v>
      </c>
      <c r="F138" s="13"/>
      <c r="G138" s="18">
        <v>102070231.67</v>
      </c>
      <c r="H138" s="18">
        <v>101802478.34999999</v>
      </c>
      <c r="I138" s="18">
        <v>102070231.67</v>
      </c>
      <c r="J138" s="18">
        <v>101802478.34999999</v>
      </c>
      <c r="K138" s="15">
        <v>85</v>
      </c>
      <c r="L138" s="13" t="s">
        <v>102</v>
      </c>
      <c r="M138" s="13" t="s">
        <v>103</v>
      </c>
      <c r="N138" s="139" t="s">
        <v>382</v>
      </c>
      <c r="O138" s="139" t="s">
        <v>382</v>
      </c>
      <c r="P138" s="28">
        <v>24</v>
      </c>
      <c r="Q138" s="13" t="s">
        <v>54</v>
      </c>
      <c r="R138" s="13" t="s">
        <v>28</v>
      </c>
      <c r="S138" s="13"/>
      <c r="T138" s="13"/>
      <c r="U138" s="13" t="s">
        <v>2353</v>
      </c>
      <c r="V138" s="13" t="s">
        <v>2353</v>
      </c>
      <c r="W138" s="59">
        <f t="shared" si="2"/>
        <v>1.9448966620514746E-3</v>
      </c>
    </row>
    <row r="139" spans="1:29">
      <c r="A139" s="13" t="s">
        <v>522</v>
      </c>
      <c r="B139" s="13" t="s">
        <v>471</v>
      </c>
      <c r="C139" s="139">
        <v>46227</v>
      </c>
      <c r="D139" s="139" t="s">
        <v>441</v>
      </c>
      <c r="E139" s="28">
        <v>0.99726777</v>
      </c>
      <c r="F139" s="13"/>
      <c r="G139" s="18">
        <v>100000000</v>
      </c>
      <c r="H139" s="18">
        <v>99726777.120000005</v>
      </c>
      <c r="I139" s="18">
        <v>100000000</v>
      </c>
      <c r="J139" s="18">
        <v>99726777.120000005</v>
      </c>
      <c r="K139" s="15">
        <v>11967244</v>
      </c>
      <c r="L139" s="13" t="s">
        <v>102</v>
      </c>
      <c r="M139" s="13" t="s">
        <v>103</v>
      </c>
      <c r="N139" s="139" t="s">
        <v>431</v>
      </c>
      <c r="O139" s="139" t="s">
        <v>431</v>
      </c>
      <c r="P139" s="28">
        <v>25</v>
      </c>
      <c r="Q139" s="13" t="s">
        <v>54</v>
      </c>
      <c r="R139" s="13" t="s">
        <v>28</v>
      </c>
      <c r="S139" s="13"/>
      <c r="T139" s="13"/>
      <c r="U139" s="13" t="s">
        <v>1908</v>
      </c>
      <c r="V139" s="13" t="s">
        <v>1908</v>
      </c>
      <c r="W139" s="59">
        <f t="shared" si="2"/>
        <v>1.9052411992466919E-3</v>
      </c>
      <c r="AC139" s="56"/>
    </row>
    <row r="140" spans="1:29">
      <c r="A140" s="13" t="s">
        <v>365</v>
      </c>
      <c r="B140" s="13" t="s">
        <v>471</v>
      </c>
      <c r="C140" s="139">
        <v>46227</v>
      </c>
      <c r="D140" s="139" t="s">
        <v>441</v>
      </c>
      <c r="E140" s="28">
        <v>0.99672311999999996</v>
      </c>
      <c r="F140" s="13"/>
      <c r="G140" s="18">
        <v>100000000</v>
      </c>
      <c r="H140" s="18">
        <v>99672311.599999994</v>
      </c>
      <c r="I140" s="18">
        <v>100000000</v>
      </c>
      <c r="J140" s="18">
        <v>99672311.599999994</v>
      </c>
      <c r="K140" s="15">
        <v>16751419</v>
      </c>
      <c r="L140" s="13" t="s">
        <v>102</v>
      </c>
      <c r="M140" s="13" t="s">
        <v>103</v>
      </c>
      <c r="N140" s="139" t="s">
        <v>477</v>
      </c>
      <c r="O140" s="139" t="s">
        <v>477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1663</v>
      </c>
      <c r="V140" s="13" t="s">
        <v>1663</v>
      </c>
      <c r="W140" s="59">
        <f t="shared" si="2"/>
        <v>1.9042006567200089E-3</v>
      </c>
    </row>
    <row r="141" spans="1:29">
      <c r="A141" s="13" t="s">
        <v>1840</v>
      </c>
      <c r="B141" s="13" t="s">
        <v>471</v>
      </c>
      <c r="C141" s="139">
        <v>46227</v>
      </c>
      <c r="D141" s="139" t="s">
        <v>441</v>
      </c>
      <c r="E141" s="28">
        <v>0.99672311999999996</v>
      </c>
      <c r="F141" s="13"/>
      <c r="G141" s="18">
        <v>2734537</v>
      </c>
      <c r="H141" s="18">
        <v>2725576.25</v>
      </c>
      <c r="I141" s="18">
        <v>2734537</v>
      </c>
      <c r="J141" s="18">
        <v>2725576.25</v>
      </c>
      <c r="K141" s="15">
        <v>890</v>
      </c>
      <c r="L141" s="13" t="s">
        <v>102</v>
      </c>
      <c r="M141" s="13" t="s">
        <v>103</v>
      </c>
      <c r="N141" s="139" t="s">
        <v>172</v>
      </c>
      <c r="O141" s="139" t="s">
        <v>172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1841</v>
      </c>
      <c r="V141" s="13" t="s">
        <v>1841</v>
      </c>
      <c r="W141" s="59">
        <f t="shared" si="2"/>
        <v>5.2071071713665954E-5</v>
      </c>
    </row>
    <row r="142" spans="1:29">
      <c r="A142" s="13" t="s">
        <v>698</v>
      </c>
      <c r="B142" s="13" t="s">
        <v>471</v>
      </c>
      <c r="C142" s="139">
        <v>46230</v>
      </c>
      <c r="D142" s="139" t="s">
        <v>441</v>
      </c>
      <c r="E142" s="28">
        <v>0.99446911999999998</v>
      </c>
      <c r="F142" s="13"/>
      <c r="G142" s="18">
        <v>5000000</v>
      </c>
      <c r="H142" s="18">
        <v>4972345.6100000003</v>
      </c>
      <c r="I142" s="18">
        <v>5000000</v>
      </c>
      <c r="J142" s="18">
        <v>4972345.6100000003</v>
      </c>
      <c r="K142" s="15">
        <v>16779576</v>
      </c>
      <c r="L142" s="13" t="s">
        <v>102</v>
      </c>
      <c r="M142" s="13" t="s">
        <v>103</v>
      </c>
      <c r="N142" s="139" t="s">
        <v>397</v>
      </c>
      <c r="O142" s="139" t="s">
        <v>397</v>
      </c>
      <c r="P142" s="28">
        <v>29</v>
      </c>
      <c r="Q142" s="13" t="s">
        <v>54</v>
      </c>
      <c r="R142" s="13" t="s">
        <v>28</v>
      </c>
      <c r="S142" s="13"/>
      <c r="T142" s="13"/>
      <c r="U142" s="13" t="s">
        <v>664</v>
      </c>
      <c r="V142" s="13" t="s">
        <v>664</v>
      </c>
      <c r="W142" s="59">
        <f t="shared" si="2"/>
        <v>9.4994724452651845E-5</v>
      </c>
    </row>
    <row r="143" spans="1:29">
      <c r="A143" s="13" t="s">
        <v>1388</v>
      </c>
      <c r="B143" s="13" t="s">
        <v>471</v>
      </c>
      <c r="C143" s="139">
        <v>46230</v>
      </c>
      <c r="D143" s="139" t="s">
        <v>441</v>
      </c>
      <c r="E143" s="28">
        <v>0.99446911999999998</v>
      </c>
      <c r="F143" s="13"/>
      <c r="G143" s="18">
        <v>100000000</v>
      </c>
      <c r="H143" s="18">
        <v>99446912.459999993</v>
      </c>
      <c r="I143" s="18">
        <v>100000000</v>
      </c>
      <c r="J143" s="18">
        <v>99446912.459999993</v>
      </c>
      <c r="K143" s="15">
        <v>90003809</v>
      </c>
      <c r="L143" s="13" t="s">
        <v>102</v>
      </c>
      <c r="M143" s="13" t="s">
        <v>103</v>
      </c>
      <c r="N143" s="139" t="s">
        <v>351</v>
      </c>
      <c r="O143" s="139" t="s">
        <v>351</v>
      </c>
      <c r="P143" s="28">
        <v>29</v>
      </c>
      <c r="Q143" s="13" t="s">
        <v>54</v>
      </c>
      <c r="R143" s="13" t="s">
        <v>28</v>
      </c>
      <c r="S143" s="13"/>
      <c r="T143" s="13"/>
      <c r="U143" s="13" t="s">
        <v>1363</v>
      </c>
      <c r="V143" s="13" t="s">
        <v>1363</v>
      </c>
      <c r="W143" s="59">
        <f t="shared" si="2"/>
        <v>1.8998944940202352E-3</v>
      </c>
    </row>
    <row r="144" spans="1:29">
      <c r="A144" s="13" t="s">
        <v>581</v>
      </c>
      <c r="B144" s="13" t="s">
        <v>471</v>
      </c>
      <c r="C144" s="139">
        <v>46230</v>
      </c>
      <c r="D144" s="139" t="s">
        <v>441</v>
      </c>
      <c r="E144" s="28">
        <v>0.99522838999999996</v>
      </c>
      <c r="F144" s="13"/>
      <c r="G144" s="18">
        <v>250000</v>
      </c>
      <c r="H144" s="18">
        <v>248807.1</v>
      </c>
      <c r="I144" s="18">
        <v>250000</v>
      </c>
      <c r="J144" s="18">
        <v>248807.1</v>
      </c>
      <c r="K144" s="15">
        <v>846</v>
      </c>
      <c r="L144" s="13" t="s">
        <v>102</v>
      </c>
      <c r="M144" s="13" t="s">
        <v>103</v>
      </c>
      <c r="N144" s="139" t="s">
        <v>172</v>
      </c>
      <c r="O144" s="139" t="s">
        <v>172</v>
      </c>
      <c r="P144" s="28">
        <v>25</v>
      </c>
      <c r="Q144" s="13" t="s">
        <v>54</v>
      </c>
      <c r="R144" s="13" t="s">
        <v>28</v>
      </c>
      <c r="S144" s="13"/>
      <c r="T144" s="13"/>
      <c r="U144" s="13" t="s">
        <v>1785</v>
      </c>
      <c r="V144" s="13" t="s">
        <v>1785</v>
      </c>
      <c r="W144" s="59">
        <f t="shared" si="2"/>
        <v>4.753362650180584E-6</v>
      </c>
    </row>
    <row r="145" spans="1:29">
      <c r="A145" s="13" t="s">
        <v>581</v>
      </c>
      <c r="B145" s="13" t="s">
        <v>471</v>
      </c>
      <c r="C145" s="139">
        <v>46230</v>
      </c>
      <c r="D145" s="139" t="s">
        <v>441</v>
      </c>
      <c r="E145" s="28">
        <v>0.99522840000000001</v>
      </c>
      <c r="F145" s="13"/>
      <c r="G145" s="18">
        <v>2874076.13</v>
      </c>
      <c r="H145" s="18">
        <v>2860362.18</v>
      </c>
      <c r="I145" s="18">
        <v>2874076.13</v>
      </c>
      <c r="J145" s="18">
        <v>2860362.18</v>
      </c>
      <c r="K145" s="15">
        <v>186</v>
      </c>
      <c r="L145" s="13" t="s">
        <v>102</v>
      </c>
      <c r="M145" s="13" t="s">
        <v>103</v>
      </c>
      <c r="N145" s="139" t="s">
        <v>172</v>
      </c>
      <c r="O145" s="139" t="s">
        <v>172</v>
      </c>
      <c r="P145" s="28">
        <v>25</v>
      </c>
      <c r="Q145" s="13" t="s">
        <v>54</v>
      </c>
      <c r="R145" s="13" t="s">
        <v>28</v>
      </c>
      <c r="S145" s="13"/>
      <c r="T145" s="13"/>
      <c r="U145" s="13" t="s">
        <v>1804</v>
      </c>
      <c r="V145" s="13" t="s">
        <v>1804</v>
      </c>
      <c r="W145" s="59">
        <f t="shared" si="2"/>
        <v>5.4646104361174228E-5</v>
      </c>
    </row>
    <row r="146" spans="1:29">
      <c r="A146" s="13" t="s">
        <v>581</v>
      </c>
      <c r="B146" s="13" t="s">
        <v>471</v>
      </c>
      <c r="C146" s="139">
        <v>46230</v>
      </c>
      <c r="D146" s="139" t="s">
        <v>441</v>
      </c>
      <c r="E146" s="28">
        <v>0.99522838000000002</v>
      </c>
      <c r="F146" s="13"/>
      <c r="G146" s="18">
        <v>323998.15999999997</v>
      </c>
      <c r="H146" s="18">
        <v>322452.15999999997</v>
      </c>
      <c r="I146" s="18">
        <v>323998.15999999997</v>
      </c>
      <c r="J146" s="18">
        <v>322452.15999999997</v>
      </c>
      <c r="K146" s="15">
        <v>9929</v>
      </c>
      <c r="L146" s="13" t="s">
        <v>102</v>
      </c>
      <c r="M146" s="13" t="s">
        <v>103</v>
      </c>
      <c r="N146" s="139" t="s">
        <v>172</v>
      </c>
      <c r="O146" s="139" t="s">
        <v>172</v>
      </c>
      <c r="P146" s="28">
        <v>25</v>
      </c>
      <c r="Q146" s="13" t="s">
        <v>54</v>
      </c>
      <c r="R146" s="13" t="s">
        <v>28</v>
      </c>
      <c r="S146" s="13"/>
      <c r="T146" s="13"/>
      <c r="U146" s="13" t="s">
        <v>1805</v>
      </c>
      <c r="V146" s="13" t="s">
        <v>1805</v>
      </c>
      <c r="W146" s="59">
        <f t="shared" si="2"/>
        <v>6.1603228115839682E-6</v>
      </c>
    </row>
    <row r="147" spans="1:29">
      <c r="A147" s="13" t="s">
        <v>208</v>
      </c>
      <c r="B147" s="13" t="s">
        <v>471</v>
      </c>
      <c r="C147" s="139">
        <v>46230</v>
      </c>
      <c r="D147" s="139" t="s">
        <v>441</v>
      </c>
      <c r="E147" s="28">
        <v>0.99541838000000005</v>
      </c>
      <c r="F147" s="13"/>
      <c r="G147" s="18">
        <v>1068909.47</v>
      </c>
      <c r="H147" s="18">
        <v>1064012.1299999999</v>
      </c>
      <c r="I147" s="18">
        <v>1068909.47</v>
      </c>
      <c r="J147" s="18">
        <v>1064012.1299999999</v>
      </c>
      <c r="K147" s="15">
        <v>612119</v>
      </c>
      <c r="L147" s="13" t="s">
        <v>102</v>
      </c>
      <c r="M147" s="13" t="s">
        <v>103</v>
      </c>
      <c r="N147" s="139" t="s">
        <v>319</v>
      </c>
      <c r="O147" s="139" t="s">
        <v>319</v>
      </c>
      <c r="P147" s="28">
        <v>24</v>
      </c>
      <c r="Q147" s="13" t="s">
        <v>54</v>
      </c>
      <c r="R147" s="13" t="s">
        <v>28</v>
      </c>
      <c r="S147" s="13"/>
      <c r="T147" s="13"/>
      <c r="U147" s="13" t="s">
        <v>1211</v>
      </c>
      <c r="V147" s="13" t="s">
        <v>1211</v>
      </c>
      <c r="W147" s="59">
        <f t="shared" si="2"/>
        <v>2.0327536947623629E-5</v>
      </c>
      <c r="AC147" s="56"/>
    </row>
    <row r="148" spans="1:29">
      <c r="A148" s="13" t="s">
        <v>208</v>
      </c>
      <c r="B148" s="13" t="s">
        <v>471</v>
      </c>
      <c r="C148" s="139">
        <v>46230</v>
      </c>
      <c r="D148" s="139" t="s">
        <v>441</v>
      </c>
      <c r="E148" s="28">
        <v>0.99541838999999999</v>
      </c>
      <c r="F148" s="13"/>
      <c r="G148" s="18">
        <v>505653.95</v>
      </c>
      <c r="H148" s="18">
        <v>503337.24</v>
      </c>
      <c r="I148" s="18">
        <v>505653.95</v>
      </c>
      <c r="J148" s="18">
        <v>503337.24</v>
      </c>
      <c r="K148" s="15">
        <v>612156</v>
      </c>
      <c r="L148" s="13" t="s">
        <v>102</v>
      </c>
      <c r="M148" s="13" t="s">
        <v>103</v>
      </c>
      <c r="N148" s="139" t="s">
        <v>319</v>
      </c>
      <c r="O148" s="139" t="s">
        <v>319</v>
      </c>
      <c r="P148" s="28">
        <v>24</v>
      </c>
      <c r="Q148" s="13" t="s">
        <v>54</v>
      </c>
      <c r="R148" s="13" t="s">
        <v>28</v>
      </c>
      <c r="S148" s="13"/>
      <c r="T148" s="13"/>
      <c r="U148" s="13" t="s">
        <v>1212</v>
      </c>
      <c r="V148" s="13" t="s">
        <v>1212</v>
      </c>
      <c r="W148" s="59">
        <f t="shared" si="2"/>
        <v>9.6160617484829823E-6</v>
      </c>
    </row>
    <row r="149" spans="1:29">
      <c r="A149" s="13" t="s">
        <v>208</v>
      </c>
      <c r="B149" s="13" t="s">
        <v>471</v>
      </c>
      <c r="C149" s="139">
        <v>46230</v>
      </c>
      <c r="D149" s="139" t="s">
        <v>441</v>
      </c>
      <c r="E149" s="28">
        <v>0.99541837</v>
      </c>
      <c r="F149" s="13"/>
      <c r="G149" s="18">
        <v>8802443.9000000004</v>
      </c>
      <c r="H149" s="18">
        <v>8762114.3800000008</v>
      </c>
      <c r="I149" s="18">
        <v>8802443.9000000004</v>
      </c>
      <c r="J149" s="18">
        <v>8762114.3800000008</v>
      </c>
      <c r="K149" s="15">
        <v>612236</v>
      </c>
      <c r="L149" s="13" t="s">
        <v>102</v>
      </c>
      <c r="M149" s="13" t="s">
        <v>103</v>
      </c>
      <c r="N149" s="139" t="s">
        <v>319</v>
      </c>
      <c r="O149" s="139" t="s">
        <v>319</v>
      </c>
      <c r="P149" s="28">
        <v>24</v>
      </c>
      <c r="Q149" s="13" t="s">
        <v>54</v>
      </c>
      <c r="R149" s="13" t="s">
        <v>28</v>
      </c>
      <c r="S149" s="13"/>
      <c r="T149" s="13"/>
      <c r="U149" s="13" t="s">
        <v>1218</v>
      </c>
      <c r="V149" s="13" t="s">
        <v>1218</v>
      </c>
      <c r="W149" s="59">
        <f t="shared" si="2"/>
        <v>1.6739677939456795E-4</v>
      </c>
    </row>
    <row r="150" spans="1:29">
      <c r="A150" s="13" t="s">
        <v>208</v>
      </c>
      <c r="B150" s="13" t="s">
        <v>471</v>
      </c>
      <c r="C150" s="139">
        <v>46230</v>
      </c>
      <c r="D150" s="139" t="s">
        <v>441</v>
      </c>
      <c r="E150" s="28">
        <v>0.99541837</v>
      </c>
      <c r="F150" s="13"/>
      <c r="G150" s="18">
        <v>970094.59</v>
      </c>
      <c r="H150" s="18">
        <v>965649.97</v>
      </c>
      <c r="I150" s="18">
        <v>970094.59</v>
      </c>
      <c r="J150" s="18">
        <v>965649.97</v>
      </c>
      <c r="K150" s="15">
        <v>612136</v>
      </c>
      <c r="L150" s="13" t="s">
        <v>102</v>
      </c>
      <c r="M150" s="13" t="s">
        <v>103</v>
      </c>
      <c r="N150" s="139" t="s">
        <v>319</v>
      </c>
      <c r="O150" s="139" t="s">
        <v>319</v>
      </c>
      <c r="P150" s="28">
        <v>24</v>
      </c>
      <c r="Q150" s="13" t="s">
        <v>54</v>
      </c>
      <c r="R150" s="13" t="s">
        <v>28</v>
      </c>
      <c r="S150" s="13"/>
      <c r="T150" s="13"/>
      <c r="U150" s="13" t="s">
        <v>1219</v>
      </c>
      <c r="V150" s="13" t="s">
        <v>1219</v>
      </c>
      <c r="W150" s="59">
        <f t="shared" si="2"/>
        <v>1.8448366226470228E-5</v>
      </c>
    </row>
    <row r="151" spans="1:29">
      <c r="A151" s="13" t="s">
        <v>208</v>
      </c>
      <c r="B151" s="13" t="s">
        <v>471</v>
      </c>
      <c r="C151" s="139">
        <v>46230</v>
      </c>
      <c r="D151" s="139" t="s">
        <v>441</v>
      </c>
      <c r="E151" s="28">
        <v>0.99541838000000005</v>
      </c>
      <c r="F151" s="13"/>
      <c r="G151" s="18">
        <v>1044096.2</v>
      </c>
      <c r="H151" s="18">
        <v>1039312.55</v>
      </c>
      <c r="I151" s="18">
        <v>1044096.2</v>
      </c>
      <c r="J151" s="18">
        <v>1039312.55</v>
      </c>
      <c r="K151" s="15">
        <v>612237</v>
      </c>
      <c r="L151" s="13" t="s">
        <v>102</v>
      </c>
      <c r="M151" s="13" t="s">
        <v>103</v>
      </c>
      <c r="N151" s="139" t="s">
        <v>319</v>
      </c>
      <c r="O151" s="139" t="s">
        <v>319</v>
      </c>
      <c r="P151" s="28">
        <v>24</v>
      </c>
      <c r="Q151" s="13" t="s">
        <v>54</v>
      </c>
      <c r="R151" s="13" t="s">
        <v>28</v>
      </c>
      <c r="S151" s="13"/>
      <c r="T151" s="13"/>
      <c r="U151" s="13" t="s">
        <v>1220</v>
      </c>
      <c r="V151" s="13" t="s">
        <v>1220</v>
      </c>
      <c r="W151" s="59">
        <f t="shared" si="2"/>
        <v>1.9855661100643595E-5</v>
      </c>
    </row>
    <row r="152" spans="1:29">
      <c r="A152" s="13" t="s">
        <v>208</v>
      </c>
      <c r="B152" s="13" t="s">
        <v>471</v>
      </c>
      <c r="C152" s="139">
        <v>46230</v>
      </c>
      <c r="D152" s="139" t="s">
        <v>441</v>
      </c>
      <c r="E152" s="28">
        <v>0.99541837</v>
      </c>
      <c r="F152" s="13"/>
      <c r="G152" s="18">
        <v>3745855.84</v>
      </c>
      <c r="H152" s="18">
        <v>3728693.73</v>
      </c>
      <c r="I152" s="18">
        <v>3745855.84</v>
      </c>
      <c r="J152" s="18">
        <v>3728693.73</v>
      </c>
      <c r="K152" s="15">
        <v>612155</v>
      </c>
      <c r="L152" s="13" t="s">
        <v>102</v>
      </c>
      <c r="M152" s="13" t="s">
        <v>103</v>
      </c>
      <c r="N152" s="139" t="s">
        <v>319</v>
      </c>
      <c r="O152" s="139" t="s">
        <v>319</v>
      </c>
      <c r="P152" s="28">
        <v>24</v>
      </c>
      <c r="Q152" s="13" t="s">
        <v>54</v>
      </c>
      <c r="R152" s="13" t="s">
        <v>28</v>
      </c>
      <c r="S152" s="13"/>
      <c r="T152" s="13"/>
      <c r="U152" s="13" t="s">
        <v>1221</v>
      </c>
      <c r="V152" s="13" t="s">
        <v>1221</v>
      </c>
      <c r="W152" s="59">
        <f t="shared" si="2"/>
        <v>7.1235240112297942E-5</v>
      </c>
    </row>
    <row r="153" spans="1:29">
      <c r="A153" s="13" t="s">
        <v>208</v>
      </c>
      <c r="B153" s="13" t="s">
        <v>471</v>
      </c>
      <c r="C153" s="139">
        <v>46230</v>
      </c>
      <c r="D153" s="139" t="s">
        <v>441</v>
      </c>
      <c r="E153" s="28">
        <v>0.99541840000000004</v>
      </c>
      <c r="F153" s="13"/>
      <c r="G153" s="18">
        <v>128742.88</v>
      </c>
      <c r="H153" s="18">
        <v>128153.03</v>
      </c>
      <c r="I153" s="18">
        <v>128742.88</v>
      </c>
      <c r="J153" s="18">
        <v>128153.03</v>
      </c>
      <c r="K153" s="15">
        <v>612126</v>
      </c>
      <c r="L153" s="13" t="s">
        <v>102</v>
      </c>
      <c r="M153" s="13" t="s">
        <v>103</v>
      </c>
      <c r="N153" s="139" t="s">
        <v>319</v>
      </c>
      <c r="O153" s="139" t="s">
        <v>319</v>
      </c>
      <c r="P153" s="28">
        <v>24</v>
      </c>
      <c r="Q153" s="13" t="s">
        <v>54</v>
      </c>
      <c r="R153" s="13" t="s">
        <v>28</v>
      </c>
      <c r="S153" s="13"/>
      <c r="T153" s="13"/>
      <c r="U153" s="13" t="s">
        <v>1222</v>
      </c>
      <c r="V153" s="13" t="s">
        <v>1222</v>
      </c>
      <c r="W153" s="59">
        <f t="shared" si="2"/>
        <v>2.4483136787875901E-6</v>
      </c>
    </row>
    <row r="154" spans="1:29">
      <c r="A154" s="13" t="s">
        <v>208</v>
      </c>
      <c r="B154" s="13" t="s">
        <v>471</v>
      </c>
      <c r="C154" s="139">
        <v>46230</v>
      </c>
      <c r="D154" s="139" t="s">
        <v>441</v>
      </c>
      <c r="E154" s="28">
        <v>0.99541846</v>
      </c>
      <c r="F154" s="13"/>
      <c r="G154" s="18">
        <v>84170.31</v>
      </c>
      <c r="H154" s="18">
        <v>83784.679999999993</v>
      </c>
      <c r="I154" s="18">
        <v>84170.31</v>
      </c>
      <c r="J154" s="18">
        <v>83784.679999999993</v>
      </c>
      <c r="K154" s="15">
        <v>612115</v>
      </c>
      <c r="L154" s="13" t="s">
        <v>102</v>
      </c>
      <c r="M154" s="13" t="s">
        <v>103</v>
      </c>
      <c r="N154" s="139" t="s">
        <v>319</v>
      </c>
      <c r="O154" s="139" t="s">
        <v>319</v>
      </c>
      <c r="P154" s="28">
        <v>24</v>
      </c>
      <c r="Q154" s="13" t="s">
        <v>54</v>
      </c>
      <c r="R154" s="13" t="s">
        <v>28</v>
      </c>
      <c r="S154" s="13"/>
      <c r="T154" s="13"/>
      <c r="U154" s="13" t="s">
        <v>1223</v>
      </c>
      <c r="V154" s="13" t="s">
        <v>1223</v>
      </c>
      <c r="W154" s="59">
        <f t="shared" si="2"/>
        <v>1.600673648659271E-6</v>
      </c>
    </row>
    <row r="155" spans="1:29">
      <c r="A155" s="13" t="s">
        <v>208</v>
      </c>
      <c r="B155" s="13" t="s">
        <v>471</v>
      </c>
      <c r="C155" s="139">
        <v>46230</v>
      </c>
      <c r="D155" s="139" t="s">
        <v>441</v>
      </c>
      <c r="E155" s="28">
        <v>0.99541838000000005</v>
      </c>
      <c r="F155" s="13"/>
      <c r="G155" s="18">
        <v>1044096.2</v>
      </c>
      <c r="H155" s="18">
        <v>1039312.55</v>
      </c>
      <c r="I155" s="18">
        <v>1044096.2</v>
      </c>
      <c r="J155" s="18">
        <v>1039312.55</v>
      </c>
      <c r="K155" s="15">
        <v>612241</v>
      </c>
      <c r="L155" s="13" t="s">
        <v>102</v>
      </c>
      <c r="M155" s="13" t="s">
        <v>103</v>
      </c>
      <c r="N155" s="139" t="s">
        <v>319</v>
      </c>
      <c r="O155" s="139" t="s">
        <v>319</v>
      </c>
      <c r="P155" s="28">
        <v>24</v>
      </c>
      <c r="Q155" s="13" t="s">
        <v>54</v>
      </c>
      <c r="R155" s="13" t="s">
        <v>28</v>
      </c>
      <c r="S155" s="13"/>
      <c r="T155" s="13"/>
      <c r="U155" s="13" t="s">
        <v>1224</v>
      </c>
      <c r="V155" s="13" t="s">
        <v>1224</v>
      </c>
      <c r="W155" s="59">
        <f t="shared" si="2"/>
        <v>1.9855661100643595E-5</v>
      </c>
      <c r="AC155" s="56"/>
    </row>
    <row r="156" spans="1:29">
      <c r="A156" s="13" t="s">
        <v>697</v>
      </c>
      <c r="B156" s="13" t="s">
        <v>471</v>
      </c>
      <c r="C156" s="139">
        <v>46230</v>
      </c>
      <c r="D156" s="139" t="s">
        <v>441</v>
      </c>
      <c r="E156" s="28">
        <v>0.99333243000000004</v>
      </c>
      <c r="F156" s="13"/>
      <c r="G156" s="18">
        <v>5450000</v>
      </c>
      <c r="H156" s="18">
        <v>5413661.75</v>
      </c>
      <c r="I156" s="18">
        <v>5450000</v>
      </c>
      <c r="J156" s="18">
        <v>5413661.75</v>
      </c>
      <c r="K156" s="15">
        <v>6899</v>
      </c>
      <c r="L156" s="13" t="s">
        <v>102</v>
      </c>
      <c r="M156" s="13" t="s">
        <v>103</v>
      </c>
      <c r="N156" s="139" t="s">
        <v>397</v>
      </c>
      <c r="O156" s="139" t="s">
        <v>397</v>
      </c>
      <c r="P156" s="28">
        <v>35</v>
      </c>
      <c r="Q156" s="13" t="s">
        <v>54</v>
      </c>
      <c r="R156" s="13" t="s">
        <v>28</v>
      </c>
      <c r="S156" s="13"/>
      <c r="T156" s="13"/>
      <c r="U156" s="13" t="s">
        <v>689</v>
      </c>
      <c r="V156" s="13" t="s">
        <v>689</v>
      </c>
      <c r="W156" s="59">
        <f t="shared" si="2"/>
        <v>1.0342589726403006E-4</v>
      </c>
    </row>
    <row r="157" spans="1:29">
      <c r="A157" s="13" t="s">
        <v>472</v>
      </c>
      <c r="B157" s="13" t="s">
        <v>471</v>
      </c>
      <c r="C157" s="139">
        <v>46230</v>
      </c>
      <c r="D157" s="139" t="s">
        <v>441</v>
      </c>
      <c r="E157" s="28">
        <v>0.99427949000000004</v>
      </c>
      <c r="F157" s="13"/>
      <c r="G157" s="18">
        <v>10000000</v>
      </c>
      <c r="H157" s="18">
        <v>9942794.9299999997</v>
      </c>
      <c r="I157" s="18">
        <v>10000000</v>
      </c>
      <c r="J157" s="18">
        <v>9942794.9299999997</v>
      </c>
      <c r="K157" s="15">
        <v>471</v>
      </c>
      <c r="L157" s="13" t="s">
        <v>102</v>
      </c>
      <c r="M157" s="13" t="s">
        <v>103</v>
      </c>
      <c r="N157" s="139" t="s">
        <v>349</v>
      </c>
      <c r="O157" s="139" t="s">
        <v>349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1011</v>
      </c>
      <c r="V157" s="13" t="s">
        <v>1011</v>
      </c>
      <c r="W157" s="59">
        <f t="shared" si="2"/>
        <v>1.8995322102410611E-4</v>
      </c>
    </row>
    <row r="158" spans="1:29">
      <c r="A158" s="13" t="s">
        <v>1278</v>
      </c>
      <c r="B158" s="13" t="s">
        <v>471</v>
      </c>
      <c r="C158" s="139">
        <v>46230</v>
      </c>
      <c r="D158" s="139" t="s">
        <v>441</v>
      </c>
      <c r="E158" s="28">
        <v>0.99371107000000003</v>
      </c>
      <c r="F158" s="13"/>
      <c r="G158" s="18">
        <v>1041333.16</v>
      </c>
      <c r="H158" s="18">
        <v>1034784.29</v>
      </c>
      <c r="I158" s="18">
        <v>1041333.16</v>
      </c>
      <c r="J158" s="18">
        <v>1034784.29</v>
      </c>
      <c r="K158" s="15">
        <v>10887325</v>
      </c>
      <c r="L158" s="13" t="s">
        <v>102</v>
      </c>
      <c r="M158" s="13" t="s">
        <v>103</v>
      </c>
      <c r="N158" s="139" t="s">
        <v>319</v>
      </c>
      <c r="O158" s="139" t="s">
        <v>319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1262</v>
      </c>
      <c r="V158" s="13" t="s">
        <v>1262</v>
      </c>
      <c r="W158" s="59">
        <f t="shared" si="2"/>
        <v>1.9769150458647016E-5</v>
      </c>
    </row>
    <row r="159" spans="1:29">
      <c r="A159" s="13" t="s">
        <v>432</v>
      </c>
      <c r="B159" s="13" t="s">
        <v>471</v>
      </c>
      <c r="C159" s="139">
        <v>46230</v>
      </c>
      <c r="D159" s="139" t="s">
        <v>441</v>
      </c>
      <c r="E159" s="28">
        <v>0.99314323000000004</v>
      </c>
      <c r="F159" s="13"/>
      <c r="G159" s="18">
        <v>1250000</v>
      </c>
      <c r="H159" s="18">
        <v>1241429.04</v>
      </c>
      <c r="I159" s="18">
        <v>1250000</v>
      </c>
      <c r="J159" s="18">
        <v>1241429.04</v>
      </c>
      <c r="K159" s="15">
        <v>2505</v>
      </c>
      <c r="L159" s="13" t="s">
        <v>102</v>
      </c>
      <c r="M159" s="13" t="s">
        <v>103</v>
      </c>
      <c r="N159" s="139" t="s">
        <v>427</v>
      </c>
      <c r="O159" s="139" t="s">
        <v>427</v>
      </c>
      <c r="P159" s="28">
        <v>36</v>
      </c>
      <c r="Q159" s="13" t="s">
        <v>54</v>
      </c>
      <c r="R159" s="13" t="s">
        <v>28</v>
      </c>
      <c r="S159" s="13"/>
      <c r="T159" s="13"/>
      <c r="U159" s="13" t="s">
        <v>1063</v>
      </c>
      <c r="V159" s="13" t="s">
        <v>1063</v>
      </c>
      <c r="W159" s="59">
        <f t="shared" si="2"/>
        <v>2.3717017848709053E-5</v>
      </c>
    </row>
    <row r="160" spans="1:29">
      <c r="A160" s="13" t="s">
        <v>242</v>
      </c>
      <c r="B160" s="13" t="s">
        <v>471</v>
      </c>
      <c r="C160" s="139">
        <v>46230</v>
      </c>
      <c r="D160" s="139" t="s">
        <v>441</v>
      </c>
      <c r="E160" s="28">
        <v>0.99238718000000004</v>
      </c>
      <c r="F160" s="13"/>
      <c r="G160" s="18">
        <v>4100000</v>
      </c>
      <c r="H160" s="18">
        <v>4068787.44</v>
      </c>
      <c r="I160" s="18">
        <v>4100000</v>
      </c>
      <c r="J160" s="18">
        <v>4068787.44</v>
      </c>
      <c r="K160" s="15">
        <v>1024</v>
      </c>
      <c r="L160" s="13" t="s">
        <v>102</v>
      </c>
      <c r="M160" s="13" t="s">
        <v>103</v>
      </c>
      <c r="N160" s="139" t="s">
        <v>258</v>
      </c>
      <c r="O160" s="139" t="s">
        <v>258</v>
      </c>
      <c r="P160" s="28">
        <v>40</v>
      </c>
      <c r="Q160" s="13" t="s">
        <v>54</v>
      </c>
      <c r="R160" s="13" t="s">
        <v>28</v>
      </c>
      <c r="S160" s="13"/>
      <c r="T160" s="13"/>
      <c r="U160" s="13" t="s">
        <v>448</v>
      </c>
      <c r="V160" s="13" t="s">
        <v>448</v>
      </c>
      <c r="W160" s="59">
        <f t="shared" si="2"/>
        <v>7.7732597859224564E-5</v>
      </c>
    </row>
    <row r="161" spans="1:32">
      <c r="A161" s="13" t="s">
        <v>323</v>
      </c>
      <c r="B161" s="13" t="s">
        <v>471</v>
      </c>
      <c r="C161" s="139">
        <v>46230</v>
      </c>
      <c r="D161" s="139" t="s">
        <v>441</v>
      </c>
      <c r="E161" s="28">
        <v>0.99475369999999996</v>
      </c>
      <c r="F161" s="13"/>
      <c r="G161" s="18">
        <v>150000000</v>
      </c>
      <c r="H161" s="18">
        <v>149213055.69</v>
      </c>
      <c r="I161" s="18">
        <v>150000000</v>
      </c>
      <c r="J161" s="18">
        <v>149213055.69</v>
      </c>
      <c r="K161" s="15">
        <v>51</v>
      </c>
      <c r="L161" s="13" t="s">
        <v>102</v>
      </c>
      <c r="M161" s="13" t="s">
        <v>103</v>
      </c>
      <c r="N161" s="139" t="s">
        <v>348</v>
      </c>
      <c r="O161" s="139" t="s">
        <v>348</v>
      </c>
      <c r="P161" s="28">
        <v>27.5</v>
      </c>
      <c r="Q161" s="13" t="s">
        <v>54</v>
      </c>
      <c r="R161" s="13" t="s">
        <v>28</v>
      </c>
      <c r="S161" s="13"/>
      <c r="T161" s="13"/>
      <c r="U161" s="13" t="s">
        <v>735</v>
      </c>
      <c r="V161" s="13" t="s">
        <v>735</v>
      </c>
      <c r="W161" s="59">
        <f t="shared" si="2"/>
        <v>2.8506572595241911E-3</v>
      </c>
      <c r="AC161" s="56"/>
    </row>
    <row r="162" spans="1:32">
      <c r="A162" s="13" t="s">
        <v>1657</v>
      </c>
      <c r="B162" s="13" t="s">
        <v>471</v>
      </c>
      <c r="C162" s="139">
        <v>46230</v>
      </c>
      <c r="D162" s="139" t="s">
        <v>441</v>
      </c>
      <c r="E162" s="28">
        <v>0.99427949000000004</v>
      </c>
      <c r="F162" s="13"/>
      <c r="G162" s="18">
        <v>2700000</v>
      </c>
      <c r="H162" s="18">
        <v>2684554.62</v>
      </c>
      <c r="I162" s="18">
        <v>2700000</v>
      </c>
      <c r="J162" s="18">
        <v>2684554.62</v>
      </c>
      <c r="K162" s="15">
        <v>6267</v>
      </c>
      <c r="L162" s="13" t="s">
        <v>102</v>
      </c>
      <c r="M162" s="13" t="s">
        <v>103</v>
      </c>
      <c r="N162" s="139" t="s">
        <v>170</v>
      </c>
      <c r="O162" s="139" t="s">
        <v>170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1632</v>
      </c>
      <c r="V162" s="13" t="s">
        <v>1632</v>
      </c>
      <c r="W162" s="59">
        <f t="shared" si="2"/>
        <v>5.1287369464447479E-5</v>
      </c>
    </row>
    <row r="163" spans="1:32">
      <c r="A163" s="13" t="s">
        <v>365</v>
      </c>
      <c r="B163" s="13" t="s">
        <v>471</v>
      </c>
      <c r="C163" s="139">
        <v>46230</v>
      </c>
      <c r="D163" s="139" t="s">
        <v>441</v>
      </c>
      <c r="E163" s="28">
        <v>0.99427951000000003</v>
      </c>
      <c r="F163" s="13"/>
      <c r="G163" s="18">
        <v>100000000</v>
      </c>
      <c r="H163" s="18">
        <v>99427951.230000004</v>
      </c>
      <c r="I163" s="18">
        <v>100000000</v>
      </c>
      <c r="J163" s="18">
        <v>99427951.230000004</v>
      </c>
      <c r="K163" s="15">
        <v>16751421</v>
      </c>
      <c r="L163" s="13" t="s">
        <v>102</v>
      </c>
      <c r="M163" s="13" t="s">
        <v>103</v>
      </c>
      <c r="N163" s="139" t="s">
        <v>383</v>
      </c>
      <c r="O163" s="139" t="s">
        <v>383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1685</v>
      </c>
      <c r="V163" s="13" t="s">
        <v>1685</v>
      </c>
      <c r="W163" s="59">
        <f t="shared" si="2"/>
        <v>1.8995322471129588E-3</v>
      </c>
    </row>
    <row r="164" spans="1:32">
      <c r="A164" s="13" t="s">
        <v>340</v>
      </c>
      <c r="B164" s="13" t="s">
        <v>471</v>
      </c>
      <c r="C164" s="139">
        <v>46230</v>
      </c>
      <c r="D164" s="139" t="s">
        <v>441</v>
      </c>
      <c r="E164" s="28">
        <v>0.99314323999999998</v>
      </c>
      <c r="F164" s="13"/>
      <c r="G164" s="18">
        <v>3000000</v>
      </c>
      <c r="H164" s="18">
        <v>2979429.73</v>
      </c>
      <c r="I164" s="18">
        <v>3000000</v>
      </c>
      <c r="J164" s="18">
        <v>2979429.73</v>
      </c>
      <c r="K164" s="15">
        <v>40743003</v>
      </c>
      <c r="L164" s="13" t="s">
        <v>102</v>
      </c>
      <c r="M164" s="13" t="s">
        <v>103</v>
      </c>
      <c r="N164" s="139" t="s">
        <v>362</v>
      </c>
      <c r="O164" s="139" t="s">
        <v>362</v>
      </c>
      <c r="P164" s="28">
        <v>36</v>
      </c>
      <c r="Q164" s="13" t="s">
        <v>54</v>
      </c>
      <c r="R164" s="13" t="s">
        <v>28</v>
      </c>
      <c r="S164" s="13"/>
      <c r="T164" s="13"/>
      <c r="U164" s="13" t="s">
        <v>1102</v>
      </c>
      <c r="V164" s="13" t="s">
        <v>1102</v>
      </c>
      <c r="W164" s="59">
        <f t="shared" si="2"/>
        <v>5.6920843486458465E-5</v>
      </c>
      <c r="AC164" s="60"/>
      <c r="AD164" s="56"/>
      <c r="AE164" s="60"/>
      <c r="AF164" s="13"/>
    </row>
    <row r="165" spans="1:32">
      <c r="A165" s="13" t="s">
        <v>661</v>
      </c>
      <c r="B165" s="13" t="s">
        <v>471</v>
      </c>
      <c r="C165" s="139">
        <v>46230</v>
      </c>
      <c r="D165" s="139" t="s">
        <v>441</v>
      </c>
      <c r="E165" s="28">
        <v>0.99390045000000005</v>
      </c>
      <c r="F165" s="13"/>
      <c r="G165" s="18">
        <v>15000000</v>
      </c>
      <c r="H165" s="18">
        <v>14908506.810000001</v>
      </c>
      <c r="I165" s="18">
        <v>15000000</v>
      </c>
      <c r="J165" s="18">
        <v>14908506.810000001</v>
      </c>
      <c r="K165" s="15">
        <v>173</v>
      </c>
      <c r="L165" s="13" t="s">
        <v>102</v>
      </c>
      <c r="M165" s="13" t="s">
        <v>103</v>
      </c>
      <c r="N165" s="139" t="s">
        <v>358</v>
      </c>
      <c r="O165" s="139" t="s">
        <v>358</v>
      </c>
      <c r="P165" s="28">
        <v>32</v>
      </c>
      <c r="Q165" s="13" t="s">
        <v>54</v>
      </c>
      <c r="R165" s="13" t="s">
        <v>28</v>
      </c>
      <c r="S165" s="13"/>
      <c r="T165" s="13"/>
      <c r="U165" s="13" t="s">
        <v>602</v>
      </c>
      <c r="V165" s="13" t="s">
        <v>602</v>
      </c>
      <c r="W165" s="59">
        <f t="shared" si="2"/>
        <v>2.8482121065121082E-4</v>
      </c>
    </row>
    <row r="166" spans="1:32">
      <c r="A166" s="13" t="s">
        <v>1825</v>
      </c>
      <c r="B166" s="13" t="s">
        <v>471</v>
      </c>
      <c r="C166" s="139">
        <v>46230</v>
      </c>
      <c r="D166" s="139" t="s">
        <v>441</v>
      </c>
      <c r="E166" s="28">
        <v>0.99427955000000001</v>
      </c>
      <c r="F166" s="13"/>
      <c r="G166" s="18">
        <v>330000</v>
      </c>
      <c r="H166" s="18">
        <v>328112.25</v>
      </c>
      <c r="I166" s="18">
        <v>330000</v>
      </c>
      <c r="J166" s="18">
        <v>328112.25</v>
      </c>
      <c r="K166" s="15">
        <v>9918441</v>
      </c>
      <c r="L166" s="13" t="s">
        <v>102</v>
      </c>
      <c r="M166" s="13" t="s">
        <v>103</v>
      </c>
      <c r="N166" s="139" t="s">
        <v>172</v>
      </c>
      <c r="O166" s="139" t="s">
        <v>172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1829</v>
      </c>
      <c r="V166" s="13" t="s">
        <v>1829</v>
      </c>
      <c r="W166" s="59">
        <f t="shared" si="2"/>
        <v>6.2684566244963033E-6</v>
      </c>
    </row>
    <row r="167" spans="1:32">
      <c r="A167" s="13" t="s">
        <v>1825</v>
      </c>
      <c r="B167" s="13" t="s">
        <v>471</v>
      </c>
      <c r="C167" s="139">
        <v>46230</v>
      </c>
      <c r="D167" s="139" t="s">
        <v>441</v>
      </c>
      <c r="E167" s="28">
        <v>0.99427953999999996</v>
      </c>
      <c r="F167" s="13"/>
      <c r="G167" s="18">
        <v>415000</v>
      </c>
      <c r="H167" s="18">
        <v>412626.01</v>
      </c>
      <c r="I167" s="18">
        <v>415000</v>
      </c>
      <c r="J167" s="18">
        <v>412626.01</v>
      </c>
      <c r="K167" s="15">
        <v>9918435</v>
      </c>
      <c r="L167" s="13" t="s">
        <v>102</v>
      </c>
      <c r="M167" s="13" t="s">
        <v>103</v>
      </c>
      <c r="N167" s="139" t="s">
        <v>172</v>
      </c>
      <c r="O167" s="139" t="s">
        <v>172</v>
      </c>
      <c r="P167" s="28">
        <v>30</v>
      </c>
      <c r="Q167" s="13" t="s">
        <v>54</v>
      </c>
      <c r="R167" s="13" t="s">
        <v>28</v>
      </c>
      <c r="S167" s="13"/>
      <c r="T167" s="13"/>
      <c r="U167" s="13" t="s">
        <v>1830</v>
      </c>
      <c r="V167" s="13" t="s">
        <v>1830</v>
      </c>
      <c r="W167" s="59">
        <f t="shared" si="2"/>
        <v>7.8830590623299734E-6</v>
      </c>
      <c r="AC167" s="56"/>
    </row>
    <row r="168" spans="1:32">
      <c r="A168" s="13" t="s">
        <v>698</v>
      </c>
      <c r="B168" s="13" t="s">
        <v>471</v>
      </c>
      <c r="C168" s="139">
        <v>46231</v>
      </c>
      <c r="D168" s="139" t="s">
        <v>441</v>
      </c>
      <c r="E168" s="28">
        <v>0.99368400000000001</v>
      </c>
      <c r="F168" s="13"/>
      <c r="G168" s="18">
        <v>5000000</v>
      </c>
      <c r="H168" s="18">
        <v>4968420</v>
      </c>
      <c r="I168" s="18">
        <v>5000000</v>
      </c>
      <c r="J168" s="18">
        <v>4968420</v>
      </c>
      <c r="K168" s="15">
        <v>16779577</v>
      </c>
      <c r="L168" s="13" t="s">
        <v>102</v>
      </c>
      <c r="M168" s="13" t="s">
        <v>103</v>
      </c>
      <c r="N168" s="139" t="s">
        <v>397</v>
      </c>
      <c r="O168" s="139" t="s">
        <v>397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665</v>
      </c>
      <c r="V168" s="13" t="s">
        <v>665</v>
      </c>
      <c r="W168" s="59">
        <f t="shared" si="2"/>
        <v>9.4919727203967308E-5</v>
      </c>
    </row>
    <row r="169" spans="1:32">
      <c r="A169" s="13" t="s">
        <v>698</v>
      </c>
      <c r="B169" s="13" t="s">
        <v>471</v>
      </c>
      <c r="C169" s="139">
        <v>46231</v>
      </c>
      <c r="D169" s="139" t="s">
        <v>441</v>
      </c>
      <c r="E169" s="28">
        <v>0.99346762</v>
      </c>
      <c r="F169" s="13"/>
      <c r="G169" s="18">
        <v>10000000</v>
      </c>
      <c r="H169" s="18">
        <v>9934676.2100000009</v>
      </c>
      <c r="I169" s="18">
        <v>10000000</v>
      </c>
      <c r="J169" s="18">
        <v>9934676.2100000009</v>
      </c>
      <c r="K169" s="15">
        <v>90019958</v>
      </c>
      <c r="L169" s="13" t="s">
        <v>102</v>
      </c>
      <c r="M169" s="13" t="s">
        <v>103</v>
      </c>
      <c r="N169" s="139" t="s">
        <v>327</v>
      </c>
      <c r="O169" s="139" t="s">
        <v>327</v>
      </c>
      <c r="P169" s="28">
        <v>30</v>
      </c>
      <c r="Q169" s="13" t="s">
        <v>54</v>
      </c>
      <c r="R169" s="13" t="s">
        <v>28</v>
      </c>
      <c r="S169" s="13"/>
      <c r="T169" s="13"/>
      <c r="U169" s="13" t="s">
        <v>779</v>
      </c>
      <c r="V169" s="13" t="s">
        <v>779</v>
      </c>
      <c r="W169" s="59">
        <f t="shared" si="2"/>
        <v>1.8979811604351966E-4</v>
      </c>
    </row>
    <row r="170" spans="1:32">
      <c r="A170" s="13" t="s">
        <v>698</v>
      </c>
      <c r="B170" s="13" t="s">
        <v>471</v>
      </c>
      <c r="C170" s="139">
        <v>46231</v>
      </c>
      <c r="D170" s="139" t="s">
        <v>441</v>
      </c>
      <c r="E170" s="28">
        <v>0.99368398999999996</v>
      </c>
      <c r="F170" s="13"/>
      <c r="G170" s="18">
        <v>5000000</v>
      </c>
      <c r="H170" s="18">
        <v>4968419.96</v>
      </c>
      <c r="I170" s="18">
        <v>5000000</v>
      </c>
      <c r="J170" s="18">
        <v>4968419.96</v>
      </c>
      <c r="K170" s="15">
        <v>6878</v>
      </c>
      <c r="L170" s="13" t="s">
        <v>102</v>
      </c>
      <c r="M170" s="13" t="s">
        <v>103</v>
      </c>
      <c r="N170" s="139" t="s">
        <v>327</v>
      </c>
      <c r="O170" s="139" t="s">
        <v>327</v>
      </c>
      <c r="P170" s="28">
        <v>29</v>
      </c>
      <c r="Q170" s="13" t="s">
        <v>54</v>
      </c>
      <c r="R170" s="13" t="s">
        <v>28</v>
      </c>
      <c r="S170" s="13"/>
      <c r="T170" s="13"/>
      <c r="U170" s="13" t="s">
        <v>751</v>
      </c>
      <c r="V170" s="13" t="s">
        <v>751</v>
      </c>
      <c r="W170" s="59">
        <f t="shared" si="2"/>
        <v>9.4919726439782897E-5</v>
      </c>
    </row>
    <row r="171" spans="1:32">
      <c r="A171" s="13" t="s">
        <v>1388</v>
      </c>
      <c r="B171" s="13" t="s">
        <v>471</v>
      </c>
      <c r="C171" s="139">
        <v>46231</v>
      </c>
      <c r="D171" s="139" t="s">
        <v>441</v>
      </c>
      <c r="E171" s="28">
        <v>0.99368402</v>
      </c>
      <c r="F171" s="13"/>
      <c r="G171" s="18">
        <v>100000000</v>
      </c>
      <c r="H171" s="18">
        <v>99368402</v>
      </c>
      <c r="I171" s="18">
        <v>100000000</v>
      </c>
      <c r="J171" s="18">
        <v>99368402</v>
      </c>
      <c r="K171" s="15">
        <v>90003810</v>
      </c>
      <c r="L171" s="13" t="s">
        <v>102</v>
      </c>
      <c r="M171" s="13" t="s">
        <v>103</v>
      </c>
      <c r="N171" s="139" t="s">
        <v>351</v>
      </c>
      <c r="O171" s="139" t="s">
        <v>351</v>
      </c>
      <c r="P171" s="28">
        <v>29</v>
      </c>
      <c r="Q171" s="13" t="s">
        <v>54</v>
      </c>
      <c r="R171" s="13" t="s">
        <v>28</v>
      </c>
      <c r="S171" s="13"/>
      <c r="T171" s="13"/>
      <c r="U171" s="13" t="s">
        <v>1364</v>
      </c>
      <c r="V171" s="13" t="s">
        <v>1364</v>
      </c>
      <c r="W171" s="59">
        <f t="shared" si="2"/>
        <v>1.8983945822885666E-3</v>
      </c>
    </row>
    <row r="172" spans="1:32">
      <c r="A172" s="13" t="s">
        <v>510</v>
      </c>
      <c r="B172" s="13" t="s">
        <v>471</v>
      </c>
      <c r="C172" s="139">
        <v>46231</v>
      </c>
      <c r="D172" s="139" t="s">
        <v>441</v>
      </c>
      <c r="E172" s="28">
        <v>0.99368398999999996</v>
      </c>
      <c r="F172" s="13"/>
      <c r="G172" s="18">
        <v>12500000</v>
      </c>
      <c r="H172" s="18">
        <v>12421049.869999999</v>
      </c>
      <c r="I172" s="18">
        <v>12500000</v>
      </c>
      <c r="J172" s="18">
        <v>12421049.869999999</v>
      </c>
      <c r="K172" s="15">
        <v>28996506</v>
      </c>
      <c r="L172" s="13" t="s">
        <v>102</v>
      </c>
      <c r="M172" s="13" t="s">
        <v>103</v>
      </c>
      <c r="N172" s="139" t="s">
        <v>154</v>
      </c>
      <c r="O172" s="139" t="s">
        <v>154</v>
      </c>
      <c r="P172" s="28">
        <v>29</v>
      </c>
      <c r="Q172" s="13" t="s">
        <v>54</v>
      </c>
      <c r="R172" s="13" t="s">
        <v>28</v>
      </c>
      <c r="S172" s="13"/>
      <c r="T172" s="13"/>
      <c r="U172" s="13" t="s">
        <v>498</v>
      </c>
      <c r="V172" s="13" t="s">
        <v>498</v>
      </c>
      <c r="W172" s="59">
        <f t="shared" si="2"/>
        <v>2.3729931552631895E-4</v>
      </c>
    </row>
    <row r="173" spans="1:32">
      <c r="A173" s="13" t="s">
        <v>1714</v>
      </c>
      <c r="B173" s="13" t="s">
        <v>471</v>
      </c>
      <c r="C173" s="139">
        <v>46231</v>
      </c>
      <c r="D173" s="139" t="s">
        <v>441</v>
      </c>
      <c r="E173" s="28">
        <v>0.99346765999999997</v>
      </c>
      <c r="F173" s="13"/>
      <c r="G173" s="18">
        <v>7012899</v>
      </c>
      <c r="H173" s="18">
        <v>6967088.3799999999</v>
      </c>
      <c r="I173" s="18">
        <v>7012899</v>
      </c>
      <c r="J173" s="18">
        <v>6967088.3799999999</v>
      </c>
      <c r="K173" s="15">
        <v>90044338</v>
      </c>
      <c r="L173" s="13" t="s">
        <v>102</v>
      </c>
      <c r="M173" s="13" t="s">
        <v>103</v>
      </c>
      <c r="N173" s="139" t="s">
        <v>367</v>
      </c>
      <c r="O173" s="139" t="s">
        <v>367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1848</v>
      </c>
      <c r="V173" s="13" t="s">
        <v>1848</v>
      </c>
      <c r="W173" s="59">
        <f t="shared" si="2"/>
        <v>1.3310350744009776E-4</v>
      </c>
    </row>
    <row r="174" spans="1:32">
      <c r="A174" s="13" t="s">
        <v>581</v>
      </c>
      <c r="B174" s="13" t="s">
        <v>471</v>
      </c>
      <c r="C174" s="139">
        <v>46231</v>
      </c>
      <c r="D174" s="139" t="s">
        <v>441</v>
      </c>
      <c r="E174" s="28">
        <v>0.99455042999999999</v>
      </c>
      <c r="F174" s="13"/>
      <c r="G174" s="18">
        <v>21789857.329999998</v>
      </c>
      <c r="H174" s="18">
        <v>21671112.010000002</v>
      </c>
      <c r="I174" s="18">
        <v>21789857.329999998</v>
      </c>
      <c r="J174" s="18">
        <v>21671112.010000002</v>
      </c>
      <c r="K174" s="15">
        <v>65968</v>
      </c>
      <c r="L174" s="13" t="s">
        <v>102</v>
      </c>
      <c r="M174" s="13" t="s">
        <v>103</v>
      </c>
      <c r="N174" s="139" t="s">
        <v>172</v>
      </c>
      <c r="O174" s="139" t="s">
        <v>172</v>
      </c>
      <c r="P174" s="28">
        <v>25</v>
      </c>
      <c r="Q174" s="13" t="s">
        <v>54</v>
      </c>
      <c r="R174" s="13" t="s">
        <v>28</v>
      </c>
      <c r="S174" s="13"/>
      <c r="T174" s="13"/>
      <c r="U174" s="13" t="s">
        <v>1788</v>
      </c>
      <c r="V174" s="13" t="s">
        <v>1788</v>
      </c>
      <c r="W174" s="59">
        <f t="shared" si="2"/>
        <v>4.1401814665342702E-4</v>
      </c>
    </row>
    <row r="175" spans="1:32">
      <c r="A175" s="13" t="s">
        <v>581</v>
      </c>
      <c r="B175" s="13" t="s">
        <v>471</v>
      </c>
      <c r="C175" s="139">
        <v>46231</v>
      </c>
      <c r="D175" s="139" t="s">
        <v>441</v>
      </c>
      <c r="E175" s="28">
        <v>0.99455042999999999</v>
      </c>
      <c r="F175" s="13"/>
      <c r="G175" s="18">
        <v>456527.78</v>
      </c>
      <c r="H175" s="18">
        <v>454039.9</v>
      </c>
      <c r="I175" s="18">
        <v>456527.78</v>
      </c>
      <c r="J175" s="18">
        <v>454039.9</v>
      </c>
      <c r="K175" s="15">
        <v>11341117</v>
      </c>
      <c r="L175" s="13" t="s">
        <v>102</v>
      </c>
      <c r="M175" s="13" t="s">
        <v>103</v>
      </c>
      <c r="N175" s="139" t="s">
        <v>172</v>
      </c>
      <c r="O175" s="139" t="s">
        <v>172</v>
      </c>
      <c r="P175" s="28">
        <v>25</v>
      </c>
      <c r="Q175" s="13" t="s">
        <v>54</v>
      </c>
      <c r="R175" s="13" t="s">
        <v>28</v>
      </c>
      <c r="S175" s="13"/>
      <c r="T175" s="13"/>
      <c r="U175" s="13" t="s">
        <v>1803</v>
      </c>
      <c r="V175" s="13" t="s">
        <v>1803</v>
      </c>
      <c r="W175" s="59">
        <f t="shared" si="2"/>
        <v>8.6742552859292489E-6</v>
      </c>
    </row>
    <row r="176" spans="1:32">
      <c r="A176" s="13" t="s">
        <v>1268</v>
      </c>
      <c r="B176" s="13" t="s">
        <v>471</v>
      </c>
      <c r="C176" s="139">
        <v>46231</v>
      </c>
      <c r="D176" s="139" t="s">
        <v>441</v>
      </c>
      <c r="E176" s="28">
        <v>0.99281909000000002</v>
      </c>
      <c r="F176" s="13"/>
      <c r="G176" s="18">
        <v>3000000</v>
      </c>
      <c r="H176" s="18">
        <v>2978457.26</v>
      </c>
      <c r="I176" s="18">
        <v>3000000</v>
      </c>
      <c r="J176" s="18">
        <v>2978457.26</v>
      </c>
      <c r="K176" s="15">
        <v>90015792</v>
      </c>
      <c r="L176" s="13" t="s">
        <v>102</v>
      </c>
      <c r="M176" s="13" t="s">
        <v>103</v>
      </c>
      <c r="N176" s="139" t="s">
        <v>319</v>
      </c>
      <c r="O176" s="139" t="s">
        <v>319</v>
      </c>
      <c r="P176" s="28">
        <v>33</v>
      </c>
      <c r="Q176" s="13" t="s">
        <v>54</v>
      </c>
      <c r="R176" s="13" t="s">
        <v>28</v>
      </c>
      <c r="S176" s="13"/>
      <c r="T176" s="13"/>
      <c r="U176" s="13" t="s">
        <v>1239</v>
      </c>
      <c r="V176" s="13" t="s">
        <v>1239</v>
      </c>
      <c r="W176" s="59">
        <f t="shared" si="2"/>
        <v>5.6902264826217574E-5</v>
      </c>
    </row>
    <row r="177" spans="1:29">
      <c r="A177" s="13" t="s">
        <v>1438</v>
      </c>
      <c r="B177" s="13" t="s">
        <v>471</v>
      </c>
      <c r="C177" s="139">
        <v>46231</v>
      </c>
      <c r="D177" s="139" t="s">
        <v>441</v>
      </c>
      <c r="E177" s="28">
        <v>0.99303514999999998</v>
      </c>
      <c r="F177" s="13"/>
      <c r="G177" s="18">
        <v>1062257.1599999999</v>
      </c>
      <c r="H177" s="18">
        <v>1054858.7</v>
      </c>
      <c r="I177" s="18">
        <v>1062257.1599999999</v>
      </c>
      <c r="J177" s="18">
        <v>1054858.7</v>
      </c>
      <c r="K177" s="15">
        <v>3467336</v>
      </c>
      <c r="L177" s="13" t="s">
        <v>102</v>
      </c>
      <c r="M177" s="13" t="s">
        <v>103</v>
      </c>
      <c r="N177" s="139" t="s">
        <v>373</v>
      </c>
      <c r="O177" s="139" t="s">
        <v>373</v>
      </c>
      <c r="P177" s="28">
        <v>32</v>
      </c>
      <c r="Q177" s="13" t="s">
        <v>54</v>
      </c>
      <c r="R177" s="13" t="s">
        <v>28</v>
      </c>
      <c r="S177" s="13"/>
      <c r="T177" s="13"/>
      <c r="U177" s="13" t="s">
        <v>1440</v>
      </c>
      <c r="V177" s="13" t="s">
        <v>1440</v>
      </c>
      <c r="W177" s="59">
        <f t="shared" si="2"/>
        <v>2.015266423586001E-5</v>
      </c>
    </row>
    <row r="178" spans="1:29">
      <c r="A178" s="13" t="s">
        <v>698</v>
      </c>
      <c r="B178" s="13" t="s">
        <v>471</v>
      </c>
      <c r="C178" s="139">
        <v>46231</v>
      </c>
      <c r="D178" s="139" t="s">
        <v>441</v>
      </c>
      <c r="E178" s="28">
        <v>0.99346762</v>
      </c>
      <c r="F178" s="13"/>
      <c r="G178" s="18">
        <v>1040000</v>
      </c>
      <c r="H178" s="18">
        <v>1033206.33</v>
      </c>
      <c r="I178" s="18">
        <v>1040000</v>
      </c>
      <c r="J178" s="18">
        <v>1033206.33</v>
      </c>
      <c r="K178" s="15">
        <v>16601551</v>
      </c>
      <c r="L178" s="13" t="s">
        <v>102</v>
      </c>
      <c r="M178" s="13" t="s">
        <v>103</v>
      </c>
      <c r="N178" s="139" t="s">
        <v>341</v>
      </c>
      <c r="O178" s="139" t="s">
        <v>341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918</v>
      </c>
      <c r="V178" s="13" t="s">
        <v>918</v>
      </c>
      <c r="W178" s="59">
        <f t="shared" si="2"/>
        <v>1.9739004148001219E-5</v>
      </c>
    </row>
    <row r="179" spans="1:29">
      <c r="A179" s="13" t="s">
        <v>654</v>
      </c>
      <c r="B179" s="13" t="s">
        <v>471</v>
      </c>
      <c r="C179" s="139">
        <v>46231</v>
      </c>
      <c r="D179" s="139" t="s">
        <v>441</v>
      </c>
      <c r="E179" s="28">
        <v>0.99281909000000002</v>
      </c>
      <c r="F179" s="13"/>
      <c r="G179" s="18">
        <v>10000000</v>
      </c>
      <c r="H179" s="18">
        <v>9928190.9399999995</v>
      </c>
      <c r="I179" s="18">
        <v>10000000</v>
      </c>
      <c r="J179" s="18">
        <v>9928190.9399999995</v>
      </c>
      <c r="K179" s="15">
        <v>13633525</v>
      </c>
      <c r="L179" s="13" t="s">
        <v>102</v>
      </c>
      <c r="M179" s="13" t="s">
        <v>103</v>
      </c>
      <c r="N179" s="139" t="s">
        <v>162</v>
      </c>
      <c r="O179" s="139" t="s">
        <v>162</v>
      </c>
      <c r="P179" s="28">
        <v>33</v>
      </c>
      <c r="Q179" s="13" t="s">
        <v>54</v>
      </c>
      <c r="R179" s="13" t="s">
        <v>28</v>
      </c>
      <c r="S179" s="13"/>
      <c r="T179" s="13"/>
      <c r="U179" s="13" t="s">
        <v>1084</v>
      </c>
      <c r="V179" s="13" t="s">
        <v>1084</v>
      </c>
      <c r="W179" s="59">
        <f t="shared" si="2"/>
        <v>1.8967421748839665E-4</v>
      </c>
    </row>
    <row r="180" spans="1:29">
      <c r="A180" s="13" t="s">
        <v>820</v>
      </c>
      <c r="B180" s="13" t="s">
        <v>471</v>
      </c>
      <c r="C180" s="139">
        <v>46231</v>
      </c>
      <c r="D180" s="139" t="s">
        <v>441</v>
      </c>
      <c r="E180" s="28">
        <v>0.99238716999999999</v>
      </c>
      <c r="F180" s="13"/>
      <c r="G180" s="18">
        <v>75000000</v>
      </c>
      <c r="H180" s="18">
        <v>74429037.569999993</v>
      </c>
      <c r="I180" s="18">
        <v>75000000</v>
      </c>
      <c r="J180" s="18">
        <v>74429037.569999993</v>
      </c>
      <c r="K180" s="15">
        <v>95275288</v>
      </c>
      <c r="L180" s="13" t="s">
        <v>102</v>
      </c>
      <c r="M180" s="13" t="s">
        <v>103</v>
      </c>
      <c r="N180" s="139" t="s">
        <v>458</v>
      </c>
      <c r="O180" s="139" t="s">
        <v>458</v>
      </c>
      <c r="P180" s="28">
        <v>35</v>
      </c>
      <c r="Q180" s="13" t="s">
        <v>54</v>
      </c>
      <c r="R180" s="13" t="s">
        <v>28</v>
      </c>
      <c r="S180" s="13"/>
      <c r="T180" s="13"/>
      <c r="U180" s="13" t="s">
        <v>1172</v>
      </c>
      <c r="V180" s="13" t="s">
        <v>1172</v>
      </c>
      <c r="W180" s="59">
        <f t="shared" si="2"/>
        <v>1.4219377472512859E-3</v>
      </c>
    </row>
    <row r="181" spans="1:29">
      <c r="A181" s="13" t="s">
        <v>209</v>
      </c>
      <c r="B181" s="13" t="s">
        <v>471</v>
      </c>
      <c r="C181" s="139">
        <v>46231</v>
      </c>
      <c r="D181" s="139" t="s">
        <v>441</v>
      </c>
      <c r="E181" s="28">
        <v>0.99487588000000005</v>
      </c>
      <c r="F181" s="13"/>
      <c r="G181" s="18">
        <v>11744423.460000001</v>
      </c>
      <c r="H181" s="18">
        <v>11684243.57</v>
      </c>
      <c r="I181" s="18">
        <v>11744423.460000001</v>
      </c>
      <c r="J181" s="18">
        <v>11684243.57</v>
      </c>
      <c r="K181" s="15">
        <v>92</v>
      </c>
      <c r="L181" s="13" t="s">
        <v>102</v>
      </c>
      <c r="M181" s="13" t="s">
        <v>103</v>
      </c>
      <c r="N181" s="139" t="s">
        <v>382</v>
      </c>
      <c r="O181" s="139" t="s">
        <v>382</v>
      </c>
      <c r="P181" s="28">
        <v>23.5</v>
      </c>
      <c r="Q181" s="13" t="s">
        <v>54</v>
      </c>
      <c r="R181" s="13" t="s">
        <v>28</v>
      </c>
      <c r="S181" s="13"/>
      <c r="T181" s="13"/>
      <c r="U181" s="13" t="s">
        <v>2400</v>
      </c>
      <c r="V181" s="13" t="s">
        <v>2400</v>
      </c>
      <c r="W181" s="59">
        <f t="shared" si="2"/>
        <v>2.2322291840245172E-4</v>
      </c>
    </row>
    <row r="182" spans="1:29">
      <c r="A182" s="13" t="s">
        <v>209</v>
      </c>
      <c r="B182" s="13" t="s">
        <v>471</v>
      </c>
      <c r="C182" s="139">
        <v>46231</v>
      </c>
      <c r="D182" s="139" t="s">
        <v>441</v>
      </c>
      <c r="E182" s="28">
        <v>0.99487588000000005</v>
      </c>
      <c r="F182" s="13"/>
      <c r="G182" s="18">
        <v>25207018.800000001</v>
      </c>
      <c r="H182" s="18">
        <v>25077854.899999999</v>
      </c>
      <c r="I182" s="18">
        <v>25207018.800000001</v>
      </c>
      <c r="J182" s="18">
        <v>25077854.899999999</v>
      </c>
      <c r="K182" s="15">
        <v>93</v>
      </c>
      <c r="L182" s="13" t="s">
        <v>102</v>
      </c>
      <c r="M182" s="13" t="s">
        <v>103</v>
      </c>
      <c r="N182" s="139" t="s">
        <v>382</v>
      </c>
      <c r="O182" s="139" t="s">
        <v>382</v>
      </c>
      <c r="P182" s="28">
        <v>23.5</v>
      </c>
      <c r="Q182" s="13" t="s">
        <v>54</v>
      </c>
      <c r="R182" s="13" t="s">
        <v>28</v>
      </c>
      <c r="S182" s="13"/>
      <c r="T182" s="13"/>
      <c r="U182" s="13" t="s">
        <v>2401</v>
      </c>
      <c r="V182" s="13" t="s">
        <v>2401</v>
      </c>
      <c r="W182" s="59">
        <f t="shared" si="2"/>
        <v>4.7910264147730559E-4</v>
      </c>
    </row>
    <row r="183" spans="1:29">
      <c r="A183" s="13" t="s">
        <v>472</v>
      </c>
      <c r="B183" s="13" t="s">
        <v>471</v>
      </c>
      <c r="C183" s="139">
        <v>46231</v>
      </c>
      <c r="D183" s="139" t="s">
        <v>441</v>
      </c>
      <c r="E183" s="28">
        <v>0.99346763999999999</v>
      </c>
      <c r="F183" s="13"/>
      <c r="G183" s="18">
        <v>10000000</v>
      </c>
      <c r="H183" s="18">
        <v>9934676.3900000006</v>
      </c>
      <c r="I183" s="18">
        <v>10000000</v>
      </c>
      <c r="J183" s="18">
        <v>9934676.3900000006</v>
      </c>
      <c r="K183" s="15">
        <v>573</v>
      </c>
      <c r="L183" s="13" t="s">
        <v>102</v>
      </c>
      <c r="M183" s="13" t="s">
        <v>103</v>
      </c>
      <c r="N183" s="139" t="s">
        <v>174</v>
      </c>
      <c r="O183" s="139" t="s">
        <v>174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1318</v>
      </c>
      <c r="V183" s="13" t="s">
        <v>1318</v>
      </c>
      <c r="W183" s="59">
        <f t="shared" si="2"/>
        <v>1.8979811948234947E-4</v>
      </c>
    </row>
    <row r="184" spans="1:29">
      <c r="A184" s="13" t="s">
        <v>310</v>
      </c>
      <c r="B184" s="13" t="s">
        <v>471</v>
      </c>
      <c r="C184" s="139">
        <v>46231</v>
      </c>
      <c r="D184" s="139" t="s">
        <v>441</v>
      </c>
      <c r="E184" s="28">
        <v>0.99281907000000003</v>
      </c>
      <c r="F184" s="13"/>
      <c r="G184" s="18">
        <v>50000000</v>
      </c>
      <c r="H184" s="18">
        <v>49640953.539999999</v>
      </c>
      <c r="I184" s="18">
        <v>50000000</v>
      </c>
      <c r="J184" s="18">
        <v>49640953.539999999</v>
      </c>
      <c r="K184" s="15">
        <v>29007568</v>
      </c>
      <c r="L184" s="13" t="s">
        <v>102</v>
      </c>
      <c r="M184" s="13" t="s">
        <v>103</v>
      </c>
      <c r="N184" s="139" t="s">
        <v>154</v>
      </c>
      <c r="O184" s="139" t="s">
        <v>154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506</v>
      </c>
      <c r="V184" s="13" t="s">
        <v>506</v>
      </c>
      <c r="W184" s="59">
        <f t="shared" si="2"/>
        <v>9.4837106528063554E-4</v>
      </c>
    </row>
    <row r="185" spans="1:29">
      <c r="A185" s="13" t="s">
        <v>1279</v>
      </c>
      <c r="B185" s="13" t="s">
        <v>471</v>
      </c>
      <c r="C185" s="139">
        <v>46231</v>
      </c>
      <c r="D185" s="139" t="s">
        <v>441</v>
      </c>
      <c r="E185" s="28">
        <v>0.99281909000000002</v>
      </c>
      <c r="F185" s="13"/>
      <c r="G185" s="18">
        <v>1215528.29</v>
      </c>
      <c r="H185" s="18">
        <v>1206799.68</v>
      </c>
      <c r="I185" s="18">
        <v>1215528.29</v>
      </c>
      <c r="J185" s="18">
        <v>1206799.68</v>
      </c>
      <c r="K185" s="15">
        <v>2418</v>
      </c>
      <c r="L185" s="13" t="s">
        <v>102</v>
      </c>
      <c r="M185" s="13" t="s">
        <v>103</v>
      </c>
      <c r="N185" s="139" t="s">
        <v>319</v>
      </c>
      <c r="O185" s="139" t="s">
        <v>319</v>
      </c>
      <c r="P185" s="28">
        <v>33</v>
      </c>
      <c r="Q185" s="13" t="s">
        <v>54</v>
      </c>
      <c r="R185" s="13" t="s">
        <v>28</v>
      </c>
      <c r="S185" s="13"/>
      <c r="T185" s="13"/>
      <c r="U185" s="13" t="s">
        <v>1234</v>
      </c>
      <c r="V185" s="13" t="s">
        <v>1234</v>
      </c>
      <c r="W185" s="59">
        <f t="shared" si="2"/>
        <v>2.3055437425868797E-5</v>
      </c>
    </row>
    <row r="186" spans="1:29">
      <c r="A186" s="13" t="s">
        <v>242</v>
      </c>
      <c r="B186" s="13" t="s">
        <v>471</v>
      </c>
      <c r="C186" s="139">
        <v>46231</v>
      </c>
      <c r="D186" s="139" t="s">
        <v>441</v>
      </c>
      <c r="E186" s="28">
        <v>0.99130907999999995</v>
      </c>
      <c r="F186" s="13"/>
      <c r="G186" s="18">
        <v>4100000</v>
      </c>
      <c r="H186" s="18">
        <v>4064367.21</v>
      </c>
      <c r="I186" s="18">
        <v>4100000</v>
      </c>
      <c r="J186" s="18">
        <v>4064367.21</v>
      </c>
      <c r="K186" s="15">
        <v>1025</v>
      </c>
      <c r="L186" s="13" t="s">
        <v>102</v>
      </c>
      <c r="M186" s="13" t="s">
        <v>103</v>
      </c>
      <c r="N186" s="139" t="s">
        <v>258</v>
      </c>
      <c r="O186" s="139" t="s">
        <v>258</v>
      </c>
      <c r="P186" s="28">
        <v>40</v>
      </c>
      <c r="Q186" s="13" t="s">
        <v>54</v>
      </c>
      <c r="R186" s="13" t="s">
        <v>28</v>
      </c>
      <c r="S186" s="13"/>
      <c r="T186" s="13"/>
      <c r="U186" s="13" t="s">
        <v>453</v>
      </c>
      <c r="V186" s="13" t="s">
        <v>453</v>
      </c>
      <c r="W186" s="59">
        <f t="shared" si="2"/>
        <v>7.7648151088263414E-5</v>
      </c>
    </row>
    <row r="187" spans="1:29">
      <c r="A187" s="13" t="s">
        <v>147</v>
      </c>
      <c r="B187" s="13" t="s">
        <v>471</v>
      </c>
      <c r="C187" s="139">
        <v>46231</v>
      </c>
      <c r="D187" s="139" t="s">
        <v>441</v>
      </c>
      <c r="E187" s="28">
        <v>0.99130907000000001</v>
      </c>
      <c r="F187" s="13"/>
      <c r="G187" s="18">
        <v>20000000</v>
      </c>
      <c r="H187" s="18">
        <v>19826181.469999999</v>
      </c>
      <c r="I187" s="18">
        <v>20000000</v>
      </c>
      <c r="J187" s="18">
        <v>19826181.469999999</v>
      </c>
      <c r="K187" s="15">
        <v>4121</v>
      </c>
      <c r="L187" s="13" t="s">
        <v>102</v>
      </c>
      <c r="M187" s="13" t="s">
        <v>103</v>
      </c>
      <c r="N187" s="139" t="s">
        <v>160</v>
      </c>
      <c r="O187" s="139" t="s">
        <v>160</v>
      </c>
      <c r="P187" s="28">
        <v>40</v>
      </c>
      <c r="Q187" s="13" t="s">
        <v>54</v>
      </c>
      <c r="R187" s="13" t="s">
        <v>28</v>
      </c>
      <c r="S187" s="13"/>
      <c r="T187" s="13"/>
      <c r="U187" s="13" t="s">
        <v>907</v>
      </c>
      <c r="V187" s="13" t="s">
        <v>907</v>
      </c>
      <c r="W187" s="59">
        <f t="shared" si="2"/>
        <v>3.787714679171148E-4</v>
      </c>
    </row>
    <row r="188" spans="1:29">
      <c r="A188" s="13" t="s">
        <v>132</v>
      </c>
      <c r="B188" s="13" t="s">
        <v>471</v>
      </c>
      <c r="C188" s="139">
        <v>46231</v>
      </c>
      <c r="D188" s="139" t="s">
        <v>441</v>
      </c>
      <c r="E188" s="28">
        <v>0.99174002999999999</v>
      </c>
      <c r="F188" s="13"/>
      <c r="G188" s="18">
        <v>20000000</v>
      </c>
      <c r="H188" s="18">
        <v>19834800.579999998</v>
      </c>
      <c r="I188" s="18">
        <v>20000000</v>
      </c>
      <c r="J188" s="18">
        <v>19834800.579999998</v>
      </c>
      <c r="K188" s="15">
        <v>65800773</v>
      </c>
      <c r="L188" s="13" t="s">
        <v>102</v>
      </c>
      <c r="M188" s="13" t="s">
        <v>103</v>
      </c>
      <c r="N188" s="139" t="s">
        <v>241</v>
      </c>
      <c r="O188" s="139" t="s">
        <v>241</v>
      </c>
      <c r="P188" s="28">
        <v>38</v>
      </c>
      <c r="Q188" s="13" t="s">
        <v>54</v>
      </c>
      <c r="R188" s="13" t="s">
        <v>28</v>
      </c>
      <c r="S188" s="13"/>
      <c r="T188" s="13"/>
      <c r="U188" s="13" t="s">
        <v>483</v>
      </c>
      <c r="V188" s="13" t="s">
        <v>483</v>
      </c>
      <c r="W188" s="59">
        <f t="shared" si="2"/>
        <v>3.7893613265357846E-4</v>
      </c>
      <c r="AC188" s="56"/>
    </row>
    <row r="189" spans="1:29">
      <c r="A189" s="13" t="s">
        <v>323</v>
      </c>
      <c r="B189" s="13" t="s">
        <v>471</v>
      </c>
      <c r="C189" s="139">
        <v>46231</v>
      </c>
      <c r="D189" s="139" t="s">
        <v>441</v>
      </c>
      <c r="E189" s="28">
        <v>0.99411707000000005</v>
      </c>
      <c r="F189" s="13"/>
      <c r="G189" s="18">
        <v>50000000</v>
      </c>
      <c r="H189" s="18">
        <v>49705853.409999996</v>
      </c>
      <c r="I189" s="18">
        <v>50000000</v>
      </c>
      <c r="J189" s="18">
        <v>49705853.409999996</v>
      </c>
      <c r="K189" s="15">
        <v>1415413</v>
      </c>
      <c r="L189" s="13" t="s">
        <v>102</v>
      </c>
      <c r="M189" s="13" t="s">
        <v>103</v>
      </c>
      <c r="N189" s="139" t="s">
        <v>457</v>
      </c>
      <c r="O189" s="139" t="s">
        <v>457</v>
      </c>
      <c r="P189" s="28">
        <v>27</v>
      </c>
      <c r="Q189" s="13" t="s">
        <v>54</v>
      </c>
      <c r="R189" s="13" t="s">
        <v>28</v>
      </c>
      <c r="S189" s="13"/>
      <c r="T189" s="13"/>
      <c r="U189" s="13" t="s">
        <v>1716</v>
      </c>
      <c r="V189" s="13" t="s">
        <v>1716</v>
      </c>
      <c r="W189" s="59">
        <f t="shared" si="2"/>
        <v>9.4961095199632643E-4</v>
      </c>
      <c r="AC189" s="56"/>
    </row>
    <row r="190" spans="1:29">
      <c r="A190" s="13" t="s">
        <v>323</v>
      </c>
      <c r="B190" s="13" t="s">
        <v>471</v>
      </c>
      <c r="C190" s="139">
        <v>46231</v>
      </c>
      <c r="D190" s="139" t="s">
        <v>441</v>
      </c>
      <c r="E190" s="28">
        <v>0.99368398000000002</v>
      </c>
      <c r="F190" s="13"/>
      <c r="G190" s="18">
        <v>30000000</v>
      </c>
      <c r="H190" s="18">
        <v>29810519.489999998</v>
      </c>
      <c r="I190" s="18">
        <v>30000000</v>
      </c>
      <c r="J190" s="18">
        <v>29810519.489999998</v>
      </c>
      <c r="K190" s="15">
        <v>54026410</v>
      </c>
      <c r="L190" s="13" t="s">
        <v>102</v>
      </c>
      <c r="M190" s="13" t="s">
        <v>103</v>
      </c>
      <c r="N190" s="139" t="s">
        <v>160</v>
      </c>
      <c r="O190" s="139" t="s">
        <v>160</v>
      </c>
      <c r="P190" s="28">
        <v>29</v>
      </c>
      <c r="Q190" s="13" t="s">
        <v>54</v>
      </c>
      <c r="R190" s="13" t="s">
        <v>28</v>
      </c>
      <c r="S190" s="13"/>
      <c r="T190" s="13"/>
      <c r="U190" s="13" t="s">
        <v>902</v>
      </c>
      <c r="V190" s="13" t="s">
        <v>902</v>
      </c>
      <c r="W190" s="59">
        <f t="shared" si="2"/>
        <v>5.6951835348045268E-4</v>
      </c>
    </row>
    <row r="191" spans="1:29">
      <c r="A191" s="13" t="s">
        <v>323</v>
      </c>
      <c r="B191" s="13" t="s">
        <v>471</v>
      </c>
      <c r="C191" s="139">
        <v>46231</v>
      </c>
      <c r="D191" s="139" t="s">
        <v>441</v>
      </c>
      <c r="E191" s="28">
        <v>0.99400871999999996</v>
      </c>
      <c r="F191" s="13"/>
      <c r="G191" s="18">
        <v>150000000</v>
      </c>
      <c r="H191" s="18">
        <v>149101307.66999999</v>
      </c>
      <c r="I191" s="18">
        <v>150000000</v>
      </c>
      <c r="J191" s="18">
        <v>149101307.66999999</v>
      </c>
      <c r="K191" s="15">
        <v>1762</v>
      </c>
      <c r="L191" s="13" t="s">
        <v>102</v>
      </c>
      <c r="M191" s="13" t="s">
        <v>103</v>
      </c>
      <c r="N191" s="139" t="s">
        <v>348</v>
      </c>
      <c r="O191" s="139" t="s">
        <v>348</v>
      </c>
      <c r="P191" s="28">
        <v>27.5</v>
      </c>
      <c r="Q191" s="13" t="s">
        <v>54</v>
      </c>
      <c r="R191" s="13" t="s">
        <v>28</v>
      </c>
      <c r="S191" s="13"/>
      <c r="T191" s="13"/>
      <c r="U191" s="13" t="s">
        <v>736</v>
      </c>
      <c r="V191" s="13" t="s">
        <v>736</v>
      </c>
      <c r="W191" s="59">
        <f t="shared" si="2"/>
        <v>2.8485223571661005E-3</v>
      </c>
    </row>
    <row r="192" spans="1:29">
      <c r="A192" s="13" t="s">
        <v>1508</v>
      </c>
      <c r="B192" s="13" t="s">
        <v>471</v>
      </c>
      <c r="C192" s="139">
        <v>46231</v>
      </c>
      <c r="D192" s="139" t="s">
        <v>441</v>
      </c>
      <c r="E192" s="28">
        <v>0.99346769000000001</v>
      </c>
      <c r="F192" s="13"/>
      <c r="G192" s="18">
        <v>11585339.390000001</v>
      </c>
      <c r="H192" s="18">
        <v>11509660.369999999</v>
      </c>
      <c r="I192" s="18">
        <v>11585339.390000001</v>
      </c>
      <c r="J192" s="18">
        <v>11509660.369999999</v>
      </c>
      <c r="K192" s="15">
        <v>65</v>
      </c>
      <c r="L192" s="13" t="s">
        <v>102</v>
      </c>
      <c r="M192" s="13" t="s">
        <v>103</v>
      </c>
      <c r="N192" s="139" t="s">
        <v>388</v>
      </c>
      <c r="O192" s="139" t="s">
        <v>388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2231</v>
      </c>
      <c r="V192" s="13" t="s">
        <v>2231</v>
      </c>
      <c r="W192" s="59">
        <f t="shared" si="2"/>
        <v>2.1988757442621869E-4</v>
      </c>
    </row>
    <row r="193" spans="1:29">
      <c r="A193" s="13" t="s">
        <v>193</v>
      </c>
      <c r="B193" s="13" t="s">
        <v>471</v>
      </c>
      <c r="C193" s="139">
        <v>46231</v>
      </c>
      <c r="D193" s="139" t="s">
        <v>441</v>
      </c>
      <c r="E193" s="28">
        <v>0.99130907999999995</v>
      </c>
      <c r="F193" s="13"/>
      <c r="G193" s="18">
        <v>128000000</v>
      </c>
      <c r="H193" s="18">
        <v>126887562.65000001</v>
      </c>
      <c r="I193" s="18">
        <v>128000000</v>
      </c>
      <c r="J193" s="18">
        <v>126887562.65000001</v>
      </c>
      <c r="K193" s="15">
        <v>70383675</v>
      </c>
      <c r="L193" s="13" t="s">
        <v>102</v>
      </c>
      <c r="M193" s="13" t="s">
        <v>103</v>
      </c>
      <c r="N193" s="139" t="s">
        <v>373</v>
      </c>
      <c r="O193" s="139" t="s">
        <v>373</v>
      </c>
      <c r="P193" s="28">
        <v>40</v>
      </c>
      <c r="Q193" s="13" t="s">
        <v>54</v>
      </c>
      <c r="R193" s="13" t="s">
        <v>28</v>
      </c>
      <c r="S193" s="13"/>
      <c r="T193" s="13"/>
      <c r="U193" s="13" t="s">
        <v>1450</v>
      </c>
      <c r="V193" s="13" t="s">
        <v>1450</v>
      </c>
      <c r="W193" s="59">
        <f t="shared" si="2"/>
        <v>2.4241374183974606E-3</v>
      </c>
    </row>
    <row r="194" spans="1:29">
      <c r="A194" s="13" t="s">
        <v>522</v>
      </c>
      <c r="B194" s="13" t="s">
        <v>471</v>
      </c>
      <c r="C194" s="139">
        <v>46231</v>
      </c>
      <c r="D194" s="139" t="s">
        <v>441</v>
      </c>
      <c r="E194" s="28">
        <v>0.99455042000000005</v>
      </c>
      <c r="F194" s="13"/>
      <c r="G194" s="18">
        <v>30958317.780000001</v>
      </c>
      <c r="H194" s="18">
        <v>30789607.969999999</v>
      </c>
      <c r="I194" s="18">
        <v>30958317.780000001</v>
      </c>
      <c r="J194" s="18">
        <v>30789607.969999999</v>
      </c>
      <c r="K194" s="15">
        <v>13812667</v>
      </c>
      <c r="L194" s="13" t="s">
        <v>102</v>
      </c>
      <c r="M194" s="13" t="s">
        <v>103</v>
      </c>
      <c r="N194" s="139" t="s">
        <v>431</v>
      </c>
      <c r="O194" s="139" t="s">
        <v>431</v>
      </c>
      <c r="P194" s="28">
        <v>25</v>
      </c>
      <c r="Q194" s="13" t="s">
        <v>54</v>
      </c>
      <c r="R194" s="13" t="s">
        <v>28</v>
      </c>
      <c r="S194" s="13"/>
      <c r="T194" s="13"/>
      <c r="U194" s="13" t="s">
        <v>1907</v>
      </c>
      <c r="V194" s="13" t="s">
        <v>1907</v>
      </c>
      <c r="W194" s="59">
        <f t="shared" si="2"/>
        <v>5.8822345720158477E-4</v>
      </c>
    </row>
    <row r="195" spans="1:29">
      <c r="A195" s="13" t="s">
        <v>581</v>
      </c>
      <c r="B195" s="13" t="s">
        <v>471</v>
      </c>
      <c r="C195" s="139">
        <v>46231</v>
      </c>
      <c r="D195" s="139" t="s">
        <v>441</v>
      </c>
      <c r="E195" s="28">
        <v>0.99368398000000002</v>
      </c>
      <c r="F195" s="13"/>
      <c r="G195" s="18">
        <v>5000000</v>
      </c>
      <c r="H195" s="18">
        <v>4968419.92</v>
      </c>
      <c r="I195" s="18">
        <v>5000000</v>
      </c>
      <c r="J195" s="18">
        <v>4968419.92</v>
      </c>
      <c r="K195" s="15">
        <v>43314</v>
      </c>
      <c r="L195" s="13" t="s">
        <v>102</v>
      </c>
      <c r="M195" s="13" t="s">
        <v>103</v>
      </c>
      <c r="N195" s="139" t="s">
        <v>348</v>
      </c>
      <c r="O195" s="139" t="s">
        <v>348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701</v>
      </c>
      <c r="V195" s="13" t="s">
        <v>701</v>
      </c>
      <c r="W195" s="59">
        <f t="shared" si="2"/>
        <v>9.49197256755985E-5</v>
      </c>
    </row>
    <row r="196" spans="1:29">
      <c r="A196" s="13" t="s">
        <v>365</v>
      </c>
      <c r="B196" s="13" t="s">
        <v>471</v>
      </c>
      <c r="C196" s="139">
        <v>46231</v>
      </c>
      <c r="D196" s="139" t="s">
        <v>441</v>
      </c>
      <c r="E196" s="28">
        <v>0.99346763999999999</v>
      </c>
      <c r="F196" s="13"/>
      <c r="G196" s="18">
        <v>100000000</v>
      </c>
      <c r="H196" s="18">
        <v>99346763.810000002</v>
      </c>
      <c r="I196" s="18">
        <v>100000000</v>
      </c>
      <c r="J196" s="18">
        <v>99346763.810000002</v>
      </c>
      <c r="K196" s="15">
        <v>16751422</v>
      </c>
      <c r="L196" s="13" t="s">
        <v>102</v>
      </c>
      <c r="M196" s="13" t="s">
        <v>103</v>
      </c>
      <c r="N196" s="139" t="s">
        <v>354</v>
      </c>
      <c r="O196" s="139" t="s">
        <v>354</v>
      </c>
      <c r="P196" s="28">
        <v>30</v>
      </c>
      <c r="Q196" s="13" t="s">
        <v>54</v>
      </c>
      <c r="R196" s="13" t="s">
        <v>28</v>
      </c>
      <c r="S196" s="13"/>
      <c r="T196" s="13"/>
      <c r="U196" s="13" t="s">
        <v>1689</v>
      </c>
      <c r="V196" s="13" t="s">
        <v>1689</v>
      </c>
      <c r="W196" s="59">
        <f t="shared" si="2"/>
        <v>1.8979811931040798E-3</v>
      </c>
    </row>
    <row r="197" spans="1:29">
      <c r="A197" s="13" t="s">
        <v>340</v>
      </c>
      <c r="B197" s="13" t="s">
        <v>471</v>
      </c>
      <c r="C197" s="139">
        <v>46231</v>
      </c>
      <c r="D197" s="139" t="s">
        <v>441</v>
      </c>
      <c r="E197" s="28">
        <v>0.99217137</v>
      </c>
      <c r="F197" s="13"/>
      <c r="G197" s="18">
        <v>5000000</v>
      </c>
      <c r="H197" s="18">
        <v>4960856.83</v>
      </c>
      <c r="I197" s="18">
        <v>5000000</v>
      </c>
      <c r="J197" s="18">
        <v>4960856.83</v>
      </c>
      <c r="K197" s="15">
        <v>40742991</v>
      </c>
      <c r="L197" s="13" t="s">
        <v>102</v>
      </c>
      <c r="M197" s="13" t="s">
        <v>103</v>
      </c>
      <c r="N197" s="139" t="s">
        <v>362</v>
      </c>
      <c r="O197" s="139" t="s">
        <v>362</v>
      </c>
      <c r="P197" s="28">
        <v>36</v>
      </c>
      <c r="Q197" s="13" t="s">
        <v>54</v>
      </c>
      <c r="R197" s="13" t="s">
        <v>28</v>
      </c>
      <c r="S197" s="13"/>
      <c r="T197" s="13"/>
      <c r="U197" s="13" t="s">
        <v>1103</v>
      </c>
      <c r="V197" s="13" t="s">
        <v>1103</v>
      </c>
      <c r="W197" s="59">
        <f t="shared" ref="W197:W260" si="3">+J197/$W$2</f>
        <v>9.4775235789554439E-5</v>
      </c>
    </row>
    <row r="198" spans="1:29">
      <c r="A198" s="13" t="s">
        <v>2199</v>
      </c>
      <c r="B198" s="13" t="s">
        <v>471</v>
      </c>
      <c r="C198" s="139">
        <v>46231</v>
      </c>
      <c r="D198" s="139" t="s">
        <v>441</v>
      </c>
      <c r="E198" s="28">
        <v>0.99281909000000002</v>
      </c>
      <c r="F198" s="13"/>
      <c r="G198" s="18">
        <v>5549092</v>
      </c>
      <c r="H198" s="18">
        <v>5509244.4800000004</v>
      </c>
      <c r="I198" s="18">
        <v>5549092</v>
      </c>
      <c r="J198" s="18">
        <v>5509244.4800000004</v>
      </c>
      <c r="K198" s="15">
        <v>9619</v>
      </c>
      <c r="L198" s="13" t="s">
        <v>102</v>
      </c>
      <c r="M198" s="13" t="s">
        <v>103</v>
      </c>
      <c r="N198" s="139" t="s">
        <v>495</v>
      </c>
      <c r="O198" s="139" t="s">
        <v>495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2121</v>
      </c>
      <c r="V198" s="13" t="s">
        <v>2121</v>
      </c>
      <c r="W198" s="59">
        <f t="shared" si="3"/>
        <v>1.0525196805857049E-4</v>
      </c>
      <c r="AC198" s="56"/>
    </row>
    <row r="199" spans="1:29">
      <c r="A199" s="13" t="s">
        <v>698</v>
      </c>
      <c r="B199" s="13" t="s">
        <v>471</v>
      </c>
      <c r="C199" s="139">
        <v>46232</v>
      </c>
      <c r="D199" s="139" t="s">
        <v>441</v>
      </c>
      <c r="E199" s="28">
        <v>0.99290009999999995</v>
      </c>
      <c r="F199" s="13"/>
      <c r="G199" s="18">
        <v>5000000</v>
      </c>
      <c r="H199" s="18">
        <v>4964500.51</v>
      </c>
      <c r="I199" s="18">
        <v>5000000</v>
      </c>
      <c r="J199" s="18">
        <v>4964500.51</v>
      </c>
      <c r="K199" s="15">
        <v>16779578</v>
      </c>
      <c r="L199" s="13" t="s">
        <v>102</v>
      </c>
      <c r="M199" s="13" t="s">
        <v>103</v>
      </c>
      <c r="N199" s="139" t="s">
        <v>397</v>
      </c>
      <c r="O199" s="139" t="s">
        <v>397</v>
      </c>
      <c r="P199" s="28">
        <v>29</v>
      </c>
      <c r="Q199" s="13" t="s">
        <v>54</v>
      </c>
      <c r="R199" s="13" t="s">
        <v>28</v>
      </c>
      <c r="S199" s="13"/>
      <c r="T199" s="13"/>
      <c r="U199" s="13" t="s">
        <v>666</v>
      </c>
      <c r="V199" s="13" t="s">
        <v>666</v>
      </c>
      <c r="W199" s="59">
        <f t="shared" si="3"/>
        <v>9.484484687549695E-5</v>
      </c>
    </row>
    <row r="200" spans="1:29">
      <c r="A200" s="13" t="s">
        <v>698</v>
      </c>
      <c r="B200" s="13" t="s">
        <v>471</v>
      </c>
      <c r="C200" s="139">
        <v>46232</v>
      </c>
      <c r="D200" s="139" t="s">
        <v>441</v>
      </c>
      <c r="E200" s="28">
        <v>0.99338651</v>
      </c>
      <c r="F200" s="13"/>
      <c r="G200" s="18">
        <v>20000000</v>
      </c>
      <c r="H200" s="18">
        <v>19867730.109999999</v>
      </c>
      <c r="I200" s="18">
        <v>20000000</v>
      </c>
      <c r="J200" s="18">
        <v>19867730.109999999</v>
      </c>
      <c r="K200" s="15">
        <v>66450549</v>
      </c>
      <c r="L200" s="13" t="s">
        <v>102</v>
      </c>
      <c r="M200" s="13" t="s">
        <v>103</v>
      </c>
      <c r="N200" s="139" t="s">
        <v>399</v>
      </c>
      <c r="O200" s="139" t="s">
        <v>399</v>
      </c>
      <c r="P200" s="28">
        <v>27</v>
      </c>
      <c r="Q200" s="13" t="s">
        <v>54</v>
      </c>
      <c r="R200" s="13" t="s">
        <v>28</v>
      </c>
      <c r="S200" s="13"/>
      <c r="T200" s="13"/>
      <c r="U200" s="13" t="s">
        <v>829</v>
      </c>
      <c r="V200" s="13" t="s">
        <v>829</v>
      </c>
      <c r="W200" s="59">
        <f t="shared" si="3"/>
        <v>3.7956523848693295E-4</v>
      </c>
    </row>
    <row r="201" spans="1:29">
      <c r="A201" s="13" t="s">
        <v>698</v>
      </c>
      <c r="B201" s="13" t="s">
        <v>471</v>
      </c>
      <c r="C201" s="139">
        <v>46232</v>
      </c>
      <c r="D201" s="139" t="s">
        <v>441</v>
      </c>
      <c r="E201" s="28">
        <v>0.99265705999999998</v>
      </c>
      <c r="F201" s="13"/>
      <c r="G201" s="18">
        <v>10000000</v>
      </c>
      <c r="H201" s="18">
        <v>9926570.6099999994</v>
      </c>
      <c r="I201" s="18">
        <v>10000000</v>
      </c>
      <c r="J201" s="18">
        <v>9926570.6099999994</v>
      </c>
      <c r="K201" s="15">
        <v>90019959</v>
      </c>
      <c r="L201" s="13" t="s">
        <v>102</v>
      </c>
      <c r="M201" s="13" t="s">
        <v>103</v>
      </c>
      <c r="N201" s="139" t="s">
        <v>327</v>
      </c>
      <c r="O201" s="139" t="s">
        <v>327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780</v>
      </c>
      <c r="V201" s="13" t="s">
        <v>780</v>
      </c>
      <c r="W201" s="59">
        <f t="shared" si="3"/>
        <v>1.8964326171541846E-4</v>
      </c>
    </row>
    <row r="202" spans="1:29">
      <c r="A202" s="13" t="s">
        <v>581</v>
      </c>
      <c r="B202" s="13" t="s">
        <v>471</v>
      </c>
      <c r="C202" s="139">
        <v>46232</v>
      </c>
      <c r="D202" s="139" t="s">
        <v>441</v>
      </c>
      <c r="E202" s="28">
        <v>0.99387338999999997</v>
      </c>
      <c r="F202" s="13"/>
      <c r="G202" s="18">
        <v>10291260</v>
      </c>
      <c r="H202" s="18">
        <v>10228209.439999999</v>
      </c>
      <c r="I202" s="18">
        <v>10291260</v>
      </c>
      <c r="J202" s="18">
        <v>10228209.439999999</v>
      </c>
      <c r="K202" s="15">
        <v>72516195</v>
      </c>
      <c r="L202" s="13" t="s">
        <v>102</v>
      </c>
      <c r="M202" s="13" t="s">
        <v>103</v>
      </c>
      <c r="N202" s="139" t="s">
        <v>172</v>
      </c>
      <c r="O202" s="139" t="s">
        <v>172</v>
      </c>
      <c r="P202" s="28">
        <v>25</v>
      </c>
      <c r="Q202" s="13" t="s">
        <v>54</v>
      </c>
      <c r="R202" s="13" t="s">
        <v>28</v>
      </c>
      <c r="S202" s="13"/>
      <c r="T202" s="13"/>
      <c r="U202" s="13" t="s">
        <v>1786</v>
      </c>
      <c r="V202" s="13" t="s">
        <v>1786</v>
      </c>
      <c r="W202" s="59">
        <f t="shared" si="3"/>
        <v>1.9540595397125106E-4</v>
      </c>
    </row>
    <row r="203" spans="1:29">
      <c r="A203" s="13" t="s">
        <v>581</v>
      </c>
      <c r="B203" s="13" t="s">
        <v>471</v>
      </c>
      <c r="C203" s="139">
        <v>46232</v>
      </c>
      <c r="D203" s="139" t="s">
        <v>441</v>
      </c>
      <c r="E203" s="28">
        <v>0.99387338999999997</v>
      </c>
      <c r="F203" s="13"/>
      <c r="G203" s="18">
        <v>10000000</v>
      </c>
      <c r="H203" s="18">
        <v>9938733.8699999992</v>
      </c>
      <c r="I203" s="18">
        <v>10000000</v>
      </c>
      <c r="J203" s="18">
        <v>9938733.8699999992</v>
      </c>
      <c r="K203" s="15">
        <v>72516194</v>
      </c>
      <c r="L203" s="13" t="s">
        <v>102</v>
      </c>
      <c r="M203" s="13" t="s">
        <v>103</v>
      </c>
      <c r="N203" s="139" t="s">
        <v>172</v>
      </c>
      <c r="O203" s="139" t="s">
        <v>172</v>
      </c>
      <c r="P203" s="28">
        <v>25</v>
      </c>
      <c r="Q203" s="13" t="s">
        <v>54</v>
      </c>
      <c r="R203" s="13" t="s">
        <v>28</v>
      </c>
      <c r="S203" s="13"/>
      <c r="T203" s="13"/>
      <c r="U203" s="13" t="s">
        <v>1787</v>
      </c>
      <c r="V203" s="13" t="s">
        <v>1787</v>
      </c>
      <c r="W203" s="59">
        <f t="shared" si="3"/>
        <v>1.898756360559756E-4</v>
      </c>
    </row>
    <row r="204" spans="1:29">
      <c r="A204" s="13" t="s">
        <v>581</v>
      </c>
      <c r="B204" s="13" t="s">
        <v>471</v>
      </c>
      <c r="C204" s="139">
        <v>46232</v>
      </c>
      <c r="D204" s="139" t="s">
        <v>441</v>
      </c>
      <c r="E204" s="28">
        <v>0.99387338999999997</v>
      </c>
      <c r="F204" s="13"/>
      <c r="G204" s="18">
        <v>6666666.6699999999</v>
      </c>
      <c r="H204" s="18">
        <v>6625822.5899999999</v>
      </c>
      <c r="I204" s="18">
        <v>6666666.6699999999</v>
      </c>
      <c r="J204" s="18">
        <v>6625822.5899999999</v>
      </c>
      <c r="K204" s="15">
        <v>3407518</v>
      </c>
      <c r="L204" s="13" t="s">
        <v>102</v>
      </c>
      <c r="M204" s="13" t="s">
        <v>103</v>
      </c>
      <c r="N204" s="139" t="s">
        <v>172</v>
      </c>
      <c r="O204" s="139" t="s">
        <v>172</v>
      </c>
      <c r="P204" s="28">
        <v>25</v>
      </c>
      <c r="Q204" s="13" t="s">
        <v>54</v>
      </c>
      <c r="R204" s="13" t="s">
        <v>28</v>
      </c>
      <c r="S204" s="13"/>
      <c r="T204" s="13"/>
      <c r="U204" s="13" t="s">
        <v>1801</v>
      </c>
      <c r="V204" s="13" t="s">
        <v>1801</v>
      </c>
      <c r="W204" s="59">
        <f t="shared" si="3"/>
        <v>1.265837575616965E-4</v>
      </c>
    </row>
    <row r="205" spans="1:29">
      <c r="A205" s="13" t="s">
        <v>1263</v>
      </c>
      <c r="B205" s="13" t="s">
        <v>471</v>
      </c>
      <c r="C205" s="139">
        <v>46232</v>
      </c>
      <c r="D205" s="139" t="s">
        <v>441</v>
      </c>
      <c r="E205" s="28">
        <v>0.99265707000000003</v>
      </c>
      <c r="F205" s="13"/>
      <c r="G205" s="18">
        <v>100000000</v>
      </c>
      <c r="H205" s="18">
        <v>99265707</v>
      </c>
      <c r="I205" s="18">
        <v>100000000</v>
      </c>
      <c r="J205" s="18">
        <v>99265707</v>
      </c>
      <c r="K205" s="15">
        <v>5411</v>
      </c>
      <c r="L205" s="13" t="s">
        <v>102</v>
      </c>
      <c r="M205" s="13" t="s">
        <v>103</v>
      </c>
      <c r="N205" s="139" t="s">
        <v>319</v>
      </c>
      <c r="O205" s="139" t="s">
        <v>319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1227</v>
      </c>
      <c r="V205" s="13" t="s">
        <v>1227</v>
      </c>
      <c r="W205" s="59">
        <f t="shared" si="3"/>
        <v>1.8964326343483338E-3</v>
      </c>
    </row>
    <row r="206" spans="1:29">
      <c r="A206" s="13" t="s">
        <v>1265</v>
      </c>
      <c r="B206" s="13" t="s">
        <v>471</v>
      </c>
      <c r="C206" s="139">
        <v>46232</v>
      </c>
      <c r="D206" s="139" t="s">
        <v>441</v>
      </c>
      <c r="E206" s="28">
        <v>0.99192871000000005</v>
      </c>
      <c r="F206" s="13"/>
      <c r="G206" s="18">
        <v>1573636.95</v>
      </c>
      <c r="H206" s="18">
        <v>1560935.67</v>
      </c>
      <c r="I206" s="18">
        <v>1573636.95</v>
      </c>
      <c r="J206" s="18">
        <v>1560935.67</v>
      </c>
      <c r="K206" s="15">
        <v>13761282</v>
      </c>
      <c r="L206" s="13" t="s">
        <v>102</v>
      </c>
      <c r="M206" s="13" t="s">
        <v>103</v>
      </c>
      <c r="N206" s="139" t="s">
        <v>319</v>
      </c>
      <c r="O206" s="139" t="s">
        <v>319</v>
      </c>
      <c r="P206" s="28">
        <v>33</v>
      </c>
      <c r="Q206" s="13" t="s">
        <v>54</v>
      </c>
      <c r="R206" s="13" t="s">
        <v>28</v>
      </c>
      <c r="S206" s="13"/>
      <c r="T206" s="13"/>
      <c r="U206" s="13" t="s">
        <v>1231</v>
      </c>
      <c r="V206" s="13" t="s">
        <v>1231</v>
      </c>
      <c r="W206" s="59">
        <f t="shared" si="3"/>
        <v>2.9821067457932691E-5</v>
      </c>
    </row>
    <row r="207" spans="1:29">
      <c r="A207" s="13" t="s">
        <v>1267</v>
      </c>
      <c r="B207" s="13" t="s">
        <v>471</v>
      </c>
      <c r="C207" s="139">
        <v>46232</v>
      </c>
      <c r="D207" s="139" t="s">
        <v>441</v>
      </c>
      <c r="E207" s="28">
        <v>0.99192871000000005</v>
      </c>
      <c r="F207" s="13"/>
      <c r="G207" s="18">
        <v>1103671.3799999999</v>
      </c>
      <c r="H207" s="18">
        <v>1094763.32</v>
      </c>
      <c r="I207" s="18">
        <v>1103671.3799999999</v>
      </c>
      <c r="J207" s="18">
        <v>1094763.32</v>
      </c>
      <c r="K207" s="15">
        <v>66956177</v>
      </c>
      <c r="L207" s="13" t="s">
        <v>102</v>
      </c>
      <c r="M207" s="13" t="s">
        <v>103</v>
      </c>
      <c r="N207" s="139" t="s">
        <v>319</v>
      </c>
      <c r="O207" s="139" t="s">
        <v>319</v>
      </c>
      <c r="P207" s="28">
        <v>33</v>
      </c>
      <c r="Q207" s="13" t="s">
        <v>54</v>
      </c>
      <c r="R207" s="13" t="s">
        <v>28</v>
      </c>
      <c r="S207" s="13"/>
      <c r="T207" s="13"/>
      <c r="U207" s="13" t="s">
        <v>1236</v>
      </c>
      <c r="V207" s="13" t="s">
        <v>1236</v>
      </c>
      <c r="W207" s="59">
        <f t="shared" si="3"/>
        <v>2.0915026444485286E-5</v>
      </c>
    </row>
    <row r="208" spans="1:29">
      <c r="A208" s="13" t="s">
        <v>1269</v>
      </c>
      <c r="B208" s="13" t="s">
        <v>471</v>
      </c>
      <c r="C208" s="139">
        <v>46232</v>
      </c>
      <c r="D208" s="139" t="s">
        <v>441</v>
      </c>
      <c r="E208" s="28">
        <v>0.9919287</v>
      </c>
      <c r="F208" s="13"/>
      <c r="G208" s="18">
        <v>1701000</v>
      </c>
      <c r="H208" s="18">
        <v>1687270.73</v>
      </c>
      <c r="I208" s="18">
        <v>1701000</v>
      </c>
      <c r="J208" s="18">
        <v>1687270.73</v>
      </c>
      <c r="K208" s="15">
        <v>67242880</v>
      </c>
      <c r="L208" s="13" t="s">
        <v>102</v>
      </c>
      <c r="M208" s="13" t="s">
        <v>103</v>
      </c>
      <c r="N208" s="139" t="s">
        <v>319</v>
      </c>
      <c r="O208" s="139" t="s">
        <v>319</v>
      </c>
      <c r="P208" s="28">
        <v>33</v>
      </c>
      <c r="Q208" s="13" t="s">
        <v>54</v>
      </c>
      <c r="R208" s="13" t="s">
        <v>28</v>
      </c>
      <c r="S208" s="13"/>
      <c r="T208" s="13"/>
      <c r="U208" s="13" t="s">
        <v>1247</v>
      </c>
      <c r="V208" s="13" t="s">
        <v>1247</v>
      </c>
      <c r="W208" s="59">
        <f t="shared" si="3"/>
        <v>3.2234649528590333E-5</v>
      </c>
    </row>
    <row r="209" spans="1:29">
      <c r="A209" s="13" t="s">
        <v>1270</v>
      </c>
      <c r="B209" s="13" t="s">
        <v>471</v>
      </c>
      <c r="C209" s="139">
        <v>46232</v>
      </c>
      <c r="D209" s="139" t="s">
        <v>441</v>
      </c>
      <c r="E209" s="28">
        <v>0.99192871000000005</v>
      </c>
      <c r="F209" s="13"/>
      <c r="G209" s="18">
        <v>2300000</v>
      </c>
      <c r="H209" s="18">
        <v>2281436.0299999998</v>
      </c>
      <c r="I209" s="18">
        <v>2300000</v>
      </c>
      <c r="J209" s="18">
        <v>2281436.0299999998</v>
      </c>
      <c r="K209" s="15">
        <v>1396</v>
      </c>
      <c r="L209" s="13" t="s">
        <v>102</v>
      </c>
      <c r="M209" s="13" t="s">
        <v>103</v>
      </c>
      <c r="N209" s="139" t="s">
        <v>319</v>
      </c>
      <c r="O209" s="139" t="s">
        <v>319</v>
      </c>
      <c r="P209" s="28">
        <v>33</v>
      </c>
      <c r="Q209" s="13" t="s">
        <v>54</v>
      </c>
      <c r="R209" s="13" t="s">
        <v>28</v>
      </c>
      <c r="S209" s="13"/>
      <c r="T209" s="13"/>
      <c r="U209" s="13" t="s">
        <v>1249</v>
      </c>
      <c r="V209" s="13" t="s">
        <v>1249</v>
      </c>
      <c r="W209" s="59">
        <f t="shared" si="3"/>
        <v>4.3585945954831146E-5</v>
      </c>
    </row>
    <row r="210" spans="1:29">
      <c r="A210" s="13" t="s">
        <v>1272</v>
      </c>
      <c r="B210" s="13" t="s">
        <v>471</v>
      </c>
      <c r="C210" s="139">
        <v>46232</v>
      </c>
      <c r="D210" s="139" t="s">
        <v>441</v>
      </c>
      <c r="E210" s="28">
        <v>0.99192871000000005</v>
      </c>
      <c r="F210" s="13"/>
      <c r="G210" s="18">
        <v>1318130</v>
      </c>
      <c r="H210" s="18">
        <v>1307490.99</v>
      </c>
      <c r="I210" s="18">
        <v>1318130</v>
      </c>
      <c r="J210" s="18">
        <v>1307490.99</v>
      </c>
      <c r="K210" s="15">
        <v>67204032</v>
      </c>
      <c r="L210" s="13" t="s">
        <v>102</v>
      </c>
      <c r="M210" s="13" t="s">
        <v>103</v>
      </c>
      <c r="N210" s="139" t="s">
        <v>319</v>
      </c>
      <c r="O210" s="139" t="s">
        <v>319</v>
      </c>
      <c r="P210" s="28">
        <v>33</v>
      </c>
      <c r="Q210" s="13" t="s">
        <v>54</v>
      </c>
      <c r="R210" s="13" t="s">
        <v>28</v>
      </c>
      <c r="S210" s="13"/>
      <c r="T210" s="13"/>
      <c r="U210" s="13" t="s">
        <v>1252</v>
      </c>
      <c r="V210" s="13" t="s">
        <v>1252</v>
      </c>
      <c r="W210" s="59">
        <f t="shared" si="3"/>
        <v>2.4979105649772997E-5</v>
      </c>
    </row>
    <row r="211" spans="1:29">
      <c r="A211" s="13" t="s">
        <v>1273</v>
      </c>
      <c r="B211" s="13" t="s">
        <v>471</v>
      </c>
      <c r="C211" s="139">
        <v>46232</v>
      </c>
      <c r="D211" s="139" t="s">
        <v>441</v>
      </c>
      <c r="E211" s="28">
        <v>0.99217140999999998</v>
      </c>
      <c r="F211" s="13"/>
      <c r="G211" s="18">
        <v>1177029.06</v>
      </c>
      <c r="H211" s="18">
        <v>1167814.58</v>
      </c>
      <c r="I211" s="18">
        <v>1177029.06</v>
      </c>
      <c r="J211" s="18">
        <v>1167814.58</v>
      </c>
      <c r="K211" s="15">
        <v>1127</v>
      </c>
      <c r="L211" s="13" t="s">
        <v>102</v>
      </c>
      <c r="M211" s="13" t="s">
        <v>103</v>
      </c>
      <c r="N211" s="139" t="s">
        <v>373</v>
      </c>
      <c r="O211" s="139" t="s">
        <v>373</v>
      </c>
      <c r="P211" s="28">
        <v>32</v>
      </c>
      <c r="Q211" s="13" t="s">
        <v>54</v>
      </c>
      <c r="R211" s="13" t="s">
        <v>28</v>
      </c>
      <c r="S211" s="13"/>
      <c r="T211" s="13"/>
      <c r="U211" s="13" t="s">
        <v>1451</v>
      </c>
      <c r="V211" s="13" t="s">
        <v>1451</v>
      </c>
      <c r="W211" s="59">
        <f t="shared" si="3"/>
        <v>2.2310642288376518E-5</v>
      </c>
    </row>
    <row r="212" spans="1:29">
      <c r="A212" s="13" t="s">
        <v>1309</v>
      </c>
      <c r="B212" s="13" t="s">
        <v>471</v>
      </c>
      <c r="C212" s="139">
        <v>46232</v>
      </c>
      <c r="D212" s="139" t="s">
        <v>441</v>
      </c>
      <c r="E212" s="28">
        <v>0.99192868999999995</v>
      </c>
      <c r="F212" s="13"/>
      <c r="G212" s="18">
        <v>1450000</v>
      </c>
      <c r="H212" s="18">
        <v>1438296.59</v>
      </c>
      <c r="I212" s="18">
        <v>1450000</v>
      </c>
      <c r="J212" s="18">
        <v>1438296.59</v>
      </c>
      <c r="K212" s="15">
        <v>90019731</v>
      </c>
      <c r="L212" s="13" t="s">
        <v>102</v>
      </c>
      <c r="M212" s="13" t="s">
        <v>103</v>
      </c>
      <c r="N212" s="139" t="s">
        <v>368</v>
      </c>
      <c r="O212" s="139" t="s">
        <v>368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1282</v>
      </c>
      <c r="V212" s="13" t="s">
        <v>1282</v>
      </c>
      <c r="W212" s="59">
        <f t="shared" si="3"/>
        <v>2.7478095644328866E-5</v>
      </c>
    </row>
    <row r="213" spans="1:29">
      <c r="A213" s="13" t="s">
        <v>1459</v>
      </c>
      <c r="B213" s="13" t="s">
        <v>471</v>
      </c>
      <c r="C213" s="139">
        <v>46232</v>
      </c>
      <c r="D213" s="139" t="s">
        <v>441</v>
      </c>
      <c r="E213" s="28">
        <v>0.99217140999999998</v>
      </c>
      <c r="F213" s="13"/>
      <c r="G213" s="18">
        <v>1204873.98</v>
      </c>
      <c r="H213" s="18">
        <v>1195441.51</v>
      </c>
      <c r="I213" s="18">
        <v>1204873.98</v>
      </c>
      <c r="J213" s="18">
        <v>1195441.51</v>
      </c>
      <c r="K213" s="15">
        <v>173</v>
      </c>
      <c r="L213" s="13" t="s">
        <v>102</v>
      </c>
      <c r="M213" s="13" t="s">
        <v>103</v>
      </c>
      <c r="N213" s="139" t="s">
        <v>373</v>
      </c>
      <c r="O213" s="139" t="s">
        <v>373</v>
      </c>
      <c r="P213" s="28">
        <v>32</v>
      </c>
      <c r="Q213" s="13" t="s">
        <v>54</v>
      </c>
      <c r="R213" s="13" t="s">
        <v>28</v>
      </c>
      <c r="S213" s="13"/>
      <c r="T213" s="13"/>
      <c r="U213" s="13" t="s">
        <v>1460</v>
      </c>
      <c r="V213" s="13" t="s">
        <v>1460</v>
      </c>
      <c r="W213" s="59">
        <f t="shared" si="3"/>
        <v>2.2838444015904204E-5</v>
      </c>
      <c r="AC213" s="56"/>
    </row>
    <row r="214" spans="1:29">
      <c r="A214" s="13" t="s">
        <v>1461</v>
      </c>
      <c r="B214" s="13" t="s">
        <v>471</v>
      </c>
      <c r="C214" s="139">
        <v>46232</v>
      </c>
      <c r="D214" s="139" t="s">
        <v>441</v>
      </c>
      <c r="E214" s="28">
        <v>0.99217140999999998</v>
      </c>
      <c r="F214" s="13"/>
      <c r="G214" s="18">
        <v>5000000</v>
      </c>
      <c r="H214" s="18">
        <v>4960857.04</v>
      </c>
      <c r="I214" s="18">
        <v>5000000</v>
      </c>
      <c r="J214" s="18">
        <v>4960857.04</v>
      </c>
      <c r="K214" s="15">
        <v>550</v>
      </c>
      <c r="L214" s="13" t="s">
        <v>102</v>
      </c>
      <c r="M214" s="13" t="s">
        <v>103</v>
      </c>
      <c r="N214" s="139" t="s">
        <v>373</v>
      </c>
      <c r="O214" s="139" t="s">
        <v>373</v>
      </c>
      <c r="P214" s="28">
        <v>32</v>
      </c>
      <c r="Q214" s="13" t="s">
        <v>54</v>
      </c>
      <c r="R214" s="13" t="s">
        <v>28</v>
      </c>
      <c r="S214" s="13"/>
      <c r="T214" s="13"/>
      <c r="U214" s="13" t="s">
        <v>1465</v>
      </c>
      <c r="V214" s="13" t="s">
        <v>1465</v>
      </c>
      <c r="W214" s="59">
        <f t="shared" si="3"/>
        <v>9.4775239801522565E-5</v>
      </c>
    </row>
    <row r="215" spans="1:29">
      <c r="A215" s="13" t="s">
        <v>1438</v>
      </c>
      <c r="B215" s="13" t="s">
        <v>471</v>
      </c>
      <c r="C215" s="139">
        <v>46232</v>
      </c>
      <c r="D215" s="139" t="s">
        <v>441</v>
      </c>
      <c r="E215" s="28">
        <v>0.99217140999999998</v>
      </c>
      <c r="F215" s="13"/>
      <c r="G215" s="18">
        <v>1050000</v>
      </c>
      <c r="H215" s="18">
        <v>1041779.98</v>
      </c>
      <c r="I215" s="18">
        <v>1050000</v>
      </c>
      <c r="J215" s="18">
        <v>1041779.98</v>
      </c>
      <c r="K215" s="15">
        <v>3467334</v>
      </c>
      <c r="L215" s="13" t="s">
        <v>102</v>
      </c>
      <c r="M215" s="13" t="s">
        <v>103</v>
      </c>
      <c r="N215" s="139" t="s">
        <v>373</v>
      </c>
      <c r="O215" s="139" t="s">
        <v>373</v>
      </c>
      <c r="P215" s="28">
        <v>32</v>
      </c>
      <c r="Q215" s="13" t="s">
        <v>54</v>
      </c>
      <c r="R215" s="13" t="s">
        <v>28</v>
      </c>
      <c r="S215" s="13"/>
      <c r="T215" s="13"/>
      <c r="U215" s="13" t="s">
        <v>1441</v>
      </c>
      <c r="V215" s="13" t="s">
        <v>1441</v>
      </c>
      <c r="W215" s="59">
        <f t="shared" si="3"/>
        <v>1.9902800388887116E-5</v>
      </c>
    </row>
    <row r="216" spans="1:29">
      <c r="A216" s="13" t="s">
        <v>1863</v>
      </c>
      <c r="B216" s="13" t="s">
        <v>471</v>
      </c>
      <c r="C216" s="139">
        <v>46232</v>
      </c>
      <c r="D216" s="139" t="s">
        <v>441</v>
      </c>
      <c r="E216" s="28">
        <v>0.99436077</v>
      </c>
      <c r="F216" s="13"/>
      <c r="G216" s="18">
        <v>91981920.340000004</v>
      </c>
      <c r="H216" s="18">
        <v>91463213.390000001</v>
      </c>
      <c r="I216" s="18">
        <v>91981920.340000004</v>
      </c>
      <c r="J216" s="18">
        <v>91463213.390000001</v>
      </c>
      <c r="K216" s="15">
        <v>3138226</v>
      </c>
      <c r="L216" s="13" t="s">
        <v>102</v>
      </c>
      <c r="M216" s="13" t="s">
        <v>103</v>
      </c>
      <c r="N216" s="139" t="s">
        <v>509</v>
      </c>
      <c r="O216" s="139" t="s">
        <v>509</v>
      </c>
      <c r="P216" s="28">
        <v>23</v>
      </c>
      <c r="Q216" s="13" t="s">
        <v>54</v>
      </c>
      <c r="R216" s="13" t="s">
        <v>28</v>
      </c>
      <c r="S216" s="13"/>
      <c r="T216" s="13"/>
      <c r="U216" s="13" t="s">
        <v>2032</v>
      </c>
      <c r="V216" s="13" t="s">
        <v>2032</v>
      </c>
      <c r="W216" s="59">
        <f t="shared" si="3"/>
        <v>1.7473690356646682E-3</v>
      </c>
    </row>
    <row r="217" spans="1:29">
      <c r="A217" s="13" t="s">
        <v>697</v>
      </c>
      <c r="B217" s="13" t="s">
        <v>471</v>
      </c>
      <c r="C217" s="139">
        <v>46232</v>
      </c>
      <c r="D217" s="139" t="s">
        <v>441</v>
      </c>
      <c r="E217" s="28">
        <v>0.99144372000000003</v>
      </c>
      <c r="F217" s="13"/>
      <c r="G217" s="18">
        <v>5450000</v>
      </c>
      <c r="H217" s="18">
        <v>5403368.2999999998</v>
      </c>
      <c r="I217" s="18">
        <v>5450000</v>
      </c>
      <c r="J217" s="18">
        <v>5403368.2999999998</v>
      </c>
      <c r="K217" s="15">
        <v>6896</v>
      </c>
      <c r="L217" s="13" t="s">
        <v>102</v>
      </c>
      <c r="M217" s="13" t="s">
        <v>103</v>
      </c>
      <c r="N217" s="139" t="s">
        <v>397</v>
      </c>
      <c r="O217" s="139" t="s">
        <v>397</v>
      </c>
      <c r="P217" s="28">
        <v>35</v>
      </c>
      <c r="Q217" s="13" t="s">
        <v>54</v>
      </c>
      <c r="R217" s="13" t="s">
        <v>28</v>
      </c>
      <c r="S217" s="13"/>
      <c r="T217" s="13"/>
      <c r="U217" s="13" t="s">
        <v>686</v>
      </c>
      <c r="V217" s="13" t="s">
        <v>686</v>
      </c>
      <c r="W217" s="59">
        <f t="shared" si="3"/>
        <v>1.0322924491459349E-4</v>
      </c>
    </row>
    <row r="218" spans="1:29">
      <c r="A218" s="13" t="s">
        <v>698</v>
      </c>
      <c r="B218" s="13" t="s">
        <v>471</v>
      </c>
      <c r="C218" s="139">
        <v>46232</v>
      </c>
      <c r="D218" s="139" t="s">
        <v>441</v>
      </c>
      <c r="E218" s="28">
        <v>0.99265707000000003</v>
      </c>
      <c r="F218" s="13"/>
      <c r="G218" s="18">
        <v>1040000</v>
      </c>
      <c r="H218" s="18">
        <v>1032363.36</v>
      </c>
      <c r="I218" s="18">
        <v>1040000</v>
      </c>
      <c r="J218" s="18">
        <v>1032363.36</v>
      </c>
      <c r="K218" s="15">
        <v>15901552</v>
      </c>
      <c r="L218" s="13" t="s">
        <v>102</v>
      </c>
      <c r="M218" s="13" t="s">
        <v>103</v>
      </c>
      <c r="N218" s="139" t="s">
        <v>341</v>
      </c>
      <c r="O218" s="139" t="s">
        <v>341</v>
      </c>
      <c r="P218" s="28">
        <v>30</v>
      </c>
      <c r="Q218" s="13" t="s">
        <v>54</v>
      </c>
      <c r="R218" s="13" t="s">
        <v>28</v>
      </c>
      <c r="S218" s="13"/>
      <c r="T218" s="13"/>
      <c r="U218" s="13" t="s">
        <v>915</v>
      </c>
      <c r="V218" s="13" t="s">
        <v>915</v>
      </c>
      <c r="W218" s="59">
        <f t="shared" si="3"/>
        <v>1.9722899534775865E-5</v>
      </c>
    </row>
    <row r="219" spans="1:29">
      <c r="A219" s="13" t="s">
        <v>698</v>
      </c>
      <c r="B219" s="13" t="s">
        <v>471</v>
      </c>
      <c r="C219" s="139">
        <v>46232</v>
      </c>
      <c r="D219" s="139" t="s">
        <v>441</v>
      </c>
      <c r="E219" s="28">
        <v>0.99290009000000001</v>
      </c>
      <c r="F219" s="13"/>
      <c r="G219" s="18">
        <v>5000000</v>
      </c>
      <c r="H219" s="18">
        <v>4964500.46</v>
      </c>
      <c r="I219" s="18">
        <v>5000000</v>
      </c>
      <c r="J219" s="18">
        <v>4964500.46</v>
      </c>
      <c r="K219" s="15">
        <v>16779604</v>
      </c>
      <c r="L219" s="13" t="s">
        <v>102</v>
      </c>
      <c r="M219" s="13" t="s">
        <v>103</v>
      </c>
      <c r="N219" s="139" t="s">
        <v>341</v>
      </c>
      <c r="O219" s="139" t="s">
        <v>341</v>
      </c>
      <c r="P219" s="28">
        <v>29</v>
      </c>
      <c r="Q219" s="13" t="s">
        <v>54</v>
      </c>
      <c r="R219" s="13" t="s">
        <v>28</v>
      </c>
      <c r="S219" s="13"/>
      <c r="T219" s="13"/>
      <c r="U219" s="13" t="s">
        <v>923</v>
      </c>
      <c r="V219" s="13" t="s">
        <v>923</v>
      </c>
      <c r="W219" s="59">
        <f t="shared" si="3"/>
        <v>9.4844845920266454E-5</v>
      </c>
    </row>
    <row r="220" spans="1:29">
      <c r="A220" s="13" t="s">
        <v>655</v>
      </c>
      <c r="B220" s="13" t="s">
        <v>471</v>
      </c>
      <c r="C220" s="139">
        <v>46232</v>
      </c>
      <c r="D220" s="139" t="s">
        <v>441</v>
      </c>
      <c r="E220" s="28">
        <v>0.99071712000000001</v>
      </c>
      <c r="F220" s="13"/>
      <c r="G220" s="18">
        <v>4599318.34</v>
      </c>
      <c r="H220" s="18">
        <v>4556623.41</v>
      </c>
      <c r="I220" s="18">
        <v>4599318.34</v>
      </c>
      <c r="J220" s="18">
        <v>4556623.41</v>
      </c>
      <c r="K220" s="15">
        <v>576</v>
      </c>
      <c r="L220" s="13" t="s">
        <v>102</v>
      </c>
      <c r="M220" s="13" t="s">
        <v>103</v>
      </c>
      <c r="N220" s="139" t="s">
        <v>327</v>
      </c>
      <c r="O220" s="139" t="s">
        <v>327</v>
      </c>
      <c r="P220" s="28">
        <v>38</v>
      </c>
      <c r="Q220" s="13" t="s">
        <v>54</v>
      </c>
      <c r="R220" s="13" t="s">
        <v>28</v>
      </c>
      <c r="S220" s="13"/>
      <c r="T220" s="13"/>
      <c r="U220" s="13" t="s">
        <v>803</v>
      </c>
      <c r="V220" s="13" t="s">
        <v>803</v>
      </c>
      <c r="W220" s="59">
        <f t="shared" si="3"/>
        <v>8.7052513887395046E-5</v>
      </c>
    </row>
    <row r="221" spans="1:29">
      <c r="A221" s="13" t="s">
        <v>659</v>
      </c>
      <c r="B221" s="13" t="s">
        <v>471</v>
      </c>
      <c r="C221" s="139">
        <v>46232</v>
      </c>
      <c r="D221" s="139" t="s">
        <v>441</v>
      </c>
      <c r="E221" s="28">
        <v>0.99071714</v>
      </c>
      <c r="F221" s="13"/>
      <c r="G221" s="18">
        <v>3519950.15</v>
      </c>
      <c r="H221" s="18">
        <v>3487274.95</v>
      </c>
      <c r="I221" s="18">
        <v>3519950.15</v>
      </c>
      <c r="J221" s="18">
        <v>3487274.95</v>
      </c>
      <c r="K221" s="15">
        <v>90000186</v>
      </c>
      <c r="L221" s="13" t="s">
        <v>102</v>
      </c>
      <c r="M221" s="13" t="s">
        <v>103</v>
      </c>
      <c r="N221" s="139" t="s">
        <v>358</v>
      </c>
      <c r="O221" s="139" t="s">
        <v>358</v>
      </c>
      <c r="P221" s="28">
        <v>38</v>
      </c>
      <c r="Q221" s="13" t="s">
        <v>54</v>
      </c>
      <c r="R221" s="13" t="s">
        <v>28</v>
      </c>
      <c r="S221" s="13"/>
      <c r="T221" s="13"/>
      <c r="U221" s="13" t="s">
        <v>608</v>
      </c>
      <c r="V221" s="13" t="s">
        <v>608</v>
      </c>
      <c r="W221" s="59">
        <f t="shared" si="3"/>
        <v>6.6623028435444011E-5</v>
      </c>
      <c r="AC221" s="56"/>
    </row>
    <row r="222" spans="1:29">
      <c r="A222" s="13" t="s">
        <v>197</v>
      </c>
      <c r="B222" s="13" t="s">
        <v>471</v>
      </c>
      <c r="C222" s="139">
        <v>46232</v>
      </c>
      <c r="D222" s="139" t="s">
        <v>441</v>
      </c>
      <c r="E222" s="28">
        <v>0.99509270000000005</v>
      </c>
      <c r="F222" s="13"/>
      <c r="G222" s="18">
        <v>2500000</v>
      </c>
      <c r="H222" s="18">
        <v>2487731.7599999998</v>
      </c>
      <c r="I222" s="18">
        <v>2500000</v>
      </c>
      <c r="J222" s="18">
        <v>2487731.7599999998</v>
      </c>
      <c r="K222" s="15">
        <v>6127</v>
      </c>
      <c r="L222" s="13" t="s">
        <v>102</v>
      </c>
      <c r="M222" s="13" t="s">
        <v>103</v>
      </c>
      <c r="N222" s="139" t="s">
        <v>319</v>
      </c>
      <c r="O222" s="139" t="s">
        <v>319</v>
      </c>
      <c r="P222" s="28">
        <v>20</v>
      </c>
      <c r="Q222" s="13" t="s">
        <v>54</v>
      </c>
      <c r="R222" s="13" t="s">
        <v>28</v>
      </c>
      <c r="S222" s="13"/>
      <c r="T222" s="13"/>
      <c r="U222" s="13" t="s">
        <v>1194</v>
      </c>
      <c r="V222" s="13" t="s">
        <v>1194</v>
      </c>
      <c r="W222" s="59">
        <f t="shared" si="3"/>
        <v>4.7527145453855646E-5</v>
      </c>
    </row>
    <row r="223" spans="1:29">
      <c r="A223" s="13" t="s">
        <v>970</v>
      </c>
      <c r="B223" s="13" t="s">
        <v>471</v>
      </c>
      <c r="C223" s="139">
        <v>46232</v>
      </c>
      <c r="D223" s="139" t="s">
        <v>441</v>
      </c>
      <c r="E223" s="28">
        <v>0.99314323999999998</v>
      </c>
      <c r="F223" s="13"/>
      <c r="G223" s="18">
        <v>6500000</v>
      </c>
      <c r="H223" s="18">
        <v>6455431.0899999999</v>
      </c>
      <c r="I223" s="18">
        <v>6500000</v>
      </c>
      <c r="J223" s="18">
        <v>6455431.0899999999</v>
      </c>
      <c r="K223" s="15">
        <v>29175492</v>
      </c>
      <c r="L223" s="13" t="s">
        <v>102</v>
      </c>
      <c r="M223" s="13" t="s">
        <v>103</v>
      </c>
      <c r="N223" s="139" t="s">
        <v>359</v>
      </c>
      <c r="O223" s="139" t="s">
        <v>359</v>
      </c>
      <c r="P223" s="28">
        <v>28</v>
      </c>
      <c r="Q223" s="13" t="s">
        <v>54</v>
      </c>
      <c r="R223" s="13" t="s">
        <v>28</v>
      </c>
      <c r="S223" s="13"/>
      <c r="T223" s="13"/>
      <c r="U223" s="13" t="s">
        <v>961</v>
      </c>
      <c r="V223" s="13" t="s">
        <v>961</v>
      </c>
      <c r="W223" s="59">
        <f t="shared" si="3"/>
        <v>1.2332849437986509E-4</v>
      </c>
    </row>
    <row r="224" spans="1:29">
      <c r="A224" s="13" t="s">
        <v>472</v>
      </c>
      <c r="B224" s="13" t="s">
        <v>471</v>
      </c>
      <c r="C224" s="139">
        <v>46232</v>
      </c>
      <c r="D224" s="139" t="s">
        <v>441</v>
      </c>
      <c r="E224" s="28">
        <v>0.99265709000000002</v>
      </c>
      <c r="F224" s="13"/>
      <c r="G224" s="18">
        <v>10000000</v>
      </c>
      <c r="H224" s="18">
        <v>9926570.9000000004</v>
      </c>
      <c r="I224" s="18">
        <v>10000000</v>
      </c>
      <c r="J224" s="18">
        <v>9926570.9000000004</v>
      </c>
      <c r="K224" s="15">
        <v>524</v>
      </c>
      <c r="L224" s="13" t="s">
        <v>102</v>
      </c>
      <c r="M224" s="13" t="s">
        <v>103</v>
      </c>
      <c r="N224" s="139" t="s">
        <v>362</v>
      </c>
      <c r="O224" s="139" t="s">
        <v>362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1098</v>
      </c>
      <c r="V224" s="13" t="s">
        <v>1098</v>
      </c>
      <c r="W224" s="59">
        <f t="shared" si="3"/>
        <v>1.8964326725575542E-4</v>
      </c>
    </row>
    <row r="225" spans="1:29">
      <c r="A225" s="13" t="s">
        <v>432</v>
      </c>
      <c r="B225" s="13" t="s">
        <v>471</v>
      </c>
      <c r="C225" s="139">
        <v>46232</v>
      </c>
      <c r="D225" s="139" t="s">
        <v>441</v>
      </c>
      <c r="E225" s="28">
        <v>0.99120143000000005</v>
      </c>
      <c r="F225" s="13"/>
      <c r="G225" s="18">
        <v>2502456.9</v>
      </c>
      <c r="H225" s="18">
        <v>2480438.86</v>
      </c>
      <c r="I225" s="18">
        <v>2502456.9</v>
      </c>
      <c r="J225" s="18">
        <v>2480438.86</v>
      </c>
      <c r="K225" s="15">
        <v>2755</v>
      </c>
      <c r="L225" s="13" t="s">
        <v>102</v>
      </c>
      <c r="M225" s="13" t="s">
        <v>103</v>
      </c>
      <c r="N225" s="139" t="s">
        <v>170</v>
      </c>
      <c r="O225" s="139" t="s">
        <v>170</v>
      </c>
      <c r="P225" s="28">
        <v>36</v>
      </c>
      <c r="Q225" s="13" t="s">
        <v>54</v>
      </c>
      <c r="R225" s="13" t="s">
        <v>28</v>
      </c>
      <c r="S225" s="13"/>
      <c r="T225" s="13"/>
      <c r="U225" s="13" t="s">
        <v>1654</v>
      </c>
      <c r="V225" s="13" t="s">
        <v>1654</v>
      </c>
      <c r="W225" s="59">
        <f t="shared" si="3"/>
        <v>4.738781744243032E-5</v>
      </c>
    </row>
    <row r="226" spans="1:29">
      <c r="A226" s="13" t="s">
        <v>472</v>
      </c>
      <c r="B226" s="13" t="s">
        <v>471</v>
      </c>
      <c r="C226" s="139">
        <v>46232</v>
      </c>
      <c r="D226" s="139" t="s">
        <v>441</v>
      </c>
      <c r="E226" s="28">
        <v>0.99265707000000003</v>
      </c>
      <c r="F226" s="13"/>
      <c r="G226" s="18">
        <v>10000000</v>
      </c>
      <c r="H226" s="18">
        <v>9926570.6699999999</v>
      </c>
      <c r="I226" s="18">
        <v>10000000</v>
      </c>
      <c r="J226" s="18">
        <v>9926570.6699999999</v>
      </c>
      <c r="K226" s="15">
        <v>607</v>
      </c>
      <c r="L226" s="13" t="s">
        <v>102</v>
      </c>
      <c r="M226" s="13" t="s">
        <v>103</v>
      </c>
      <c r="N226" s="139" t="s">
        <v>343</v>
      </c>
      <c r="O226" s="139" t="s">
        <v>343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1502</v>
      </c>
      <c r="V226" s="13" t="s">
        <v>1502</v>
      </c>
      <c r="W226" s="59">
        <f t="shared" si="3"/>
        <v>1.8964326286169506E-4</v>
      </c>
    </row>
    <row r="227" spans="1:29">
      <c r="A227" s="13" t="s">
        <v>473</v>
      </c>
      <c r="B227" s="13" t="s">
        <v>471</v>
      </c>
      <c r="C227" s="139">
        <v>46232</v>
      </c>
      <c r="D227" s="139" t="s">
        <v>441</v>
      </c>
      <c r="E227" s="28">
        <v>0.99144379000000005</v>
      </c>
      <c r="F227" s="13"/>
      <c r="G227" s="18">
        <v>700000000</v>
      </c>
      <c r="H227" s="18">
        <v>694010656.42999995</v>
      </c>
      <c r="I227" s="18">
        <v>700000000</v>
      </c>
      <c r="J227" s="18">
        <v>694010656.42999995</v>
      </c>
      <c r="K227" s="15">
        <v>67836511</v>
      </c>
      <c r="L227" s="13" t="s">
        <v>102</v>
      </c>
      <c r="M227" s="13" t="s">
        <v>103</v>
      </c>
      <c r="N227" s="139" t="s">
        <v>439</v>
      </c>
      <c r="O227" s="139" t="s">
        <v>439</v>
      </c>
      <c r="P227" s="28">
        <v>35</v>
      </c>
      <c r="Q227" s="13" t="s">
        <v>54</v>
      </c>
      <c r="R227" s="13" t="s">
        <v>28</v>
      </c>
      <c r="S227" s="13"/>
      <c r="T227" s="13"/>
      <c r="U227" s="13" t="s">
        <v>1752</v>
      </c>
      <c r="V227" s="13" t="s">
        <v>1752</v>
      </c>
      <c r="W227" s="59">
        <f t="shared" si="3"/>
        <v>1.3258803036977927E-2</v>
      </c>
      <c r="AC227" s="56"/>
    </row>
    <row r="228" spans="1:29">
      <c r="A228" s="13" t="s">
        <v>347</v>
      </c>
      <c r="B228" s="13" t="s">
        <v>471</v>
      </c>
      <c r="C228" s="139">
        <v>46232</v>
      </c>
      <c r="D228" s="139" t="s">
        <v>441</v>
      </c>
      <c r="E228" s="28">
        <v>0.99023331999999997</v>
      </c>
      <c r="F228" s="13"/>
      <c r="G228" s="18">
        <v>3500000</v>
      </c>
      <c r="H228" s="18">
        <v>3465816.63</v>
      </c>
      <c r="I228" s="18">
        <v>3500000</v>
      </c>
      <c r="J228" s="18">
        <v>3465816.63</v>
      </c>
      <c r="K228" s="15">
        <v>60524038</v>
      </c>
      <c r="L228" s="13" t="s">
        <v>102</v>
      </c>
      <c r="M228" s="13" t="s">
        <v>103</v>
      </c>
      <c r="N228" s="139" t="s">
        <v>240</v>
      </c>
      <c r="O228" s="139" t="s">
        <v>240</v>
      </c>
      <c r="P228" s="28">
        <v>40</v>
      </c>
      <c r="Q228" s="13" t="s">
        <v>54</v>
      </c>
      <c r="R228" s="13" t="s">
        <v>28</v>
      </c>
      <c r="S228" s="13"/>
      <c r="T228" s="13"/>
      <c r="U228" s="13" t="s">
        <v>444</v>
      </c>
      <c r="V228" s="13" t="s">
        <v>444</v>
      </c>
      <c r="W228" s="59">
        <f t="shared" si="3"/>
        <v>6.6213075597186495E-5</v>
      </c>
      <c r="AC228" s="56"/>
    </row>
    <row r="229" spans="1:29">
      <c r="A229" s="13" t="s">
        <v>242</v>
      </c>
      <c r="B229" s="13" t="s">
        <v>471</v>
      </c>
      <c r="C229" s="139">
        <v>46232</v>
      </c>
      <c r="D229" s="139" t="s">
        <v>441</v>
      </c>
      <c r="E229" s="28">
        <v>0.99023331999999997</v>
      </c>
      <c r="F229" s="13"/>
      <c r="G229" s="18">
        <v>4100000</v>
      </c>
      <c r="H229" s="18">
        <v>4059956.6</v>
      </c>
      <c r="I229" s="18">
        <v>4100000</v>
      </c>
      <c r="J229" s="18">
        <v>4059956.6</v>
      </c>
      <c r="K229" s="15">
        <v>1026</v>
      </c>
      <c r="L229" s="13" t="s">
        <v>102</v>
      </c>
      <c r="M229" s="13" t="s">
        <v>103</v>
      </c>
      <c r="N229" s="139" t="s">
        <v>258</v>
      </c>
      <c r="O229" s="139" t="s">
        <v>258</v>
      </c>
      <c r="P229" s="28">
        <v>40</v>
      </c>
      <c r="Q229" s="13" t="s">
        <v>54</v>
      </c>
      <c r="R229" s="13" t="s">
        <v>28</v>
      </c>
      <c r="S229" s="13"/>
      <c r="T229" s="13"/>
      <c r="U229" s="13" t="s">
        <v>455</v>
      </c>
      <c r="V229" s="13" t="s">
        <v>455</v>
      </c>
      <c r="W229" s="59">
        <f t="shared" si="3"/>
        <v>7.7563888103651996E-5</v>
      </c>
    </row>
    <row r="230" spans="1:29">
      <c r="A230" s="13" t="s">
        <v>323</v>
      </c>
      <c r="B230" s="13" t="s">
        <v>471</v>
      </c>
      <c r="C230" s="139">
        <v>46232</v>
      </c>
      <c r="D230" s="139" t="s">
        <v>441</v>
      </c>
      <c r="E230" s="28">
        <v>0.99290011</v>
      </c>
      <c r="F230" s="13"/>
      <c r="G230" s="18">
        <v>1300000</v>
      </c>
      <c r="H230" s="18">
        <v>1290770.1399999999</v>
      </c>
      <c r="I230" s="18">
        <v>1300000</v>
      </c>
      <c r="J230" s="18">
        <v>1290770.1399999999</v>
      </c>
      <c r="K230" s="15">
        <v>545</v>
      </c>
      <c r="L230" s="13" t="s">
        <v>102</v>
      </c>
      <c r="M230" s="13" t="s">
        <v>103</v>
      </c>
      <c r="N230" s="139" t="s">
        <v>160</v>
      </c>
      <c r="O230" s="139" t="s">
        <v>160</v>
      </c>
      <c r="P230" s="28">
        <v>29</v>
      </c>
      <c r="Q230" s="13" t="s">
        <v>54</v>
      </c>
      <c r="R230" s="13" t="s">
        <v>28</v>
      </c>
      <c r="S230" s="13"/>
      <c r="T230" s="13"/>
      <c r="U230" s="13" t="s">
        <v>903</v>
      </c>
      <c r="V230" s="13" t="s">
        <v>903</v>
      </c>
      <c r="W230" s="59">
        <f t="shared" si="3"/>
        <v>2.4659660329003322E-5</v>
      </c>
    </row>
    <row r="231" spans="1:29">
      <c r="A231" s="13" t="s">
        <v>323</v>
      </c>
      <c r="B231" s="13" t="s">
        <v>471</v>
      </c>
      <c r="C231" s="139">
        <v>46232</v>
      </c>
      <c r="D231" s="139" t="s">
        <v>441</v>
      </c>
      <c r="E231" s="28">
        <v>0.99290011</v>
      </c>
      <c r="F231" s="13"/>
      <c r="G231" s="18">
        <v>12500000</v>
      </c>
      <c r="H231" s="18">
        <v>12411251.34</v>
      </c>
      <c r="I231" s="18">
        <v>12500000</v>
      </c>
      <c r="J231" s="18">
        <v>12411251.34</v>
      </c>
      <c r="K231" s="15">
        <v>9798602</v>
      </c>
      <c r="L231" s="13" t="s">
        <v>102</v>
      </c>
      <c r="M231" s="13" t="s">
        <v>103</v>
      </c>
      <c r="N231" s="139" t="s">
        <v>160</v>
      </c>
      <c r="O231" s="139" t="s">
        <v>160</v>
      </c>
      <c r="P231" s="28">
        <v>29</v>
      </c>
      <c r="Q231" s="13" t="s">
        <v>54</v>
      </c>
      <c r="R231" s="13" t="s">
        <v>28</v>
      </c>
      <c r="S231" s="13"/>
      <c r="T231" s="13"/>
      <c r="U231" s="13" t="s">
        <v>905</v>
      </c>
      <c r="V231" s="13" t="s">
        <v>905</v>
      </c>
      <c r="W231" s="59">
        <f t="shared" si="3"/>
        <v>2.3711211843054205E-4</v>
      </c>
    </row>
    <row r="232" spans="1:29">
      <c r="A232" s="13" t="s">
        <v>323</v>
      </c>
      <c r="B232" s="13" t="s">
        <v>471</v>
      </c>
      <c r="C232" s="139">
        <v>46232</v>
      </c>
      <c r="D232" s="139" t="s">
        <v>441</v>
      </c>
      <c r="E232" s="28">
        <v>0.99290009000000001</v>
      </c>
      <c r="F232" s="13"/>
      <c r="G232" s="18">
        <v>3500000</v>
      </c>
      <c r="H232" s="18">
        <v>3475150.31</v>
      </c>
      <c r="I232" s="18">
        <v>3500000</v>
      </c>
      <c r="J232" s="18">
        <v>3475150.31</v>
      </c>
      <c r="K232" s="15">
        <v>406</v>
      </c>
      <c r="L232" s="13" t="s">
        <v>102</v>
      </c>
      <c r="M232" s="13" t="s">
        <v>103</v>
      </c>
      <c r="N232" s="139" t="s">
        <v>327</v>
      </c>
      <c r="O232" s="139" t="s">
        <v>327</v>
      </c>
      <c r="P232" s="28">
        <v>29</v>
      </c>
      <c r="Q232" s="13" t="s">
        <v>54</v>
      </c>
      <c r="R232" s="13" t="s">
        <v>28</v>
      </c>
      <c r="S232" s="13"/>
      <c r="T232" s="13"/>
      <c r="U232" s="13" t="s">
        <v>818</v>
      </c>
      <c r="V232" s="13" t="s">
        <v>818</v>
      </c>
      <c r="W232" s="59">
        <f t="shared" si="3"/>
        <v>6.6391391914931194E-5</v>
      </c>
      <c r="AC232" s="56"/>
    </row>
    <row r="233" spans="1:29">
      <c r="A233" s="13" t="s">
        <v>323</v>
      </c>
      <c r="B233" s="13" t="s">
        <v>471</v>
      </c>
      <c r="C233" s="139">
        <v>46232</v>
      </c>
      <c r="D233" s="139" t="s">
        <v>441</v>
      </c>
      <c r="E233" s="28">
        <v>0.99265707000000003</v>
      </c>
      <c r="F233" s="13"/>
      <c r="G233" s="18">
        <v>10000000</v>
      </c>
      <c r="H233" s="18">
        <v>9926570.6699999999</v>
      </c>
      <c r="I233" s="18">
        <v>10000000</v>
      </c>
      <c r="J233" s="18">
        <v>9926570.6699999999</v>
      </c>
      <c r="K233" s="15">
        <v>65931682</v>
      </c>
      <c r="L233" s="13" t="s">
        <v>102</v>
      </c>
      <c r="M233" s="13" t="s">
        <v>103</v>
      </c>
      <c r="N233" s="139" t="s">
        <v>229</v>
      </c>
      <c r="O233" s="139" t="s">
        <v>229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514</v>
      </c>
      <c r="V233" s="13" t="s">
        <v>514</v>
      </c>
      <c r="W233" s="59">
        <f t="shared" si="3"/>
        <v>1.8964326286169506E-4</v>
      </c>
      <c r="AC233" s="56"/>
    </row>
    <row r="234" spans="1:29">
      <c r="A234" s="13" t="s">
        <v>323</v>
      </c>
      <c r="B234" s="13" t="s">
        <v>471</v>
      </c>
      <c r="C234" s="139">
        <v>46232</v>
      </c>
      <c r="D234" s="139" t="s">
        <v>441</v>
      </c>
      <c r="E234" s="28">
        <v>0.99290011</v>
      </c>
      <c r="F234" s="13"/>
      <c r="G234" s="18">
        <v>11000000</v>
      </c>
      <c r="H234" s="18">
        <v>10921901.189999999</v>
      </c>
      <c r="I234" s="18">
        <v>11000000</v>
      </c>
      <c r="J234" s="18">
        <v>10921901.189999999</v>
      </c>
      <c r="K234" s="15">
        <v>270</v>
      </c>
      <c r="L234" s="13" t="s">
        <v>102</v>
      </c>
      <c r="M234" s="13" t="s">
        <v>103</v>
      </c>
      <c r="N234" s="139" t="s">
        <v>151</v>
      </c>
      <c r="O234" s="139" t="s">
        <v>151</v>
      </c>
      <c r="P234" s="28">
        <v>29</v>
      </c>
      <c r="Q234" s="13" t="s">
        <v>54</v>
      </c>
      <c r="R234" s="13" t="s">
        <v>28</v>
      </c>
      <c r="S234" s="13"/>
      <c r="T234" s="13"/>
      <c r="U234" s="13" t="s">
        <v>540</v>
      </c>
      <c r="V234" s="13" t="s">
        <v>540</v>
      </c>
      <c r="W234" s="59">
        <f t="shared" si="3"/>
        <v>2.086586644252068E-4</v>
      </c>
    </row>
    <row r="235" spans="1:29">
      <c r="A235" s="13" t="s">
        <v>1044</v>
      </c>
      <c r="B235" s="13" t="s">
        <v>471</v>
      </c>
      <c r="C235" s="139">
        <v>46232</v>
      </c>
      <c r="D235" s="139" t="s">
        <v>441</v>
      </c>
      <c r="E235" s="28">
        <v>0.99192871999999999</v>
      </c>
      <c r="F235" s="13"/>
      <c r="G235" s="18">
        <v>50000000</v>
      </c>
      <c r="H235" s="18">
        <v>49596436.200000003</v>
      </c>
      <c r="I235" s="18">
        <v>50000000</v>
      </c>
      <c r="J235" s="18">
        <v>49596436.200000003</v>
      </c>
      <c r="K235" s="15">
        <v>135</v>
      </c>
      <c r="L235" s="13" t="s">
        <v>102</v>
      </c>
      <c r="M235" s="13" t="s">
        <v>103</v>
      </c>
      <c r="N235" s="139" t="s">
        <v>364</v>
      </c>
      <c r="O235" s="139" t="s">
        <v>364</v>
      </c>
      <c r="P235" s="28">
        <v>33</v>
      </c>
      <c r="Q235" s="13" t="s">
        <v>54</v>
      </c>
      <c r="R235" s="13" t="s">
        <v>28</v>
      </c>
      <c r="S235" s="13"/>
      <c r="T235" s="13"/>
      <c r="U235" s="13" t="s">
        <v>1038</v>
      </c>
      <c r="V235" s="13" t="s">
        <v>1038</v>
      </c>
      <c r="W235" s="59">
        <f t="shared" si="3"/>
        <v>9.4752057885463977E-4</v>
      </c>
    </row>
    <row r="236" spans="1:29">
      <c r="A236" s="13" t="s">
        <v>581</v>
      </c>
      <c r="B236" s="13" t="s">
        <v>471</v>
      </c>
      <c r="C236" s="139">
        <v>46232</v>
      </c>
      <c r="D236" s="139" t="s">
        <v>441</v>
      </c>
      <c r="E236" s="28">
        <v>0.99290011</v>
      </c>
      <c r="F236" s="13"/>
      <c r="G236" s="18">
        <v>5000000</v>
      </c>
      <c r="H236" s="18">
        <v>4964500.54</v>
      </c>
      <c r="I236" s="18">
        <v>5000000</v>
      </c>
      <c r="J236" s="18">
        <v>4964500.54</v>
      </c>
      <c r="K236" s="15">
        <v>43315</v>
      </c>
      <c r="L236" s="13" t="s">
        <v>102</v>
      </c>
      <c r="M236" s="13" t="s">
        <v>103</v>
      </c>
      <c r="N236" s="139" t="s">
        <v>348</v>
      </c>
      <c r="O236" s="139" t="s">
        <v>348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702</v>
      </c>
      <c r="V236" s="13" t="s">
        <v>702</v>
      </c>
      <c r="W236" s="59">
        <f t="shared" si="3"/>
        <v>9.4844847448635262E-5</v>
      </c>
    </row>
    <row r="237" spans="1:29">
      <c r="A237" s="13" t="s">
        <v>1554</v>
      </c>
      <c r="B237" s="13" t="s">
        <v>471</v>
      </c>
      <c r="C237" s="139">
        <v>46232</v>
      </c>
      <c r="D237" s="139" t="s">
        <v>441</v>
      </c>
      <c r="E237" s="28">
        <v>0.99144376000000001</v>
      </c>
      <c r="F237" s="13"/>
      <c r="G237" s="18">
        <v>30000000</v>
      </c>
      <c r="H237" s="18">
        <v>29743312.789999999</v>
      </c>
      <c r="I237" s="18">
        <v>30000000</v>
      </c>
      <c r="J237" s="18">
        <v>29743312.789999999</v>
      </c>
      <c r="K237" s="15">
        <v>10492</v>
      </c>
      <c r="L237" s="13" t="s">
        <v>102</v>
      </c>
      <c r="M237" s="13" t="s">
        <v>103</v>
      </c>
      <c r="N237" s="139" t="s">
        <v>400</v>
      </c>
      <c r="O237" s="139" t="s">
        <v>400</v>
      </c>
      <c r="P237" s="28">
        <v>35</v>
      </c>
      <c r="Q237" s="13" t="s">
        <v>54</v>
      </c>
      <c r="R237" s="13" t="s">
        <v>28</v>
      </c>
      <c r="S237" s="13"/>
      <c r="T237" s="13"/>
      <c r="U237" s="13" t="s">
        <v>1539</v>
      </c>
      <c r="V237" s="13" t="s">
        <v>1539</v>
      </c>
      <c r="W237" s="59">
        <f t="shared" si="3"/>
        <v>5.6823439567690967E-4</v>
      </c>
    </row>
    <row r="238" spans="1:29">
      <c r="A238" s="13" t="s">
        <v>1588</v>
      </c>
      <c r="B238" s="13" t="s">
        <v>471</v>
      </c>
      <c r="C238" s="139">
        <v>46232</v>
      </c>
      <c r="D238" s="139" t="s">
        <v>441</v>
      </c>
      <c r="E238" s="28">
        <v>0.99265707000000003</v>
      </c>
      <c r="F238" s="13"/>
      <c r="G238" s="18">
        <v>1770042.5</v>
      </c>
      <c r="H238" s="18">
        <v>1757045.21</v>
      </c>
      <c r="I238" s="18">
        <v>1770042.5</v>
      </c>
      <c r="J238" s="18">
        <v>1757045.21</v>
      </c>
      <c r="K238" s="15">
        <v>248</v>
      </c>
      <c r="L238" s="13" t="s">
        <v>102</v>
      </c>
      <c r="M238" s="13" t="s">
        <v>103</v>
      </c>
      <c r="N238" s="139" t="s">
        <v>389</v>
      </c>
      <c r="O238" s="139" t="s">
        <v>389</v>
      </c>
      <c r="P238" s="28">
        <v>30</v>
      </c>
      <c r="Q238" s="13" t="s">
        <v>54</v>
      </c>
      <c r="R238" s="13" t="s">
        <v>28</v>
      </c>
      <c r="S238" s="13"/>
      <c r="T238" s="13"/>
      <c r="U238" s="13" t="s">
        <v>1602</v>
      </c>
      <c r="V238" s="13" t="s">
        <v>1602</v>
      </c>
      <c r="W238" s="59">
        <f t="shared" si="3"/>
        <v>3.3567663768006216E-5</v>
      </c>
    </row>
    <row r="239" spans="1:29">
      <c r="A239" s="13" t="s">
        <v>2331</v>
      </c>
      <c r="B239" s="13" t="s">
        <v>471</v>
      </c>
      <c r="C239" s="139">
        <v>46232</v>
      </c>
      <c r="D239" s="139" t="s">
        <v>441</v>
      </c>
      <c r="E239" s="28">
        <v>0.99192879</v>
      </c>
      <c r="F239" s="13"/>
      <c r="G239" s="18">
        <v>6778023.7000000002</v>
      </c>
      <c r="H239" s="18">
        <v>6723316.8399999999</v>
      </c>
      <c r="I239" s="18">
        <v>6778023.7000000002</v>
      </c>
      <c r="J239" s="18">
        <v>6723316.8399999999</v>
      </c>
      <c r="K239" s="15">
        <v>80217408</v>
      </c>
      <c r="L239" s="13" t="s">
        <v>102</v>
      </c>
      <c r="M239" s="13" t="s">
        <v>103</v>
      </c>
      <c r="N239" s="139" t="s">
        <v>392</v>
      </c>
      <c r="O239" s="139" t="s">
        <v>392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2274</v>
      </c>
      <c r="V239" s="13" t="s">
        <v>2274</v>
      </c>
      <c r="W239" s="59">
        <f t="shared" si="3"/>
        <v>1.2844634720064719E-4</v>
      </c>
    </row>
    <row r="240" spans="1:29">
      <c r="A240" s="13" t="s">
        <v>698</v>
      </c>
      <c r="B240" s="13" t="s">
        <v>471</v>
      </c>
      <c r="C240" s="139">
        <v>46233</v>
      </c>
      <c r="D240" s="139" t="s">
        <v>441</v>
      </c>
      <c r="E240" s="28">
        <v>0.99211742999999997</v>
      </c>
      <c r="F240" s="13"/>
      <c r="G240" s="18">
        <v>5000000</v>
      </c>
      <c r="H240" s="18">
        <v>4960587.16</v>
      </c>
      <c r="I240" s="18">
        <v>5000000</v>
      </c>
      <c r="J240" s="18">
        <v>4960587.16</v>
      </c>
      <c r="K240" s="15">
        <v>16779579</v>
      </c>
      <c r="L240" s="13" t="s">
        <v>102</v>
      </c>
      <c r="M240" s="13" t="s">
        <v>103</v>
      </c>
      <c r="N240" s="139" t="s">
        <v>397</v>
      </c>
      <c r="O240" s="139" t="s">
        <v>397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667</v>
      </c>
      <c r="V240" s="13" t="s">
        <v>667</v>
      </c>
      <c r="W240" s="59">
        <f t="shared" si="3"/>
        <v>9.4770083849332983E-5</v>
      </c>
    </row>
    <row r="241" spans="1:29">
      <c r="A241" s="13" t="s">
        <v>1388</v>
      </c>
      <c r="B241" s="13" t="s">
        <v>471</v>
      </c>
      <c r="C241" s="139">
        <v>46233</v>
      </c>
      <c r="D241" s="139" t="s">
        <v>441</v>
      </c>
      <c r="E241" s="28">
        <v>0.99211744000000002</v>
      </c>
      <c r="F241" s="13"/>
      <c r="G241" s="18">
        <v>100000000</v>
      </c>
      <c r="H241" s="18">
        <v>99211744.239999995</v>
      </c>
      <c r="I241" s="18">
        <v>100000000</v>
      </c>
      <c r="J241" s="18">
        <v>99211744.239999995</v>
      </c>
      <c r="K241" s="15">
        <v>90003811</v>
      </c>
      <c r="L241" s="13" t="s">
        <v>102</v>
      </c>
      <c r="M241" s="13" t="s">
        <v>103</v>
      </c>
      <c r="N241" s="139" t="s">
        <v>351</v>
      </c>
      <c r="O241" s="139" t="s">
        <v>351</v>
      </c>
      <c r="P241" s="28">
        <v>29</v>
      </c>
      <c r="Q241" s="13" t="s">
        <v>54</v>
      </c>
      <c r="R241" s="13" t="s">
        <v>28</v>
      </c>
      <c r="S241" s="13"/>
      <c r="T241" s="13"/>
      <c r="U241" s="13" t="s">
        <v>1365</v>
      </c>
      <c r="V241" s="13" t="s">
        <v>1365</v>
      </c>
      <c r="W241" s="59">
        <f t="shared" si="3"/>
        <v>1.8954016968554539E-3</v>
      </c>
    </row>
    <row r="242" spans="1:29">
      <c r="A242" s="13" t="s">
        <v>510</v>
      </c>
      <c r="B242" s="13" t="s">
        <v>471</v>
      </c>
      <c r="C242" s="139">
        <v>46233</v>
      </c>
      <c r="D242" s="139" t="s">
        <v>441</v>
      </c>
      <c r="E242" s="28">
        <v>0.99211744000000002</v>
      </c>
      <c r="F242" s="13"/>
      <c r="G242" s="18">
        <v>12500000</v>
      </c>
      <c r="H242" s="18">
        <v>12401468.039999999</v>
      </c>
      <c r="I242" s="18">
        <v>12500000</v>
      </c>
      <c r="J242" s="18">
        <v>12401468.039999999</v>
      </c>
      <c r="K242" s="15">
        <v>28996512</v>
      </c>
      <c r="L242" s="13" t="s">
        <v>102</v>
      </c>
      <c r="M242" s="13" t="s">
        <v>103</v>
      </c>
      <c r="N242" s="139" t="s">
        <v>154</v>
      </c>
      <c r="O242" s="139" t="s">
        <v>154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499</v>
      </c>
      <c r="V242" s="13" t="s">
        <v>499</v>
      </c>
      <c r="W242" s="59">
        <f t="shared" si="3"/>
        <v>2.3692521229797783E-4</v>
      </c>
    </row>
    <row r="243" spans="1:29">
      <c r="A243" s="13" t="s">
        <v>581</v>
      </c>
      <c r="B243" s="13" t="s">
        <v>471</v>
      </c>
      <c r="C243" s="139">
        <v>46233</v>
      </c>
      <c r="D243" s="139" t="s">
        <v>441</v>
      </c>
      <c r="E243" s="28">
        <v>0.99319734999999998</v>
      </c>
      <c r="F243" s="13"/>
      <c r="G243" s="18">
        <v>548019.59</v>
      </c>
      <c r="H243" s="18">
        <v>544291.61</v>
      </c>
      <c r="I243" s="18">
        <v>548019.59</v>
      </c>
      <c r="J243" s="18">
        <v>544291.61</v>
      </c>
      <c r="K243" s="15">
        <v>67963011</v>
      </c>
      <c r="L243" s="13" t="s">
        <v>102</v>
      </c>
      <c r="M243" s="13" t="s">
        <v>103</v>
      </c>
      <c r="N243" s="139" t="s">
        <v>172</v>
      </c>
      <c r="O243" s="139" t="s">
        <v>172</v>
      </c>
      <c r="P243" s="28">
        <v>25</v>
      </c>
      <c r="Q243" s="13" t="s">
        <v>54</v>
      </c>
      <c r="R243" s="13" t="s">
        <v>28</v>
      </c>
      <c r="S243" s="13"/>
      <c r="T243" s="13"/>
      <c r="U243" s="13" t="s">
        <v>1800</v>
      </c>
      <c r="V243" s="13" t="s">
        <v>1800</v>
      </c>
      <c r="W243" s="59">
        <f t="shared" si="3"/>
        <v>1.03984790216222E-5</v>
      </c>
    </row>
    <row r="244" spans="1:29">
      <c r="A244" s="13" t="s">
        <v>1263</v>
      </c>
      <c r="B244" s="13" t="s">
        <v>471</v>
      </c>
      <c r="C244" s="139">
        <v>46233</v>
      </c>
      <c r="D244" s="139" t="s">
        <v>441</v>
      </c>
      <c r="E244" s="28">
        <v>0.99184782999999999</v>
      </c>
      <c r="F244" s="13"/>
      <c r="G244" s="18">
        <v>100000000</v>
      </c>
      <c r="H244" s="18">
        <v>99184782.659999996</v>
      </c>
      <c r="I244" s="18">
        <v>100000000</v>
      </c>
      <c r="J244" s="18">
        <v>99184782.659999996</v>
      </c>
      <c r="K244" s="15">
        <v>5412</v>
      </c>
      <c r="L244" s="13" t="s">
        <v>102</v>
      </c>
      <c r="M244" s="13" t="s">
        <v>103</v>
      </c>
      <c r="N244" s="139" t="s">
        <v>319</v>
      </c>
      <c r="O244" s="139" t="s">
        <v>319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1229</v>
      </c>
      <c r="V244" s="13" t="s">
        <v>1229</v>
      </c>
      <c r="W244" s="59">
        <f t="shared" si="3"/>
        <v>1.8948866063802953E-3</v>
      </c>
    </row>
    <row r="245" spans="1:29">
      <c r="A245" s="13" t="s">
        <v>1481</v>
      </c>
      <c r="B245" s="13" t="s">
        <v>471</v>
      </c>
      <c r="C245" s="139">
        <v>46233</v>
      </c>
      <c r="D245" s="139" t="s">
        <v>441</v>
      </c>
      <c r="E245" s="28">
        <v>0.99130910999999999</v>
      </c>
      <c r="F245" s="13"/>
      <c r="G245" s="18">
        <v>27063960</v>
      </c>
      <c r="H245" s="18">
        <v>26828750.050000001</v>
      </c>
      <c r="I245" s="18">
        <v>27063960</v>
      </c>
      <c r="J245" s="18">
        <v>26828750.050000001</v>
      </c>
      <c r="K245" s="15">
        <v>10115827</v>
      </c>
      <c r="L245" s="13" t="s">
        <v>102</v>
      </c>
      <c r="M245" s="13" t="s">
        <v>103</v>
      </c>
      <c r="N245" s="139" t="s">
        <v>373</v>
      </c>
      <c r="O245" s="139" t="s">
        <v>373</v>
      </c>
      <c r="P245" s="28">
        <v>32</v>
      </c>
      <c r="Q245" s="13" t="s">
        <v>54</v>
      </c>
      <c r="R245" s="13" t="s">
        <v>28</v>
      </c>
      <c r="S245" s="13"/>
      <c r="T245" s="13"/>
      <c r="U245" s="13" t="s">
        <v>1482</v>
      </c>
      <c r="V245" s="13" t="s">
        <v>1482</v>
      </c>
      <c r="W245" s="59">
        <f t="shared" si="3"/>
        <v>5.1255281074656016E-4</v>
      </c>
    </row>
    <row r="246" spans="1:29">
      <c r="A246" s="13" t="s">
        <v>1483</v>
      </c>
      <c r="B246" s="13" t="s">
        <v>471</v>
      </c>
      <c r="C246" s="139">
        <v>46233</v>
      </c>
      <c r="D246" s="139" t="s">
        <v>441</v>
      </c>
      <c r="E246" s="28">
        <v>0.99130910999999999</v>
      </c>
      <c r="F246" s="13"/>
      <c r="G246" s="18">
        <v>1084567.1200000001</v>
      </c>
      <c r="H246" s="18">
        <v>1075141.27</v>
      </c>
      <c r="I246" s="18">
        <v>1084567.1200000001</v>
      </c>
      <c r="J246" s="18">
        <v>1075141.27</v>
      </c>
      <c r="K246" s="15">
        <v>71912904</v>
      </c>
      <c r="L246" s="13" t="s">
        <v>102</v>
      </c>
      <c r="M246" s="13" t="s">
        <v>103</v>
      </c>
      <c r="N246" s="139" t="s">
        <v>373</v>
      </c>
      <c r="O246" s="139" t="s">
        <v>373</v>
      </c>
      <c r="P246" s="28">
        <v>32</v>
      </c>
      <c r="Q246" s="13" t="s">
        <v>54</v>
      </c>
      <c r="R246" s="13" t="s">
        <v>28</v>
      </c>
      <c r="S246" s="13"/>
      <c r="T246" s="13"/>
      <c r="U246" s="13" t="s">
        <v>1484</v>
      </c>
      <c r="V246" s="13" t="s">
        <v>1484</v>
      </c>
      <c r="W246" s="59">
        <f t="shared" si="3"/>
        <v>2.0540154828723613E-5</v>
      </c>
    </row>
    <row r="247" spans="1:29">
      <c r="A247" s="13" t="s">
        <v>697</v>
      </c>
      <c r="B247" s="13" t="s">
        <v>471</v>
      </c>
      <c r="C247" s="139">
        <v>46233</v>
      </c>
      <c r="D247" s="139" t="s">
        <v>441</v>
      </c>
      <c r="E247" s="28">
        <v>0.99050205000000002</v>
      </c>
      <c r="F247" s="13"/>
      <c r="G247" s="18">
        <v>5450000</v>
      </c>
      <c r="H247" s="18">
        <v>5398236.1500000004</v>
      </c>
      <c r="I247" s="18">
        <v>5450000</v>
      </c>
      <c r="J247" s="18">
        <v>5398236.1500000004</v>
      </c>
      <c r="K247" s="15">
        <v>6900</v>
      </c>
      <c r="L247" s="13" t="s">
        <v>102</v>
      </c>
      <c r="M247" s="13" t="s">
        <v>103</v>
      </c>
      <c r="N247" s="139" t="s">
        <v>397</v>
      </c>
      <c r="O247" s="139" t="s">
        <v>397</v>
      </c>
      <c r="P247" s="28">
        <v>35</v>
      </c>
      <c r="Q247" s="13" t="s">
        <v>54</v>
      </c>
      <c r="R247" s="13" t="s">
        <v>28</v>
      </c>
      <c r="S247" s="13"/>
      <c r="T247" s="13"/>
      <c r="U247" s="13" t="s">
        <v>690</v>
      </c>
      <c r="V247" s="13" t="s">
        <v>690</v>
      </c>
      <c r="W247" s="59">
        <f t="shared" si="3"/>
        <v>1.0313119718956828E-4</v>
      </c>
      <c r="AC247" s="56"/>
    </row>
    <row r="248" spans="1:29">
      <c r="A248" s="13" t="s">
        <v>698</v>
      </c>
      <c r="B248" s="13" t="s">
        <v>471</v>
      </c>
      <c r="C248" s="139">
        <v>46233</v>
      </c>
      <c r="D248" s="139" t="s">
        <v>441</v>
      </c>
      <c r="E248" s="28">
        <v>0.99211742999999997</v>
      </c>
      <c r="F248" s="13"/>
      <c r="G248" s="18">
        <v>5000000</v>
      </c>
      <c r="H248" s="18">
        <v>4960587.13</v>
      </c>
      <c r="I248" s="18">
        <v>5000000</v>
      </c>
      <c r="J248" s="18">
        <v>4960587.13</v>
      </c>
      <c r="K248" s="15">
        <v>16779605</v>
      </c>
      <c r="L248" s="13" t="s">
        <v>102</v>
      </c>
      <c r="M248" s="13" t="s">
        <v>103</v>
      </c>
      <c r="N248" s="139" t="s">
        <v>341</v>
      </c>
      <c r="O248" s="139" t="s">
        <v>341</v>
      </c>
      <c r="P248" s="28">
        <v>29</v>
      </c>
      <c r="Q248" s="13" t="s">
        <v>54</v>
      </c>
      <c r="R248" s="13" t="s">
        <v>28</v>
      </c>
      <c r="S248" s="13"/>
      <c r="T248" s="13"/>
      <c r="U248" s="13" t="s">
        <v>922</v>
      </c>
      <c r="V248" s="13" t="s">
        <v>922</v>
      </c>
      <c r="W248" s="59">
        <f t="shared" si="3"/>
        <v>9.4770083276194672E-5</v>
      </c>
    </row>
    <row r="249" spans="1:29">
      <c r="A249" s="13" t="s">
        <v>197</v>
      </c>
      <c r="B249" s="13" t="s">
        <v>471</v>
      </c>
      <c r="C249" s="139">
        <v>46233</v>
      </c>
      <c r="D249" s="139" t="s">
        <v>441</v>
      </c>
      <c r="E249" s="28">
        <v>0.99211742000000003</v>
      </c>
      <c r="F249" s="13"/>
      <c r="G249" s="18">
        <v>6530318</v>
      </c>
      <c r="H249" s="18">
        <v>6478842.2699999996</v>
      </c>
      <c r="I249" s="18">
        <v>6530318</v>
      </c>
      <c r="J249" s="18">
        <v>6478842.2699999996</v>
      </c>
      <c r="K249" s="15">
        <v>69</v>
      </c>
      <c r="L249" s="13" t="s">
        <v>102</v>
      </c>
      <c r="M249" s="13" t="s">
        <v>103</v>
      </c>
      <c r="N249" s="139" t="s">
        <v>252</v>
      </c>
      <c r="O249" s="139" t="s">
        <v>252</v>
      </c>
      <c r="P249" s="28">
        <v>29</v>
      </c>
      <c r="Q249" s="13" t="s">
        <v>54</v>
      </c>
      <c r="R249" s="13" t="s">
        <v>28</v>
      </c>
      <c r="S249" s="13"/>
      <c r="T249" s="13"/>
      <c r="U249" s="13" t="s">
        <v>366</v>
      </c>
      <c r="V249" s="13" t="s">
        <v>366</v>
      </c>
      <c r="W249" s="59">
        <f t="shared" si="3"/>
        <v>1.2377575584711684E-4</v>
      </c>
    </row>
    <row r="250" spans="1:29">
      <c r="A250" s="13" t="s">
        <v>197</v>
      </c>
      <c r="B250" s="13" t="s">
        <v>471</v>
      </c>
      <c r="C250" s="139">
        <v>46233</v>
      </c>
      <c r="D250" s="139" t="s">
        <v>441</v>
      </c>
      <c r="E250" s="28">
        <v>0.99455041</v>
      </c>
      <c r="F250" s="13"/>
      <c r="G250" s="18">
        <v>2500000</v>
      </c>
      <c r="H250" s="18">
        <v>2486376.02</v>
      </c>
      <c r="I250" s="18">
        <v>2500000</v>
      </c>
      <c r="J250" s="18">
        <v>2486376.02</v>
      </c>
      <c r="K250" s="15">
        <v>6128</v>
      </c>
      <c r="L250" s="13" t="s">
        <v>102</v>
      </c>
      <c r="M250" s="13" t="s">
        <v>103</v>
      </c>
      <c r="N250" s="139" t="s">
        <v>319</v>
      </c>
      <c r="O250" s="139" t="s">
        <v>319</v>
      </c>
      <c r="P250" s="28">
        <v>20</v>
      </c>
      <c r="Q250" s="13" t="s">
        <v>54</v>
      </c>
      <c r="R250" s="13" t="s">
        <v>28</v>
      </c>
      <c r="S250" s="13"/>
      <c r="T250" s="13"/>
      <c r="U250" s="13" t="s">
        <v>1207</v>
      </c>
      <c r="V250" s="13" t="s">
        <v>1207</v>
      </c>
      <c r="W250" s="59">
        <f t="shared" si="3"/>
        <v>4.7501244569679292E-5</v>
      </c>
    </row>
    <row r="251" spans="1:29">
      <c r="A251" s="13" t="s">
        <v>970</v>
      </c>
      <c r="B251" s="13" t="s">
        <v>471</v>
      </c>
      <c r="C251" s="139">
        <v>46233</v>
      </c>
      <c r="D251" s="139" t="s">
        <v>441</v>
      </c>
      <c r="E251" s="28">
        <v>0.99238716999999999</v>
      </c>
      <c r="F251" s="13"/>
      <c r="G251" s="18">
        <v>6500000</v>
      </c>
      <c r="H251" s="18">
        <v>6450516.6200000001</v>
      </c>
      <c r="I251" s="18">
        <v>6500000</v>
      </c>
      <c r="J251" s="18">
        <v>6450516.6200000001</v>
      </c>
      <c r="K251" s="15">
        <v>29175493</v>
      </c>
      <c r="L251" s="13" t="s">
        <v>102</v>
      </c>
      <c r="M251" s="13" t="s">
        <v>103</v>
      </c>
      <c r="N251" s="139" t="s">
        <v>359</v>
      </c>
      <c r="O251" s="139" t="s">
        <v>359</v>
      </c>
      <c r="P251" s="28">
        <v>28</v>
      </c>
      <c r="Q251" s="13" t="s">
        <v>54</v>
      </c>
      <c r="R251" s="13" t="s">
        <v>28</v>
      </c>
      <c r="S251" s="13"/>
      <c r="T251" s="13"/>
      <c r="U251" s="13" t="s">
        <v>962</v>
      </c>
      <c r="V251" s="13" t="s">
        <v>962</v>
      </c>
      <c r="W251" s="59">
        <f t="shared" si="3"/>
        <v>1.2323460534637918E-4</v>
      </c>
    </row>
    <row r="252" spans="1:29">
      <c r="A252" s="13" t="s">
        <v>472</v>
      </c>
      <c r="B252" s="13" t="s">
        <v>471</v>
      </c>
      <c r="C252" s="139">
        <v>46233</v>
      </c>
      <c r="D252" s="139" t="s">
        <v>441</v>
      </c>
      <c r="E252" s="28">
        <v>0.99184786000000003</v>
      </c>
      <c r="F252" s="13"/>
      <c r="G252" s="18">
        <v>10000000</v>
      </c>
      <c r="H252" s="18">
        <v>9918478.6099999994</v>
      </c>
      <c r="I252" s="18">
        <v>10000000</v>
      </c>
      <c r="J252" s="18">
        <v>9918478.6099999994</v>
      </c>
      <c r="K252" s="15">
        <v>548</v>
      </c>
      <c r="L252" s="13" t="s">
        <v>102</v>
      </c>
      <c r="M252" s="13" t="s">
        <v>103</v>
      </c>
      <c r="N252" s="139" t="s">
        <v>428</v>
      </c>
      <c r="O252" s="139" t="s">
        <v>428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1119</v>
      </c>
      <c r="V252" s="13" t="s">
        <v>1119</v>
      </c>
      <c r="W252" s="59">
        <f t="shared" si="3"/>
        <v>1.8948866721001543E-4</v>
      </c>
    </row>
    <row r="253" spans="1:29">
      <c r="A253" s="13" t="s">
        <v>432</v>
      </c>
      <c r="B253" s="13" t="s">
        <v>471</v>
      </c>
      <c r="C253" s="139">
        <v>46233</v>
      </c>
      <c r="D253" s="139" t="s">
        <v>441</v>
      </c>
      <c r="E253" s="28">
        <v>0.99023331999999997</v>
      </c>
      <c r="F253" s="13"/>
      <c r="G253" s="18">
        <v>5882352.9299999997</v>
      </c>
      <c r="H253" s="18">
        <v>5824901.9000000004</v>
      </c>
      <c r="I253" s="18">
        <v>5882352.9299999997</v>
      </c>
      <c r="J253" s="18">
        <v>5824901.9000000004</v>
      </c>
      <c r="K253" s="15">
        <v>2617</v>
      </c>
      <c r="L253" s="13" t="s">
        <v>102</v>
      </c>
      <c r="M253" s="13" t="s">
        <v>103</v>
      </c>
      <c r="N253" s="139" t="s">
        <v>370</v>
      </c>
      <c r="O253" s="139" t="s">
        <v>370</v>
      </c>
      <c r="P253" s="28">
        <v>36</v>
      </c>
      <c r="Q253" s="13" t="s">
        <v>54</v>
      </c>
      <c r="R253" s="13" t="s">
        <v>28</v>
      </c>
      <c r="S253" s="13"/>
      <c r="T253" s="13"/>
      <c r="U253" s="13" t="s">
        <v>1135</v>
      </c>
      <c r="V253" s="13" t="s">
        <v>1135</v>
      </c>
      <c r="W253" s="59">
        <f t="shared" si="3"/>
        <v>1.1128248001132571E-4</v>
      </c>
    </row>
    <row r="254" spans="1:29">
      <c r="A254" s="13" t="s">
        <v>147</v>
      </c>
      <c r="B254" s="13" t="s">
        <v>471</v>
      </c>
      <c r="C254" s="139">
        <v>46233</v>
      </c>
      <c r="D254" s="139" t="s">
        <v>441</v>
      </c>
      <c r="E254" s="28">
        <v>0.98915991000000003</v>
      </c>
      <c r="F254" s="13"/>
      <c r="G254" s="18">
        <v>20000000</v>
      </c>
      <c r="H254" s="18">
        <v>19783198.27</v>
      </c>
      <c r="I254" s="18">
        <v>20000000</v>
      </c>
      <c r="J254" s="18">
        <v>19783198.27</v>
      </c>
      <c r="K254" s="15">
        <v>4122</v>
      </c>
      <c r="L254" s="13" t="s">
        <v>102</v>
      </c>
      <c r="M254" s="13" t="s">
        <v>103</v>
      </c>
      <c r="N254" s="139" t="s">
        <v>160</v>
      </c>
      <c r="O254" s="139" t="s">
        <v>160</v>
      </c>
      <c r="P254" s="28">
        <v>40</v>
      </c>
      <c r="Q254" s="13" t="s">
        <v>54</v>
      </c>
      <c r="R254" s="13" t="s">
        <v>28</v>
      </c>
      <c r="S254" s="13"/>
      <c r="T254" s="13"/>
      <c r="U254" s="13" t="s">
        <v>906</v>
      </c>
      <c r="V254" s="13" t="s">
        <v>906</v>
      </c>
      <c r="W254" s="59">
        <f t="shared" si="3"/>
        <v>3.7795029063774759E-4</v>
      </c>
      <c r="AC254" s="56"/>
    </row>
    <row r="255" spans="1:29">
      <c r="A255" s="13" t="s">
        <v>478</v>
      </c>
      <c r="B255" s="13" t="s">
        <v>471</v>
      </c>
      <c r="C255" s="139">
        <v>46233</v>
      </c>
      <c r="D255" s="139" t="s">
        <v>441</v>
      </c>
      <c r="E255" s="28">
        <v>0.99050205000000002</v>
      </c>
      <c r="F255" s="13"/>
      <c r="G255" s="18">
        <v>25000000</v>
      </c>
      <c r="H255" s="18">
        <v>24762551.170000002</v>
      </c>
      <c r="I255" s="18">
        <v>25000000</v>
      </c>
      <c r="J255" s="18">
        <v>24762551.170000002</v>
      </c>
      <c r="K255" s="15">
        <v>1310</v>
      </c>
      <c r="L255" s="13" t="s">
        <v>102</v>
      </c>
      <c r="M255" s="13" t="s">
        <v>103</v>
      </c>
      <c r="N255" s="139" t="s">
        <v>397</v>
      </c>
      <c r="O255" s="139" t="s">
        <v>397</v>
      </c>
      <c r="P255" s="28">
        <v>35</v>
      </c>
      <c r="Q255" s="13" t="s">
        <v>54</v>
      </c>
      <c r="R255" s="13" t="s">
        <v>28</v>
      </c>
      <c r="S255" s="13"/>
      <c r="T255" s="13"/>
      <c r="U255" s="13" t="s">
        <v>696</v>
      </c>
      <c r="V255" s="13" t="s">
        <v>696</v>
      </c>
      <c r="W255" s="59">
        <f t="shared" si="3"/>
        <v>4.7307888663411746E-4</v>
      </c>
    </row>
    <row r="256" spans="1:29">
      <c r="A256" s="13" t="s">
        <v>1657</v>
      </c>
      <c r="B256" s="13" t="s">
        <v>471</v>
      </c>
      <c r="C256" s="139">
        <v>46233</v>
      </c>
      <c r="D256" s="139" t="s">
        <v>441</v>
      </c>
      <c r="E256" s="28">
        <v>0.99184784000000004</v>
      </c>
      <c r="F256" s="13"/>
      <c r="G256" s="18">
        <v>2700000</v>
      </c>
      <c r="H256" s="18">
        <v>2677989.1800000002</v>
      </c>
      <c r="I256" s="18">
        <v>2700000</v>
      </c>
      <c r="J256" s="18">
        <v>2677989.1800000002</v>
      </c>
      <c r="K256" s="15">
        <v>6268</v>
      </c>
      <c r="L256" s="13" t="s">
        <v>102</v>
      </c>
      <c r="M256" s="13" t="s">
        <v>103</v>
      </c>
      <c r="N256" s="139" t="s">
        <v>170</v>
      </c>
      <c r="O256" s="139" t="s">
        <v>170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1634</v>
      </c>
      <c r="V256" s="13" t="s">
        <v>1634</v>
      </c>
      <c r="W256" s="59">
        <f t="shared" si="3"/>
        <v>5.1161939292728097E-5</v>
      </c>
    </row>
    <row r="257" spans="1:29">
      <c r="A257" s="13" t="s">
        <v>322</v>
      </c>
      <c r="B257" s="13" t="s">
        <v>471</v>
      </c>
      <c r="C257" s="139">
        <v>46233</v>
      </c>
      <c r="D257" s="139" t="s">
        <v>441</v>
      </c>
      <c r="E257" s="28">
        <v>0.99265707999999997</v>
      </c>
      <c r="F257" s="13"/>
      <c r="G257" s="18">
        <v>75000000</v>
      </c>
      <c r="H257" s="18">
        <v>74449281.069999993</v>
      </c>
      <c r="I257" s="18">
        <v>75000000</v>
      </c>
      <c r="J257" s="18">
        <v>74449281.069999993</v>
      </c>
      <c r="K257" s="15">
        <v>16181</v>
      </c>
      <c r="L257" s="13" t="s">
        <v>102</v>
      </c>
      <c r="M257" s="13" t="s">
        <v>103</v>
      </c>
      <c r="N257" s="139" t="s">
        <v>327</v>
      </c>
      <c r="O257" s="139" t="s">
        <v>327</v>
      </c>
      <c r="P257" s="28">
        <v>27</v>
      </c>
      <c r="Q257" s="13" t="s">
        <v>54</v>
      </c>
      <c r="R257" s="13" t="s">
        <v>28</v>
      </c>
      <c r="S257" s="13"/>
      <c r="T257" s="13"/>
      <c r="U257" s="13" t="s">
        <v>789</v>
      </c>
      <c r="V257" s="13" t="s">
        <v>789</v>
      </c>
      <c r="W257" s="59">
        <f t="shared" si="3"/>
        <v>1.4223244914270306E-3</v>
      </c>
    </row>
    <row r="258" spans="1:29">
      <c r="A258" s="13" t="s">
        <v>581</v>
      </c>
      <c r="B258" s="13" t="s">
        <v>471</v>
      </c>
      <c r="C258" s="139">
        <v>46233</v>
      </c>
      <c r="D258" s="139" t="s">
        <v>441</v>
      </c>
      <c r="E258" s="28">
        <v>0.99211744000000002</v>
      </c>
      <c r="F258" s="13"/>
      <c r="G258" s="18">
        <v>5000000</v>
      </c>
      <c r="H258" s="18">
        <v>4960587.21</v>
      </c>
      <c r="I258" s="18">
        <v>5000000</v>
      </c>
      <c r="J258" s="18">
        <v>4960587.21</v>
      </c>
      <c r="K258" s="15">
        <v>43316</v>
      </c>
      <c r="L258" s="13" t="s">
        <v>102</v>
      </c>
      <c r="M258" s="13" t="s">
        <v>103</v>
      </c>
      <c r="N258" s="139" t="s">
        <v>348</v>
      </c>
      <c r="O258" s="139" t="s">
        <v>348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703</v>
      </c>
      <c r="V258" s="13" t="s">
        <v>703</v>
      </c>
      <c r="W258" s="59">
        <f t="shared" si="3"/>
        <v>9.477008480456348E-5</v>
      </c>
      <c r="AC258" s="56"/>
    </row>
    <row r="259" spans="1:29">
      <c r="A259" s="13" t="s">
        <v>661</v>
      </c>
      <c r="B259" s="13" t="s">
        <v>471</v>
      </c>
      <c r="C259" s="139">
        <v>46233</v>
      </c>
      <c r="D259" s="139" t="s">
        <v>441</v>
      </c>
      <c r="E259" s="28">
        <v>0.99130909</v>
      </c>
      <c r="F259" s="13"/>
      <c r="G259" s="18">
        <v>15000000</v>
      </c>
      <c r="H259" s="18">
        <v>14869636.310000001</v>
      </c>
      <c r="I259" s="18">
        <v>15000000</v>
      </c>
      <c r="J259" s="18">
        <v>14869636.310000001</v>
      </c>
      <c r="K259" s="15">
        <v>174</v>
      </c>
      <c r="L259" s="13" t="s">
        <v>102</v>
      </c>
      <c r="M259" s="13" t="s">
        <v>103</v>
      </c>
      <c r="N259" s="139" t="s">
        <v>358</v>
      </c>
      <c r="O259" s="139" t="s">
        <v>358</v>
      </c>
      <c r="P259" s="28">
        <v>32</v>
      </c>
      <c r="Q259" s="13" t="s">
        <v>54</v>
      </c>
      <c r="R259" s="13" t="s">
        <v>28</v>
      </c>
      <c r="S259" s="13"/>
      <c r="T259" s="13"/>
      <c r="U259" s="13" t="s">
        <v>600</v>
      </c>
      <c r="V259" s="13" t="s">
        <v>600</v>
      </c>
      <c r="W259" s="59">
        <f t="shared" si="3"/>
        <v>2.8407860490204273E-4</v>
      </c>
    </row>
    <row r="260" spans="1:29">
      <c r="A260" s="13" t="s">
        <v>1553</v>
      </c>
      <c r="B260" s="13" t="s">
        <v>471</v>
      </c>
      <c r="C260" s="139">
        <v>46233</v>
      </c>
      <c r="D260" s="139" t="s">
        <v>441</v>
      </c>
      <c r="E260" s="28">
        <v>0.99184786000000003</v>
      </c>
      <c r="F260" s="13"/>
      <c r="G260" s="18">
        <v>60000000</v>
      </c>
      <c r="H260" s="18">
        <v>59510871.649999999</v>
      </c>
      <c r="I260" s="18">
        <v>60000000</v>
      </c>
      <c r="J260" s="18">
        <v>59510871.649999999</v>
      </c>
      <c r="K260" s="15">
        <v>67620312</v>
      </c>
      <c r="L260" s="13" t="s">
        <v>102</v>
      </c>
      <c r="M260" s="13" t="s">
        <v>103</v>
      </c>
      <c r="N260" s="139" t="s">
        <v>400</v>
      </c>
      <c r="O260" s="139" t="s">
        <v>400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1538</v>
      </c>
      <c r="V260" s="13" t="s">
        <v>1538</v>
      </c>
      <c r="W260" s="59">
        <f t="shared" si="3"/>
        <v>1.1369320030690465E-3</v>
      </c>
    </row>
    <row r="261" spans="1:29">
      <c r="A261" s="13" t="s">
        <v>1825</v>
      </c>
      <c r="B261" s="13" t="s">
        <v>471</v>
      </c>
      <c r="C261" s="139">
        <v>46233</v>
      </c>
      <c r="D261" s="139" t="s">
        <v>441</v>
      </c>
      <c r="E261" s="28">
        <v>0.99184791999999999</v>
      </c>
      <c r="F261" s="13"/>
      <c r="G261" s="18">
        <v>330000</v>
      </c>
      <c r="H261" s="18">
        <v>327309.81</v>
      </c>
      <c r="I261" s="18">
        <v>330000</v>
      </c>
      <c r="J261" s="18">
        <v>327309.81</v>
      </c>
      <c r="K261" s="15">
        <v>9918442</v>
      </c>
      <c r="L261" s="13" t="s">
        <v>102</v>
      </c>
      <c r="M261" s="13" t="s">
        <v>103</v>
      </c>
      <c r="N261" s="139" t="s">
        <v>172</v>
      </c>
      <c r="O261" s="139" t="s">
        <v>172</v>
      </c>
      <c r="P261" s="28">
        <v>30</v>
      </c>
      <c r="Q261" s="13" t="s">
        <v>54</v>
      </c>
      <c r="R261" s="13" t="s">
        <v>28</v>
      </c>
      <c r="S261" s="13"/>
      <c r="T261" s="13"/>
      <c r="U261" s="13" t="s">
        <v>1831</v>
      </c>
      <c r="V261" s="13" t="s">
        <v>1831</v>
      </c>
      <c r="W261" s="59">
        <f t="shared" ref="W261:W324" si="4">+J261/$W$2</f>
        <v>6.2531263211206721E-6</v>
      </c>
    </row>
    <row r="262" spans="1:29">
      <c r="A262" s="13" t="s">
        <v>1825</v>
      </c>
      <c r="B262" s="13" t="s">
        <v>471</v>
      </c>
      <c r="C262" s="139">
        <v>46233</v>
      </c>
      <c r="D262" s="139" t="s">
        <v>441</v>
      </c>
      <c r="E262" s="28">
        <v>0.99184791999999999</v>
      </c>
      <c r="F262" s="13"/>
      <c r="G262" s="18">
        <v>415000</v>
      </c>
      <c r="H262" s="18">
        <v>411616.88</v>
      </c>
      <c r="I262" s="18">
        <v>415000</v>
      </c>
      <c r="J262" s="18">
        <v>411616.88</v>
      </c>
      <c r="K262" s="15">
        <v>9918436</v>
      </c>
      <c r="L262" s="13" t="s">
        <v>102</v>
      </c>
      <c r="M262" s="13" t="s">
        <v>103</v>
      </c>
      <c r="N262" s="139" t="s">
        <v>172</v>
      </c>
      <c r="O262" s="139" t="s">
        <v>172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1832</v>
      </c>
      <c r="V262" s="13" t="s">
        <v>1832</v>
      </c>
      <c r="W262" s="59">
        <f t="shared" si="4"/>
        <v>7.8637800270806711E-6</v>
      </c>
    </row>
    <row r="263" spans="1:29">
      <c r="A263" s="13" t="s">
        <v>698</v>
      </c>
      <c r="B263" s="13" t="s">
        <v>471</v>
      </c>
      <c r="C263" s="139">
        <v>46234</v>
      </c>
      <c r="D263" s="139" t="s">
        <v>441</v>
      </c>
      <c r="E263" s="28">
        <v>0.99133599999999999</v>
      </c>
      <c r="F263" s="13"/>
      <c r="G263" s="18">
        <v>5000000</v>
      </c>
      <c r="H263" s="18">
        <v>4956679.99</v>
      </c>
      <c r="I263" s="18">
        <v>5000000</v>
      </c>
      <c r="J263" s="18">
        <v>4956679.99</v>
      </c>
      <c r="K263" s="15">
        <v>16779580</v>
      </c>
      <c r="L263" s="13" t="s">
        <v>102</v>
      </c>
      <c r="M263" s="13" t="s">
        <v>103</v>
      </c>
      <c r="N263" s="139" t="s">
        <v>397</v>
      </c>
      <c r="O263" s="139" t="s">
        <v>397</v>
      </c>
      <c r="P263" s="28">
        <v>29</v>
      </c>
      <c r="Q263" s="13" t="s">
        <v>54</v>
      </c>
      <c r="R263" s="13" t="s">
        <v>28</v>
      </c>
      <c r="S263" s="13"/>
      <c r="T263" s="13"/>
      <c r="U263" s="13" t="s">
        <v>668</v>
      </c>
      <c r="V263" s="13" t="s">
        <v>668</v>
      </c>
      <c r="W263" s="59">
        <f t="shared" si="4"/>
        <v>9.4695438889659777E-5</v>
      </c>
    </row>
    <row r="264" spans="1:29">
      <c r="A264" s="13" t="s">
        <v>698</v>
      </c>
      <c r="B264" s="13" t="s">
        <v>471</v>
      </c>
      <c r="C264" s="139">
        <v>46234</v>
      </c>
      <c r="D264" s="139" t="s">
        <v>441</v>
      </c>
      <c r="E264" s="28">
        <v>0.99103993000000001</v>
      </c>
      <c r="F264" s="13"/>
      <c r="G264" s="18">
        <v>10000000</v>
      </c>
      <c r="H264" s="18">
        <v>9910399.3300000001</v>
      </c>
      <c r="I264" s="18">
        <v>10000000</v>
      </c>
      <c r="J264" s="18">
        <v>9910399.3300000001</v>
      </c>
      <c r="K264" s="15">
        <v>90019960</v>
      </c>
      <c r="L264" s="13" t="s">
        <v>102</v>
      </c>
      <c r="M264" s="13" t="s">
        <v>103</v>
      </c>
      <c r="N264" s="139" t="s">
        <v>327</v>
      </c>
      <c r="O264" s="139" t="s">
        <v>327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781</v>
      </c>
      <c r="V264" s="13" t="s">
        <v>781</v>
      </c>
      <c r="W264" s="59">
        <f t="shared" si="4"/>
        <v>1.8933431571525362E-4</v>
      </c>
    </row>
    <row r="265" spans="1:29">
      <c r="A265" s="13" t="s">
        <v>1263</v>
      </c>
      <c r="B265" s="13" t="s">
        <v>471</v>
      </c>
      <c r="C265" s="139">
        <v>46234</v>
      </c>
      <c r="D265" s="139" t="s">
        <v>441</v>
      </c>
      <c r="E265" s="28">
        <v>0.99103995</v>
      </c>
      <c r="F265" s="13"/>
      <c r="G265" s="18">
        <v>100000000</v>
      </c>
      <c r="H265" s="18">
        <v>99103995.129999995</v>
      </c>
      <c r="I265" s="18">
        <v>100000000</v>
      </c>
      <c r="J265" s="18">
        <v>99103995.129999995</v>
      </c>
      <c r="K265" s="15">
        <v>5413</v>
      </c>
      <c r="L265" s="13" t="s">
        <v>102</v>
      </c>
      <c r="M265" s="13" t="s">
        <v>103</v>
      </c>
      <c r="N265" s="139" t="s">
        <v>319</v>
      </c>
      <c r="O265" s="139" t="s">
        <v>319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1228</v>
      </c>
      <c r="V265" s="13" t="s">
        <v>1228</v>
      </c>
      <c r="W265" s="59">
        <f t="shared" si="4"/>
        <v>1.8933431921139728E-3</v>
      </c>
    </row>
    <row r="266" spans="1:29">
      <c r="A266" s="13" t="s">
        <v>1452</v>
      </c>
      <c r="B266" s="13" t="s">
        <v>471</v>
      </c>
      <c r="C266" s="139">
        <v>46234</v>
      </c>
      <c r="D266" s="139" t="s">
        <v>441</v>
      </c>
      <c r="E266" s="28">
        <v>0.99044829999999995</v>
      </c>
      <c r="F266" s="13"/>
      <c r="G266" s="18">
        <v>2662911.02</v>
      </c>
      <c r="H266" s="18">
        <v>2637475.7000000002</v>
      </c>
      <c r="I266" s="18">
        <v>2662911.02</v>
      </c>
      <c r="J266" s="18">
        <v>2637475.7000000002</v>
      </c>
      <c r="K266" s="15">
        <v>29386199</v>
      </c>
      <c r="L266" s="13" t="s">
        <v>102</v>
      </c>
      <c r="M266" s="13" t="s">
        <v>103</v>
      </c>
      <c r="N266" s="139" t="s">
        <v>373</v>
      </c>
      <c r="O266" s="139" t="s">
        <v>373</v>
      </c>
      <c r="P266" s="28">
        <v>32</v>
      </c>
      <c r="Q266" s="13" t="s">
        <v>54</v>
      </c>
      <c r="R266" s="13" t="s">
        <v>28</v>
      </c>
      <c r="S266" s="13"/>
      <c r="T266" s="13"/>
      <c r="U266" s="13" t="s">
        <v>1453</v>
      </c>
      <c r="V266" s="13" t="s">
        <v>1453</v>
      </c>
      <c r="W266" s="59">
        <f t="shared" si="4"/>
        <v>5.0387945051161687E-5</v>
      </c>
    </row>
    <row r="267" spans="1:29">
      <c r="A267" s="13" t="s">
        <v>1863</v>
      </c>
      <c r="B267" s="13" t="s">
        <v>471</v>
      </c>
      <c r="C267" s="139">
        <v>46234</v>
      </c>
      <c r="D267" s="139" t="s">
        <v>441</v>
      </c>
      <c r="E267" s="28">
        <v>0.99311627999999996</v>
      </c>
      <c r="F267" s="13"/>
      <c r="G267" s="18">
        <v>92035653.5</v>
      </c>
      <c r="H267" s="18">
        <v>91402106.200000003</v>
      </c>
      <c r="I267" s="18">
        <v>92035653.5</v>
      </c>
      <c r="J267" s="18">
        <v>91402106.200000003</v>
      </c>
      <c r="K267" s="15">
        <v>3138227</v>
      </c>
      <c r="L267" s="13" t="s">
        <v>102</v>
      </c>
      <c r="M267" s="13" t="s">
        <v>103</v>
      </c>
      <c r="N267" s="139" t="s">
        <v>509</v>
      </c>
      <c r="O267" s="139" t="s">
        <v>509</v>
      </c>
      <c r="P267" s="28">
        <v>23</v>
      </c>
      <c r="Q267" s="13" t="s">
        <v>54</v>
      </c>
      <c r="R267" s="13" t="s">
        <v>28</v>
      </c>
      <c r="S267" s="13"/>
      <c r="T267" s="13"/>
      <c r="U267" s="13" t="s">
        <v>2033</v>
      </c>
      <c r="V267" s="13" t="s">
        <v>2033</v>
      </c>
      <c r="W267" s="59">
        <f t="shared" si="4"/>
        <v>1.7462016066218335E-3</v>
      </c>
    </row>
    <row r="268" spans="1:29">
      <c r="A268" s="13" t="s">
        <v>698</v>
      </c>
      <c r="B268" s="13" t="s">
        <v>471</v>
      </c>
      <c r="C268" s="139">
        <v>46234</v>
      </c>
      <c r="D268" s="139" t="s">
        <v>441</v>
      </c>
      <c r="E268" s="28">
        <v>0.99103993000000001</v>
      </c>
      <c r="F268" s="13"/>
      <c r="G268" s="18">
        <v>1040000</v>
      </c>
      <c r="H268" s="18">
        <v>1030681.53</v>
      </c>
      <c r="I268" s="18">
        <v>1040000</v>
      </c>
      <c r="J268" s="18">
        <v>1030681.53</v>
      </c>
      <c r="K268" s="15">
        <v>11001553</v>
      </c>
      <c r="L268" s="13" t="s">
        <v>102</v>
      </c>
      <c r="M268" s="13" t="s">
        <v>103</v>
      </c>
      <c r="N268" s="139" t="s">
        <v>341</v>
      </c>
      <c r="O268" s="139" t="s">
        <v>341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919</v>
      </c>
      <c r="V268" s="13" t="s">
        <v>919</v>
      </c>
      <c r="W268" s="59">
        <f t="shared" si="4"/>
        <v>1.9690768828272903E-5</v>
      </c>
    </row>
    <row r="269" spans="1:29">
      <c r="A269" s="13" t="s">
        <v>698</v>
      </c>
      <c r="B269" s="13" t="s">
        <v>471</v>
      </c>
      <c r="C269" s="139">
        <v>46234</v>
      </c>
      <c r="D269" s="139" t="s">
        <v>441</v>
      </c>
      <c r="E269" s="28">
        <v>0.99133601999999998</v>
      </c>
      <c r="F269" s="13"/>
      <c r="G269" s="18">
        <v>5000000</v>
      </c>
      <c r="H269" s="18">
        <v>4956680.1100000003</v>
      </c>
      <c r="I269" s="18">
        <v>5000000</v>
      </c>
      <c r="J269" s="18">
        <v>4956680.1100000003</v>
      </c>
      <c r="K269" s="15">
        <v>16779606</v>
      </c>
      <c r="L269" s="13" t="s">
        <v>102</v>
      </c>
      <c r="M269" s="13" t="s">
        <v>103</v>
      </c>
      <c r="N269" s="139" t="s">
        <v>341</v>
      </c>
      <c r="O269" s="139" t="s">
        <v>341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921</v>
      </c>
      <c r="V269" s="13" t="s">
        <v>921</v>
      </c>
      <c r="W269" s="59">
        <f t="shared" si="4"/>
        <v>9.4695441182212996E-5</v>
      </c>
    </row>
    <row r="270" spans="1:29">
      <c r="A270" s="13" t="s">
        <v>737</v>
      </c>
      <c r="B270" s="13" t="s">
        <v>471</v>
      </c>
      <c r="C270" s="139">
        <v>46234</v>
      </c>
      <c r="D270" s="139" t="s">
        <v>441</v>
      </c>
      <c r="E270" s="28">
        <v>0.99163226000000004</v>
      </c>
      <c r="F270" s="13"/>
      <c r="G270" s="18">
        <v>15000000</v>
      </c>
      <c r="H270" s="18">
        <v>14874483.949999999</v>
      </c>
      <c r="I270" s="18">
        <v>15000000</v>
      </c>
      <c r="J270" s="18">
        <v>14874483.949999999</v>
      </c>
      <c r="K270" s="15">
        <v>29131905</v>
      </c>
      <c r="L270" s="13" t="s">
        <v>102</v>
      </c>
      <c r="M270" s="13" t="s">
        <v>103</v>
      </c>
      <c r="N270" s="139" t="s">
        <v>348</v>
      </c>
      <c r="O270" s="139" t="s">
        <v>348</v>
      </c>
      <c r="P270" s="28">
        <v>28</v>
      </c>
      <c r="Q270" s="13" t="s">
        <v>54</v>
      </c>
      <c r="R270" s="13" t="s">
        <v>28</v>
      </c>
      <c r="S270" s="13"/>
      <c r="T270" s="13"/>
      <c r="U270" s="13" t="s">
        <v>734</v>
      </c>
      <c r="V270" s="13" t="s">
        <v>734</v>
      </c>
      <c r="W270" s="59">
        <f t="shared" si="4"/>
        <v>2.841712171744317E-4</v>
      </c>
    </row>
    <row r="271" spans="1:29">
      <c r="A271" s="13" t="s">
        <v>209</v>
      </c>
      <c r="B271" s="13" t="s">
        <v>471</v>
      </c>
      <c r="C271" s="139">
        <v>46234</v>
      </c>
      <c r="D271" s="139" t="s">
        <v>441</v>
      </c>
      <c r="E271" s="28">
        <v>0.99296764000000004</v>
      </c>
      <c r="F271" s="13"/>
      <c r="G271" s="18">
        <v>41258999.600000001</v>
      </c>
      <c r="H271" s="18">
        <v>40968851.57</v>
      </c>
      <c r="I271" s="18">
        <v>41258999.600000001</v>
      </c>
      <c r="J271" s="18">
        <v>40968851.57</v>
      </c>
      <c r="K271" s="15">
        <v>94</v>
      </c>
      <c r="L271" s="13" t="s">
        <v>102</v>
      </c>
      <c r="M271" s="13" t="s">
        <v>103</v>
      </c>
      <c r="N271" s="139" t="s">
        <v>382</v>
      </c>
      <c r="O271" s="139" t="s">
        <v>382</v>
      </c>
      <c r="P271" s="28">
        <v>23.5</v>
      </c>
      <c r="Q271" s="13" t="s">
        <v>54</v>
      </c>
      <c r="R271" s="13" t="s">
        <v>28</v>
      </c>
      <c r="S271" s="13"/>
      <c r="T271" s="13"/>
      <c r="U271" s="13" t="s">
        <v>2402</v>
      </c>
      <c r="V271" s="13" t="s">
        <v>2402</v>
      </c>
      <c r="W271" s="59">
        <f t="shared" si="4"/>
        <v>7.826939378885497E-4</v>
      </c>
    </row>
    <row r="272" spans="1:29">
      <c r="A272" s="13" t="s">
        <v>472</v>
      </c>
      <c r="B272" s="13" t="s">
        <v>471</v>
      </c>
      <c r="C272" s="139">
        <v>46234</v>
      </c>
      <c r="D272" s="139" t="s">
        <v>441</v>
      </c>
      <c r="E272" s="28">
        <v>0.99103993999999995</v>
      </c>
      <c r="F272" s="13"/>
      <c r="G272" s="18">
        <v>10000000</v>
      </c>
      <c r="H272" s="18">
        <v>9910399.3900000006</v>
      </c>
      <c r="I272" s="18">
        <v>10000000</v>
      </c>
      <c r="J272" s="18">
        <v>9910399.3900000006</v>
      </c>
      <c r="K272" s="15">
        <v>499</v>
      </c>
      <c r="L272" s="13" t="s">
        <v>102</v>
      </c>
      <c r="M272" s="13" t="s">
        <v>103</v>
      </c>
      <c r="N272" s="139" t="s">
        <v>363</v>
      </c>
      <c r="O272" s="139" t="s">
        <v>363</v>
      </c>
      <c r="P272" s="28">
        <v>30</v>
      </c>
      <c r="Q272" s="13" t="s">
        <v>54</v>
      </c>
      <c r="R272" s="13" t="s">
        <v>28</v>
      </c>
      <c r="S272" s="13"/>
      <c r="T272" s="13"/>
      <c r="U272" s="13" t="s">
        <v>1054</v>
      </c>
      <c r="V272" s="13" t="s">
        <v>1054</v>
      </c>
      <c r="W272" s="59">
        <f t="shared" si="4"/>
        <v>1.8933431686153025E-4</v>
      </c>
    </row>
    <row r="273" spans="1:29">
      <c r="A273" s="13" t="s">
        <v>432</v>
      </c>
      <c r="B273" s="13" t="s">
        <v>471</v>
      </c>
      <c r="C273" s="139">
        <v>46234</v>
      </c>
      <c r="D273" s="139" t="s">
        <v>441</v>
      </c>
      <c r="E273" s="28">
        <v>0.98926718000000002</v>
      </c>
      <c r="F273" s="13"/>
      <c r="G273" s="18">
        <v>5882352.9299999997</v>
      </c>
      <c r="H273" s="18">
        <v>5819218.71</v>
      </c>
      <c r="I273" s="18">
        <v>5882352.9299999997</v>
      </c>
      <c r="J273" s="18">
        <v>5819218.71</v>
      </c>
      <c r="K273" s="15">
        <v>2618</v>
      </c>
      <c r="L273" s="13" t="s">
        <v>102</v>
      </c>
      <c r="M273" s="13" t="s">
        <v>103</v>
      </c>
      <c r="N273" s="139" t="s">
        <v>370</v>
      </c>
      <c r="O273" s="139" t="s">
        <v>370</v>
      </c>
      <c r="P273" s="28">
        <v>36</v>
      </c>
      <c r="Q273" s="13" t="s">
        <v>54</v>
      </c>
      <c r="R273" s="13" t="s">
        <v>28</v>
      </c>
      <c r="S273" s="13"/>
      <c r="T273" s="13"/>
      <c r="U273" s="13" t="s">
        <v>1136</v>
      </c>
      <c r="V273" s="13" t="s">
        <v>1136</v>
      </c>
      <c r="W273" s="59">
        <f t="shared" si="4"/>
        <v>1.111739048819187E-4</v>
      </c>
    </row>
    <row r="274" spans="1:29">
      <c r="A274" s="13" t="s">
        <v>1279</v>
      </c>
      <c r="B274" s="13" t="s">
        <v>471</v>
      </c>
      <c r="C274" s="139">
        <v>46234</v>
      </c>
      <c r="D274" s="139" t="s">
        <v>441</v>
      </c>
      <c r="E274" s="28">
        <v>0.99044829999999995</v>
      </c>
      <c r="F274" s="13"/>
      <c r="G274" s="18">
        <v>2700000</v>
      </c>
      <c r="H274" s="18">
        <v>2674210.41</v>
      </c>
      <c r="I274" s="18">
        <v>2700000</v>
      </c>
      <c r="J274" s="18">
        <v>2674210.41</v>
      </c>
      <c r="K274" s="15">
        <v>2425</v>
      </c>
      <c r="L274" s="13" t="s">
        <v>102</v>
      </c>
      <c r="M274" s="13" t="s">
        <v>103</v>
      </c>
      <c r="N274" s="139" t="s">
        <v>373</v>
      </c>
      <c r="O274" s="139" t="s">
        <v>373</v>
      </c>
      <c r="P274" s="28">
        <v>32</v>
      </c>
      <c r="Q274" s="13" t="s">
        <v>54</v>
      </c>
      <c r="R274" s="13" t="s">
        <v>28</v>
      </c>
      <c r="S274" s="13"/>
      <c r="T274" s="13"/>
      <c r="U274" s="13" t="s">
        <v>1494</v>
      </c>
      <c r="V274" s="13" t="s">
        <v>1494</v>
      </c>
      <c r="W274" s="59">
        <f t="shared" si="4"/>
        <v>5.1089747364999252E-5</v>
      </c>
      <c r="AC274" s="56"/>
    </row>
    <row r="275" spans="1:29">
      <c r="A275" s="13" t="s">
        <v>242</v>
      </c>
      <c r="B275" s="13" t="s">
        <v>471</v>
      </c>
      <c r="C275" s="139">
        <v>46234</v>
      </c>
      <c r="D275" s="139" t="s">
        <v>441</v>
      </c>
      <c r="E275" s="28">
        <v>0.98808881000000004</v>
      </c>
      <c r="F275" s="13"/>
      <c r="G275" s="18">
        <v>4600000</v>
      </c>
      <c r="H275" s="18">
        <v>4545208.53</v>
      </c>
      <c r="I275" s="18">
        <v>4600000</v>
      </c>
      <c r="J275" s="18">
        <v>4545208.53</v>
      </c>
      <c r="K275" s="15">
        <v>1027</v>
      </c>
      <c r="L275" s="13" t="s">
        <v>102</v>
      </c>
      <c r="M275" s="13" t="s">
        <v>103</v>
      </c>
      <c r="N275" s="139" t="s">
        <v>258</v>
      </c>
      <c r="O275" s="139" t="s">
        <v>258</v>
      </c>
      <c r="P275" s="28">
        <v>40</v>
      </c>
      <c r="Q275" s="13" t="s">
        <v>54</v>
      </c>
      <c r="R275" s="13" t="s">
        <v>28</v>
      </c>
      <c r="S275" s="13"/>
      <c r="T275" s="13"/>
      <c r="U275" s="13" t="s">
        <v>450</v>
      </c>
      <c r="V275" s="13" t="s">
        <v>450</v>
      </c>
      <c r="W275" s="59">
        <f t="shared" si="4"/>
        <v>8.6834437054988367E-5</v>
      </c>
    </row>
    <row r="276" spans="1:29">
      <c r="A276" s="13" t="s">
        <v>2205</v>
      </c>
      <c r="B276" s="13" t="s">
        <v>471</v>
      </c>
      <c r="C276" s="139">
        <v>46234</v>
      </c>
      <c r="D276" s="139" t="s">
        <v>441</v>
      </c>
      <c r="E276" s="28">
        <v>0.99015280999999999</v>
      </c>
      <c r="F276" s="13"/>
      <c r="G276" s="18">
        <v>823765.53</v>
      </c>
      <c r="H276" s="18">
        <v>815653.75</v>
      </c>
      <c r="I276" s="18">
        <v>823765.53</v>
      </c>
      <c r="J276" s="18">
        <v>815653.75</v>
      </c>
      <c r="K276" s="15">
        <v>22968</v>
      </c>
      <c r="L276" s="13" t="s">
        <v>102</v>
      </c>
      <c r="M276" s="13" t="s">
        <v>103</v>
      </c>
      <c r="N276" s="139" t="s">
        <v>495</v>
      </c>
      <c r="O276" s="139" t="s">
        <v>495</v>
      </c>
      <c r="P276" s="28">
        <v>33</v>
      </c>
      <c r="Q276" s="13" t="s">
        <v>54</v>
      </c>
      <c r="R276" s="13" t="s">
        <v>28</v>
      </c>
      <c r="S276" s="13"/>
      <c r="T276" s="13"/>
      <c r="U276" s="13" t="s">
        <v>2125</v>
      </c>
      <c r="V276" s="13" t="s">
        <v>2125</v>
      </c>
      <c r="W276" s="59">
        <f t="shared" si="4"/>
        <v>1.5582746918113396E-5</v>
      </c>
    </row>
    <row r="277" spans="1:29">
      <c r="A277" s="13" t="s">
        <v>323</v>
      </c>
      <c r="B277" s="13" t="s">
        <v>471</v>
      </c>
      <c r="C277" s="139">
        <v>46234</v>
      </c>
      <c r="D277" s="139" t="s">
        <v>441</v>
      </c>
      <c r="E277" s="28">
        <v>0.99133601000000005</v>
      </c>
      <c r="F277" s="13"/>
      <c r="G277" s="18">
        <v>20000000</v>
      </c>
      <c r="H277" s="18">
        <v>19826720.129999999</v>
      </c>
      <c r="I277" s="18">
        <v>20000000</v>
      </c>
      <c r="J277" s="18">
        <v>19826720.129999999</v>
      </c>
      <c r="K277" s="15">
        <v>66179118</v>
      </c>
      <c r="L277" s="13" t="s">
        <v>102</v>
      </c>
      <c r="M277" s="13" t="s">
        <v>103</v>
      </c>
      <c r="N277" s="139" t="s">
        <v>151</v>
      </c>
      <c r="O277" s="139" t="s">
        <v>151</v>
      </c>
      <c r="P277" s="28">
        <v>29</v>
      </c>
      <c r="Q277" s="13" t="s">
        <v>54</v>
      </c>
      <c r="R277" s="13" t="s">
        <v>28</v>
      </c>
      <c r="S277" s="13"/>
      <c r="T277" s="13"/>
      <c r="U277" s="13" t="s">
        <v>543</v>
      </c>
      <c r="V277" s="13" t="s">
        <v>543</v>
      </c>
      <c r="W277" s="59">
        <f t="shared" si="4"/>
        <v>3.7878175880642282E-4</v>
      </c>
    </row>
    <row r="278" spans="1:29">
      <c r="A278" s="13" t="s">
        <v>323</v>
      </c>
      <c r="B278" s="13" t="s">
        <v>471</v>
      </c>
      <c r="C278" s="139">
        <v>46234</v>
      </c>
      <c r="D278" s="139" t="s">
        <v>441</v>
      </c>
      <c r="E278" s="28">
        <v>0.99133601000000005</v>
      </c>
      <c r="F278" s="13"/>
      <c r="G278" s="18">
        <v>10000000</v>
      </c>
      <c r="H278" s="18">
        <v>9913360.0800000001</v>
      </c>
      <c r="I278" s="18">
        <v>10000000</v>
      </c>
      <c r="J278" s="18">
        <v>9913360.0800000001</v>
      </c>
      <c r="K278" s="15">
        <v>491334</v>
      </c>
      <c r="L278" s="13" t="s">
        <v>102</v>
      </c>
      <c r="M278" s="13" t="s">
        <v>103</v>
      </c>
      <c r="N278" s="139" t="s">
        <v>151</v>
      </c>
      <c r="O278" s="139" t="s">
        <v>151</v>
      </c>
      <c r="P278" s="28">
        <v>29</v>
      </c>
      <c r="Q278" s="13" t="s">
        <v>54</v>
      </c>
      <c r="R278" s="13" t="s">
        <v>28</v>
      </c>
      <c r="S278" s="13"/>
      <c r="T278" s="13"/>
      <c r="U278" s="13" t="s">
        <v>544</v>
      </c>
      <c r="V278" s="13" t="s">
        <v>544</v>
      </c>
      <c r="W278" s="59">
        <f t="shared" si="4"/>
        <v>1.8939087968978057E-4</v>
      </c>
    </row>
    <row r="279" spans="1:29">
      <c r="A279" s="13" t="s">
        <v>1508</v>
      </c>
      <c r="B279" s="13" t="s">
        <v>471</v>
      </c>
      <c r="C279" s="139">
        <v>46234</v>
      </c>
      <c r="D279" s="139" t="s">
        <v>441</v>
      </c>
      <c r="E279" s="28">
        <v>0.99104000999999997</v>
      </c>
      <c r="F279" s="13"/>
      <c r="G279" s="18">
        <v>5356036.28</v>
      </c>
      <c r="H279" s="18">
        <v>5308046.26</v>
      </c>
      <c r="I279" s="18">
        <v>5356036.28</v>
      </c>
      <c r="J279" s="18">
        <v>5308046.26</v>
      </c>
      <c r="K279" s="15">
        <v>58</v>
      </c>
      <c r="L279" s="13" t="s">
        <v>102</v>
      </c>
      <c r="M279" s="13" t="s">
        <v>103</v>
      </c>
      <c r="N279" s="139" t="s">
        <v>509</v>
      </c>
      <c r="O279" s="139" t="s">
        <v>509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2035</v>
      </c>
      <c r="V279" s="13" t="s">
        <v>2035</v>
      </c>
      <c r="W279" s="59">
        <f t="shared" si="4"/>
        <v>1.0140815450087531E-4</v>
      </c>
    </row>
    <row r="280" spans="1:29">
      <c r="A280" s="13" t="s">
        <v>478</v>
      </c>
      <c r="B280" s="13" t="s">
        <v>471</v>
      </c>
      <c r="C280" s="139">
        <v>46234</v>
      </c>
      <c r="D280" s="139" t="s">
        <v>441</v>
      </c>
      <c r="E280" s="28">
        <v>0.98956217000000002</v>
      </c>
      <c r="F280" s="13"/>
      <c r="G280" s="18">
        <v>16600000</v>
      </c>
      <c r="H280" s="18">
        <v>16426731.970000001</v>
      </c>
      <c r="I280" s="18">
        <v>16600000</v>
      </c>
      <c r="J280" s="18">
        <v>16426731.970000001</v>
      </c>
      <c r="K280" s="15">
        <v>29088024</v>
      </c>
      <c r="L280" s="13" t="s">
        <v>102</v>
      </c>
      <c r="M280" s="13" t="s">
        <v>103</v>
      </c>
      <c r="N280" s="139" t="s">
        <v>151</v>
      </c>
      <c r="O280" s="139" t="s">
        <v>151</v>
      </c>
      <c r="P280" s="28">
        <v>35</v>
      </c>
      <c r="Q280" s="13" t="s">
        <v>54</v>
      </c>
      <c r="R280" s="13" t="s">
        <v>28</v>
      </c>
      <c r="S280" s="13"/>
      <c r="T280" s="13"/>
      <c r="U280" s="13" t="s">
        <v>552</v>
      </c>
      <c r="V280" s="13" t="s">
        <v>552</v>
      </c>
      <c r="W280" s="59">
        <f t="shared" si="4"/>
        <v>3.1382631046592046E-4</v>
      </c>
    </row>
    <row r="281" spans="1:29">
      <c r="A281" s="13" t="s">
        <v>300</v>
      </c>
      <c r="B281" s="13" t="s">
        <v>471</v>
      </c>
      <c r="C281" s="139">
        <v>46234</v>
      </c>
      <c r="D281" s="139" t="s">
        <v>441</v>
      </c>
      <c r="E281" s="28">
        <v>0.98867764000000002</v>
      </c>
      <c r="F281" s="13"/>
      <c r="G281" s="18">
        <v>5450000</v>
      </c>
      <c r="H281" s="18">
        <v>5388293.1399999997</v>
      </c>
      <c r="I281" s="18">
        <v>5450000</v>
      </c>
      <c r="J281" s="18">
        <v>5388293.1399999997</v>
      </c>
      <c r="K281" s="15">
        <v>28516</v>
      </c>
      <c r="L281" s="13" t="s">
        <v>102</v>
      </c>
      <c r="M281" s="13" t="s">
        <v>103</v>
      </c>
      <c r="N281" s="139" t="s">
        <v>306</v>
      </c>
      <c r="O281" s="139" t="s">
        <v>306</v>
      </c>
      <c r="P281" s="28">
        <v>38</v>
      </c>
      <c r="Q281" s="13" t="s">
        <v>54</v>
      </c>
      <c r="R281" s="13" t="s">
        <v>28</v>
      </c>
      <c r="S281" s="13"/>
      <c r="T281" s="13"/>
      <c r="U281" s="13" t="s">
        <v>530</v>
      </c>
      <c r="V281" s="13" t="s">
        <v>530</v>
      </c>
      <c r="W281" s="59">
        <f t="shared" si="4"/>
        <v>1.0294123985971564E-4</v>
      </c>
      <c r="AC281" s="56"/>
    </row>
    <row r="282" spans="1:29">
      <c r="A282" s="13" t="s">
        <v>581</v>
      </c>
      <c r="B282" s="13" t="s">
        <v>471</v>
      </c>
      <c r="C282" s="139">
        <v>46234</v>
      </c>
      <c r="D282" s="139" t="s">
        <v>441</v>
      </c>
      <c r="E282" s="28">
        <v>0.99133599999999999</v>
      </c>
      <c r="F282" s="13"/>
      <c r="G282" s="18">
        <v>5000000</v>
      </c>
      <c r="H282" s="18">
        <v>4956680.0199999996</v>
      </c>
      <c r="I282" s="18">
        <v>5000000</v>
      </c>
      <c r="J282" s="18">
        <v>4956680.0199999996</v>
      </c>
      <c r="K282" s="15">
        <v>43317</v>
      </c>
      <c r="L282" s="13" t="s">
        <v>102</v>
      </c>
      <c r="M282" s="13" t="s">
        <v>103</v>
      </c>
      <c r="N282" s="139" t="s">
        <v>348</v>
      </c>
      <c r="O282" s="139" t="s">
        <v>348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704</v>
      </c>
      <c r="V282" s="13" t="s">
        <v>704</v>
      </c>
      <c r="W282" s="59">
        <f t="shared" si="4"/>
        <v>9.4695439462798075E-5</v>
      </c>
    </row>
    <row r="283" spans="1:29">
      <c r="A283" s="13" t="s">
        <v>910</v>
      </c>
      <c r="B283" s="13" t="s">
        <v>471</v>
      </c>
      <c r="C283" s="139">
        <v>46234</v>
      </c>
      <c r="D283" s="139" t="s">
        <v>441</v>
      </c>
      <c r="E283" s="28">
        <v>0.98985736999999996</v>
      </c>
      <c r="F283" s="13"/>
      <c r="G283" s="18">
        <v>5000000</v>
      </c>
      <c r="H283" s="18">
        <v>4949286.8600000003</v>
      </c>
      <c r="I283" s="18">
        <v>5000000</v>
      </c>
      <c r="J283" s="18">
        <v>4949286.8600000003</v>
      </c>
      <c r="K283" s="15">
        <v>16815</v>
      </c>
      <c r="L283" s="13" t="s">
        <v>102</v>
      </c>
      <c r="M283" s="13" t="s">
        <v>103</v>
      </c>
      <c r="N283" s="139" t="s">
        <v>318</v>
      </c>
      <c r="O283" s="139" t="s">
        <v>318</v>
      </c>
      <c r="P283" s="28">
        <v>34</v>
      </c>
      <c r="Q283" s="13" t="s">
        <v>54</v>
      </c>
      <c r="R283" s="13" t="s">
        <v>28</v>
      </c>
      <c r="S283" s="13"/>
      <c r="T283" s="13"/>
      <c r="U283" s="13" t="s">
        <v>908</v>
      </c>
      <c r="V283" s="13" t="s">
        <v>908</v>
      </c>
      <c r="W283" s="59">
        <f t="shared" si="4"/>
        <v>9.4554196023158266E-5</v>
      </c>
    </row>
    <row r="284" spans="1:29">
      <c r="A284" s="13" t="s">
        <v>340</v>
      </c>
      <c r="B284" s="13" t="s">
        <v>471</v>
      </c>
      <c r="C284" s="139">
        <v>46234</v>
      </c>
      <c r="D284" s="139" t="s">
        <v>441</v>
      </c>
      <c r="E284" s="28">
        <v>0.98897228000000004</v>
      </c>
      <c r="F284" s="13"/>
      <c r="G284" s="18">
        <v>3000000</v>
      </c>
      <c r="H284" s="18">
        <v>2966916.84</v>
      </c>
      <c r="I284" s="18">
        <v>3000000</v>
      </c>
      <c r="J284" s="18">
        <v>2966916.84</v>
      </c>
      <c r="K284" s="15">
        <v>40743006</v>
      </c>
      <c r="L284" s="13" t="s">
        <v>102</v>
      </c>
      <c r="M284" s="13" t="s">
        <v>103</v>
      </c>
      <c r="N284" s="139" t="s">
        <v>162</v>
      </c>
      <c r="O284" s="139" t="s">
        <v>162</v>
      </c>
      <c r="P284" s="28">
        <v>37</v>
      </c>
      <c r="Q284" s="13" t="s">
        <v>54</v>
      </c>
      <c r="R284" s="13" t="s">
        <v>28</v>
      </c>
      <c r="S284" s="13"/>
      <c r="T284" s="13"/>
      <c r="U284" s="13" t="s">
        <v>1076</v>
      </c>
      <c r="V284" s="13" t="s">
        <v>1076</v>
      </c>
      <c r="W284" s="59">
        <f t="shared" si="4"/>
        <v>5.6681789601051584E-5</v>
      </c>
      <c r="AC284" s="56"/>
    </row>
    <row r="285" spans="1:29">
      <c r="A285" s="13" t="s">
        <v>257</v>
      </c>
      <c r="B285" s="13" t="s">
        <v>471</v>
      </c>
      <c r="C285" s="139">
        <v>46234</v>
      </c>
      <c r="D285" s="139" t="s">
        <v>441</v>
      </c>
      <c r="E285" s="28">
        <v>0.98779466999999999</v>
      </c>
      <c r="F285" s="13"/>
      <c r="G285" s="18">
        <v>40000000</v>
      </c>
      <c r="H285" s="18">
        <v>39511786.899999999</v>
      </c>
      <c r="I285" s="18">
        <v>40000000</v>
      </c>
      <c r="J285" s="18">
        <v>39511786.899999999</v>
      </c>
      <c r="K285" s="15">
        <v>64885127</v>
      </c>
      <c r="L285" s="13" t="s">
        <v>102</v>
      </c>
      <c r="M285" s="13" t="s">
        <v>103</v>
      </c>
      <c r="N285" s="139" t="s">
        <v>228</v>
      </c>
      <c r="O285" s="139" t="s">
        <v>228</v>
      </c>
      <c r="P285" s="28">
        <v>41</v>
      </c>
      <c r="Q285" s="13" t="s">
        <v>54</v>
      </c>
      <c r="R285" s="13" t="s">
        <v>28</v>
      </c>
      <c r="S285" s="13"/>
      <c r="T285" s="13"/>
      <c r="U285" s="13" t="s">
        <v>384</v>
      </c>
      <c r="V285" s="13" t="s">
        <v>384</v>
      </c>
      <c r="W285" s="59">
        <f t="shared" si="4"/>
        <v>7.5485728539239618E-4</v>
      </c>
    </row>
    <row r="286" spans="1:29">
      <c r="A286" s="13" t="s">
        <v>698</v>
      </c>
      <c r="B286" s="13" t="s">
        <v>471</v>
      </c>
      <c r="C286" s="139">
        <v>46237</v>
      </c>
      <c r="D286" s="139" t="s">
        <v>441</v>
      </c>
      <c r="E286" s="28">
        <v>0.98899908999999997</v>
      </c>
      <c r="F286" s="13"/>
      <c r="G286" s="18">
        <v>5000000</v>
      </c>
      <c r="H286" s="18">
        <v>4944995.4400000004</v>
      </c>
      <c r="I286" s="18">
        <v>5000000</v>
      </c>
      <c r="J286" s="18">
        <v>4944995.4400000004</v>
      </c>
      <c r="K286" s="15">
        <v>16779581</v>
      </c>
      <c r="L286" s="13" t="s">
        <v>102</v>
      </c>
      <c r="M286" s="13" t="s">
        <v>103</v>
      </c>
      <c r="N286" s="139" t="s">
        <v>397</v>
      </c>
      <c r="O286" s="139" t="s">
        <v>397</v>
      </c>
      <c r="P286" s="28">
        <v>29</v>
      </c>
      <c r="Q286" s="13" t="s">
        <v>54</v>
      </c>
      <c r="R286" s="13" t="s">
        <v>28</v>
      </c>
      <c r="S286" s="13"/>
      <c r="T286" s="13"/>
      <c r="U286" s="13" t="s">
        <v>669</v>
      </c>
      <c r="V286" s="13" t="s">
        <v>669</v>
      </c>
      <c r="W286" s="59">
        <f t="shared" si="4"/>
        <v>9.4472210117031643E-5</v>
      </c>
    </row>
    <row r="287" spans="1:29">
      <c r="A287" s="13" t="s">
        <v>698</v>
      </c>
      <c r="B287" s="13" t="s">
        <v>471</v>
      </c>
      <c r="C287" s="139">
        <v>46237</v>
      </c>
      <c r="D287" s="139" t="s">
        <v>441</v>
      </c>
      <c r="E287" s="28">
        <v>0.98862408000000002</v>
      </c>
      <c r="F287" s="13"/>
      <c r="G287" s="18">
        <v>10000000</v>
      </c>
      <c r="H287" s="18">
        <v>9886240.8399999999</v>
      </c>
      <c r="I287" s="18">
        <v>10000000</v>
      </c>
      <c r="J287" s="18">
        <v>9886240.8399999999</v>
      </c>
      <c r="K287" s="15">
        <v>90019961</v>
      </c>
      <c r="L287" s="13" t="s">
        <v>102</v>
      </c>
      <c r="M287" s="13" t="s">
        <v>103</v>
      </c>
      <c r="N287" s="139" t="s">
        <v>327</v>
      </c>
      <c r="O287" s="139" t="s">
        <v>327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782</v>
      </c>
      <c r="V287" s="13" t="s">
        <v>782</v>
      </c>
      <c r="W287" s="59">
        <f t="shared" si="4"/>
        <v>1.8887277718178426E-4</v>
      </c>
      <c r="AC287" s="56"/>
    </row>
    <row r="288" spans="1:29">
      <c r="A288" s="13" t="s">
        <v>1388</v>
      </c>
      <c r="B288" s="13" t="s">
        <v>471</v>
      </c>
      <c r="C288" s="139">
        <v>46237</v>
      </c>
      <c r="D288" s="139" t="s">
        <v>441</v>
      </c>
      <c r="E288" s="28">
        <v>0.98899910000000002</v>
      </c>
      <c r="F288" s="13"/>
      <c r="G288" s="18">
        <v>100000000</v>
      </c>
      <c r="H288" s="18">
        <v>98899909.75</v>
      </c>
      <c r="I288" s="18">
        <v>100000000</v>
      </c>
      <c r="J288" s="18">
        <v>98899909.75</v>
      </c>
      <c r="K288" s="15">
        <v>90003812</v>
      </c>
      <c r="L288" s="13" t="s">
        <v>102</v>
      </c>
      <c r="M288" s="13" t="s">
        <v>103</v>
      </c>
      <c r="N288" s="139" t="s">
        <v>351</v>
      </c>
      <c r="O288" s="139" t="s">
        <v>351</v>
      </c>
      <c r="P288" s="28">
        <v>29</v>
      </c>
      <c r="Q288" s="13" t="s">
        <v>54</v>
      </c>
      <c r="R288" s="13" t="s">
        <v>28</v>
      </c>
      <c r="S288" s="13"/>
      <c r="T288" s="13"/>
      <c r="U288" s="13" t="s">
        <v>1366</v>
      </c>
      <c r="V288" s="13" t="s">
        <v>1366</v>
      </c>
      <c r="W288" s="59">
        <f t="shared" si="4"/>
        <v>1.8894442204900122E-3</v>
      </c>
    </row>
    <row r="289" spans="1:29">
      <c r="A289" s="13" t="s">
        <v>2197</v>
      </c>
      <c r="B289" s="13" t="s">
        <v>471</v>
      </c>
      <c r="C289" s="139">
        <v>46237</v>
      </c>
      <c r="D289" s="139" t="s">
        <v>441</v>
      </c>
      <c r="E289" s="28">
        <v>0.98750079999999996</v>
      </c>
      <c r="F289" s="13"/>
      <c r="G289" s="18">
        <v>404788.82</v>
      </c>
      <c r="H289" s="18">
        <v>399729.28</v>
      </c>
      <c r="I289" s="18">
        <v>404788.82</v>
      </c>
      <c r="J289" s="18">
        <v>399729.28</v>
      </c>
      <c r="K289" s="15">
        <v>38693</v>
      </c>
      <c r="L289" s="13" t="s">
        <v>102</v>
      </c>
      <c r="M289" s="13" t="s">
        <v>103</v>
      </c>
      <c r="N289" s="139" t="s">
        <v>495</v>
      </c>
      <c r="O289" s="139" t="s">
        <v>495</v>
      </c>
      <c r="P289" s="28">
        <v>33</v>
      </c>
      <c r="Q289" s="13" t="s">
        <v>54</v>
      </c>
      <c r="R289" s="13" t="s">
        <v>28</v>
      </c>
      <c r="S289" s="13"/>
      <c r="T289" s="13"/>
      <c r="U289" s="13" t="s">
        <v>2123</v>
      </c>
      <c r="V289" s="13" t="s">
        <v>2123</v>
      </c>
      <c r="W289" s="59">
        <f t="shared" si="4"/>
        <v>7.6366720633598341E-6</v>
      </c>
    </row>
    <row r="290" spans="1:29">
      <c r="A290" s="13" t="s">
        <v>581</v>
      </c>
      <c r="B290" s="13" t="s">
        <v>471</v>
      </c>
      <c r="C290" s="139">
        <v>46237</v>
      </c>
      <c r="D290" s="139" t="s">
        <v>441</v>
      </c>
      <c r="E290" s="28">
        <v>0.98899908999999997</v>
      </c>
      <c r="F290" s="13"/>
      <c r="G290" s="18">
        <v>2500000</v>
      </c>
      <c r="H290" s="18">
        <v>2472497.73</v>
      </c>
      <c r="I290" s="18">
        <v>2500000</v>
      </c>
      <c r="J290" s="18">
        <v>2472497.73</v>
      </c>
      <c r="K290" s="15">
        <v>365</v>
      </c>
      <c r="L290" s="13" t="s">
        <v>102</v>
      </c>
      <c r="M290" s="13" t="s">
        <v>103</v>
      </c>
      <c r="N290" s="139" t="s">
        <v>358</v>
      </c>
      <c r="O290" s="139" t="s">
        <v>358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591</v>
      </c>
      <c r="V290" s="13" t="s">
        <v>591</v>
      </c>
      <c r="W290" s="59">
        <f t="shared" si="4"/>
        <v>4.7236105249561921E-5</v>
      </c>
      <c r="AC290" s="56"/>
    </row>
    <row r="291" spans="1:29">
      <c r="A291" s="13" t="s">
        <v>1452</v>
      </c>
      <c r="B291" s="13" t="s">
        <v>471</v>
      </c>
      <c r="C291" s="139">
        <v>46237</v>
      </c>
      <c r="D291" s="139" t="s">
        <v>441</v>
      </c>
      <c r="E291" s="28">
        <v>0.98787488999999995</v>
      </c>
      <c r="F291" s="13"/>
      <c r="G291" s="18">
        <v>5606107.5899999999</v>
      </c>
      <c r="H291" s="18">
        <v>5538132.9299999997</v>
      </c>
      <c r="I291" s="18">
        <v>5606107.5899999999</v>
      </c>
      <c r="J291" s="18">
        <v>5538132.9299999997</v>
      </c>
      <c r="K291" s="15">
        <v>29386345</v>
      </c>
      <c r="L291" s="13" t="s">
        <v>102</v>
      </c>
      <c r="M291" s="13" t="s">
        <v>103</v>
      </c>
      <c r="N291" s="139" t="s">
        <v>373</v>
      </c>
      <c r="O291" s="139" t="s">
        <v>373</v>
      </c>
      <c r="P291" s="28">
        <v>32</v>
      </c>
      <c r="Q291" s="13" t="s">
        <v>54</v>
      </c>
      <c r="R291" s="13" t="s">
        <v>28</v>
      </c>
      <c r="S291" s="13"/>
      <c r="T291" s="13"/>
      <c r="U291" s="13" t="s">
        <v>1454</v>
      </c>
      <c r="V291" s="13" t="s">
        <v>1454</v>
      </c>
      <c r="W291" s="59">
        <f t="shared" si="4"/>
        <v>1.0580387063390537E-4</v>
      </c>
    </row>
    <row r="292" spans="1:29">
      <c r="A292" s="13" t="s">
        <v>1863</v>
      </c>
      <c r="B292" s="13" t="s">
        <v>471</v>
      </c>
      <c r="C292" s="139">
        <v>46237</v>
      </c>
      <c r="D292" s="139" t="s">
        <v>441</v>
      </c>
      <c r="E292" s="28">
        <v>0.99125532999999999</v>
      </c>
      <c r="F292" s="13"/>
      <c r="G292" s="18">
        <v>92619861.719999999</v>
      </c>
      <c r="H292" s="18">
        <v>91809932.010000005</v>
      </c>
      <c r="I292" s="18">
        <v>92619861.719999999</v>
      </c>
      <c r="J292" s="18">
        <v>91809932.010000005</v>
      </c>
      <c r="K292" s="15">
        <v>3138228</v>
      </c>
      <c r="L292" s="13" t="s">
        <v>102</v>
      </c>
      <c r="M292" s="13" t="s">
        <v>103</v>
      </c>
      <c r="N292" s="139" t="s">
        <v>509</v>
      </c>
      <c r="O292" s="139" t="s">
        <v>509</v>
      </c>
      <c r="P292" s="28">
        <v>23</v>
      </c>
      <c r="Q292" s="13" t="s">
        <v>54</v>
      </c>
      <c r="R292" s="13" t="s">
        <v>28</v>
      </c>
      <c r="S292" s="13"/>
      <c r="T292" s="13"/>
      <c r="U292" s="13" t="s">
        <v>2034</v>
      </c>
      <c r="V292" s="13" t="s">
        <v>2034</v>
      </c>
      <c r="W292" s="59">
        <f t="shared" si="4"/>
        <v>1.7539929597344803E-3</v>
      </c>
    </row>
    <row r="293" spans="1:29">
      <c r="A293" s="13" t="s">
        <v>512</v>
      </c>
      <c r="B293" s="13" t="s">
        <v>471</v>
      </c>
      <c r="C293" s="139">
        <v>46237</v>
      </c>
      <c r="D293" s="139" t="s">
        <v>441</v>
      </c>
      <c r="E293" s="28">
        <v>0.98637989999999998</v>
      </c>
      <c r="F293" s="13"/>
      <c r="G293" s="18">
        <v>20000000</v>
      </c>
      <c r="H293" s="18">
        <v>19727597.98</v>
      </c>
      <c r="I293" s="18">
        <v>20000000</v>
      </c>
      <c r="J293" s="18">
        <v>19727597.98</v>
      </c>
      <c r="K293" s="15">
        <v>423</v>
      </c>
      <c r="L293" s="13" t="s">
        <v>102</v>
      </c>
      <c r="M293" s="13" t="s">
        <v>103</v>
      </c>
      <c r="N293" s="139" t="s">
        <v>428</v>
      </c>
      <c r="O293" s="139" t="s">
        <v>428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1123</v>
      </c>
      <c r="V293" s="13" t="s">
        <v>1123</v>
      </c>
      <c r="W293" s="59">
        <f t="shared" si="4"/>
        <v>3.7688806877259501E-4</v>
      </c>
    </row>
    <row r="294" spans="1:29">
      <c r="A294" s="13" t="s">
        <v>652</v>
      </c>
      <c r="B294" s="13" t="s">
        <v>471</v>
      </c>
      <c r="C294" s="139">
        <v>46237</v>
      </c>
      <c r="D294" s="139" t="s">
        <v>441</v>
      </c>
      <c r="E294" s="28">
        <v>0.98862406999999997</v>
      </c>
      <c r="F294" s="13"/>
      <c r="G294" s="18">
        <v>10000000</v>
      </c>
      <c r="H294" s="18">
        <v>9886240.6699999999</v>
      </c>
      <c r="I294" s="18">
        <v>10000000</v>
      </c>
      <c r="J294" s="18">
        <v>9886240.6699999999</v>
      </c>
      <c r="K294" s="15">
        <v>3463102</v>
      </c>
      <c r="L294" s="13" t="s">
        <v>102</v>
      </c>
      <c r="M294" s="13" t="s">
        <v>103</v>
      </c>
      <c r="N294" s="139" t="s">
        <v>358</v>
      </c>
      <c r="O294" s="139" t="s">
        <v>358</v>
      </c>
      <c r="P294" s="28">
        <v>30</v>
      </c>
      <c r="Q294" s="13" t="s">
        <v>54</v>
      </c>
      <c r="R294" s="13" t="s">
        <v>28</v>
      </c>
      <c r="S294" s="13"/>
      <c r="T294" s="13"/>
      <c r="U294" s="13" t="s">
        <v>619</v>
      </c>
      <c r="V294" s="13" t="s">
        <v>619</v>
      </c>
      <c r="W294" s="59">
        <f t="shared" si="4"/>
        <v>1.8887277393400055E-4</v>
      </c>
    </row>
    <row r="295" spans="1:29">
      <c r="A295" s="13" t="s">
        <v>655</v>
      </c>
      <c r="B295" s="13" t="s">
        <v>471</v>
      </c>
      <c r="C295" s="139">
        <v>46237</v>
      </c>
      <c r="D295" s="139" t="s">
        <v>441</v>
      </c>
      <c r="E295" s="28">
        <v>0.98563407999999997</v>
      </c>
      <c r="F295" s="13"/>
      <c r="G295" s="18">
        <v>4599318.34</v>
      </c>
      <c r="H295" s="18">
        <v>4533244.92</v>
      </c>
      <c r="I295" s="18">
        <v>4599318.34</v>
      </c>
      <c r="J295" s="18">
        <v>4533244.92</v>
      </c>
      <c r="K295" s="15">
        <v>577</v>
      </c>
      <c r="L295" s="13" t="s">
        <v>102</v>
      </c>
      <c r="M295" s="13" t="s">
        <v>103</v>
      </c>
      <c r="N295" s="139" t="s">
        <v>327</v>
      </c>
      <c r="O295" s="139" t="s">
        <v>327</v>
      </c>
      <c r="P295" s="28">
        <v>38</v>
      </c>
      <c r="Q295" s="13" t="s">
        <v>54</v>
      </c>
      <c r="R295" s="13" t="s">
        <v>28</v>
      </c>
      <c r="S295" s="13"/>
      <c r="T295" s="13"/>
      <c r="U295" s="13" t="s">
        <v>805</v>
      </c>
      <c r="V295" s="13" t="s">
        <v>805</v>
      </c>
      <c r="W295" s="59">
        <f t="shared" si="4"/>
        <v>8.6605876949849369E-5</v>
      </c>
    </row>
    <row r="296" spans="1:29">
      <c r="A296" s="13" t="s">
        <v>660</v>
      </c>
      <c r="B296" s="13" t="s">
        <v>471</v>
      </c>
      <c r="C296" s="139">
        <v>46237</v>
      </c>
      <c r="D296" s="139" t="s">
        <v>441</v>
      </c>
      <c r="E296" s="28">
        <v>0.98563405999999998</v>
      </c>
      <c r="F296" s="13"/>
      <c r="G296" s="18">
        <v>9978017.3200000003</v>
      </c>
      <c r="H296" s="18">
        <v>9834673.7699999996</v>
      </c>
      <c r="I296" s="18">
        <v>9978017.3200000003</v>
      </c>
      <c r="J296" s="18">
        <v>9834673.7699999996</v>
      </c>
      <c r="K296" s="15">
        <v>30001645</v>
      </c>
      <c r="L296" s="13" t="s">
        <v>102</v>
      </c>
      <c r="M296" s="13" t="s">
        <v>103</v>
      </c>
      <c r="N296" s="139" t="s">
        <v>358</v>
      </c>
      <c r="O296" s="139" t="s">
        <v>358</v>
      </c>
      <c r="P296" s="28">
        <v>38</v>
      </c>
      <c r="Q296" s="13" t="s">
        <v>54</v>
      </c>
      <c r="R296" s="13" t="s">
        <v>28</v>
      </c>
      <c r="S296" s="13"/>
      <c r="T296" s="13"/>
      <c r="U296" s="13" t="s">
        <v>607</v>
      </c>
      <c r="V296" s="13" t="s">
        <v>607</v>
      </c>
      <c r="W296" s="59">
        <f t="shared" si="4"/>
        <v>1.8788760841241536E-4</v>
      </c>
    </row>
    <row r="297" spans="1:29">
      <c r="A297" s="13" t="s">
        <v>472</v>
      </c>
      <c r="B297" s="13" t="s">
        <v>471</v>
      </c>
      <c r="C297" s="139">
        <v>46237</v>
      </c>
      <c r="D297" s="139" t="s">
        <v>441</v>
      </c>
      <c r="E297" s="28">
        <v>0.98862404999999998</v>
      </c>
      <c r="F297" s="13"/>
      <c r="G297" s="18">
        <v>10000000</v>
      </c>
      <c r="H297" s="18">
        <v>9886240.5199999996</v>
      </c>
      <c r="I297" s="18">
        <v>10000000</v>
      </c>
      <c r="J297" s="18">
        <v>9886240.5199999996</v>
      </c>
      <c r="K297" s="15">
        <v>574</v>
      </c>
      <c r="L297" s="13" t="s">
        <v>102</v>
      </c>
      <c r="M297" s="13" t="s">
        <v>103</v>
      </c>
      <c r="N297" s="139" t="s">
        <v>174</v>
      </c>
      <c r="O297" s="139" t="s">
        <v>174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1319</v>
      </c>
      <c r="V297" s="13" t="s">
        <v>1319</v>
      </c>
      <c r="W297" s="59">
        <f t="shared" si="4"/>
        <v>1.8887277106830901E-4</v>
      </c>
    </row>
    <row r="298" spans="1:29">
      <c r="A298" s="13" t="s">
        <v>432</v>
      </c>
      <c r="B298" s="13" t="s">
        <v>471</v>
      </c>
      <c r="C298" s="139">
        <v>46237</v>
      </c>
      <c r="D298" s="139" t="s">
        <v>441</v>
      </c>
      <c r="E298" s="28">
        <v>0.98637986</v>
      </c>
      <c r="F298" s="13"/>
      <c r="G298" s="18">
        <v>5882352.9299999997</v>
      </c>
      <c r="H298" s="18">
        <v>5802234.4400000004</v>
      </c>
      <c r="I298" s="18">
        <v>5882352.9299999997</v>
      </c>
      <c r="J298" s="18">
        <v>5802234.4400000004</v>
      </c>
      <c r="K298" s="15">
        <v>2619</v>
      </c>
      <c r="L298" s="13" t="s">
        <v>102</v>
      </c>
      <c r="M298" s="13" t="s">
        <v>103</v>
      </c>
      <c r="N298" s="139" t="s">
        <v>370</v>
      </c>
      <c r="O298" s="139" t="s">
        <v>370</v>
      </c>
      <c r="P298" s="28">
        <v>36</v>
      </c>
      <c r="Q298" s="13" t="s">
        <v>54</v>
      </c>
      <c r="R298" s="13" t="s">
        <v>28</v>
      </c>
      <c r="S298" s="13"/>
      <c r="T298" s="13"/>
      <c r="U298" s="13" t="s">
        <v>1137</v>
      </c>
      <c r="V298" s="13" t="s">
        <v>1137</v>
      </c>
      <c r="W298" s="59">
        <f t="shared" si="4"/>
        <v>1.1084942702474108E-4</v>
      </c>
    </row>
    <row r="299" spans="1:29">
      <c r="A299" s="13" t="s">
        <v>1279</v>
      </c>
      <c r="B299" s="13" t="s">
        <v>471</v>
      </c>
      <c r="C299" s="139">
        <v>46237</v>
      </c>
      <c r="D299" s="139" t="s">
        <v>441</v>
      </c>
      <c r="E299" s="28">
        <v>0.98787488999999995</v>
      </c>
      <c r="F299" s="13"/>
      <c r="G299" s="18">
        <v>2885565.11</v>
      </c>
      <c r="H299" s="18">
        <v>2850577.32</v>
      </c>
      <c r="I299" s="18">
        <v>2885565.11</v>
      </c>
      <c r="J299" s="18">
        <v>2850577.32</v>
      </c>
      <c r="K299" s="15">
        <v>2426</v>
      </c>
      <c r="L299" s="13" t="s">
        <v>102</v>
      </c>
      <c r="M299" s="13" t="s">
        <v>103</v>
      </c>
      <c r="N299" s="139" t="s">
        <v>373</v>
      </c>
      <c r="O299" s="139" t="s">
        <v>373</v>
      </c>
      <c r="P299" s="28">
        <v>32</v>
      </c>
      <c r="Q299" s="13" t="s">
        <v>54</v>
      </c>
      <c r="R299" s="13" t="s">
        <v>28</v>
      </c>
      <c r="S299" s="13"/>
      <c r="T299" s="13"/>
      <c r="U299" s="13" t="s">
        <v>1495</v>
      </c>
      <c r="V299" s="13" t="s">
        <v>1495</v>
      </c>
      <c r="W299" s="59">
        <f t="shared" si="4"/>
        <v>5.4459168425418186E-5</v>
      </c>
    </row>
    <row r="300" spans="1:29">
      <c r="A300" s="13" t="s">
        <v>323</v>
      </c>
      <c r="B300" s="13" t="s">
        <v>471</v>
      </c>
      <c r="C300" s="139">
        <v>46237</v>
      </c>
      <c r="D300" s="139" t="s">
        <v>441</v>
      </c>
      <c r="E300" s="28">
        <v>0.98899910999999996</v>
      </c>
      <c r="F300" s="13"/>
      <c r="G300" s="18">
        <v>3500000</v>
      </c>
      <c r="H300" s="18">
        <v>3461496.88</v>
      </c>
      <c r="I300" s="18">
        <v>3500000</v>
      </c>
      <c r="J300" s="18">
        <v>3461496.88</v>
      </c>
      <c r="K300" s="15">
        <v>407</v>
      </c>
      <c r="L300" s="13" t="s">
        <v>102</v>
      </c>
      <c r="M300" s="13" t="s">
        <v>103</v>
      </c>
      <c r="N300" s="139" t="s">
        <v>327</v>
      </c>
      <c r="O300" s="139" t="s">
        <v>327</v>
      </c>
      <c r="P300" s="28">
        <v>29</v>
      </c>
      <c r="Q300" s="13" t="s">
        <v>54</v>
      </c>
      <c r="R300" s="13" t="s">
        <v>28</v>
      </c>
      <c r="S300" s="13"/>
      <c r="T300" s="13"/>
      <c r="U300" s="13" t="s">
        <v>819</v>
      </c>
      <c r="V300" s="13" t="s">
        <v>819</v>
      </c>
      <c r="W300" s="59">
        <f t="shared" si="4"/>
        <v>6.6130548457454073E-5</v>
      </c>
    </row>
    <row r="301" spans="1:29">
      <c r="A301" s="13" t="s">
        <v>322</v>
      </c>
      <c r="B301" s="13" t="s">
        <v>471</v>
      </c>
      <c r="C301" s="139">
        <v>46237</v>
      </c>
      <c r="D301" s="139" t="s">
        <v>441</v>
      </c>
      <c r="E301" s="28">
        <v>0.98899908999999997</v>
      </c>
      <c r="F301" s="13"/>
      <c r="G301" s="18">
        <v>80000000</v>
      </c>
      <c r="H301" s="18">
        <v>79119926.989999995</v>
      </c>
      <c r="I301" s="18">
        <v>80000000</v>
      </c>
      <c r="J301" s="18">
        <v>79119926.989999995</v>
      </c>
      <c r="K301" s="15">
        <v>90041869</v>
      </c>
      <c r="L301" s="13" t="s">
        <v>102</v>
      </c>
      <c r="M301" s="13" t="s">
        <v>103</v>
      </c>
      <c r="N301" s="139" t="s">
        <v>397</v>
      </c>
      <c r="O301" s="139" t="s">
        <v>397</v>
      </c>
      <c r="P301" s="28">
        <v>29</v>
      </c>
      <c r="Q301" s="13" t="s">
        <v>54</v>
      </c>
      <c r="R301" s="13" t="s">
        <v>28</v>
      </c>
      <c r="S301" s="13"/>
      <c r="T301" s="13"/>
      <c r="U301" s="13" t="s">
        <v>674</v>
      </c>
      <c r="V301" s="13" t="s">
        <v>674</v>
      </c>
      <c r="W301" s="59">
        <f t="shared" si="4"/>
        <v>1.5115553609172756E-3</v>
      </c>
    </row>
    <row r="302" spans="1:29">
      <c r="A302" s="13" t="s">
        <v>581</v>
      </c>
      <c r="B302" s="13" t="s">
        <v>471</v>
      </c>
      <c r="C302" s="139">
        <v>46237</v>
      </c>
      <c r="D302" s="139" t="s">
        <v>441</v>
      </c>
      <c r="E302" s="28">
        <v>0.98899910000000002</v>
      </c>
      <c r="F302" s="13"/>
      <c r="G302" s="18">
        <v>5000000</v>
      </c>
      <c r="H302" s="18">
        <v>4944995.51</v>
      </c>
      <c r="I302" s="18">
        <v>5000000</v>
      </c>
      <c r="J302" s="18">
        <v>4944995.51</v>
      </c>
      <c r="K302" s="15">
        <v>43318</v>
      </c>
      <c r="L302" s="13" t="s">
        <v>102</v>
      </c>
      <c r="M302" s="13" t="s">
        <v>103</v>
      </c>
      <c r="N302" s="139" t="s">
        <v>348</v>
      </c>
      <c r="O302" s="139" t="s">
        <v>348</v>
      </c>
      <c r="P302" s="28">
        <v>29</v>
      </c>
      <c r="Q302" s="13" t="s">
        <v>54</v>
      </c>
      <c r="R302" s="13" t="s">
        <v>28</v>
      </c>
      <c r="S302" s="13"/>
      <c r="T302" s="13"/>
      <c r="U302" s="13" t="s">
        <v>705</v>
      </c>
      <c r="V302" s="13" t="s">
        <v>705</v>
      </c>
      <c r="W302" s="59">
        <f t="shared" si="4"/>
        <v>9.4472211454354338E-5</v>
      </c>
    </row>
    <row r="303" spans="1:29">
      <c r="A303" s="13" t="s">
        <v>340</v>
      </c>
      <c r="B303" s="13" t="s">
        <v>471</v>
      </c>
      <c r="C303" s="139">
        <v>46237</v>
      </c>
      <c r="D303" s="139" t="s">
        <v>441</v>
      </c>
      <c r="E303" s="28">
        <v>0.98600681999999995</v>
      </c>
      <c r="F303" s="13"/>
      <c r="G303" s="18">
        <v>3000000</v>
      </c>
      <c r="H303" s="18">
        <v>2958020.45</v>
      </c>
      <c r="I303" s="18">
        <v>3000000</v>
      </c>
      <c r="J303" s="18">
        <v>2958020.45</v>
      </c>
      <c r="K303" s="15">
        <v>40743007</v>
      </c>
      <c r="L303" s="13" t="s">
        <v>102</v>
      </c>
      <c r="M303" s="13" t="s">
        <v>103</v>
      </c>
      <c r="N303" s="139" t="s">
        <v>162</v>
      </c>
      <c r="O303" s="139" t="s">
        <v>162</v>
      </c>
      <c r="P303" s="28">
        <v>37</v>
      </c>
      <c r="Q303" s="13" t="s">
        <v>54</v>
      </c>
      <c r="R303" s="13" t="s">
        <v>28</v>
      </c>
      <c r="S303" s="13"/>
      <c r="T303" s="13"/>
      <c r="U303" s="13" t="s">
        <v>1077</v>
      </c>
      <c r="V303" s="13" t="s">
        <v>1077</v>
      </c>
      <c r="W303" s="59">
        <f t="shared" si="4"/>
        <v>5.6511827538283126E-5</v>
      </c>
    </row>
    <row r="304" spans="1:29">
      <c r="A304" s="13" t="s">
        <v>257</v>
      </c>
      <c r="B304" s="13" t="s">
        <v>471</v>
      </c>
      <c r="C304" s="139">
        <v>46237</v>
      </c>
      <c r="D304" s="139" t="s">
        <v>441</v>
      </c>
      <c r="E304" s="28">
        <v>0.98637987000000005</v>
      </c>
      <c r="F304" s="13"/>
      <c r="G304" s="18">
        <v>25000000</v>
      </c>
      <c r="H304" s="18">
        <v>24659496.68</v>
      </c>
      <c r="I304" s="18">
        <v>25000000</v>
      </c>
      <c r="J304" s="18">
        <v>24659496.68</v>
      </c>
      <c r="K304" s="15">
        <v>1165497</v>
      </c>
      <c r="L304" s="13" t="s">
        <v>102</v>
      </c>
      <c r="M304" s="13" t="s">
        <v>103</v>
      </c>
      <c r="N304" s="139" t="s">
        <v>309</v>
      </c>
      <c r="O304" s="139" t="s">
        <v>309</v>
      </c>
      <c r="P304" s="28">
        <v>36</v>
      </c>
      <c r="Q304" s="13" t="s">
        <v>54</v>
      </c>
      <c r="R304" s="13" t="s">
        <v>28</v>
      </c>
      <c r="S304" s="13"/>
      <c r="T304" s="13"/>
      <c r="U304" s="13" t="s">
        <v>517</v>
      </c>
      <c r="V304" s="13" t="s">
        <v>517</v>
      </c>
      <c r="W304" s="59">
        <f t="shared" si="4"/>
        <v>4.7111007077757868E-4</v>
      </c>
    </row>
    <row r="305" spans="1:29">
      <c r="A305" s="13" t="s">
        <v>661</v>
      </c>
      <c r="B305" s="13" t="s">
        <v>471</v>
      </c>
      <c r="C305" s="139">
        <v>46237</v>
      </c>
      <c r="D305" s="139" t="s">
        <v>441</v>
      </c>
      <c r="E305" s="28">
        <v>0.98787486999999996</v>
      </c>
      <c r="F305" s="13"/>
      <c r="G305" s="18">
        <v>15000000</v>
      </c>
      <c r="H305" s="18">
        <v>14818123.01</v>
      </c>
      <c r="I305" s="18">
        <v>15000000</v>
      </c>
      <c r="J305" s="18">
        <v>14818123.01</v>
      </c>
      <c r="K305" s="15">
        <v>175</v>
      </c>
      <c r="L305" s="13" t="s">
        <v>102</v>
      </c>
      <c r="M305" s="13" t="s">
        <v>103</v>
      </c>
      <c r="N305" s="139" t="s">
        <v>358</v>
      </c>
      <c r="O305" s="139" t="s">
        <v>358</v>
      </c>
      <c r="P305" s="28">
        <v>32</v>
      </c>
      <c r="Q305" s="13" t="s">
        <v>54</v>
      </c>
      <c r="R305" s="13" t="s">
        <v>28</v>
      </c>
      <c r="S305" s="13"/>
      <c r="T305" s="13"/>
      <c r="U305" s="13" t="s">
        <v>598</v>
      </c>
      <c r="V305" s="13" t="s">
        <v>598</v>
      </c>
      <c r="W305" s="59">
        <f t="shared" si="4"/>
        <v>2.8309446338756206E-4</v>
      </c>
    </row>
    <row r="306" spans="1:29">
      <c r="A306" s="13" t="s">
        <v>661</v>
      </c>
      <c r="B306" s="13" t="s">
        <v>471</v>
      </c>
      <c r="C306" s="139">
        <v>46237</v>
      </c>
      <c r="D306" s="139" t="s">
        <v>441</v>
      </c>
      <c r="E306" s="28">
        <v>0.98750068999999996</v>
      </c>
      <c r="F306" s="13"/>
      <c r="G306" s="18">
        <v>21395750</v>
      </c>
      <c r="H306" s="18">
        <v>21128317.809999999</v>
      </c>
      <c r="I306" s="18">
        <v>21395750</v>
      </c>
      <c r="J306" s="18">
        <v>21128317.809999999</v>
      </c>
      <c r="K306" s="15">
        <v>3233100</v>
      </c>
      <c r="L306" s="13" t="s">
        <v>102</v>
      </c>
      <c r="M306" s="13" t="s">
        <v>103</v>
      </c>
      <c r="N306" s="139" t="s">
        <v>397</v>
      </c>
      <c r="O306" s="139" t="s">
        <v>397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682</v>
      </c>
      <c r="V306" s="13" t="s">
        <v>682</v>
      </c>
      <c r="W306" s="59">
        <f t="shared" si="4"/>
        <v>4.0364827506610227E-4</v>
      </c>
    </row>
    <row r="307" spans="1:29">
      <c r="A307" s="13" t="s">
        <v>661</v>
      </c>
      <c r="B307" s="13" t="s">
        <v>471</v>
      </c>
      <c r="C307" s="139">
        <v>46237</v>
      </c>
      <c r="D307" s="139" t="s">
        <v>441</v>
      </c>
      <c r="E307" s="28">
        <v>0.98750068999999996</v>
      </c>
      <c r="F307" s="13"/>
      <c r="G307" s="18">
        <v>21395750</v>
      </c>
      <c r="H307" s="18">
        <v>21128317.809999999</v>
      </c>
      <c r="I307" s="18">
        <v>21395750</v>
      </c>
      <c r="J307" s="18">
        <v>21128317.809999999</v>
      </c>
      <c r="K307" s="15">
        <v>3233101</v>
      </c>
      <c r="L307" s="13" t="s">
        <v>102</v>
      </c>
      <c r="M307" s="13" t="s">
        <v>103</v>
      </c>
      <c r="N307" s="139" t="s">
        <v>397</v>
      </c>
      <c r="O307" s="139" t="s">
        <v>397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683</v>
      </c>
      <c r="V307" s="13" t="s">
        <v>683</v>
      </c>
      <c r="W307" s="59">
        <f t="shared" si="4"/>
        <v>4.0364827506610227E-4</v>
      </c>
      <c r="AC307" s="56"/>
    </row>
    <row r="308" spans="1:29">
      <c r="A308" s="13" t="s">
        <v>1585</v>
      </c>
      <c r="B308" s="13" t="s">
        <v>471</v>
      </c>
      <c r="C308" s="139">
        <v>46237</v>
      </c>
      <c r="D308" s="139" t="s">
        <v>441</v>
      </c>
      <c r="E308" s="28">
        <v>0.98712685</v>
      </c>
      <c r="F308" s="13"/>
      <c r="G308" s="18">
        <v>10000000</v>
      </c>
      <c r="H308" s="18">
        <v>9871268.5199999996</v>
      </c>
      <c r="I308" s="18">
        <v>10000000</v>
      </c>
      <c r="J308" s="18">
        <v>9871268.5199999996</v>
      </c>
      <c r="K308" s="15">
        <v>211</v>
      </c>
      <c r="L308" s="13" t="s">
        <v>102</v>
      </c>
      <c r="M308" s="13" t="s">
        <v>103</v>
      </c>
      <c r="N308" s="139" t="s">
        <v>381</v>
      </c>
      <c r="O308" s="139" t="s">
        <v>381</v>
      </c>
      <c r="P308" s="28">
        <v>34</v>
      </c>
      <c r="Q308" s="13" t="s">
        <v>54</v>
      </c>
      <c r="R308" s="13" t="s">
        <v>28</v>
      </c>
      <c r="S308" s="13"/>
      <c r="T308" s="13"/>
      <c r="U308" s="13" t="s">
        <v>1577</v>
      </c>
      <c r="V308" s="13" t="s">
        <v>1577</v>
      </c>
      <c r="W308" s="59">
        <f t="shared" si="4"/>
        <v>1.8858673684501512E-4</v>
      </c>
    </row>
    <row r="309" spans="1:29">
      <c r="A309" s="13" t="s">
        <v>1825</v>
      </c>
      <c r="B309" s="13" t="s">
        <v>471</v>
      </c>
      <c r="C309" s="139">
        <v>46237</v>
      </c>
      <c r="D309" s="139" t="s">
        <v>441</v>
      </c>
      <c r="E309" s="28">
        <v>0.98862413000000005</v>
      </c>
      <c r="F309" s="13"/>
      <c r="G309" s="18">
        <v>330000</v>
      </c>
      <c r="H309" s="18">
        <v>326245.96000000002</v>
      </c>
      <c r="I309" s="18">
        <v>330000</v>
      </c>
      <c r="J309" s="18">
        <v>326245.96000000002</v>
      </c>
      <c r="K309" s="15">
        <v>9918443</v>
      </c>
      <c r="L309" s="13" t="s">
        <v>102</v>
      </c>
      <c r="M309" s="13" t="s">
        <v>103</v>
      </c>
      <c r="N309" s="139" t="s">
        <v>172</v>
      </c>
      <c r="O309" s="139" t="s">
        <v>172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1833</v>
      </c>
      <c r="V309" s="13" t="s">
        <v>1833</v>
      </c>
      <c r="W309" s="59">
        <f t="shared" si="4"/>
        <v>6.2328018816034943E-6</v>
      </c>
    </row>
    <row r="310" spans="1:29">
      <c r="A310" s="13" t="s">
        <v>1825</v>
      </c>
      <c r="B310" s="13" t="s">
        <v>471</v>
      </c>
      <c r="C310" s="139">
        <v>46237</v>
      </c>
      <c r="D310" s="139" t="s">
        <v>441</v>
      </c>
      <c r="E310" s="28">
        <v>0.98862413999999998</v>
      </c>
      <c r="F310" s="13"/>
      <c r="G310" s="18">
        <v>415000</v>
      </c>
      <c r="H310" s="18">
        <v>410279.02</v>
      </c>
      <c r="I310" s="18">
        <v>415000</v>
      </c>
      <c r="J310" s="18">
        <v>410279.02</v>
      </c>
      <c r="K310" s="15">
        <v>9918437</v>
      </c>
      <c r="L310" s="13" t="s">
        <v>102</v>
      </c>
      <c r="M310" s="13" t="s">
        <v>103</v>
      </c>
      <c r="N310" s="139" t="s">
        <v>172</v>
      </c>
      <c r="O310" s="139" t="s">
        <v>172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1834</v>
      </c>
      <c r="V310" s="13" t="s">
        <v>1834</v>
      </c>
      <c r="W310" s="59">
        <f t="shared" si="4"/>
        <v>7.8382207333339465E-6</v>
      </c>
    </row>
    <row r="311" spans="1:29">
      <c r="A311" s="13" t="s">
        <v>1842</v>
      </c>
      <c r="B311" s="13" t="s">
        <v>471</v>
      </c>
      <c r="C311" s="139">
        <v>46237</v>
      </c>
      <c r="D311" s="139" t="s">
        <v>441</v>
      </c>
      <c r="E311" s="28">
        <v>0.98862413000000005</v>
      </c>
      <c r="F311" s="13"/>
      <c r="G311" s="18">
        <v>1278434.3600000001</v>
      </c>
      <c r="H311" s="18">
        <v>1263891.06</v>
      </c>
      <c r="I311" s="18">
        <v>1278434.3600000001</v>
      </c>
      <c r="J311" s="18">
        <v>1263891.06</v>
      </c>
      <c r="K311" s="15">
        <v>20325324</v>
      </c>
      <c r="L311" s="13" t="s">
        <v>102</v>
      </c>
      <c r="M311" s="13" t="s">
        <v>103</v>
      </c>
      <c r="N311" s="139" t="s">
        <v>172</v>
      </c>
      <c r="O311" s="139" t="s">
        <v>172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1843</v>
      </c>
      <c r="V311" s="13" t="s">
        <v>1843</v>
      </c>
      <c r="W311" s="59">
        <f t="shared" si="4"/>
        <v>2.4146145984182715E-5</v>
      </c>
    </row>
    <row r="312" spans="1:29">
      <c r="A312" s="13" t="s">
        <v>2488</v>
      </c>
      <c r="B312" s="13" t="s">
        <v>471</v>
      </c>
      <c r="C312" s="139">
        <v>46237</v>
      </c>
      <c r="D312" s="139" t="s">
        <v>441</v>
      </c>
      <c r="E312" s="28">
        <v>0.98862410000000001</v>
      </c>
      <c r="F312" s="13"/>
      <c r="G312" s="18">
        <v>2870567.12</v>
      </c>
      <c r="H312" s="18">
        <v>2837911.84</v>
      </c>
      <c r="I312" s="18">
        <v>2870567.12</v>
      </c>
      <c r="J312" s="18">
        <v>2837911.84</v>
      </c>
      <c r="K312" s="15">
        <v>92</v>
      </c>
      <c r="L312" s="13" t="s">
        <v>102</v>
      </c>
      <c r="M312" s="13" t="s">
        <v>103</v>
      </c>
      <c r="N312" s="139" t="s">
        <v>441</v>
      </c>
      <c r="O312" s="139" t="s">
        <v>441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2459</v>
      </c>
      <c r="V312" s="13" t="s">
        <v>2459</v>
      </c>
      <c r="W312" s="59">
        <f t="shared" si="4"/>
        <v>5.421719936754721E-5</v>
      </c>
    </row>
    <row r="313" spans="1:29">
      <c r="A313" s="13" t="s">
        <v>698</v>
      </c>
      <c r="B313" s="13" t="s">
        <v>471</v>
      </c>
      <c r="C313" s="139">
        <v>46238</v>
      </c>
      <c r="D313" s="139" t="s">
        <v>441</v>
      </c>
      <c r="E313" s="28">
        <v>0.98822259000000001</v>
      </c>
      <c r="F313" s="13"/>
      <c r="G313" s="18">
        <v>5000000</v>
      </c>
      <c r="H313" s="18">
        <v>4941112.96</v>
      </c>
      <c r="I313" s="18">
        <v>5000000</v>
      </c>
      <c r="J313" s="18">
        <v>4941112.96</v>
      </c>
      <c r="K313" s="15">
        <v>16779582</v>
      </c>
      <c r="L313" s="13" t="s">
        <v>102</v>
      </c>
      <c r="M313" s="13" t="s">
        <v>103</v>
      </c>
      <c r="N313" s="139" t="s">
        <v>397</v>
      </c>
      <c r="O313" s="139" t="s">
        <v>397</v>
      </c>
      <c r="P313" s="28">
        <v>29</v>
      </c>
      <c r="Q313" s="13" t="s">
        <v>54</v>
      </c>
      <c r="R313" s="13" t="s">
        <v>28</v>
      </c>
      <c r="S313" s="13"/>
      <c r="T313" s="13"/>
      <c r="U313" s="13" t="s">
        <v>670</v>
      </c>
      <c r="V313" s="13" t="s">
        <v>670</v>
      </c>
      <c r="W313" s="59">
        <f t="shared" si="4"/>
        <v>9.4398036850183251E-5</v>
      </c>
    </row>
    <row r="314" spans="1:29">
      <c r="A314" s="13" t="s">
        <v>698</v>
      </c>
      <c r="B314" s="13" t="s">
        <v>471</v>
      </c>
      <c r="C314" s="139">
        <v>46238</v>
      </c>
      <c r="D314" s="139" t="s">
        <v>441</v>
      </c>
      <c r="E314" s="28">
        <v>0.98782141000000001</v>
      </c>
      <c r="F314" s="13"/>
      <c r="G314" s="18">
        <v>40000000</v>
      </c>
      <c r="H314" s="18">
        <v>39512856.539999999</v>
      </c>
      <c r="I314" s="18">
        <v>40000000</v>
      </c>
      <c r="J314" s="18">
        <v>39512856.539999999</v>
      </c>
      <c r="K314" s="15">
        <v>9631288</v>
      </c>
      <c r="L314" s="13" t="s">
        <v>102</v>
      </c>
      <c r="M314" s="13" t="s">
        <v>103</v>
      </c>
      <c r="N314" s="139" t="s">
        <v>399</v>
      </c>
      <c r="O314" s="139" t="s">
        <v>399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823</v>
      </c>
      <c r="V314" s="13" t="s">
        <v>823</v>
      </c>
      <c r="W314" s="59">
        <f t="shared" si="4"/>
        <v>7.5487772044760624E-4</v>
      </c>
    </row>
    <row r="315" spans="1:29">
      <c r="A315" s="13" t="s">
        <v>581</v>
      </c>
      <c r="B315" s="13" t="s">
        <v>471</v>
      </c>
      <c r="C315" s="139">
        <v>46238</v>
      </c>
      <c r="D315" s="139" t="s">
        <v>441</v>
      </c>
      <c r="E315" s="28">
        <v>0.98983054999999998</v>
      </c>
      <c r="F315" s="13"/>
      <c r="G315" s="18">
        <v>9000000</v>
      </c>
      <c r="H315" s="18">
        <v>8908474.9700000007</v>
      </c>
      <c r="I315" s="18">
        <v>9000000</v>
      </c>
      <c r="J315" s="18">
        <v>8908474.9700000007</v>
      </c>
      <c r="K315" s="15">
        <v>90000070</v>
      </c>
      <c r="L315" s="13" t="s">
        <v>102</v>
      </c>
      <c r="M315" s="13" t="s">
        <v>103</v>
      </c>
      <c r="N315" s="139" t="s">
        <v>172</v>
      </c>
      <c r="O315" s="139" t="s">
        <v>172</v>
      </c>
      <c r="P315" s="28">
        <v>25</v>
      </c>
      <c r="Q315" s="13" t="s">
        <v>54</v>
      </c>
      <c r="R315" s="13" t="s">
        <v>28</v>
      </c>
      <c r="S315" s="13"/>
      <c r="T315" s="13"/>
      <c r="U315" s="13" t="s">
        <v>1799</v>
      </c>
      <c r="V315" s="13" t="s">
        <v>1799</v>
      </c>
      <c r="W315" s="59">
        <f t="shared" si="4"/>
        <v>1.7019294140909402E-4</v>
      </c>
    </row>
    <row r="316" spans="1:29">
      <c r="A316" s="13" t="s">
        <v>1168</v>
      </c>
      <c r="B316" s="13" t="s">
        <v>471</v>
      </c>
      <c r="C316" s="139">
        <v>46238</v>
      </c>
      <c r="D316" s="139" t="s">
        <v>441</v>
      </c>
      <c r="E316" s="28">
        <v>0.98661982000000004</v>
      </c>
      <c r="F316" s="13"/>
      <c r="G316" s="18">
        <v>13000000</v>
      </c>
      <c r="H316" s="18">
        <v>12826057.66</v>
      </c>
      <c r="I316" s="18">
        <v>13000000</v>
      </c>
      <c r="J316" s="18">
        <v>12826057.66</v>
      </c>
      <c r="K316" s="15">
        <v>207</v>
      </c>
      <c r="L316" s="13" t="s">
        <v>102</v>
      </c>
      <c r="M316" s="13" t="s">
        <v>103</v>
      </c>
      <c r="N316" s="139" t="s">
        <v>458</v>
      </c>
      <c r="O316" s="139" t="s">
        <v>458</v>
      </c>
      <c r="P316" s="28">
        <v>33</v>
      </c>
      <c r="Q316" s="13" t="s">
        <v>54</v>
      </c>
      <c r="R316" s="13" t="s">
        <v>28</v>
      </c>
      <c r="S316" s="13"/>
      <c r="T316" s="13"/>
      <c r="U316" s="13" t="s">
        <v>1169</v>
      </c>
      <c r="V316" s="13" t="s">
        <v>1169</v>
      </c>
      <c r="W316" s="59">
        <f t="shared" si="4"/>
        <v>2.450368314654468E-4</v>
      </c>
    </row>
    <row r="317" spans="1:29">
      <c r="A317" s="13" t="s">
        <v>1168</v>
      </c>
      <c r="B317" s="13" t="s">
        <v>471</v>
      </c>
      <c r="C317" s="139">
        <v>46238</v>
      </c>
      <c r="D317" s="139" t="s">
        <v>441</v>
      </c>
      <c r="E317" s="28">
        <v>0.98661982000000004</v>
      </c>
      <c r="F317" s="13"/>
      <c r="G317" s="18">
        <v>13000000</v>
      </c>
      <c r="H317" s="18">
        <v>12826057.66</v>
      </c>
      <c r="I317" s="18">
        <v>13000000</v>
      </c>
      <c r="J317" s="18">
        <v>12826057.66</v>
      </c>
      <c r="K317" s="15">
        <v>203</v>
      </c>
      <c r="L317" s="13" t="s">
        <v>102</v>
      </c>
      <c r="M317" s="13" t="s">
        <v>103</v>
      </c>
      <c r="N317" s="139" t="s">
        <v>458</v>
      </c>
      <c r="O317" s="139" t="s">
        <v>458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1170</v>
      </c>
      <c r="V317" s="13" t="s">
        <v>1170</v>
      </c>
      <c r="W317" s="59">
        <f t="shared" si="4"/>
        <v>2.450368314654468E-4</v>
      </c>
    </row>
    <row r="318" spans="1:29">
      <c r="A318" s="13" t="s">
        <v>1168</v>
      </c>
      <c r="B318" s="13" t="s">
        <v>471</v>
      </c>
      <c r="C318" s="139">
        <v>46238</v>
      </c>
      <c r="D318" s="139" t="s">
        <v>441</v>
      </c>
      <c r="E318" s="28">
        <v>0.98661982000000004</v>
      </c>
      <c r="F318" s="13"/>
      <c r="G318" s="18">
        <v>13000000</v>
      </c>
      <c r="H318" s="18">
        <v>12826057.66</v>
      </c>
      <c r="I318" s="18">
        <v>13000000</v>
      </c>
      <c r="J318" s="18">
        <v>12826057.66</v>
      </c>
      <c r="K318" s="15">
        <v>206</v>
      </c>
      <c r="L318" s="13" t="s">
        <v>102</v>
      </c>
      <c r="M318" s="13" t="s">
        <v>103</v>
      </c>
      <c r="N318" s="139" t="s">
        <v>458</v>
      </c>
      <c r="O318" s="139" t="s">
        <v>458</v>
      </c>
      <c r="P318" s="28">
        <v>33</v>
      </c>
      <c r="Q318" s="13" t="s">
        <v>54</v>
      </c>
      <c r="R318" s="13" t="s">
        <v>28</v>
      </c>
      <c r="S318" s="13"/>
      <c r="T318" s="13"/>
      <c r="U318" s="13" t="s">
        <v>1171</v>
      </c>
      <c r="V318" s="13" t="s">
        <v>1171</v>
      </c>
      <c r="W318" s="59">
        <f t="shared" si="4"/>
        <v>2.450368314654468E-4</v>
      </c>
    </row>
    <row r="319" spans="1:29">
      <c r="A319" s="13" t="s">
        <v>1268</v>
      </c>
      <c r="B319" s="13" t="s">
        <v>471</v>
      </c>
      <c r="C319" s="139">
        <v>46238</v>
      </c>
      <c r="D319" s="139" t="s">
        <v>441</v>
      </c>
      <c r="E319" s="28">
        <v>0.98661986000000002</v>
      </c>
      <c r="F319" s="13"/>
      <c r="G319" s="18">
        <v>3000000</v>
      </c>
      <c r="H319" s="18">
        <v>2959859.57</v>
      </c>
      <c r="I319" s="18">
        <v>3000000</v>
      </c>
      <c r="J319" s="18">
        <v>2959859.57</v>
      </c>
      <c r="K319" s="15">
        <v>90015793</v>
      </c>
      <c r="L319" s="13" t="s">
        <v>102</v>
      </c>
      <c r="M319" s="13" t="s">
        <v>103</v>
      </c>
      <c r="N319" s="139" t="s">
        <v>319</v>
      </c>
      <c r="O319" s="139" t="s">
        <v>319</v>
      </c>
      <c r="P319" s="28">
        <v>33</v>
      </c>
      <c r="Q319" s="13" t="s">
        <v>54</v>
      </c>
      <c r="R319" s="13" t="s">
        <v>28</v>
      </c>
      <c r="S319" s="13"/>
      <c r="T319" s="13"/>
      <c r="U319" s="13" t="s">
        <v>1241</v>
      </c>
      <c r="V319" s="13" t="s">
        <v>1241</v>
      </c>
      <c r="W319" s="59">
        <f t="shared" si="4"/>
        <v>5.6546963208917923E-5</v>
      </c>
      <c r="AC319"/>
    </row>
    <row r="320" spans="1:29">
      <c r="A320" s="13" t="s">
        <v>1457</v>
      </c>
      <c r="B320" s="13" t="s">
        <v>471</v>
      </c>
      <c r="C320" s="139">
        <v>46238</v>
      </c>
      <c r="D320" s="139" t="s">
        <v>441</v>
      </c>
      <c r="E320" s="28">
        <v>0.98702003000000005</v>
      </c>
      <c r="F320" s="13"/>
      <c r="G320" s="18">
        <v>1341865.8</v>
      </c>
      <c r="H320" s="18">
        <v>1324448.43</v>
      </c>
      <c r="I320" s="18">
        <v>1341865.8</v>
      </c>
      <c r="J320" s="18">
        <v>1324448.43</v>
      </c>
      <c r="K320" s="15">
        <v>1</v>
      </c>
      <c r="L320" s="13" t="s">
        <v>102</v>
      </c>
      <c r="M320" s="13" t="s">
        <v>103</v>
      </c>
      <c r="N320" s="139" t="s">
        <v>373</v>
      </c>
      <c r="O320" s="139" t="s">
        <v>373</v>
      </c>
      <c r="P320" s="28">
        <v>32</v>
      </c>
      <c r="Q320" s="13" t="s">
        <v>54</v>
      </c>
      <c r="R320" s="13" t="s">
        <v>28</v>
      </c>
      <c r="S320" s="13"/>
      <c r="T320" s="13"/>
      <c r="U320" s="13" t="s">
        <v>1458</v>
      </c>
      <c r="V320" s="13" t="s">
        <v>1458</v>
      </c>
      <c r="W320" s="59">
        <f t="shared" si="4"/>
        <v>2.530307093026008E-5</v>
      </c>
    </row>
    <row r="321" spans="1:29">
      <c r="A321" s="13" t="s">
        <v>1442</v>
      </c>
      <c r="B321" s="13" t="s">
        <v>471</v>
      </c>
      <c r="C321" s="139">
        <v>46238</v>
      </c>
      <c r="D321" s="139" t="s">
        <v>441</v>
      </c>
      <c r="E321" s="28">
        <v>0.98702003000000005</v>
      </c>
      <c r="F321" s="13"/>
      <c r="G321" s="18">
        <v>2000000</v>
      </c>
      <c r="H321" s="18">
        <v>1974040.07</v>
      </c>
      <c r="I321" s="18">
        <v>2000000</v>
      </c>
      <c r="J321" s="18">
        <v>1974040.07</v>
      </c>
      <c r="K321" s="15">
        <v>1227536</v>
      </c>
      <c r="L321" s="13" t="s">
        <v>102</v>
      </c>
      <c r="M321" s="13" t="s">
        <v>103</v>
      </c>
      <c r="N321" s="139" t="s">
        <v>373</v>
      </c>
      <c r="O321" s="139" t="s">
        <v>373</v>
      </c>
      <c r="P321" s="28">
        <v>32</v>
      </c>
      <c r="Q321" s="13" t="s">
        <v>54</v>
      </c>
      <c r="R321" s="13" t="s">
        <v>28</v>
      </c>
      <c r="S321" s="13"/>
      <c r="T321" s="13"/>
      <c r="U321" s="13" t="s">
        <v>1443</v>
      </c>
      <c r="V321" s="13" t="s">
        <v>1443</v>
      </c>
      <c r="W321" s="59">
        <f t="shared" si="4"/>
        <v>3.7713265974716416E-5</v>
      </c>
    </row>
    <row r="322" spans="1:29">
      <c r="A322" s="13" t="s">
        <v>1415</v>
      </c>
      <c r="B322" s="13" t="s">
        <v>471</v>
      </c>
      <c r="C322" s="139">
        <v>46238</v>
      </c>
      <c r="D322" s="139" t="s">
        <v>441</v>
      </c>
      <c r="E322" s="28">
        <v>0.98382751999999996</v>
      </c>
      <c r="F322" s="13"/>
      <c r="G322" s="18">
        <v>60000000</v>
      </c>
      <c r="H322" s="18">
        <v>59029651.240000002</v>
      </c>
      <c r="I322" s="18">
        <v>60000000</v>
      </c>
      <c r="J322" s="18">
        <v>59029651.240000002</v>
      </c>
      <c r="K322" s="15">
        <v>152491</v>
      </c>
      <c r="L322" s="13" t="s">
        <v>102</v>
      </c>
      <c r="M322" s="13" t="s">
        <v>103</v>
      </c>
      <c r="N322" s="139" t="s">
        <v>373</v>
      </c>
      <c r="O322" s="139" t="s">
        <v>373</v>
      </c>
      <c r="P322" s="28">
        <v>40</v>
      </c>
      <c r="Q322" s="13" t="s">
        <v>54</v>
      </c>
      <c r="R322" s="13" t="s">
        <v>28</v>
      </c>
      <c r="S322" s="13"/>
      <c r="T322" s="13"/>
      <c r="U322" s="13" t="s">
        <v>1416</v>
      </c>
      <c r="V322" s="13" t="s">
        <v>1416</v>
      </c>
      <c r="W322" s="59">
        <f t="shared" si="4"/>
        <v>1.1277384747356567E-3</v>
      </c>
      <c r="AC322" s="56"/>
    </row>
    <row r="323" spans="1:29">
      <c r="A323" s="13" t="s">
        <v>654</v>
      </c>
      <c r="B323" s="13" t="s">
        <v>471</v>
      </c>
      <c r="C323" s="139">
        <v>46238</v>
      </c>
      <c r="D323" s="139" t="s">
        <v>441</v>
      </c>
      <c r="E323" s="28">
        <v>0.98661986999999995</v>
      </c>
      <c r="F323" s="13"/>
      <c r="G323" s="18">
        <v>10000000</v>
      </c>
      <c r="H323" s="18">
        <v>9866198.7100000009</v>
      </c>
      <c r="I323" s="18">
        <v>10000000</v>
      </c>
      <c r="J323" s="18">
        <v>9866198.7100000009</v>
      </c>
      <c r="K323" s="15">
        <v>13633527</v>
      </c>
      <c r="L323" s="13" t="s">
        <v>102</v>
      </c>
      <c r="M323" s="13" t="s">
        <v>103</v>
      </c>
      <c r="N323" s="139" t="s">
        <v>162</v>
      </c>
      <c r="O323" s="139" t="s">
        <v>162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1085</v>
      </c>
      <c r="V323" s="13" t="s">
        <v>1085</v>
      </c>
      <c r="W323" s="59">
        <f t="shared" si="4"/>
        <v>1.8848988010138721E-4</v>
      </c>
    </row>
    <row r="324" spans="1:29">
      <c r="A324" s="13" t="s">
        <v>1048</v>
      </c>
      <c r="B324" s="13" t="s">
        <v>471</v>
      </c>
      <c r="C324" s="139">
        <v>46238</v>
      </c>
      <c r="D324" s="139" t="s">
        <v>441</v>
      </c>
      <c r="E324" s="28">
        <v>0.98502228000000003</v>
      </c>
      <c r="F324" s="13"/>
      <c r="G324" s="18">
        <v>6598885.3799999999</v>
      </c>
      <c r="H324" s="18">
        <v>6500049.1399999997</v>
      </c>
      <c r="I324" s="18">
        <v>6598885.3799999999</v>
      </c>
      <c r="J324" s="18">
        <v>6500049.1399999997</v>
      </c>
      <c r="K324" s="15">
        <v>10902567</v>
      </c>
      <c r="L324" s="13" t="s">
        <v>102</v>
      </c>
      <c r="M324" s="13" t="s">
        <v>103</v>
      </c>
      <c r="N324" s="139" t="s">
        <v>364</v>
      </c>
      <c r="O324" s="139" t="s">
        <v>364</v>
      </c>
      <c r="P324" s="28">
        <v>37</v>
      </c>
      <c r="Q324" s="13" t="s">
        <v>54</v>
      </c>
      <c r="R324" s="13" t="s">
        <v>28</v>
      </c>
      <c r="S324" s="13"/>
      <c r="T324" s="13"/>
      <c r="U324" s="13" t="s">
        <v>1043</v>
      </c>
      <c r="V324" s="13" t="s">
        <v>1043</v>
      </c>
      <c r="W324" s="59">
        <f t="shared" si="4"/>
        <v>1.2418090483115E-4</v>
      </c>
      <c r="AC324" s="56"/>
    </row>
    <row r="325" spans="1:29">
      <c r="A325" s="13" t="s">
        <v>197</v>
      </c>
      <c r="B325" s="13" t="s">
        <v>471</v>
      </c>
      <c r="C325" s="139">
        <v>46238</v>
      </c>
      <c r="D325" s="139" t="s">
        <v>441</v>
      </c>
      <c r="E325" s="28">
        <v>0.99184784999999998</v>
      </c>
      <c r="F325" s="13"/>
      <c r="G325" s="18">
        <v>2500000</v>
      </c>
      <c r="H325" s="18">
        <v>2479619.62</v>
      </c>
      <c r="I325" s="18">
        <v>2500000</v>
      </c>
      <c r="J325" s="18">
        <v>2479619.62</v>
      </c>
      <c r="K325" s="15">
        <v>6129</v>
      </c>
      <c r="L325" s="13" t="s">
        <v>102</v>
      </c>
      <c r="M325" s="13" t="s">
        <v>103</v>
      </c>
      <c r="N325" s="139" t="s">
        <v>319</v>
      </c>
      <c r="O325" s="139" t="s">
        <v>319</v>
      </c>
      <c r="P325" s="28">
        <v>20</v>
      </c>
      <c r="Q325" s="13" t="s">
        <v>54</v>
      </c>
      <c r="R325" s="13" t="s">
        <v>28</v>
      </c>
      <c r="S325" s="13"/>
      <c r="T325" s="13"/>
      <c r="U325" s="13" t="s">
        <v>1208</v>
      </c>
      <c r="V325" s="13" t="s">
        <v>1208</v>
      </c>
      <c r="W325" s="59">
        <f t="shared" ref="W325:W388" si="5">+J325/$W$2</f>
        <v>4.7372166181604027E-5</v>
      </c>
    </row>
    <row r="326" spans="1:29">
      <c r="A326" s="13" t="s">
        <v>737</v>
      </c>
      <c r="B326" s="13" t="s">
        <v>471</v>
      </c>
      <c r="C326" s="139">
        <v>46238</v>
      </c>
      <c r="D326" s="139" t="s">
        <v>441</v>
      </c>
      <c r="E326" s="28">
        <v>0.99023346999999995</v>
      </c>
      <c r="F326" s="13"/>
      <c r="G326" s="18">
        <v>13804469.48</v>
      </c>
      <c r="H326" s="18">
        <v>13669647.74</v>
      </c>
      <c r="I326" s="18">
        <v>13804469.48</v>
      </c>
      <c r="J326" s="18">
        <v>13669647.74</v>
      </c>
      <c r="K326" s="15">
        <v>6023</v>
      </c>
      <c r="L326" s="13" t="s">
        <v>102</v>
      </c>
      <c r="M326" s="13" t="s">
        <v>103</v>
      </c>
      <c r="N326" s="139" t="s">
        <v>783</v>
      </c>
      <c r="O326" s="139" t="s">
        <v>783</v>
      </c>
      <c r="P326" s="28">
        <v>24</v>
      </c>
      <c r="Q326" s="13" t="s">
        <v>54</v>
      </c>
      <c r="R326" s="13" t="s">
        <v>28</v>
      </c>
      <c r="S326" s="13"/>
      <c r="T326" s="13"/>
      <c r="U326" s="13" t="s">
        <v>2086</v>
      </c>
      <c r="V326" s="13" t="s">
        <v>2086</v>
      </c>
      <c r="W326" s="59">
        <f t="shared" si="5"/>
        <v>2.6115329107747096E-4</v>
      </c>
    </row>
    <row r="327" spans="1:29">
      <c r="A327" s="13" t="s">
        <v>209</v>
      </c>
      <c r="B327" s="13" t="s">
        <v>471</v>
      </c>
      <c r="C327" s="139">
        <v>46238</v>
      </c>
      <c r="D327" s="139" t="s">
        <v>441</v>
      </c>
      <c r="E327" s="28">
        <v>0.98902590999999995</v>
      </c>
      <c r="F327" s="13"/>
      <c r="G327" s="18">
        <v>27789080.199999999</v>
      </c>
      <c r="H327" s="18">
        <v>27484120.370000001</v>
      </c>
      <c r="I327" s="18">
        <v>27789080.199999999</v>
      </c>
      <c r="J327" s="18">
        <v>27484120.370000001</v>
      </c>
      <c r="K327" s="15">
        <v>540</v>
      </c>
      <c r="L327" s="13" t="s">
        <v>102</v>
      </c>
      <c r="M327" s="13" t="s">
        <v>103</v>
      </c>
      <c r="N327" s="139" t="s">
        <v>359</v>
      </c>
      <c r="O327" s="139" t="s">
        <v>359</v>
      </c>
      <c r="P327" s="28">
        <v>27</v>
      </c>
      <c r="Q327" s="13" t="s">
        <v>54</v>
      </c>
      <c r="R327" s="13" t="s">
        <v>28</v>
      </c>
      <c r="S327" s="13"/>
      <c r="T327" s="13"/>
      <c r="U327" s="13" t="s">
        <v>965</v>
      </c>
      <c r="V327" s="13" t="s">
        <v>965</v>
      </c>
      <c r="W327" s="59">
        <f t="shared" si="5"/>
        <v>5.2507340521964758E-4</v>
      </c>
    </row>
    <row r="328" spans="1:29">
      <c r="A328" s="13" t="s">
        <v>209</v>
      </c>
      <c r="B328" s="13" t="s">
        <v>471</v>
      </c>
      <c r="C328" s="139">
        <v>46238</v>
      </c>
      <c r="D328" s="139" t="s">
        <v>441</v>
      </c>
      <c r="E328" s="28">
        <v>0.99043484999999998</v>
      </c>
      <c r="F328" s="13"/>
      <c r="G328" s="18">
        <v>7636731.6600000001</v>
      </c>
      <c r="H328" s="18">
        <v>7563685.21</v>
      </c>
      <c r="I328" s="18">
        <v>7636731.6600000001</v>
      </c>
      <c r="J328" s="18">
        <v>7563685.21</v>
      </c>
      <c r="K328" s="15">
        <v>90</v>
      </c>
      <c r="L328" s="13" t="s">
        <v>102</v>
      </c>
      <c r="M328" s="13" t="s">
        <v>103</v>
      </c>
      <c r="N328" s="139" t="s">
        <v>382</v>
      </c>
      <c r="O328" s="139" t="s">
        <v>382</v>
      </c>
      <c r="P328" s="28">
        <v>23.5</v>
      </c>
      <c r="Q328" s="13" t="s">
        <v>54</v>
      </c>
      <c r="R328" s="13" t="s">
        <v>28</v>
      </c>
      <c r="S328" s="13"/>
      <c r="T328" s="13"/>
      <c r="U328" s="13" t="s">
        <v>2398</v>
      </c>
      <c r="V328" s="13" t="s">
        <v>2398</v>
      </c>
      <c r="W328" s="59">
        <f t="shared" si="5"/>
        <v>1.4450125729907742E-4</v>
      </c>
    </row>
    <row r="329" spans="1:29">
      <c r="A329" s="13" t="s">
        <v>209</v>
      </c>
      <c r="B329" s="13" t="s">
        <v>471</v>
      </c>
      <c r="C329" s="139">
        <v>46238</v>
      </c>
      <c r="D329" s="139" t="s">
        <v>441</v>
      </c>
      <c r="E329" s="28">
        <v>0.99043486000000003</v>
      </c>
      <c r="F329" s="13"/>
      <c r="G329" s="18">
        <v>6203209.9199999999</v>
      </c>
      <c r="H329" s="18">
        <v>6143875.3200000003</v>
      </c>
      <c r="I329" s="18">
        <v>6203209.9199999999</v>
      </c>
      <c r="J329" s="18">
        <v>6143875.3200000003</v>
      </c>
      <c r="K329" s="15">
        <v>91</v>
      </c>
      <c r="L329" s="13" t="s">
        <v>102</v>
      </c>
      <c r="M329" s="13" t="s">
        <v>103</v>
      </c>
      <c r="N329" s="139" t="s">
        <v>382</v>
      </c>
      <c r="O329" s="139" t="s">
        <v>382</v>
      </c>
      <c r="P329" s="28">
        <v>23.5</v>
      </c>
      <c r="Q329" s="13" t="s">
        <v>54</v>
      </c>
      <c r="R329" s="13" t="s">
        <v>28</v>
      </c>
      <c r="S329" s="13"/>
      <c r="T329" s="13"/>
      <c r="U329" s="13" t="s">
        <v>2399</v>
      </c>
      <c r="V329" s="13" t="s">
        <v>2399</v>
      </c>
      <c r="W329" s="59">
        <f t="shared" si="5"/>
        <v>1.1737634285136672E-4</v>
      </c>
    </row>
    <row r="330" spans="1:29">
      <c r="A330" s="13" t="s">
        <v>472</v>
      </c>
      <c r="B330" s="13" t="s">
        <v>471</v>
      </c>
      <c r="C330" s="139">
        <v>46238</v>
      </c>
      <c r="D330" s="139" t="s">
        <v>441</v>
      </c>
      <c r="E330" s="28">
        <v>0.98782139999999996</v>
      </c>
      <c r="F330" s="13"/>
      <c r="G330" s="18">
        <v>10000000</v>
      </c>
      <c r="H330" s="18">
        <v>9878213.9600000009</v>
      </c>
      <c r="I330" s="18">
        <v>10000000</v>
      </c>
      <c r="J330" s="18">
        <v>9878213.9600000009</v>
      </c>
      <c r="K330" s="15">
        <v>492</v>
      </c>
      <c r="L330" s="13" t="s">
        <v>102</v>
      </c>
      <c r="M330" s="13" t="s">
        <v>103</v>
      </c>
      <c r="N330" s="139" t="s">
        <v>364</v>
      </c>
      <c r="O330" s="139" t="s">
        <v>364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1019</v>
      </c>
      <c r="V330" s="13" t="s">
        <v>1019</v>
      </c>
      <c r="W330" s="59">
        <f t="shared" si="5"/>
        <v>1.8871942676859478E-4</v>
      </c>
    </row>
    <row r="331" spans="1:29">
      <c r="A331" s="13" t="s">
        <v>481</v>
      </c>
      <c r="B331" s="13" t="s">
        <v>471</v>
      </c>
      <c r="C331" s="139">
        <v>46238</v>
      </c>
      <c r="D331" s="139" t="s">
        <v>441</v>
      </c>
      <c r="E331" s="28">
        <v>0.98462375000000002</v>
      </c>
      <c r="F331" s="13"/>
      <c r="G331" s="18">
        <v>100000000</v>
      </c>
      <c r="H331" s="18">
        <v>98462374.989999995</v>
      </c>
      <c r="I331" s="18">
        <v>100000000</v>
      </c>
      <c r="J331" s="18">
        <v>98462374.989999995</v>
      </c>
      <c r="K331" s="15">
        <v>70219538</v>
      </c>
      <c r="L331" s="13" t="s">
        <v>102</v>
      </c>
      <c r="M331" s="13" t="s">
        <v>103</v>
      </c>
      <c r="N331" s="139" t="s">
        <v>370</v>
      </c>
      <c r="O331" s="139" t="s">
        <v>370</v>
      </c>
      <c r="P331" s="28">
        <v>38</v>
      </c>
      <c r="Q331" s="13" t="s">
        <v>54</v>
      </c>
      <c r="R331" s="13" t="s">
        <v>28</v>
      </c>
      <c r="S331" s="13"/>
      <c r="T331" s="13"/>
      <c r="U331" s="13" t="s">
        <v>1131</v>
      </c>
      <c r="V331" s="13" t="s">
        <v>1131</v>
      </c>
      <c r="W331" s="59">
        <f t="shared" si="5"/>
        <v>1.8810852894693953E-3</v>
      </c>
    </row>
    <row r="332" spans="1:29">
      <c r="A332" s="13" t="s">
        <v>481</v>
      </c>
      <c r="B332" s="13" t="s">
        <v>471</v>
      </c>
      <c r="C332" s="139">
        <v>46238</v>
      </c>
      <c r="D332" s="139" t="s">
        <v>441</v>
      </c>
      <c r="E332" s="28">
        <v>0.98462375000000002</v>
      </c>
      <c r="F332" s="13"/>
      <c r="G332" s="18">
        <v>1082000000</v>
      </c>
      <c r="H332" s="18">
        <v>1065362897.39</v>
      </c>
      <c r="I332" s="18">
        <v>1082000000</v>
      </c>
      <c r="J332" s="18">
        <v>1065362897.39</v>
      </c>
      <c r="K332" s="15">
        <v>70219527</v>
      </c>
      <c r="L332" s="13" t="s">
        <v>102</v>
      </c>
      <c r="M332" s="13" t="s">
        <v>103</v>
      </c>
      <c r="N332" s="139" t="s">
        <v>370</v>
      </c>
      <c r="O332" s="139" t="s">
        <v>370</v>
      </c>
      <c r="P332" s="28">
        <v>38</v>
      </c>
      <c r="Q332" s="13" t="s">
        <v>54</v>
      </c>
      <c r="R332" s="13" t="s">
        <v>28</v>
      </c>
      <c r="S332" s="13"/>
      <c r="T332" s="13"/>
      <c r="U332" s="13" t="s">
        <v>1132</v>
      </c>
      <c r="V332" s="13" t="s">
        <v>1132</v>
      </c>
      <c r="W332" s="59">
        <f t="shared" si="5"/>
        <v>2.035334283202447E-2</v>
      </c>
    </row>
    <row r="333" spans="1:29">
      <c r="A333" s="13" t="s">
        <v>310</v>
      </c>
      <c r="B333" s="13" t="s">
        <v>471</v>
      </c>
      <c r="C333" s="139">
        <v>46238</v>
      </c>
      <c r="D333" s="139" t="s">
        <v>441</v>
      </c>
      <c r="E333" s="28">
        <v>0.98661982000000004</v>
      </c>
      <c r="F333" s="13"/>
      <c r="G333" s="18">
        <v>50000000</v>
      </c>
      <c r="H333" s="18">
        <v>49330990.920000002</v>
      </c>
      <c r="I333" s="18">
        <v>50000000</v>
      </c>
      <c r="J333" s="18">
        <v>49330990.920000002</v>
      </c>
      <c r="K333" s="15">
        <v>29030848</v>
      </c>
      <c r="L333" s="13" t="s">
        <v>102</v>
      </c>
      <c r="M333" s="13" t="s">
        <v>103</v>
      </c>
      <c r="N333" s="139" t="s">
        <v>309</v>
      </c>
      <c r="O333" s="139" t="s">
        <v>309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520</v>
      </c>
      <c r="V333" s="13" t="s">
        <v>520</v>
      </c>
      <c r="W333" s="59">
        <f t="shared" si="5"/>
        <v>9.4244935026181135E-4</v>
      </c>
    </row>
    <row r="334" spans="1:29">
      <c r="A334" s="13" t="s">
        <v>310</v>
      </c>
      <c r="B334" s="13" t="s">
        <v>471</v>
      </c>
      <c r="C334" s="139">
        <v>46238</v>
      </c>
      <c r="D334" s="139" t="s">
        <v>441</v>
      </c>
      <c r="E334" s="28">
        <v>0.98661982999999998</v>
      </c>
      <c r="F334" s="13"/>
      <c r="G334" s="18">
        <v>50000000</v>
      </c>
      <c r="H334" s="18">
        <v>49330991.600000001</v>
      </c>
      <c r="I334" s="18">
        <v>50000000</v>
      </c>
      <c r="J334" s="18">
        <v>49330991.600000001</v>
      </c>
      <c r="K334" s="15">
        <v>29007569</v>
      </c>
      <c r="L334" s="13" t="s">
        <v>102</v>
      </c>
      <c r="M334" s="13" t="s">
        <v>103</v>
      </c>
      <c r="N334" s="139" t="s">
        <v>154</v>
      </c>
      <c r="O334" s="139" t="s">
        <v>154</v>
      </c>
      <c r="P334" s="28">
        <v>33</v>
      </c>
      <c r="Q334" s="13" t="s">
        <v>54</v>
      </c>
      <c r="R334" s="13" t="s">
        <v>28</v>
      </c>
      <c r="S334" s="13"/>
      <c r="T334" s="13"/>
      <c r="U334" s="13" t="s">
        <v>507</v>
      </c>
      <c r="V334" s="13" t="s">
        <v>507</v>
      </c>
      <c r="W334" s="59">
        <f t="shared" si="5"/>
        <v>9.4244936325294621E-4</v>
      </c>
      <c r="AC334" s="56"/>
    </row>
    <row r="335" spans="1:29">
      <c r="A335" s="13" t="s">
        <v>432</v>
      </c>
      <c r="B335" s="13" t="s">
        <v>471</v>
      </c>
      <c r="C335" s="139">
        <v>46238</v>
      </c>
      <c r="D335" s="139" t="s">
        <v>441</v>
      </c>
      <c r="E335" s="28">
        <v>0.98542123000000004</v>
      </c>
      <c r="F335" s="13"/>
      <c r="G335" s="18">
        <v>5882352.9299999997</v>
      </c>
      <c r="H335" s="18">
        <v>5796595.4400000004</v>
      </c>
      <c r="I335" s="18">
        <v>5882352.9299999997</v>
      </c>
      <c r="J335" s="18">
        <v>5796595.4400000004</v>
      </c>
      <c r="K335" s="15">
        <v>2620</v>
      </c>
      <c r="L335" s="13" t="s">
        <v>102</v>
      </c>
      <c r="M335" s="13" t="s">
        <v>103</v>
      </c>
      <c r="N335" s="139" t="s">
        <v>370</v>
      </c>
      <c r="O335" s="139" t="s">
        <v>370</v>
      </c>
      <c r="P335" s="28">
        <v>36</v>
      </c>
      <c r="Q335" s="13" t="s">
        <v>54</v>
      </c>
      <c r="R335" s="13" t="s">
        <v>28</v>
      </c>
      <c r="S335" s="13"/>
      <c r="T335" s="13"/>
      <c r="U335" s="13" t="s">
        <v>1139</v>
      </c>
      <c r="V335" s="13" t="s">
        <v>1139</v>
      </c>
      <c r="W335" s="59">
        <f t="shared" si="5"/>
        <v>1.1074169612805699E-4</v>
      </c>
    </row>
    <row r="336" spans="1:29">
      <c r="A336" s="13" t="s">
        <v>432</v>
      </c>
      <c r="B336" s="13" t="s">
        <v>471</v>
      </c>
      <c r="C336" s="139">
        <v>46238</v>
      </c>
      <c r="D336" s="139" t="s">
        <v>441</v>
      </c>
      <c r="E336" s="28">
        <v>0.98542125999999997</v>
      </c>
      <c r="F336" s="13"/>
      <c r="G336" s="18">
        <v>2273100.5</v>
      </c>
      <c r="H336" s="18">
        <v>2239961.56</v>
      </c>
      <c r="I336" s="18">
        <v>2273100.5</v>
      </c>
      <c r="J336" s="18">
        <v>2239961.56</v>
      </c>
      <c r="K336" s="15">
        <v>2757</v>
      </c>
      <c r="L336" s="13" t="s">
        <v>102</v>
      </c>
      <c r="M336" s="13" t="s">
        <v>103</v>
      </c>
      <c r="N336" s="139" t="s">
        <v>170</v>
      </c>
      <c r="O336" s="139" t="s">
        <v>170</v>
      </c>
      <c r="P336" s="28">
        <v>36</v>
      </c>
      <c r="Q336" s="13" t="s">
        <v>54</v>
      </c>
      <c r="R336" s="13" t="s">
        <v>28</v>
      </c>
      <c r="S336" s="13"/>
      <c r="T336" s="13"/>
      <c r="U336" s="13" t="s">
        <v>1655</v>
      </c>
      <c r="V336" s="13" t="s">
        <v>1655</v>
      </c>
      <c r="W336" s="59">
        <f t="shared" si="5"/>
        <v>4.2793592373948473E-5</v>
      </c>
    </row>
    <row r="337" spans="1:29">
      <c r="A337" s="13" t="s">
        <v>404</v>
      </c>
      <c r="B337" s="13" t="s">
        <v>471</v>
      </c>
      <c r="C337" s="139">
        <v>46238</v>
      </c>
      <c r="D337" s="139" t="s">
        <v>441</v>
      </c>
      <c r="E337" s="28">
        <v>0.98661982000000004</v>
      </c>
      <c r="F337" s="13"/>
      <c r="G337" s="18">
        <v>6747533.79</v>
      </c>
      <c r="H337" s="18">
        <v>6657250.5800000001</v>
      </c>
      <c r="I337" s="18">
        <v>6747533.79</v>
      </c>
      <c r="J337" s="18">
        <v>6657250.5800000001</v>
      </c>
      <c r="K337" s="15">
        <v>10949784</v>
      </c>
      <c r="L337" s="13" t="s">
        <v>102</v>
      </c>
      <c r="M337" s="13" t="s">
        <v>103</v>
      </c>
      <c r="N337" s="139" t="s">
        <v>458</v>
      </c>
      <c r="O337" s="139" t="s">
        <v>458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1179</v>
      </c>
      <c r="V337" s="13" t="s">
        <v>1179</v>
      </c>
      <c r="W337" s="59">
        <f t="shared" si="5"/>
        <v>1.2718417705871347E-4</v>
      </c>
    </row>
    <row r="338" spans="1:29">
      <c r="A338" s="13" t="s">
        <v>1310</v>
      </c>
      <c r="B338" s="13" t="s">
        <v>471</v>
      </c>
      <c r="C338" s="139">
        <v>46238</v>
      </c>
      <c r="D338" s="139" t="s">
        <v>441</v>
      </c>
      <c r="E338" s="28">
        <v>0.99265707999999997</v>
      </c>
      <c r="F338" s="13"/>
      <c r="G338" s="18">
        <v>776145000</v>
      </c>
      <c r="H338" s="18">
        <v>770445826.87</v>
      </c>
      <c r="I338" s="18">
        <v>776145000</v>
      </c>
      <c r="J338" s="18">
        <v>770445826.87</v>
      </c>
      <c r="K338" s="15">
        <v>152009</v>
      </c>
      <c r="L338" s="13" t="s">
        <v>102</v>
      </c>
      <c r="M338" s="13" t="s">
        <v>103</v>
      </c>
      <c r="N338" s="139" t="s">
        <v>368</v>
      </c>
      <c r="O338" s="139" t="s">
        <v>368</v>
      </c>
      <c r="P338" s="28">
        <v>18</v>
      </c>
      <c r="Q338" s="13" t="s">
        <v>54</v>
      </c>
      <c r="R338" s="13" t="s">
        <v>28</v>
      </c>
      <c r="S338" s="13"/>
      <c r="T338" s="13"/>
      <c r="U338" s="13" t="s">
        <v>1289</v>
      </c>
      <c r="V338" s="13" t="s">
        <v>1289</v>
      </c>
      <c r="W338" s="59">
        <f t="shared" si="5"/>
        <v>1.4719067170636828E-2</v>
      </c>
    </row>
    <row r="339" spans="1:29">
      <c r="A339" s="13" t="s">
        <v>1310</v>
      </c>
      <c r="B339" s="13" t="s">
        <v>471</v>
      </c>
      <c r="C339" s="139">
        <v>46238</v>
      </c>
      <c r="D339" s="139" t="s">
        <v>441</v>
      </c>
      <c r="E339" s="28">
        <v>0.98582042999999997</v>
      </c>
      <c r="F339" s="13"/>
      <c r="G339" s="18">
        <v>24341349.530000001</v>
      </c>
      <c r="H339" s="18">
        <v>23996199.559999999</v>
      </c>
      <c r="I339" s="18">
        <v>24341349.530000001</v>
      </c>
      <c r="J339" s="18">
        <v>23996199.559999999</v>
      </c>
      <c r="K339" s="15">
        <v>13784401</v>
      </c>
      <c r="L339" s="13" t="s">
        <v>102</v>
      </c>
      <c r="M339" s="13" t="s">
        <v>103</v>
      </c>
      <c r="N339" s="139" t="s">
        <v>459</v>
      </c>
      <c r="O339" s="139" t="s">
        <v>459</v>
      </c>
      <c r="P339" s="28">
        <v>35</v>
      </c>
      <c r="Q339" s="13" t="s">
        <v>54</v>
      </c>
      <c r="R339" s="13" t="s">
        <v>28</v>
      </c>
      <c r="S339" s="13"/>
      <c r="T339" s="13"/>
      <c r="U339" s="13" t="s">
        <v>1513</v>
      </c>
      <c r="V339" s="13" t="s">
        <v>1513</v>
      </c>
      <c r="W339" s="59">
        <f t="shared" si="5"/>
        <v>4.5843803788068647E-4</v>
      </c>
    </row>
    <row r="340" spans="1:29">
      <c r="A340" s="13" t="s">
        <v>122</v>
      </c>
      <c r="B340" s="13" t="s">
        <v>471</v>
      </c>
      <c r="C340" s="139">
        <v>46238</v>
      </c>
      <c r="D340" s="139" t="s">
        <v>441</v>
      </c>
      <c r="E340" s="28">
        <v>0.96894080999999999</v>
      </c>
      <c r="F340" s="13"/>
      <c r="G340" s="18">
        <v>10000000</v>
      </c>
      <c r="H340" s="18">
        <v>9689408.0899999999</v>
      </c>
      <c r="I340" s="18">
        <v>10000000</v>
      </c>
      <c r="J340" s="18">
        <v>9689408.0899999999</v>
      </c>
      <c r="K340" s="15">
        <v>3935</v>
      </c>
      <c r="L340" s="13" t="s">
        <v>102</v>
      </c>
      <c r="M340" s="13" t="s">
        <v>103</v>
      </c>
      <c r="N340" s="139" t="s">
        <v>135</v>
      </c>
      <c r="O340" s="139" t="s">
        <v>135</v>
      </c>
      <c r="P340" s="28">
        <v>78</v>
      </c>
      <c r="Q340" s="13" t="s">
        <v>54</v>
      </c>
      <c r="R340" s="13" t="s">
        <v>28</v>
      </c>
      <c r="S340" s="13"/>
      <c r="T340" s="13"/>
      <c r="U340" s="13" t="s">
        <v>191</v>
      </c>
      <c r="V340" s="13" t="s">
        <v>191</v>
      </c>
      <c r="W340" s="59">
        <f t="shared" si="5"/>
        <v>1.8511236422659799E-4</v>
      </c>
    </row>
    <row r="341" spans="1:29">
      <c r="A341" s="13" t="s">
        <v>149</v>
      </c>
      <c r="B341" s="13" t="s">
        <v>471</v>
      </c>
      <c r="C341" s="139">
        <v>46238</v>
      </c>
      <c r="D341" s="139" t="s">
        <v>441</v>
      </c>
      <c r="E341" s="28">
        <v>0.98862406000000003</v>
      </c>
      <c r="F341" s="13"/>
      <c r="G341" s="18">
        <v>50000000</v>
      </c>
      <c r="H341" s="18">
        <v>49431202.759999998</v>
      </c>
      <c r="I341" s="18">
        <v>50000000</v>
      </c>
      <c r="J341" s="18">
        <v>49431202.759999998</v>
      </c>
      <c r="K341" s="15">
        <v>4577</v>
      </c>
      <c r="L341" s="13" t="s">
        <v>102</v>
      </c>
      <c r="M341" s="13" t="s">
        <v>103</v>
      </c>
      <c r="N341" s="139" t="s">
        <v>326</v>
      </c>
      <c r="O341" s="139" t="s">
        <v>326</v>
      </c>
      <c r="P341" s="28">
        <v>28</v>
      </c>
      <c r="Q341" s="13" t="s">
        <v>54</v>
      </c>
      <c r="R341" s="13" t="s">
        <v>28</v>
      </c>
      <c r="S341" s="13"/>
      <c r="T341" s="13"/>
      <c r="U341" s="13" t="s">
        <v>981</v>
      </c>
      <c r="V341" s="13" t="s">
        <v>981</v>
      </c>
      <c r="W341" s="59">
        <f t="shared" si="5"/>
        <v>9.4436385839828272E-4</v>
      </c>
      <c r="AC341" s="56"/>
    </row>
    <row r="342" spans="1:29">
      <c r="A342" s="13" t="s">
        <v>323</v>
      </c>
      <c r="B342" s="13" t="s">
        <v>471</v>
      </c>
      <c r="C342" s="139">
        <v>46238</v>
      </c>
      <c r="D342" s="139" t="s">
        <v>441</v>
      </c>
      <c r="E342" s="28">
        <v>0.98782141000000001</v>
      </c>
      <c r="F342" s="13"/>
      <c r="G342" s="18">
        <v>10000000</v>
      </c>
      <c r="H342" s="18">
        <v>9878214.0800000001</v>
      </c>
      <c r="I342" s="18">
        <v>10000000</v>
      </c>
      <c r="J342" s="18">
        <v>9878214.0800000001</v>
      </c>
      <c r="K342" s="15">
        <v>65931757</v>
      </c>
      <c r="L342" s="13" t="s">
        <v>102</v>
      </c>
      <c r="M342" s="13" t="s">
        <v>103</v>
      </c>
      <c r="N342" s="139" t="s">
        <v>229</v>
      </c>
      <c r="O342" s="139" t="s">
        <v>229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515</v>
      </c>
      <c r="V342" s="13" t="s">
        <v>515</v>
      </c>
      <c r="W342" s="59">
        <f t="shared" si="5"/>
        <v>1.88719429061148E-4</v>
      </c>
    </row>
    <row r="343" spans="1:29">
      <c r="A343" s="13" t="s">
        <v>1508</v>
      </c>
      <c r="B343" s="13" t="s">
        <v>471</v>
      </c>
      <c r="C343" s="139">
        <v>46238</v>
      </c>
      <c r="D343" s="139" t="s">
        <v>441</v>
      </c>
      <c r="E343" s="28">
        <v>0.98782157000000004</v>
      </c>
      <c r="F343" s="13"/>
      <c r="G343" s="18">
        <v>40093877.229999997</v>
      </c>
      <c r="H343" s="18">
        <v>39605596.93</v>
      </c>
      <c r="I343" s="18">
        <v>40093877.229999997</v>
      </c>
      <c r="J343" s="18">
        <v>39605596.93</v>
      </c>
      <c r="K343" s="15">
        <v>56</v>
      </c>
      <c r="L343" s="13" t="s">
        <v>102</v>
      </c>
      <c r="M343" s="13" t="s">
        <v>103</v>
      </c>
      <c r="N343" s="139" t="s">
        <v>783</v>
      </c>
      <c r="O343" s="139" t="s">
        <v>783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2095</v>
      </c>
      <c r="V343" s="13" t="s">
        <v>2095</v>
      </c>
      <c r="W343" s="59">
        <f t="shared" si="5"/>
        <v>7.5664948944450855E-4</v>
      </c>
    </row>
    <row r="344" spans="1:29">
      <c r="A344" s="13" t="s">
        <v>380</v>
      </c>
      <c r="B344" s="13" t="s">
        <v>471</v>
      </c>
      <c r="C344" s="139">
        <v>46238</v>
      </c>
      <c r="D344" s="139" t="s">
        <v>441</v>
      </c>
      <c r="E344" s="28">
        <v>0.98382751999999996</v>
      </c>
      <c r="F344" s="13"/>
      <c r="G344" s="18">
        <v>50000000</v>
      </c>
      <c r="H344" s="18">
        <v>49191376</v>
      </c>
      <c r="I344" s="18">
        <v>50000000</v>
      </c>
      <c r="J344" s="18">
        <v>49191376</v>
      </c>
      <c r="K344" s="15">
        <v>6540</v>
      </c>
      <c r="L344" s="13" t="s">
        <v>102</v>
      </c>
      <c r="M344" s="13" t="s">
        <v>103</v>
      </c>
      <c r="N344" s="139" t="s">
        <v>152</v>
      </c>
      <c r="O344" s="139" t="s">
        <v>152</v>
      </c>
      <c r="P344" s="28">
        <v>40</v>
      </c>
      <c r="Q344" s="13" t="s">
        <v>54</v>
      </c>
      <c r="R344" s="13" t="s">
        <v>28</v>
      </c>
      <c r="S344" s="13"/>
      <c r="T344" s="13"/>
      <c r="U344" s="13" t="s">
        <v>474</v>
      </c>
      <c r="V344" s="13" t="s">
        <v>474</v>
      </c>
      <c r="W344" s="59">
        <f t="shared" si="5"/>
        <v>9.3978206164289349E-4</v>
      </c>
    </row>
    <row r="345" spans="1:29">
      <c r="A345" s="13" t="s">
        <v>193</v>
      </c>
      <c r="B345" s="13" t="s">
        <v>471</v>
      </c>
      <c r="C345" s="139">
        <v>46238</v>
      </c>
      <c r="D345" s="139" t="s">
        <v>441</v>
      </c>
      <c r="E345" s="28">
        <v>0.98382756000000005</v>
      </c>
      <c r="F345" s="13"/>
      <c r="G345" s="18">
        <v>149000000</v>
      </c>
      <c r="H345" s="18">
        <v>146590306.63</v>
      </c>
      <c r="I345" s="18">
        <v>149000000</v>
      </c>
      <c r="J345" s="18">
        <v>146590306.63</v>
      </c>
      <c r="K345" s="15">
        <v>70388002</v>
      </c>
      <c r="L345" s="13" t="s">
        <v>102</v>
      </c>
      <c r="M345" s="13" t="s">
        <v>103</v>
      </c>
      <c r="N345" s="139" t="s">
        <v>485</v>
      </c>
      <c r="O345" s="139" t="s">
        <v>485</v>
      </c>
      <c r="P345" s="28">
        <v>40</v>
      </c>
      <c r="Q345" s="13" t="s">
        <v>54</v>
      </c>
      <c r="R345" s="13" t="s">
        <v>28</v>
      </c>
      <c r="S345" s="13"/>
      <c r="T345" s="13"/>
      <c r="U345" s="13" t="s">
        <v>1523</v>
      </c>
      <c r="V345" s="13" t="s">
        <v>1523</v>
      </c>
      <c r="W345" s="59">
        <f t="shared" si="5"/>
        <v>2.8005506611891748E-3</v>
      </c>
    </row>
    <row r="346" spans="1:29">
      <c r="A346" s="13" t="s">
        <v>522</v>
      </c>
      <c r="B346" s="13" t="s">
        <v>471</v>
      </c>
      <c r="C346" s="139">
        <v>46238</v>
      </c>
      <c r="D346" s="139" t="s">
        <v>441</v>
      </c>
      <c r="E346" s="28">
        <v>0.98702003000000005</v>
      </c>
      <c r="F346" s="13"/>
      <c r="G346" s="18">
        <v>50000000</v>
      </c>
      <c r="H346" s="18">
        <v>49351001.32</v>
      </c>
      <c r="I346" s="18">
        <v>50000000</v>
      </c>
      <c r="J346" s="18">
        <v>49351001.32</v>
      </c>
      <c r="K346" s="15">
        <v>11915482</v>
      </c>
      <c r="L346" s="13" t="s">
        <v>102</v>
      </c>
      <c r="M346" s="13" t="s">
        <v>103</v>
      </c>
      <c r="N346" s="139" t="s">
        <v>308</v>
      </c>
      <c r="O346" s="139" t="s">
        <v>308</v>
      </c>
      <c r="P346" s="28">
        <v>32</v>
      </c>
      <c r="Q346" s="13" t="s">
        <v>54</v>
      </c>
      <c r="R346" s="13" t="s">
        <v>28</v>
      </c>
      <c r="S346" s="13"/>
      <c r="T346" s="13"/>
      <c r="U346" s="13" t="s">
        <v>521</v>
      </c>
      <c r="V346" s="13" t="s">
        <v>521</v>
      </c>
      <c r="W346" s="59">
        <f t="shared" si="5"/>
        <v>9.4283164115292804E-4</v>
      </c>
    </row>
    <row r="347" spans="1:29">
      <c r="A347" s="13" t="s">
        <v>1044</v>
      </c>
      <c r="B347" s="13" t="s">
        <v>471</v>
      </c>
      <c r="C347" s="139">
        <v>46238</v>
      </c>
      <c r="D347" s="139" t="s">
        <v>441</v>
      </c>
      <c r="E347" s="28">
        <v>0.98661986000000002</v>
      </c>
      <c r="F347" s="13"/>
      <c r="G347" s="18">
        <v>50000000</v>
      </c>
      <c r="H347" s="18">
        <v>49330993.039999999</v>
      </c>
      <c r="I347" s="18">
        <v>50000000</v>
      </c>
      <c r="J347" s="18">
        <v>49330993.039999999</v>
      </c>
      <c r="K347" s="15">
        <v>140</v>
      </c>
      <c r="L347" s="13" t="s">
        <v>102</v>
      </c>
      <c r="M347" s="13" t="s">
        <v>103</v>
      </c>
      <c r="N347" s="139" t="s">
        <v>353</v>
      </c>
      <c r="O347" s="139" t="s">
        <v>353</v>
      </c>
      <c r="P347" s="28">
        <v>33</v>
      </c>
      <c r="Q347" s="13" t="s">
        <v>54</v>
      </c>
      <c r="R347" s="13" t="s">
        <v>28</v>
      </c>
      <c r="S347" s="13"/>
      <c r="T347" s="13"/>
      <c r="U347" s="13" t="s">
        <v>1127</v>
      </c>
      <c r="V347" s="13" t="s">
        <v>1127</v>
      </c>
      <c r="W347" s="59">
        <f t="shared" si="5"/>
        <v>9.4244939076358484E-4</v>
      </c>
    </row>
    <row r="348" spans="1:29">
      <c r="A348" s="13" t="s">
        <v>581</v>
      </c>
      <c r="B348" s="13" t="s">
        <v>471</v>
      </c>
      <c r="C348" s="139">
        <v>46238</v>
      </c>
      <c r="D348" s="139" t="s">
        <v>441</v>
      </c>
      <c r="E348" s="28">
        <v>0.98822255999999997</v>
      </c>
      <c r="F348" s="13"/>
      <c r="G348" s="18">
        <v>5000000</v>
      </c>
      <c r="H348" s="18">
        <v>4941112.82</v>
      </c>
      <c r="I348" s="18">
        <v>5000000</v>
      </c>
      <c r="J348" s="18">
        <v>4941112.82</v>
      </c>
      <c r="K348" s="15">
        <v>43319</v>
      </c>
      <c r="L348" s="13" t="s">
        <v>102</v>
      </c>
      <c r="M348" s="13" t="s">
        <v>103</v>
      </c>
      <c r="N348" s="139" t="s">
        <v>348</v>
      </c>
      <c r="O348" s="139" t="s">
        <v>348</v>
      </c>
      <c r="P348" s="28">
        <v>29</v>
      </c>
      <c r="Q348" s="13" t="s">
        <v>54</v>
      </c>
      <c r="R348" s="13" t="s">
        <v>28</v>
      </c>
      <c r="S348" s="13"/>
      <c r="T348" s="13"/>
      <c r="U348" s="13" t="s">
        <v>706</v>
      </c>
      <c r="V348" s="13" t="s">
        <v>706</v>
      </c>
      <c r="W348" s="59">
        <f t="shared" si="5"/>
        <v>9.4398034175537834E-5</v>
      </c>
    </row>
    <row r="349" spans="1:29">
      <c r="A349" s="13" t="s">
        <v>340</v>
      </c>
      <c r="B349" s="13" t="s">
        <v>471</v>
      </c>
      <c r="C349" s="139">
        <v>46238</v>
      </c>
      <c r="D349" s="139" t="s">
        <v>441</v>
      </c>
      <c r="E349" s="28">
        <v>0.98502232999999995</v>
      </c>
      <c r="F349" s="13"/>
      <c r="G349" s="18">
        <v>3000000</v>
      </c>
      <c r="H349" s="18">
        <v>2955066.98</v>
      </c>
      <c r="I349" s="18">
        <v>3000000</v>
      </c>
      <c r="J349" s="18">
        <v>2955066.98</v>
      </c>
      <c r="K349" s="15">
        <v>40743008</v>
      </c>
      <c r="L349" s="13" t="s">
        <v>102</v>
      </c>
      <c r="M349" s="13" t="s">
        <v>103</v>
      </c>
      <c r="N349" s="139" t="s">
        <v>162</v>
      </c>
      <c r="O349" s="139" t="s">
        <v>162</v>
      </c>
      <c r="P349" s="28">
        <v>37</v>
      </c>
      <c r="Q349" s="13" t="s">
        <v>54</v>
      </c>
      <c r="R349" s="13" t="s">
        <v>28</v>
      </c>
      <c r="S349" s="13"/>
      <c r="T349" s="13"/>
      <c r="U349" s="13" t="s">
        <v>1078</v>
      </c>
      <c r="V349" s="13" t="s">
        <v>1078</v>
      </c>
      <c r="W349" s="59">
        <f t="shared" si="5"/>
        <v>5.6455402645318136E-5</v>
      </c>
    </row>
    <row r="350" spans="1:29">
      <c r="A350" s="13" t="s">
        <v>340</v>
      </c>
      <c r="B350" s="13" t="s">
        <v>471</v>
      </c>
      <c r="C350" s="139">
        <v>46238</v>
      </c>
      <c r="D350" s="139" t="s">
        <v>441</v>
      </c>
      <c r="E350" s="28">
        <v>0.98502232999999995</v>
      </c>
      <c r="F350" s="13"/>
      <c r="G350" s="18">
        <v>6000000</v>
      </c>
      <c r="H350" s="18">
        <v>5910133.9699999997</v>
      </c>
      <c r="I350" s="18">
        <v>6000000</v>
      </c>
      <c r="J350" s="18">
        <v>5910133.9699999997</v>
      </c>
      <c r="K350" s="15">
        <v>40743010</v>
      </c>
      <c r="L350" s="13" t="s">
        <v>102</v>
      </c>
      <c r="M350" s="13" t="s">
        <v>103</v>
      </c>
      <c r="N350" s="139" t="s">
        <v>162</v>
      </c>
      <c r="O350" s="139" t="s">
        <v>162</v>
      </c>
      <c r="P350" s="28">
        <v>37</v>
      </c>
      <c r="Q350" s="13" t="s">
        <v>54</v>
      </c>
      <c r="R350" s="13" t="s">
        <v>28</v>
      </c>
      <c r="S350" s="13"/>
      <c r="T350" s="13"/>
      <c r="U350" s="13" t="s">
        <v>1079</v>
      </c>
      <c r="V350" s="13" t="s">
        <v>1079</v>
      </c>
      <c r="W350" s="59">
        <f t="shared" si="5"/>
        <v>1.1291080548168237E-4</v>
      </c>
    </row>
    <row r="351" spans="1:29">
      <c r="A351" s="13" t="s">
        <v>340</v>
      </c>
      <c r="B351" s="13" t="s">
        <v>471</v>
      </c>
      <c r="C351" s="139">
        <v>46238</v>
      </c>
      <c r="D351" s="139" t="s">
        <v>441</v>
      </c>
      <c r="E351" s="28">
        <v>0.98502232999999995</v>
      </c>
      <c r="F351" s="13"/>
      <c r="G351" s="18">
        <v>3000000</v>
      </c>
      <c r="H351" s="18">
        <v>2955066.98</v>
      </c>
      <c r="I351" s="18">
        <v>3000000</v>
      </c>
      <c r="J351" s="18">
        <v>2955066.98</v>
      </c>
      <c r="K351" s="15">
        <v>40743009</v>
      </c>
      <c r="L351" s="13" t="s">
        <v>102</v>
      </c>
      <c r="M351" s="13" t="s">
        <v>103</v>
      </c>
      <c r="N351" s="139" t="s">
        <v>162</v>
      </c>
      <c r="O351" s="139" t="s">
        <v>162</v>
      </c>
      <c r="P351" s="28">
        <v>37</v>
      </c>
      <c r="Q351" s="13" t="s">
        <v>54</v>
      </c>
      <c r="R351" s="13" t="s">
        <v>28</v>
      </c>
      <c r="S351" s="13"/>
      <c r="T351" s="13"/>
      <c r="U351" s="13" t="s">
        <v>1080</v>
      </c>
      <c r="V351" s="13" t="s">
        <v>1080</v>
      </c>
      <c r="W351" s="59">
        <f t="shared" si="5"/>
        <v>5.6455402645318136E-5</v>
      </c>
    </row>
    <row r="352" spans="1:29">
      <c r="A352" s="13" t="s">
        <v>1779</v>
      </c>
      <c r="B352" s="13" t="s">
        <v>471</v>
      </c>
      <c r="C352" s="139">
        <v>46238</v>
      </c>
      <c r="D352" s="139" t="s">
        <v>441</v>
      </c>
      <c r="E352" s="28">
        <v>0.98782143</v>
      </c>
      <c r="F352" s="13"/>
      <c r="G352" s="18">
        <v>3666380.87</v>
      </c>
      <c r="H352" s="18">
        <v>3621729.6</v>
      </c>
      <c r="I352" s="18">
        <v>3666380.87</v>
      </c>
      <c r="J352" s="18">
        <v>3621729.6</v>
      </c>
      <c r="K352" s="15">
        <v>9687</v>
      </c>
      <c r="L352" s="13" t="s">
        <v>102</v>
      </c>
      <c r="M352" s="13" t="s">
        <v>103</v>
      </c>
      <c r="N352" s="139" t="s">
        <v>172</v>
      </c>
      <c r="O352" s="139" t="s">
        <v>172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1780</v>
      </c>
      <c r="V352" s="13" t="s">
        <v>1780</v>
      </c>
      <c r="W352" s="59">
        <f t="shared" si="5"/>
        <v>6.9191732107698963E-5</v>
      </c>
    </row>
    <row r="353" spans="1:29">
      <c r="A353" s="13" t="s">
        <v>1597</v>
      </c>
      <c r="B353" s="13" t="s">
        <v>471</v>
      </c>
      <c r="C353" s="139">
        <v>46238</v>
      </c>
      <c r="D353" s="139" t="s">
        <v>441</v>
      </c>
      <c r="E353" s="28">
        <v>0.98742057000000005</v>
      </c>
      <c r="F353" s="13"/>
      <c r="G353" s="18">
        <v>11957120</v>
      </c>
      <c r="H353" s="18">
        <v>11806706.189999999</v>
      </c>
      <c r="I353" s="18">
        <v>11957120</v>
      </c>
      <c r="J353" s="18">
        <v>11806706.189999999</v>
      </c>
      <c r="K353" s="15">
        <v>99486214</v>
      </c>
      <c r="L353" s="13" t="s">
        <v>102</v>
      </c>
      <c r="M353" s="13" t="s">
        <v>103</v>
      </c>
      <c r="N353" s="139" t="s">
        <v>431</v>
      </c>
      <c r="O353" s="139" t="s">
        <v>431</v>
      </c>
      <c r="P353" s="28">
        <v>31</v>
      </c>
      <c r="Q353" s="13" t="s">
        <v>54</v>
      </c>
      <c r="R353" s="13" t="s">
        <v>28</v>
      </c>
      <c r="S353" s="13"/>
      <c r="T353" s="13"/>
      <c r="U353" s="13" t="s">
        <v>1931</v>
      </c>
      <c r="V353" s="13" t="s">
        <v>1931</v>
      </c>
      <c r="W353" s="59">
        <f t="shared" si="5"/>
        <v>2.2556251901654695E-4</v>
      </c>
    </row>
    <row r="354" spans="1:29">
      <c r="A354" s="13" t="s">
        <v>1388</v>
      </c>
      <c r="B354" s="13" t="s">
        <v>471</v>
      </c>
      <c r="C354" s="139">
        <v>46239</v>
      </c>
      <c r="D354" s="139" t="s">
        <v>441</v>
      </c>
      <c r="E354" s="28">
        <v>0.98744730000000003</v>
      </c>
      <c r="F354" s="13"/>
      <c r="G354" s="18">
        <v>100000000</v>
      </c>
      <c r="H354" s="18">
        <v>98744729.900000006</v>
      </c>
      <c r="I354" s="18">
        <v>100000000</v>
      </c>
      <c r="J354" s="18">
        <v>98744729.900000006</v>
      </c>
      <c r="K354" s="15">
        <v>90003818</v>
      </c>
      <c r="L354" s="13" t="s">
        <v>102</v>
      </c>
      <c r="M354" s="13" t="s">
        <v>103</v>
      </c>
      <c r="N354" s="139" t="s">
        <v>351</v>
      </c>
      <c r="O354" s="139" t="s">
        <v>351</v>
      </c>
      <c r="P354" s="28">
        <v>29</v>
      </c>
      <c r="Q354" s="13" t="s">
        <v>54</v>
      </c>
      <c r="R354" s="13" t="s">
        <v>28</v>
      </c>
      <c r="S354" s="13"/>
      <c r="T354" s="13"/>
      <c r="U354" s="13" t="s">
        <v>1358</v>
      </c>
      <c r="V354" s="13" t="s">
        <v>1358</v>
      </c>
      <c r="W354" s="59">
        <f t="shared" si="5"/>
        <v>1.8864795699512994E-3</v>
      </c>
    </row>
    <row r="355" spans="1:29">
      <c r="A355" s="13" t="s">
        <v>129</v>
      </c>
      <c r="B355" s="13" t="s">
        <v>130</v>
      </c>
      <c r="C355" s="139">
        <v>46239</v>
      </c>
      <c r="D355" s="139" t="s">
        <v>441</v>
      </c>
      <c r="E355" s="28">
        <v>0.99607036999999998</v>
      </c>
      <c r="F355" s="13" t="s">
        <v>2487</v>
      </c>
      <c r="G355" s="18">
        <v>50000</v>
      </c>
      <c r="H355" s="18">
        <v>49803.519999999997</v>
      </c>
      <c r="I355" s="18">
        <v>74008749.019999996</v>
      </c>
      <c r="J355" s="18">
        <v>73717924.239999995</v>
      </c>
      <c r="K355" s="15">
        <v>144917</v>
      </c>
      <c r="L355" s="13" t="s">
        <v>102</v>
      </c>
      <c r="M355" s="13" t="s">
        <v>103</v>
      </c>
      <c r="N355" s="139" t="s">
        <v>229</v>
      </c>
      <c r="O355" s="139" t="s">
        <v>229</v>
      </c>
      <c r="P355" s="28">
        <v>9</v>
      </c>
      <c r="Q355" s="13" t="s">
        <v>54</v>
      </c>
      <c r="R355" s="13" t="s">
        <v>28</v>
      </c>
      <c r="S355" s="13"/>
      <c r="T355" s="13"/>
      <c r="U355" s="13" t="s">
        <v>516</v>
      </c>
      <c r="V355" s="13" t="s">
        <v>516</v>
      </c>
      <c r="W355" s="59">
        <f t="shared" si="5"/>
        <v>1.4083522043030841E-3</v>
      </c>
    </row>
    <row r="356" spans="1:29">
      <c r="A356" s="13" t="s">
        <v>129</v>
      </c>
      <c r="B356" s="13" t="s">
        <v>130</v>
      </c>
      <c r="C356" s="139">
        <v>46239</v>
      </c>
      <c r="D356" s="139" t="s">
        <v>441</v>
      </c>
      <c r="E356" s="28">
        <v>0.99650567000000001</v>
      </c>
      <c r="F356" s="13" t="s">
        <v>2487</v>
      </c>
      <c r="G356" s="18">
        <v>50000</v>
      </c>
      <c r="H356" s="18">
        <v>49825.279999999999</v>
      </c>
      <c r="I356" s="18">
        <v>74008749.019999996</v>
      </c>
      <c r="J356" s="18">
        <v>73750132.849999994</v>
      </c>
      <c r="K356" s="15">
        <v>144506</v>
      </c>
      <c r="L356" s="13" t="s">
        <v>102</v>
      </c>
      <c r="M356" s="13" t="s">
        <v>103</v>
      </c>
      <c r="N356" s="139" t="s">
        <v>350</v>
      </c>
      <c r="O356" s="139" t="s">
        <v>350</v>
      </c>
      <c r="P356" s="28">
        <v>8</v>
      </c>
      <c r="Q356" s="13" t="s">
        <v>54</v>
      </c>
      <c r="R356" s="13" t="s">
        <v>28</v>
      </c>
      <c r="S356" s="13"/>
      <c r="T356" s="13"/>
      <c r="U356" s="13" t="s">
        <v>489</v>
      </c>
      <c r="V356" s="13" t="s">
        <v>489</v>
      </c>
      <c r="W356" s="59">
        <f t="shared" si="5"/>
        <v>1.408967537240883E-3</v>
      </c>
    </row>
    <row r="357" spans="1:29">
      <c r="A357" s="13" t="s">
        <v>834</v>
      </c>
      <c r="B357" s="13" t="s">
        <v>130</v>
      </c>
      <c r="C357" s="139">
        <v>46239</v>
      </c>
      <c r="D357" s="139" t="s">
        <v>441</v>
      </c>
      <c r="E357" s="28">
        <v>0.99694081000000001</v>
      </c>
      <c r="F357" s="13" t="s">
        <v>2487</v>
      </c>
      <c r="G357" s="18">
        <v>100000</v>
      </c>
      <c r="H357" s="18">
        <v>99694.080000000002</v>
      </c>
      <c r="I357" s="18">
        <v>148017498.03999999</v>
      </c>
      <c r="J357" s="18">
        <v>147564682.91</v>
      </c>
      <c r="K357" s="15">
        <v>147169</v>
      </c>
      <c r="L357" s="13" t="s">
        <v>102</v>
      </c>
      <c r="M357" s="13" t="s">
        <v>103</v>
      </c>
      <c r="N357" s="139" t="s">
        <v>399</v>
      </c>
      <c r="O357" s="139" t="s">
        <v>399</v>
      </c>
      <c r="P357" s="28">
        <v>7</v>
      </c>
      <c r="Q357" s="13" t="s">
        <v>54</v>
      </c>
      <c r="R357" s="13" t="s">
        <v>28</v>
      </c>
      <c r="S357" s="13"/>
      <c r="T357" s="13"/>
      <c r="U357" s="13" t="s">
        <v>832</v>
      </c>
      <c r="V357" s="13" t="s">
        <v>832</v>
      </c>
      <c r="W357" s="59">
        <f t="shared" si="5"/>
        <v>2.8191657401663178E-3</v>
      </c>
    </row>
    <row r="358" spans="1:29">
      <c r="A358" s="13" t="s">
        <v>834</v>
      </c>
      <c r="B358" s="13" t="s">
        <v>130</v>
      </c>
      <c r="C358" s="139">
        <v>46239</v>
      </c>
      <c r="D358" s="139" t="s">
        <v>441</v>
      </c>
      <c r="E358" s="28">
        <v>0.99563533999999998</v>
      </c>
      <c r="F358" s="13" t="s">
        <v>2487</v>
      </c>
      <c r="G358" s="18">
        <v>25000</v>
      </c>
      <c r="H358" s="18">
        <v>24890.880000000001</v>
      </c>
      <c r="I358" s="18">
        <v>37004374.509999998</v>
      </c>
      <c r="J358" s="18">
        <v>36842857.82</v>
      </c>
      <c r="K358" s="15">
        <v>150611</v>
      </c>
      <c r="L358" s="13" t="s">
        <v>102</v>
      </c>
      <c r="M358" s="13" t="s">
        <v>103</v>
      </c>
      <c r="N358" s="139" t="s">
        <v>162</v>
      </c>
      <c r="O358" s="139" t="s">
        <v>162</v>
      </c>
      <c r="P358" s="28">
        <v>10</v>
      </c>
      <c r="Q358" s="13" t="s">
        <v>54</v>
      </c>
      <c r="R358" s="13" t="s">
        <v>28</v>
      </c>
      <c r="S358" s="13"/>
      <c r="T358" s="13"/>
      <c r="U358" s="13" t="s">
        <v>1093</v>
      </c>
      <c r="V358" s="13" t="s">
        <v>1093</v>
      </c>
      <c r="W358" s="59">
        <f t="shared" si="5"/>
        <v>7.0386843577816569E-4</v>
      </c>
      <c r="AC358" s="56"/>
    </row>
    <row r="359" spans="1:29">
      <c r="A359" s="13" t="s">
        <v>1345</v>
      </c>
      <c r="B359" s="13" t="s">
        <v>471</v>
      </c>
      <c r="C359" s="139">
        <v>46239</v>
      </c>
      <c r="D359" s="139" t="s">
        <v>441</v>
      </c>
      <c r="E359" s="28">
        <v>0.99217138000000005</v>
      </c>
      <c r="F359" s="13"/>
      <c r="G359" s="18">
        <v>346128566</v>
      </c>
      <c r="H359" s="18">
        <v>343418857.30000001</v>
      </c>
      <c r="I359" s="18">
        <v>346128566</v>
      </c>
      <c r="J359" s="18">
        <v>343418857.30000001</v>
      </c>
      <c r="K359" s="15">
        <v>152123</v>
      </c>
      <c r="L359" s="13" t="s">
        <v>102</v>
      </c>
      <c r="M359" s="13" t="s">
        <v>103</v>
      </c>
      <c r="N359" s="139" t="s">
        <v>174</v>
      </c>
      <c r="O359" s="139" t="s">
        <v>174</v>
      </c>
      <c r="P359" s="28">
        <v>18</v>
      </c>
      <c r="Q359" s="13" t="s">
        <v>54</v>
      </c>
      <c r="R359" s="13" t="s">
        <v>28</v>
      </c>
      <c r="S359" s="13"/>
      <c r="T359" s="13"/>
      <c r="U359" s="13" t="s">
        <v>1324</v>
      </c>
      <c r="V359" s="13" t="s">
        <v>1324</v>
      </c>
      <c r="W359" s="59">
        <f t="shared" si="5"/>
        <v>6.5608833898128938E-3</v>
      </c>
    </row>
    <row r="360" spans="1:29">
      <c r="A360" s="13" t="s">
        <v>1455</v>
      </c>
      <c r="B360" s="13" t="s">
        <v>471</v>
      </c>
      <c r="C360" s="139">
        <v>46239</v>
      </c>
      <c r="D360" s="139" t="s">
        <v>441</v>
      </c>
      <c r="E360" s="28">
        <v>0.98616665000000003</v>
      </c>
      <c r="F360" s="13"/>
      <c r="G360" s="18">
        <v>1000000</v>
      </c>
      <c r="H360" s="18">
        <v>986166.65</v>
      </c>
      <c r="I360" s="18">
        <v>1000000</v>
      </c>
      <c r="J360" s="18">
        <v>986166.65</v>
      </c>
      <c r="K360" s="15">
        <v>66487550</v>
      </c>
      <c r="L360" s="13" t="s">
        <v>102</v>
      </c>
      <c r="M360" s="13" t="s">
        <v>103</v>
      </c>
      <c r="N360" s="139" t="s">
        <v>373</v>
      </c>
      <c r="O360" s="139" t="s">
        <v>373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1456</v>
      </c>
      <c r="V360" s="13" t="s">
        <v>1456</v>
      </c>
      <c r="W360" s="59">
        <f t="shared" si="5"/>
        <v>1.8840329399618051E-5</v>
      </c>
    </row>
    <row r="361" spans="1:29">
      <c r="A361" s="13" t="s">
        <v>1461</v>
      </c>
      <c r="B361" s="13" t="s">
        <v>471</v>
      </c>
      <c r="C361" s="139">
        <v>46239</v>
      </c>
      <c r="D361" s="139" t="s">
        <v>441</v>
      </c>
      <c r="E361" s="28">
        <v>0.98616665000000003</v>
      </c>
      <c r="F361" s="13"/>
      <c r="G361" s="18">
        <v>5000000</v>
      </c>
      <c r="H361" s="18">
        <v>4930833.26</v>
      </c>
      <c r="I361" s="18">
        <v>5000000</v>
      </c>
      <c r="J361" s="18">
        <v>4930833.26</v>
      </c>
      <c r="K361" s="15">
        <v>551</v>
      </c>
      <c r="L361" s="13" t="s">
        <v>102</v>
      </c>
      <c r="M361" s="13" t="s">
        <v>103</v>
      </c>
      <c r="N361" s="139" t="s">
        <v>373</v>
      </c>
      <c r="O361" s="139" t="s">
        <v>373</v>
      </c>
      <c r="P361" s="28">
        <v>32</v>
      </c>
      <c r="Q361" s="13" t="s">
        <v>54</v>
      </c>
      <c r="R361" s="13" t="s">
        <v>28</v>
      </c>
      <c r="S361" s="13"/>
      <c r="T361" s="13"/>
      <c r="U361" s="13" t="s">
        <v>1462</v>
      </c>
      <c r="V361" s="13" t="s">
        <v>1462</v>
      </c>
      <c r="W361" s="59">
        <f t="shared" si="5"/>
        <v>9.420164718913635E-5</v>
      </c>
    </row>
    <row r="362" spans="1:29">
      <c r="A362" s="13" t="s">
        <v>1444</v>
      </c>
      <c r="B362" s="13" t="s">
        <v>471</v>
      </c>
      <c r="C362" s="139">
        <v>46239</v>
      </c>
      <c r="D362" s="139" t="s">
        <v>441</v>
      </c>
      <c r="E362" s="28">
        <v>0.98616665000000003</v>
      </c>
      <c r="F362" s="13"/>
      <c r="G362" s="18">
        <v>2046492.39</v>
      </c>
      <c r="H362" s="18">
        <v>2018182.54</v>
      </c>
      <c r="I362" s="18">
        <v>2046492.39</v>
      </c>
      <c r="J362" s="18">
        <v>2018182.54</v>
      </c>
      <c r="K362" s="15">
        <v>12864393</v>
      </c>
      <c r="L362" s="13" t="s">
        <v>102</v>
      </c>
      <c r="M362" s="13" t="s">
        <v>103</v>
      </c>
      <c r="N362" s="139" t="s">
        <v>373</v>
      </c>
      <c r="O362" s="139" t="s">
        <v>373</v>
      </c>
      <c r="P362" s="28">
        <v>32</v>
      </c>
      <c r="Q362" s="13" t="s">
        <v>54</v>
      </c>
      <c r="R362" s="13" t="s">
        <v>28</v>
      </c>
      <c r="S362" s="13"/>
      <c r="T362" s="13"/>
      <c r="U362" s="13" t="s">
        <v>1445</v>
      </c>
      <c r="V362" s="13" t="s">
        <v>1445</v>
      </c>
      <c r="W362" s="59">
        <f t="shared" si="5"/>
        <v>3.8556590655502124E-5</v>
      </c>
    </row>
    <row r="363" spans="1:29">
      <c r="A363" s="13" t="s">
        <v>535</v>
      </c>
      <c r="B363" s="13" t="s">
        <v>471</v>
      </c>
      <c r="C363" s="139">
        <v>46239</v>
      </c>
      <c r="D363" s="139" t="s">
        <v>441</v>
      </c>
      <c r="E363" s="28">
        <v>0.99087851000000005</v>
      </c>
      <c r="F363" s="13"/>
      <c r="G363" s="18">
        <v>8756336.9900000002</v>
      </c>
      <c r="H363" s="18">
        <v>8676466.1199999992</v>
      </c>
      <c r="I363" s="18">
        <v>8756336.9900000002</v>
      </c>
      <c r="J363" s="18">
        <v>8676466.1199999992</v>
      </c>
      <c r="K363" s="15">
        <v>40012226</v>
      </c>
      <c r="L363" s="13" t="s">
        <v>102</v>
      </c>
      <c r="M363" s="13" t="s">
        <v>103</v>
      </c>
      <c r="N363" s="139" t="s">
        <v>353</v>
      </c>
      <c r="O363" s="139" t="s">
        <v>353</v>
      </c>
      <c r="P363" s="28">
        <v>21</v>
      </c>
      <c r="Q363" s="13" t="s">
        <v>54</v>
      </c>
      <c r="R363" s="13" t="s">
        <v>28</v>
      </c>
      <c r="S363" s="13"/>
      <c r="T363" s="13"/>
      <c r="U363" s="13" t="s">
        <v>1128</v>
      </c>
      <c r="V363" s="13" t="s">
        <v>1128</v>
      </c>
      <c r="W363" s="59">
        <f t="shared" si="5"/>
        <v>1.6576050277650935E-4</v>
      </c>
      <c r="AC363" s="56"/>
    </row>
    <row r="364" spans="1:29">
      <c r="A364" s="13" t="s">
        <v>535</v>
      </c>
      <c r="B364" s="13" t="s">
        <v>471</v>
      </c>
      <c r="C364" s="139">
        <v>46239</v>
      </c>
      <c r="D364" s="139" t="s">
        <v>441</v>
      </c>
      <c r="E364" s="28">
        <v>0.98958899</v>
      </c>
      <c r="F364" s="13"/>
      <c r="G364" s="18">
        <v>1484637.46</v>
      </c>
      <c r="H364" s="18">
        <v>1469180.88</v>
      </c>
      <c r="I364" s="18">
        <v>1484637.46</v>
      </c>
      <c r="J364" s="18">
        <v>1469180.88</v>
      </c>
      <c r="K364" s="15">
        <v>40012463</v>
      </c>
      <c r="L364" s="13" t="s">
        <v>102</v>
      </c>
      <c r="M364" s="13" t="s">
        <v>103</v>
      </c>
      <c r="N364" s="139" t="s">
        <v>319</v>
      </c>
      <c r="O364" s="139" t="s">
        <v>319</v>
      </c>
      <c r="P364" s="28">
        <v>24</v>
      </c>
      <c r="Q364" s="13" t="s">
        <v>54</v>
      </c>
      <c r="R364" s="13" t="s">
        <v>28</v>
      </c>
      <c r="S364" s="13"/>
      <c r="T364" s="13"/>
      <c r="U364" s="13" t="s">
        <v>1226</v>
      </c>
      <c r="V364" s="13" t="s">
        <v>1226</v>
      </c>
      <c r="W364" s="59">
        <f t="shared" si="5"/>
        <v>2.8068127964802616E-5</v>
      </c>
      <c r="AC364" s="56"/>
    </row>
    <row r="365" spans="1:29">
      <c r="A365" s="13" t="s">
        <v>698</v>
      </c>
      <c r="B365" s="13" t="s">
        <v>471</v>
      </c>
      <c r="C365" s="139">
        <v>46239</v>
      </c>
      <c r="D365" s="139" t="s">
        <v>441</v>
      </c>
      <c r="E365" s="28">
        <v>0.98702005000000004</v>
      </c>
      <c r="F365" s="13"/>
      <c r="G365" s="18">
        <v>15000000</v>
      </c>
      <c r="H365" s="18">
        <v>14805300.77</v>
      </c>
      <c r="I365" s="18">
        <v>15000000</v>
      </c>
      <c r="J365" s="18">
        <v>14805300.77</v>
      </c>
      <c r="K365" s="15">
        <v>90000127</v>
      </c>
      <c r="L365" s="13" t="s">
        <v>102</v>
      </c>
      <c r="M365" s="13" t="s">
        <v>103</v>
      </c>
      <c r="N365" s="139" t="s">
        <v>326</v>
      </c>
      <c r="O365" s="139" t="s">
        <v>326</v>
      </c>
      <c r="P365" s="28">
        <v>30</v>
      </c>
      <c r="Q365" s="13" t="s">
        <v>54</v>
      </c>
      <c r="R365" s="13" t="s">
        <v>28</v>
      </c>
      <c r="S365" s="13"/>
      <c r="T365" s="13"/>
      <c r="U365" s="13" t="s">
        <v>978</v>
      </c>
      <c r="V365" s="13" t="s">
        <v>978</v>
      </c>
      <c r="W365" s="59">
        <f t="shared" si="5"/>
        <v>2.828494994910026E-4</v>
      </c>
    </row>
    <row r="366" spans="1:29">
      <c r="A366" s="13" t="s">
        <v>655</v>
      </c>
      <c r="B366" s="13" t="s">
        <v>471</v>
      </c>
      <c r="C366" s="139">
        <v>46239</v>
      </c>
      <c r="D366" s="139" t="s">
        <v>441</v>
      </c>
      <c r="E366" s="28">
        <v>0.98361540999999997</v>
      </c>
      <c r="F366" s="13"/>
      <c r="G366" s="18">
        <v>4500000</v>
      </c>
      <c r="H366" s="18">
        <v>4426269.33</v>
      </c>
      <c r="I366" s="18">
        <v>4500000</v>
      </c>
      <c r="J366" s="18">
        <v>4426269.33</v>
      </c>
      <c r="K366" s="15">
        <v>551</v>
      </c>
      <c r="L366" s="13" t="s">
        <v>102</v>
      </c>
      <c r="M366" s="13" t="s">
        <v>103</v>
      </c>
      <c r="N366" s="139" t="s">
        <v>327</v>
      </c>
      <c r="O366" s="139" t="s">
        <v>327</v>
      </c>
      <c r="P366" s="28">
        <v>38</v>
      </c>
      <c r="Q366" s="13" t="s">
        <v>54</v>
      </c>
      <c r="R366" s="13" t="s">
        <v>28</v>
      </c>
      <c r="S366" s="13"/>
      <c r="T366" s="13"/>
      <c r="U366" s="13" t="s">
        <v>806</v>
      </c>
      <c r="V366" s="13" t="s">
        <v>806</v>
      </c>
      <c r="W366" s="59">
        <f t="shared" si="5"/>
        <v>8.4562150006417967E-5</v>
      </c>
      <c r="AC366" s="56"/>
    </row>
    <row r="367" spans="1:29">
      <c r="A367" s="13" t="s">
        <v>656</v>
      </c>
      <c r="B367" s="13" t="s">
        <v>471</v>
      </c>
      <c r="C367" s="139">
        <v>46239</v>
      </c>
      <c r="D367" s="139" t="s">
        <v>441</v>
      </c>
      <c r="E367" s="28">
        <v>0.98361542999999996</v>
      </c>
      <c r="F367" s="13"/>
      <c r="G367" s="18">
        <v>3116595.02</v>
      </c>
      <c r="H367" s="18">
        <v>3065530.96</v>
      </c>
      <c r="I367" s="18">
        <v>3116595.02</v>
      </c>
      <c r="J367" s="18">
        <v>3065530.96</v>
      </c>
      <c r="K367" s="15">
        <v>104</v>
      </c>
      <c r="L367" s="13" t="s">
        <v>102</v>
      </c>
      <c r="M367" s="13" t="s">
        <v>103</v>
      </c>
      <c r="N367" s="139" t="s">
        <v>358</v>
      </c>
      <c r="O367" s="139" t="s">
        <v>358</v>
      </c>
      <c r="P367" s="28">
        <v>38</v>
      </c>
      <c r="Q367" s="13" t="s">
        <v>54</v>
      </c>
      <c r="R367" s="13" t="s">
        <v>28</v>
      </c>
      <c r="S367" s="13"/>
      <c r="T367" s="13"/>
      <c r="U367" s="13" t="s">
        <v>610</v>
      </c>
      <c r="V367" s="13" t="s">
        <v>610</v>
      </c>
      <c r="W367" s="59">
        <f t="shared" si="5"/>
        <v>5.8565773919780542E-5</v>
      </c>
    </row>
    <row r="368" spans="1:29">
      <c r="A368" s="13" t="s">
        <v>657</v>
      </c>
      <c r="B368" s="13" t="s">
        <v>471</v>
      </c>
      <c r="C368" s="139">
        <v>46239</v>
      </c>
      <c r="D368" s="139" t="s">
        <v>441</v>
      </c>
      <c r="E368" s="28">
        <v>0.98361544000000001</v>
      </c>
      <c r="F368" s="13"/>
      <c r="G368" s="18">
        <v>2398145.2000000002</v>
      </c>
      <c r="H368" s="18">
        <v>2358852.65</v>
      </c>
      <c r="I368" s="18">
        <v>2398145.2000000002</v>
      </c>
      <c r="J368" s="18">
        <v>2358852.65</v>
      </c>
      <c r="K368" s="15">
        <v>13270644</v>
      </c>
      <c r="L368" s="13" t="s">
        <v>102</v>
      </c>
      <c r="M368" s="13" t="s">
        <v>103</v>
      </c>
      <c r="N368" s="139" t="s">
        <v>355</v>
      </c>
      <c r="O368" s="139" t="s">
        <v>355</v>
      </c>
      <c r="P368" s="28">
        <v>38</v>
      </c>
      <c r="Q368" s="13" t="s">
        <v>54</v>
      </c>
      <c r="R368" s="13" t="s">
        <v>28</v>
      </c>
      <c r="S368" s="13"/>
      <c r="T368" s="13"/>
      <c r="U368" s="13" t="s">
        <v>849</v>
      </c>
      <c r="V368" s="13" t="s">
        <v>849</v>
      </c>
      <c r="W368" s="59">
        <f t="shared" si="5"/>
        <v>4.5064960299724133E-5</v>
      </c>
    </row>
    <row r="369" spans="1:29">
      <c r="A369" s="13" t="s">
        <v>197</v>
      </c>
      <c r="B369" s="13" t="s">
        <v>471</v>
      </c>
      <c r="C369" s="139">
        <v>46239</v>
      </c>
      <c r="D369" s="139" t="s">
        <v>441</v>
      </c>
      <c r="E369" s="28">
        <v>0.99130909</v>
      </c>
      <c r="F369" s="13"/>
      <c r="G369" s="18">
        <v>2500000</v>
      </c>
      <c r="H369" s="18">
        <v>2478272.73</v>
      </c>
      <c r="I369" s="18">
        <v>2500000</v>
      </c>
      <c r="J369" s="18">
        <v>2478272.73</v>
      </c>
      <c r="K369" s="15">
        <v>6130</v>
      </c>
      <c r="L369" s="13" t="s">
        <v>102</v>
      </c>
      <c r="M369" s="13" t="s">
        <v>103</v>
      </c>
      <c r="N369" s="139" t="s">
        <v>319</v>
      </c>
      <c r="O369" s="139" t="s">
        <v>319</v>
      </c>
      <c r="P369" s="28">
        <v>20</v>
      </c>
      <c r="Q369" s="13" t="s">
        <v>54</v>
      </c>
      <c r="R369" s="13" t="s">
        <v>28</v>
      </c>
      <c r="S369" s="13"/>
      <c r="T369" s="13"/>
      <c r="U369" s="13" t="s">
        <v>1204</v>
      </c>
      <c r="V369" s="13" t="s">
        <v>1204</v>
      </c>
      <c r="W369" s="59">
        <f t="shared" si="5"/>
        <v>4.7346434373227569E-5</v>
      </c>
    </row>
    <row r="370" spans="1:29">
      <c r="A370" s="13" t="s">
        <v>737</v>
      </c>
      <c r="B370" s="13" t="s">
        <v>471</v>
      </c>
      <c r="C370" s="139">
        <v>46239</v>
      </c>
      <c r="D370" s="139" t="s">
        <v>441</v>
      </c>
      <c r="E370" s="28">
        <v>0.98830282999999997</v>
      </c>
      <c r="F370" s="13"/>
      <c r="G370" s="18">
        <v>6060681.79</v>
      </c>
      <c r="H370" s="18">
        <v>5989788.9500000002</v>
      </c>
      <c r="I370" s="18">
        <v>6060681.79</v>
      </c>
      <c r="J370" s="18">
        <v>5989788.9500000002</v>
      </c>
      <c r="K370" s="15">
        <v>66717853</v>
      </c>
      <c r="L370" s="13" t="s">
        <v>102</v>
      </c>
      <c r="M370" s="13" t="s">
        <v>103</v>
      </c>
      <c r="N370" s="139" t="s">
        <v>342</v>
      </c>
      <c r="O370" s="139" t="s">
        <v>342</v>
      </c>
      <c r="P370" s="28">
        <v>27</v>
      </c>
      <c r="Q370" s="13" t="s">
        <v>54</v>
      </c>
      <c r="R370" s="13" t="s">
        <v>28</v>
      </c>
      <c r="S370" s="13"/>
      <c r="T370" s="13"/>
      <c r="U370" s="13" t="s">
        <v>987</v>
      </c>
      <c r="V370" s="13" t="s">
        <v>987</v>
      </c>
      <c r="W370" s="59">
        <f t="shared" si="5"/>
        <v>1.1443258282176985E-4</v>
      </c>
    </row>
    <row r="371" spans="1:29">
      <c r="A371" s="13" t="s">
        <v>737</v>
      </c>
      <c r="B371" s="13" t="s">
        <v>471</v>
      </c>
      <c r="C371" s="139">
        <v>46239</v>
      </c>
      <c r="D371" s="139" t="s">
        <v>441</v>
      </c>
      <c r="E371" s="28">
        <v>0.9895891</v>
      </c>
      <c r="F371" s="13"/>
      <c r="G371" s="18">
        <v>21114904.399999999</v>
      </c>
      <c r="H371" s="18">
        <v>20895079.16</v>
      </c>
      <c r="I371" s="18">
        <v>21114904.399999999</v>
      </c>
      <c r="J371" s="18">
        <v>20895079.16</v>
      </c>
      <c r="K371" s="15">
        <v>40037582</v>
      </c>
      <c r="L371" s="13" t="s">
        <v>102</v>
      </c>
      <c r="M371" s="13" t="s">
        <v>103</v>
      </c>
      <c r="N371" s="139" t="s">
        <v>783</v>
      </c>
      <c r="O371" s="139" t="s">
        <v>783</v>
      </c>
      <c r="P371" s="28">
        <v>24</v>
      </c>
      <c r="Q371" s="13" t="s">
        <v>54</v>
      </c>
      <c r="R371" s="13" t="s">
        <v>28</v>
      </c>
      <c r="S371" s="13"/>
      <c r="T371" s="13"/>
      <c r="U371" s="13" t="s">
        <v>2087</v>
      </c>
      <c r="V371" s="13" t="s">
        <v>2087</v>
      </c>
      <c r="W371" s="59">
        <f t="shared" si="5"/>
        <v>3.9919234158394471E-4</v>
      </c>
    </row>
    <row r="372" spans="1:29">
      <c r="A372" s="13" t="s">
        <v>970</v>
      </c>
      <c r="B372" s="13" t="s">
        <v>471</v>
      </c>
      <c r="C372" s="139">
        <v>46239</v>
      </c>
      <c r="D372" s="139" t="s">
        <v>441</v>
      </c>
      <c r="E372" s="28">
        <v>0.98787486999999996</v>
      </c>
      <c r="F372" s="13"/>
      <c r="G372" s="18">
        <v>6500000</v>
      </c>
      <c r="H372" s="18">
        <v>6421186.6900000004</v>
      </c>
      <c r="I372" s="18">
        <v>6500000</v>
      </c>
      <c r="J372" s="18">
        <v>6421186.6900000004</v>
      </c>
      <c r="K372" s="15">
        <v>29175491</v>
      </c>
      <c r="L372" s="13" t="s">
        <v>102</v>
      </c>
      <c r="M372" s="13" t="s">
        <v>103</v>
      </c>
      <c r="N372" s="139" t="s">
        <v>359</v>
      </c>
      <c r="O372" s="139" t="s">
        <v>359</v>
      </c>
      <c r="P372" s="28">
        <v>28</v>
      </c>
      <c r="Q372" s="13" t="s">
        <v>54</v>
      </c>
      <c r="R372" s="13" t="s">
        <v>28</v>
      </c>
      <c r="S372" s="13"/>
      <c r="T372" s="13"/>
      <c r="U372" s="13" t="s">
        <v>956</v>
      </c>
      <c r="V372" s="13" t="s">
        <v>956</v>
      </c>
      <c r="W372" s="59">
        <f t="shared" si="5"/>
        <v>1.226742684677515E-4</v>
      </c>
    </row>
    <row r="373" spans="1:29">
      <c r="A373" s="13" t="s">
        <v>1488</v>
      </c>
      <c r="B373" s="13" t="s">
        <v>471</v>
      </c>
      <c r="C373" s="139">
        <v>46239</v>
      </c>
      <c r="D373" s="139" t="s">
        <v>441</v>
      </c>
      <c r="E373" s="28">
        <v>0.98616665000000003</v>
      </c>
      <c r="F373" s="13"/>
      <c r="G373" s="18">
        <v>1110641.67</v>
      </c>
      <c r="H373" s="18">
        <v>1095277.77</v>
      </c>
      <c r="I373" s="18">
        <v>1110641.67</v>
      </c>
      <c r="J373" s="18">
        <v>1095277.77</v>
      </c>
      <c r="K373" s="15">
        <v>925</v>
      </c>
      <c r="L373" s="13" t="s">
        <v>102</v>
      </c>
      <c r="M373" s="13" t="s">
        <v>103</v>
      </c>
      <c r="N373" s="139" t="s">
        <v>373</v>
      </c>
      <c r="O373" s="139" t="s">
        <v>373</v>
      </c>
      <c r="P373" s="28">
        <v>32</v>
      </c>
      <c r="Q373" s="13" t="s">
        <v>54</v>
      </c>
      <c r="R373" s="13" t="s">
        <v>28</v>
      </c>
      <c r="S373" s="13"/>
      <c r="T373" s="13"/>
      <c r="U373" s="13" t="s">
        <v>1489</v>
      </c>
      <c r="V373" s="13" t="s">
        <v>1489</v>
      </c>
      <c r="W373" s="59">
        <f t="shared" si="5"/>
        <v>2.092485481118135E-5</v>
      </c>
      <c r="AC373" s="56"/>
    </row>
    <row r="374" spans="1:29">
      <c r="A374" s="13" t="s">
        <v>432</v>
      </c>
      <c r="B374" s="13" t="s">
        <v>471</v>
      </c>
      <c r="C374" s="139">
        <v>46239</v>
      </c>
      <c r="D374" s="139" t="s">
        <v>441</v>
      </c>
      <c r="E374" s="28">
        <v>0.98446438999999997</v>
      </c>
      <c r="F374" s="13"/>
      <c r="G374" s="18">
        <v>5882352.9299999997</v>
      </c>
      <c r="H374" s="18">
        <v>5790966.96</v>
      </c>
      <c r="I374" s="18">
        <v>5882352.9299999997</v>
      </c>
      <c r="J374" s="18">
        <v>5790966.96</v>
      </c>
      <c r="K374" s="15">
        <v>2621</v>
      </c>
      <c r="L374" s="13" t="s">
        <v>102</v>
      </c>
      <c r="M374" s="13" t="s">
        <v>103</v>
      </c>
      <c r="N374" s="139" t="s">
        <v>370</v>
      </c>
      <c r="O374" s="139" t="s">
        <v>370</v>
      </c>
      <c r="P374" s="28">
        <v>36</v>
      </c>
      <c r="Q374" s="13" t="s">
        <v>54</v>
      </c>
      <c r="R374" s="13" t="s">
        <v>28</v>
      </c>
      <c r="S374" s="13"/>
      <c r="T374" s="13"/>
      <c r="U374" s="13" t="s">
        <v>1133</v>
      </c>
      <c r="V374" s="13" t="s">
        <v>1133</v>
      </c>
      <c r="W374" s="59">
        <f t="shared" si="5"/>
        <v>1.1063416621187175E-4</v>
      </c>
    </row>
    <row r="375" spans="1:29">
      <c r="A375" s="13" t="s">
        <v>432</v>
      </c>
      <c r="B375" s="13" t="s">
        <v>471</v>
      </c>
      <c r="C375" s="139">
        <v>46239</v>
      </c>
      <c r="D375" s="139" t="s">
        <v>441</v>
      </c>
      <c r="E375" s="28">
        <v>0.98446440999999996</v>
      </c>
      <c r="F375" s="13"/>
      <c r="G375" s="18">
        <v>2273100.5</v>
      </c>
      <c r="H375" s="18">
        <v>2237786.54</v>
      </c>
      <c r="I375" s="18">
        <v>2273100.5</v>
      </c>
      <c r="J375" s="18">
        <v>2237786.54</v>
      </c>
      <c r="K375" s="15">
        <v>2758</v>
      </c>
      <c r="L375" s="13" t="s">
        <v>102</v>
      </c>
      <c r="M375" s="13" t="s">
        <v>103</v>
      </c>
      <c r="N375" s="139" t="s">
        <v>170</v>
      </c>
      <c r="O375" s="139" t="s">
        <v>170</v>
      </c>
      <c r="P375" s="28">
        <v>36</v>
      </c>
      <c r="Q375" s="13" t="s">
        <v>54</v>
      </c>
      <c r="R375" s="13" t="s">
        <v>28</v>
      </c>
      <c r="S375" s="13"/>
      <c r="T375" s="13"/>
      <c r="U375" s="13" t="s">
        <v>1647</v>
      </c>
      <c r="V375" s="13" t="s">
        <v>1647</v>
      </c>
      <c r="W375" s="59">
        <f t="shared" si="5"/>
        <v>4.2752039464761408E-5</v>
      </c>
    </row>
    <row r="376" spans="1:29">
      <c r="A376" s="13" t="s">
        <v>1486</v>
      </c>
      <c r="B376" s="13" t="s">
        <v>471</v>
      </c>
      <c r="C376" s="139">
        <v>46239</v>
      </c>
      <c r="D376" s="139" t="s">
        <v>441</v>
      </c>
      <c r="E376" s="28">
        <v>0.98616665999999997</v>
      </c>
      <c r="F376" s="13"/>
      <c r="G376" s="18">
        <v>1017218.53</v>
      </c>
      <c r="H376" s="18">
        <v>1003147</v>
      </c>
      <c r="I376" s="18">
        <v>1017218.53</v>
      </c>
      <c r="J376" s="18">
        <v>1003147</v>
      </c>
      <c r="K376" s="15">
        <v>67391910</v>
      </c>
      <c r="L376" s="13" t="s">
        <v>102</v>
      </c>
      <c r="M376" s="13" t="s">
        <v>103</v>
      </c>
      <c r="N376" s="139" t="s">
        <v>373</v>
      </c>
      <c r="O376" s="139" t="s">
        <v>373</v>
      </c>
      <c r="P376" s="28">
        <v>32</v>
      </c>
      <c r="Q376" s="13" t="s">
        <v>54</v>
      </c>
      <c r="R376" s="13" t="s">
        <v>28</v>
      </c>
      <c r="S376" s="13"/>
      <c r="T376" s="13"/>
      <c r="U376" s="13" t="s">
        <v>1487</v>
      </c>
      <c r="V376" s="13" t="s">
        <v>1487</v>
      </c>
      <c r="W376" s="59">
        <f t="shared" si="5"/>
        <v>1.9164732366723867E-5</v>
      </c>
    </row>
    <row r="377" spans="1:29">
      <c r="A377" s="13" t="s">
        <v>323</v>
      </c>
      <c r="B377" s="13" t="s">
        <v>471</v>
      </c>
      <c r="C377" s="139">
        <v>46239</v>
      </c>
      <c r="D377" s="139" t="s">
        <v>441</v>
      </c>
      <c r="E377" s="28">
        <v>0.98830291000000003</v>
      </c>
      <c r="F377" s="13"/>
      <c r="G377" s="18">
        <v>5800000</v>
      </c>
      <c r="H377" s="18">
        <v>5732156.8499999996</v>
      </c>
      <c r="I377" s="18">
        <v>5800000</v>
      </c>
      <c r="J377" s="18">
        <v>5732156.8499999996</v>
      </c>
      <c r="K377" s="15">
        <v>121</v>
      </c>
      <c r="L377" s="13" t="s">
        <v>102</v>
      </c>
      <c r="M377" s="13" t="s">
        <v>103</v>
      </c>
      <c r="N377" s="139" t="s">
        <v>457</v>
      </c>
      <c r="O377" s="139" t="s">
        <v>457</v>
      </c>
      <c r="P377" s="28">
        <v>27</v>
      </c>
      <c r="Q377" s="13" t="s">
        <v>54</v>
      </c>
      <c r="R377" s="13" t="s">
        <v>28</v>
      </c>
      <c r="S377" s="13"/>
      <c r="T377" s="13"/>
      <c r="U377" s="13" t="s">
        <v>1720</v>
      </c>
      <c r="V377" s="13" t="s">
        <v>1720</v>
      </c>
      <c r="W377" s="59">
        <f t="shared" si="5"/>
        <v>1.0951062198694002E-4</v>
      </c>
    </row>
    <row r="378" spans="1:29">
      <c r="A378" s="13" t="s">
        <v>323</v>
      </c>
      <c r="B378" s="13" t="s">
        <v>471</v>
      </c>
      <c r="C378" s="139">
        <v>46239</v>
      </c>
      <c r="D378" s="139" t="s">
        <v>441</v>
      </c>
      <c r="E378" s="28">
        <v>0.98744726000000005</v>
      </c>
      <c r="F378" s="13"/>
      <c r="G378" s="18">
        <v>4166666.66</v>
      </c>
      <c r="H378" s="18">
        <v>4114363.59</v>
      </c>
      <c r="I378" s="18">
        <v>4166666.66</v>
      </c>
      <c r="J378" s="18">
        <v>4114363.59</v>
      </c>
      <c r="K378" s="15">
        <v>13567710</v>
      </c>
      <c r="L378" s="13" t="s">
        <v>102</v>
      </c>
      <c r="M378" s="13" t="s">
        <v>103</v>
      </c>
      <c r="N378" s="139" t="s">
        <v>341</v>
      </c>
      <c r="O378" s="139" t="s">
        <v>341</v>
      </c>
      <c r="P378" s="28">
        <v>29</v>
      </c>
      <c r="Q378" s="13" t="s">
        <v>54</v>
      </c>
      <c r="R378" s="13" t="s">
        <v>28</v>
      </c>
      <c r="S378" s="13"/>
      <c r="T378" s="13"/>
      <c r="U378" s="13" t="s">
        <v>940</v>
      </c>
      <c r="V378" s="13" t="s">
        <v>940</v>
      </c>
      <c r="W378" s="59">
        <f t="shared" si="5"/>
        <v>7.860331243750239E-5</v>
      </c>
    </row>
    <row r="379" spans="1:29">
      <c r="A379" s="13" t="s">
        <v>323</v>
      </c>
      <c r="B379" s="13" t="s">
        <v>471</v>
      </c>
      <c r="C379" s="139">
        <v>46239</v>
      </c>
      <c r="D379" s="139" t="s">
        <v>441</v>
      </c>
      <c r="E379" s="28">
        <v>0.98744728000000004</v>
      </c>
      <c r="F379" s="13"/>
      <c r="G379" s="18">
        <v>12500000</v>
      </c>
      <c r="H379" s="18">
        <v>12343091.01</v>
      </c>
      <c r="I379" s="18">
        <v>12500000</v>
      </c>
      <c r="J379" s="18">
        <v>12343091.01</v>
      </c>
      <c r="K379" s="15">
        <v>4955</v>
      </c>
      <c r="L379" s="13" t="s">
        <v>102</v>
      </c>
      <c r="M379" s="13" t="s">
        <v>103</v>
      </c>
      <c r="N379" s="139" t="s">
        <v>355</v>
      </c>
      <c r="O379" s="139" t="s">
        <v>355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838</v>
      </c>
      <c r="V379" s="13" t="s">
        <v>838</v>
      </c>
      <c r="W379" s="59">
        <f t="shared" si="5"/>
        <v>2.3580994189761361E-4</v>
      </c>
      <c r="AC379" s="56"/>
    </row>
    <row r="380" spans="1:29">
      <c r="A380" s="13" t="s">
        <v>522</v>
      </c>
      <c r="B380" s="13" t="s">
        <v>471</v>
      </c>
      <c r="C380" s="139">
        <v>46239</v>
      </c>
      <c r="D380" s="139" t="s">
        <v>441</v>
      </c>
      <c r="E380" s="28">
        <v>0.99001855000000005</v>
      </c>
      <c r="F380" s="13"/>
      <c r="G380" s="18">
        <v>5416210</v>
      </c>
      <c r="H380" s="18">
        <v>5362148.4000000004</v>
      </c>
      <c r="I380" s="18">
        <v>5416210</v>
      </c>
      <c r="J380" s="18">
        <v>5362148.4000000004</v>
      </c>
      <c r="K380" s="15">
        <v>30080661</v>
      </c>
      <c r="L380" s="13" t="s">
        <v>102</v>
      </c>
      <c r="M380" s="13" t="s">
        <v>103</v>
      </c>
      <c r="N380" s="139" t="s">
        <v>783</v>
      </c>
      <c r="O380" s="139" t="s">
        <v>783</v>
      </c>
      <c r="P380" s="28">
        <v>23</v>
      </c>
      <c r="Q380" s="13" t="s">
        <v>54</v>
      </c>
      <c r="R380" s="13" t="s">
        <v>28</v>
      </c>
      <c r="S380" s="13"/>
      <c r="T380" s="13"/>
      <c r="U380" s="13" t="s">
        <v>2089</v>
      </c>
      <c r="V380" s="13" t="s">
        <v>2089</v>
      </c>
      <c r="W380" s="59">
        <f t="shared" si="5"/>
        <v>1.0244175479431889E-4</v>
      </c>
    </row>
    <row r="381" spans="1:29">
      <c r="A381" s="13" t="s">
        <v>1044</v>
      </c>
      <c r="B381" s="13" t="s">
        <v>471</v>
      </c>
      <c r="C381" s="139">
        <v>46239</v>
      </c>
      <c r="D381" s="139" t="s">
        <v>441</v>
      </c>
      <c r="E381" s="28">
        <v>0.98574057999999998</v>
      </c>
      <c r="F381" s="13"/>
      <c r="G381" s="18">
        <v>50000000</v>
      </c>
      <c r="H381" s="18">
        <v>49287029.039999999</v>
      </c>
      <c r="I381" s="18">
        <v>50000000</v>
      </c>
      <c r="J381" s="18">
        <v>49287029.039999999</v>
      </c>
      <c r="K381" s="15">
        <v>136</v>
      </c>
      <c r="L381" s="13" t="s">
        <v>102</v>
      </c>
      <c r="M381" s="13" t="s">
        <v>103</v>
      </c>
      <c r="N381" s="139" t="s">
        <v>364</v>
      </c>
      <c r="O381" s="139" t="s">
        <v>364</v>
      </c>
      <c r="P381" s="28">
        <v>33</v>
      </c>
      <c r="Q381" s="13" t="s">
        <v>54</v>
      </c>
      <c r="R381" s="13" t="s">
        <v>28</v>
      </c>
      <c r="S381" s="13"/>
      <c r="T381" s="13"/>
      <c r="U381" s="13" t="s">
        <v>1039</v>
      </c>
      <c r="V381" s="13" t="s">
        <v>1039</v>
      </c>
      <c r="W381" s="59">
        <f t="shared" si="5"/>
        <v>9.416094756825741E-4</v>
      </c>
    </row>
    <row r="382" spans="1:29">
      <c r="A382" s="13" t="s">
        <v>1657</v>
      </c>
      <c r="B382" s="13" t="s">
        <v>471</v>
      </c>
      <c r="C382" s="139">
        <v>46239</v>
      </c>
      <c r="D382" s="139" t="s">
        <v>441</v>
      </c>
      <c r="E382" s="28">
        <v>0.98702007000000003</v>
      </c>
      <c r="F382" s="13"/>
      <c r="G382" s="18">
        <v>2700000</v>
      </c>
      <c r="H382" s="18">
        <v>2664954.1800000002</v>
      </c>
      <c r="I382" s="18">
        <v>2700000</v>
      </c>
      <c r="J382" s="18">
        <v>2664954.1800000002</v>
      </c>
      <c r="K382" s="15">
        <v>6269</v>
      </c>
      <c r="L382" s="13" t="s">
        <v>102</v>
      </c>
      <c r="M382" s="13" t="s">
        <v>103</v>
      </c>
      <c r="N382" s="139" t="s">
        <v>170</v>
      </c>
      <c r="O382" s="139" t="s">
        <v>170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1623</v>
      </c>
      <c r="V382" s="13" t="s">
        <v>1623</v>
      </c>
      <c r="W382" s="59">
        <f t="shared" si="5"/>
        <v>5.0912910699311335E-5</v>
      </c>
    </row>
    <row r="383" spans="1:29">
      <c r="A383" s="13" t="s">
        <v>322</v>
      </c>
      <c r="B383" s="13" t="s">
        <v>471</v>
      </c>
      <c r="C383" s="139">
        <v>46239</v>
      </c>
      <c r="D383" s="139" t="s">
        <v>441</v>
      </c>
      <c r="E383" s="28">
        <v>0.98702005000000004</v>
      </c>
      <c r="F383" s="13"/>
      <c r="G383" s="18">
        <v>8500000</v>
      </c>
      <c r="H383" s="18">
        <v>8389670.4000000004</v>
      </c>
      <c r="I383" s="18">
        <v>8500000</v>
      </c>
      <c r="J383" s="18">
        <v>8389670.4000000004</v>
      </c>
      <c r="K383" s="15">
        <v>1070</v>
      </c>
      <c r="L383" s="13" t="s">
        <v>102</v>
      </c>
      <c r="M383" s="13" t="s">
        <v>103</v>
      </c>
      <c r="N383" s="139" t="s">
        <v>358</v>
      </c>
      <c r="O383" s="139" t="s">
        <v>358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613</v>
      </c>
      <c r="V383" s="13" t="s">
        <v>613</v>
      </c>
      <c r="W383" s="59">
        <f t="shared" si="5"/>
        <v>1.602813823507673E-4</v>
      </c>
    </row>
    <row r="384" spans="1:29">
      <c r="A384" s="13" t="s">
        <v>322</v>
      </c>
      <c r="B384" s="13" t="s">
        <v>471</v>
      </c>
      <c r="C384" s="139">
        <v>46239</v>
      </c>
      <c r="D384" s="139" t="s">
        <v>441</v>
      </c>
      <c r="E384" s="28">
        <v>0.98702005000000004</v>
      </c>
      <c r="F384" s="13"/>
      <c r="G384" s="18">
        <v>10000000</v>
      </c>
      <c r="H384" s="18">
        <v>9870200.4800000004</v>
      </c>
      <c r="I384" s="18">
        <v>10000000</v>
      </c>
      <c r="J384" s="18">
        <v>9870200.4800000004</v>
      </c>
      <c r="K384" s="15">
        <v>40621855</v>
      </c>
      <c r="L384" s="13" t="s">
        <v>102</v>
      </c>
      <c r="M384" s="13" t="s">
        <v>103</v>
      </c>
      <c r="N384" s="139" t="s">
        <v>358</v>
      </c>
      <c r="O384" s="139" t="s">
        <v>358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614</v>
      </c>
      <c r="V384" s="13" t="s">
        <v>614</v>
      </c>
      <c r="W384" s="59">
        <f t="shared" si="5"/>
        <v>1.8856633235718142E-4</v>
      </c>
    </row>
    <row r="385" spans="1:30">
      <c r="A385" s="13" t="s">
        <v>360</v>
      </c>
      <c r="B385" s="13" t="s">
        <v>471</v>
      </c>
      <c r="C385" s="139">
        <v>46239</v>
      </c>
      <c r="D385" s="139" t="s">
        <v>441</v>
      </c>
      <c r="E385" s="28">
        <v>0.98446434999999999</v>
      </c>
      <c r="F385" s="13"/>
      <c r="G385" s="18">
        <v>16800000</v>
      </c>
      <c r="H385" s="18">
        <v>16539001.109999999</v>
      </c>
      <c r="I385" s="18">
        <v>16800000</v>
      </c>
      <c r="J385" s="18">
        <v>16539001.109999999</v>
      </c>
      <c r="K385" s="15">
        <v>32600</v>
      </c>
      <c r="L385" s="13" t="s">
        <v>102</v>
      </c>
      <c r="M385" s="13" t="s">
        <v>103</v>
      </c>
      <c r="N385" s="139" t="s">
        <v>318</v>
      </c>
      <c r="O385" s="139" t="s">
        <v>318</v>
      </c>
      <c r="P385" s="28">
        <v>36</v>
      </c>
      <c r="Q385" s="13" t="s">
        <v>54</v>
      </c>
      <c r="R385" s="13" t="s">
        <v>28</v>
      </c>
      <c r="S385" s="13"/>
      <c r="T385" s="13"/>
      <c r="U385" s="13" t="s">
        <v>909</v>
      </c>
      <c r="V385" s="13" t="s">
        <v>909</v>
      </c>
      <c r="W385" s="59">
        <f t="shared" si="5"/>
        <v>3.1597116861845667E-4</v>
      </c>
    </row>
    <row r="386" spans="1:30">
      <c r="A386" s="13" t="s">
        <v>340</v>
      </c>
      <c r="B386" s="13" t="s">
        <v>471</v>
      </c>
      <c r="C386" s="139">
        <v>46239</v>
      </c>
      <c r="D386" s="139" t="s">
        <v>441</v>
      </c>
      <c r="E386" s="28">
        <v>0.98488940999999997</v>
      </c>
      <c r="F386" s="13"/>
      <c r="G386" s="18">
        <v>2000000</v>
      </c>
      <c r="H386" s="18">
        <v>1969778.81</v>
      </c>
      <c r="I386" s="18">
        <v>2000000</v>
      </c>
      <c r="J386" s="18">
        <v>1969778.81</v>
      </c>
      <c r="K386" s="15">
        <v>40751276</v>
      </c>
      <c r="L386" s="13" t="s">
        <v>102</v>
      </c>
      <c r="M386" s="13" t="s">
        <v>103</v>
      </c>
      <c r="N386" s="139" t="s">
        <v>174</v>
      </c>
      <c r="O386" s="139" t="s">
        <v>174</v>
      </c>
      <c r="P386" s="28">
        <v>35</v>
      </c>
      <c r="Q386" s="13" t="s">
        <v>54</v>
      </c>
      <c r="R386" s="13" t="s">
        <v>28</v>
      </c>
      <c r="S386" s="13"/>
      <c r="T386" s="13"/>
      <c r="U386" s="13" t="s">
        <v>1322</v>
      </c>
      <c r="V386" s="13" t="s">
        <v>1322</v>
      </c>
      <c r="W386" s="59">
        <f t="shared" si="5"/>
        <v>3.7631856263632175E-5</v>
      </c>
    </row>
    <row r="387" spans="1:30">
      <c r="A387" s="13" t="s">
        <v>340</v>
      </c>
      <c r="B387" s="13" t="s">
        <v>471</v>
      </c>
      <c r="C387" s="139">
        <v>46239</v>
      </c>
      <c r="D387" s="139" t="s">
        <v>441</v>
      </c>
      <c r="E387" s="28">
        <v>0.98488938000000004</v>
      </c>
      <c r="F387" s="13"/>
      <c r="G387" s="18">
        <v>2500000</v>
      </c>
      <c r="H387" s="18">
        <v>2462223.44</v>
      </c>
      <c r="I387" s="18">
        <v>2500000</v>
      </c>
      <c r="J387" s="18">
        <v>2462223.44</v>
      </c>
      <c r="K387" s="15">
        <v>40761864</v>
      </c>
      <c r="L387" s="13" t="s">
        <v>102</v>
      </c>
      <c r="M387" s="13" t="s">
        <v>103</v>
      </c>
      <c r="N387" s="139" t="s">
        <v>494</v>
      </c>
      <c r="O387" s="139" t="s">
        <v>494</v>
      </c>
      <c r="P387" s="28">
        <v>35</v>
      </c>
      <c r="Q387" s="13" t="s">
        <v>54</v>
      </c>
      <c r="R387" s="13" t="s">
        <v>28</v>
      </c>
      <c r="S387" s="13"/>
      <c r="T387" s="13"/>
      <c r="U387" s="13" t="s">
        <v>2030</v>
      </c>
      <c r="V387" s="13" t="s">
        <v>2030</v>
      </c>
      <c r="W387" s="59">
        <f t="shared" si="5"/>
        <v>4.7039818944455979E-5</v>
      </c>
      <c r="AC387" s="56"/>
    </row>
    <row r="388" spans="1:30">
      <c r="A388" s="13" t="s">
        <v>1552</v>
      </c>
      <c r="B388" s="13" t="s">
        <v>471</v>
      </c>
      <c r="C388" s="139">
        <v>46239</v>
      </c>
      <c r="D388" s="139" t="s">
        <v>441</v>
      </c>
      <c r="E388" s="28">
        <v>0.98488945999999999</v>
      </c>
      <c r="F388" s="13"/>
      <c r="G388" s="18">
        <v>5511345.0499999998</v>
      </c>
      <c r="H388" s="18">
        <v>5428065.6299999999</v>
      </c>
      <c r="I388" s="18">
        <v>5511345.0499999998</v>
      </c>
      <c r="J388" s="18">
        <v>5428065.6299999999</v>
      </c>
      <c r="K388" s="15">
        <v>8220</v>
      </c>
      <c r="L388" s="13" t="s">
        <v>102</v>
      </c>
      <c r="M388" s="13" t="s">
        <v>103</v>
      </c>
      <c r="N388" s="139" t="s">
        <v>400</v>
      </c>
      <c r="O388" s="139" t="s">
        <v>400</v>
      </c>
      <c r="P388" s="28">
        <v>35</v>
      </c>
      <c r="Q388" s="13" t="s">
        <v>54</v>
      </c>
      <c r="R388" s="13" t="s">
        <v>28</v>
      </c>
      <c r="S388" s="13"/>
      <c r="T388" s="13"/>
      <c r="U388" s="13" t="s">
        <v>1533</v>
      </c>
      <c r="V388" s="13" t="s">
        <v>1533</v>
      </c>
      <c r="W388" s="59">
        <f t="shared" si="5"/>
        <v>1.0370107777620067E-4</v>
      </c>
    </row>
    <row r="389" spans="1:30">
      <c r="A389" s="13" t="s">
        <v>2242</v>
      </c>
      <c r="B389" s="13" t="s">
        <v>471</v>
      </c>
      <c r="C389" s="139">
        <v>46239</v>
      </c>
      <c r="D389" s="139" t="s">
        <v>441</v>
      </c>
      <c r="E389" s="28">
        <v>0.98702005999999998</v>
      </c>
      <c r="F389" s="13"/>
      <c r="G389" s="18">
        <v>2500000</v>
      </c>
      <c r="H389" s="18">
        <v>2467550.16</v>
      </c>
      <c r="I389" s="18">
        <v>2500000</v>
      </c>
      <c r="J389" s="18">
        <v>2467550.16</v>
      </c>
      <c r="K389" s="15">
        <v>380</v>
      </c>
      <c r="L389" s="13" t="s">
        <v>102</v>
      </c>
      <c r="M389" s="13" t="s">
        <v>103</v>
      </c>
      <c r="N389" s="139" t="s">
        <v>388</v>
      </c>
      <c r="O389" s="139" t="s">
        <v>388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2243</v>
      </c>
      <c r="V389" s="13" t="s">
        <v>2243</v>
      </c>
      <c r="W389" s="59">
        <f t="shared" ref="W389:W452" si="6">+J389/$W$2</f>
        <v>4.7141583853479759E-5</v>
      </c>
    </row>
    <row r="390" spans="1:30">
      <c r="A390" s="13" t="s">
        <v>1388</v>
      </c>
      <c r="B390" s="13" t="s">
        <v>471</v>
      </c>
      <c r="C390" s="139">
        <v>46240</v>
      </c>
      <c r="D390" s="139" t="s">
        <v>441</v>
      </c>
      <c r="E390" s="28">
        <v>0.98667318999999998</v>
      </c>
      <c r="F390" s="13"/>
      <c r="G390" s="18">
        <v>100000000</v>
      </c>
      <c r="H390" s="18">
        <v>98667318.930000007</v>
      </c>
      <c r="I390" s="18">
        <v>100000000</v>
      </c>
      <c r="J390" s="18">
        <v>98667318.930000007</v>
      </c>
      <c r="K390" s="15">
        <v>90003813</v>
      </c>
      <c r="L390" s="13" t="s">
        <v>102</v>
      </c>
      <c r="M390" s="13" t="s">
        <v>103</v>
      </c>
      <c r="N390" s="139" t="s">
        <v>351</v>
      </c>
      <c r="O390" s="139" t="s">
        <v>351</v>
      </c>
      <c r="P390" s="28">
        <v>29</v>
      </c>
      <c r="Q390" s="13" t="s">
        <v>54</v>
      </c>
      <c r="R390" s="13" t="s">
        <v>28</v>
      </c>
      <c r="S390" s="13"/>
      <c r="T390" s="13"/>
      <c r="U390" s="13" t="s">
        <v>1359</v>
      </c>
      <c r="V390" s="13" t="s">
        <v>1359</v>
      </c>
      <c r="W390" s="59">
        <f t="shared" si="6"/>
        <v>1.8850006635474539E-3</v>
      </c>
    </row>
    <row r="391" spans="1:30">
      <c r="A391" s="13" t="s">
        <v>2409</v>
      </c>
      <c r="B391" s="13" t="s">
        <v>471</v>
      </c>
      <c r="C391" s="139">
        <v>46240</v>
      </c>
      <c r="D391" s="139" t="s">
        <v>441</v>
      </c>
      <c r="E391" s="28">
        <v>0.98940130999999998</v>
      </c>
      <c r="F391" s="13"/>
      <c r="G391" s="18">
        <v>44862794.600000001</v>
      </c>
      <c r="H391" s="18">
        <v>44387307.689999998</v>
      </c>
      <c r="I391" s="18">
        <v>44862794.600000001</v>
      </c>
      <c r="J391" s="18">
        <v>44387307.689999998</v>
      </c>
      <c r="K391" s="15">
        <v>96</v>
      </c>
      <c r="L391" s="13" t="s">
        <v>102</v>
      </c>
      <c r="M391" s="13" t="s">
        <v>103</v>
      </c>
      <c r="N391" s="139" t="s">
        <v>382</v>
      </c>
      <c r="O391" s="139" t="s">
        <v>382</v>
      </c>
      <c r="P391" s="28">
        <v>23</v>
      </c>
      <c r="Q391" s="13" t="s">
        <v>54</v>
      </c>
      <c r="R391" s="13" t="s">
        <v>28</v>
      </c>
      <c r="S391" s="13"/>
      <c r="T391" s="13"/>
      <c r="U391" s="13" t="s">
        <v>2404</v>
      </c>
      <c r="V391" s="13" t="s">
        <v>2404</v>
      </c>
      <c r="W391" s="59">
        <f t="shared" si="6"/>
        <v>8.4800220940527572E-4</v>
      </c>
    </row>
    <row r="392" spans="1:30">
      <c r="A392" s="13" t="s">
        <v>581</v>
      </c>
      <c r="B392" s="13" t="s">
        <v>471</v>
      </c>
      <c r="C392" s="139">
        <v>46240</v>
      </c>
      <c r="D392" s="139" t="s">
        <v>441</v>
      </c>
      <c r="E392" s="28">
        <v>0.98849028999999999</v>
      </c>
      <c r="F392" s="13"/>
      <c r="G392" s="18">
        <v>2125000</v>
      </c>
      <c r="H392" s="18">
        <v>2100541.86</v>
      </c>
      <c r="I392" s="18">
        <v>2125000</v>
      </c>
      <c r="J392" s="18">
        <v>2100541.86</v>
      </c>
      <c r="K392" s="15">
        <v>4501</v>
      </c>
      <c r="L392" s="13" t="s">
        <v>102</v>
      </c>
      <c r="M392" s="13" t="s">
        <v>103</v>
      </c>
      <c r="N392" s="139" t="s">
        <v>172</v>
      </c>
      <c r="O392" s="139" t="s">
        <v>172</v>
      </c>
      <c r="P392" s="28">
        <v>25</v>
      </c>
      <c r="Q392" s="13" t="s">
        <v>54</v>
      </c>
      <c r="R392" s="13" t="s">
        <v>28</v>
      </c>
      <c r="S392" s="13"/>
      <c r="T392" s="13"/>
      <c r="U392" s="13" t="s">
        <v>1807</v>
      </c>
      <c r="V392" s="13" t="s">
        <v>1807</v>
      </c>
      <c r="W392" s="59">
        <f t="shared" si="6"/>
        <v>4.0130033357025791E-5</v>
      </c>
    </row>
    <row r="393" spans="1:30">
      <c r="A393" s="13" t="s">
        <v>1272</v>
      </c>
      <c r="B393" s="13" t="s">
        <v>471</v>
      </c>
      <c r="C393" s="139">
        <v>46240</v>
      </c>
      <c r="D393" s="139" t="s">
        <v>441</v>
      </c>
      <c r="E393" s="28">
        <v>0.98486280000000004</v>
      </c>
      <c r="F393" s="13"/>
      <c r="G393" s="18">
        <v>1319000</v>
      </c>
      <c r="H393" s="18">
        <v>1299034.04</v>
      </c>
      <c r="I393" s="18">
        <v>1319000</v>
      </c>
      <c r="J393" s="18">
        <v>1299034.04</v>
      </c>
      <c r="K393" s="15">
        <v>67204033</v>
      </c>
      <c r="L393" s="13" t="s">
        <v>102</v>
      </c>
      <c r="M393" s="13" t="s">
        <v>103</v>
      </c>
      <c r="N393" s="139" t="s">
        <v>319</v>
      </c>
      <c r="O393" s="139" t="s">
        <v>319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1251</v>
      </c>
      <c r="V393" s="13" t="s">
        <v>1251</v>
      </c>
      <c r="W393" s="59">
        <f t="shared" si="6"/>
        <v>2.4817538916892608E-5</v>
      </c>
    </row>
    <row r="394" spans="1:30">
      <c r="A394" s="13" t="s">
        <v>970</v>
      </c>
      <c r="B394" s="13" t="s">
        <v>471</v>
      </c>
      <c r="C394" s="139">
        <v>46240</v>
      </c>
      <c r="D394" s="139" t="s">
        <v>441</v>
      </c>
      <c r="E394" s="28">
        <v>0.98712679999999997</v>
      </c>
      <c r="F394" s="13"/>
      <c r="G394" s="18">
        <v>6500000</v>
      </c>
      <c r="H394" s="18">
        <v>6416324.1799999997</v>
      </c>
      <c r="I394" s="18">
        <v>6500000</v>
      </c>
      <c r="J394" s="18">
        <v>6416324.1799999997</v>
      </c>
      <c r="K394" s="15">
        <v>29175497</v>
      </c>
      <c r="L394" s="13" t="s">
        <v>102</v>
      </c>
      <c r="M394" s="13" t="s">
        <v>103</v>
      </c>
      <c r="N394" s="139" t="s">
        <v>359</v>
      </c>
      <c r="O394" s="139" t="s">
        <v>359</v>
      </c>
      <c r="P394" s="28">
        <v>28</v>
      </c>
      <c r="Q394" s="13" t="s">
        <v>54</v>
      </c>
      <c r="R394" s="13" t="s">
        <v>28</v>
      </c>
      <c r="S394" s="13"/>
      <c r="T394" s="13"/>
      <c r="U394" s="13" t="s">
        <v>952</v>
      </c>
      <c r="V394" s="13" t="s">
        <v>952</v>
      </c>
      <c r="W394" s="59">
        <f t="shared" si="6"/>
        <v>1.2258137210980941E-4</v>
      </c>
    </row>
    <row r="395" spans="1:30">
      <c r="A395" s="13" t="s">
        <v>481</v>
      </c>
      <c r="B395" s="13" t="s">
        <v>471</v>
      </c>
      <c r="C395" s="139">
        <v>46240</v>
      </c>
      <c r="D395" s="139" t="s">
        <v>441</v>
      </c>
      <c r="E395" s="28">
        <v>0.98260924000000005</v>
      </c>
      <c r="F395" s="13"/>
      <c r="G395" s="18">
        <v>20000000</v>
      </c>
      <c r="H395" s="18">
        <v>19652184.73</v>
      </c>
      <c r="I395" s="18">
        <v>20000000</v>
      </c>
      <c r="J395" s="18">
        <v>19652184.73</v>
      </c>
      <c r="K395" s="15">
        <v>70219539</v>
      </c>
      <c r="L395" s="13" t="s">
        <v>102</v>
      </c>
      <c r="M395" s="13" t="s">
        <v>103</v>
      </c>
      <c r="N395" s="139" t="s">
        <v>373</v>
      </c>
      <c r="O395" s="139" t="s">
        <v>373</v>
      </c>
      <c r="P395" s="28">
        <v>38</v>
      </c>
      <c r="Q395" s="13" t="s">
        <v>54</v>
      </c>
      <c r="R395" s="13" t="s">
        <v>28</v>
      </c>
      <c r="S395" s="13"/>
      <c r="T395" s="13"/>
      <c r="U395" s="13" t="s">
        <v>1490</v>
      </c>
      <c r="V395" s="13" t="s">
        <v>1490</v>
      </c>
      <c r="W395" s="59">
        <f t="shared" si="6"/>
        <v>3.7544732803055541E-4</v>
      </c>
      <c r="AC395" s="56"/>
    </row>
    <row r="396" spans="1:30">
      <c r="A396" s="13" t="s">
        <v>481</v>
      </c>
      <c r="B396" s="13" t="s">
        <v>471</v>
      </c>
      <c r="C396" s="139">
        <v>46240</v>
      </c>
      <c r="D396" s="139" t="s">
        <v>441</v>
      </c>
      <c r="E396" s="28">
        <v>0.98260921000000001</v>
      </c>
      <c r="F396" s="13"/>
      <c r="G396" s="18">
        <v>20000000</v>
      </c>
      <c r="H396" s="18">
        <v>19652184.190000001</v>
      </c>
      <c r="I396" s="18">
        <v>20000000</v>
      </c>
      <c r="J396" s="18">
        <v>19652184.190000001</v>
      </c>
      <c r="K396" s="15">
        <v>70219540</v>
      </c>
      <c r="L396" s="13" t="s">
        <v>102</v>
      </c>
      <c r="M396" s="13" t="s">
        <v>103</v>
      </c>
      <c r="N396" s="139" t="s">
        <v>351</v>
      </c>
      <c r="O396" s="139" t="s">
        <v>351</v>
      </c>
      <c r="P396" s="28">
        <v>38</v>
      </c>
      <c r="Q396" s="13" t="s">
        <v>54</v>
      </c>
      <c r="R396" s="13" t="s">
        <v>28</v>
      </c>
      <c r="S396" s="13"/>
      <c r="T396" s="13"/>
      <c r="U396" s="13" t="s">
        <v>1355</v>
      </c>
      <c r="V396" s="13" t="s">
        <v>1355</v>
      </c>
      <c r="W396" s="59">
        <f t="shared" si="6"/>
        <v>3.7544731771406594E-4</v>
      </c>
    </row>
    <row r="397" spans="1:30">
      <c r="A397" s="13" t="s">
        <v>432</v>
      </c>
      <c r="B397" s="13" t="s">
        <v>471</v>
      </c>
      <c r="C397" s="139">
        <v>46240</v>
      </c>
      <c r="D397" s="139" t="s">
        <v>441</v>
      </c>
      <c r="E397" s="28">
        <v>0.98350939999999998</v>
      </c>
      <c r="F397" s="13"/>
      <c r="G397" s="18">
        <v>5882352.9299999997</v>
      </c>
      <c r="H397" s="18">
        <v>5785349.4100000001</v>
      </c>
      <c r="I397" s="18">
        <v>5882352.9299999997</v>
      </c>
      <c r="J397" s="18">
        <v>5785349.4100000001</v>
      </c>
      <c r="K397" s="15">
        <v>2622</v>
      </c>
      <c r="L397" s="13" t="s">
        <v>102</v>
      </c>
      <c r="M397" s="13" t="s">
        <v>103</v>
      </c>
      <c r="N397" s="139" t="s">
        <v>370</v>
      </c>
      <c r="O397" s="139" t="s">
        <v>370</v>
      </c>
      <c r="P397" s="28">
        <v>36</v>
      </c>
      <c r="Q397" s="13" t="s">
        <v>54</v>
      </c>
      <c r="R397" s="13" t="s">
        <v>28</v>
      </c>
      <c r="S397" s="13"/>
      <c r="T397" s="13"/>
      <c r="U397" s="13" t="s">
        <v>1134</v>
      </c>
      <c r="V397" s="13" t="s">
        <v>1134</v>
      </c>
      <c r="W397" s="59">
        <f t="shared" si="6"/>
        <v>1.1052684510907557E-4</v>
      </c>
    </row>
    <row r="398" spans="1:30">
      <c r="A398" s="13" t="s">
        <v>432</v>
      </c>
      <c r="B398" s="13" t="s">
        <v>471</v>
      </c>
      <c r="C398" s="139">
        <v>46240</v>
      </c>
      <c r="D398" s="139" t="s">
        <v>441</v>
      </c>
      <c r="E398" s="28">
        <v>0.98350941000000003</v>
      </c>
      <c r="F398" s="13"/>
      <c r="G398" s="18">
        <v>2273100.5</v>
      </c>
      <c r="H398" s="18">
        <v>2235615.73</v>
      </c>
      <c r="I398" s="18">
        <v>2273100.5</v>
      </c>
      <c r="J398" s="18">
        <v>2235615.73</v>
      </c>
      <c r="K398" s="15">
        <v>2759</v>
      </c>
      <c r="L398" s="13" t="s">
        <v>102</v>
      </c>
      <c r="M398" s="13" t="s">
        <v>103</v>
      </c>
      <c r="N398" s="139" t="s">
        <v>170</v>
      </c>
      <c r="O398" s="139" t="s">
        <v>170</v>
      </c>
      <c r="P398" s="28">
        <v>36</v>
      </c>
      <c r="Q398" s="13" t="s">
        <v>54</v>
      </c>
      <c r="R398" s="13" t="s">
        <v>28</v>
      </c>
      <c r="S398" s="13"/>
      <c r="T398" s="13"/>
      <c r="U398" s="13" t="s">
        <v>1648</v>
      </c>
      <c r="V398" s="13" t="s">
        <v>1648</v>
      </c>
      <c r="W398" s="59">
        <f t="shared" si="6"/>
        <v>4.2710566985983116E-5</v>
      </c>
    </row>
    <row r="399" spans="1:30">
      <c r="A399" s="13" t="s">
        <v>1862</v>
      </c>
      <c r="B399" s="13" t="s">
        <v>471</v>
      </c>
      <c r="C399" s="139">
        <v>46240</v>
      </c>
      <c r="D399" s="139" t="s">
        <v>441</v>
      </c>
      <c r="E399" s="28">
        <v>0.98735382999999999</v>
      </c>
      <c r="F399" s="13"/>
      <c r="G399" s="18">
        <v>30000000</v>
      </c>
      <c r="H399" s="18">
        <v>29620614.93</v>
      </c>
      <c r="I399" s="18">
        <v>30000000</v>
      </c>
      <c r="J399" s="18">
        <v>29620614.93</v>
      </c>
      <c r="K399" s="15">
        <v>493</v>
      </c>
      <c r="L399" s="13" t="s">
        <v>102</v>
      </c>
      <c r="M399" s="13" t="s">
        <v>103</v>
      </c>
      <c r="N399" s="139" t="s">
        <v>493</v>
      </c>
      <c r="O399" s="139" t="s">
        <v>493</v>
      </c>
      <c r="P399" s="28">
        <v>27.5</v>
      </c>
      <c r="Q399" s="13" t="s">
        <v>54</v>
      </c>
      <c r="R399" s="13" t="s">
        <v>28</v>
      </c>
      <c r="S399" s="13"/>
      <c r="T399" s="13"/>
      <c r="U399" s="13" t="s">
        <v>1966</v>
      </c>
      <c r="V399" s="13" t="s">
        <v>1966</v>
      </c>
      <c r="W399" s="59">
        <f t="shared" si="6"/>
        <v>5.6589030089432074E-4</v>
      </c>
    </row>
    <row r="400" spans="1:30">
      <c r="A400" s="13" t="s">
        <v>323</v>
      </c>
      <c r="B400" s="13" t="s">
        <v>471</v>
      </c>
      <c r="C400" s="139">
        <v>46240</v>
      </c>
      <c r="D400" s="139" t="s">
        <v>441</v>
      </c>
      <c r="E400" s="28">
        <v>0.98758089000000004</v>
      </c>
      <c r="F400" s="13"/>
      <c r="G400" s="18">
        <v>5800000</v>
      </c>
      <c r="H400" s="18">
        <v>5727969.1299999999</v>
      </c>
      <c r="I400" s="18">
        <v>5800000</v>
      </c>
      <c r="J400" s="18">
        <v>5727969.1299999999</v>
      </c>
      <c r="K400" s="15">
        <v>122</v>
      </c>
      <c r="L400" s="13" t="s">
        <v>102</v>
      </c>
      <c r="M400" s="13" t="s">
        <v>103</v>
      </c>
      <c r="N400" s="139" t="s">
        <v>457</v>
      </c>
      <c r="O400" s="139" t="s">
        <v>457</v>
      </c>
      <c r="P400" s="28">
        <v>27</v>
      </c>
      <c r="Q400" s="13" t="s">
        <v>54</v>
      </c>
      <c r="R400" s="13" t="s">
        <v>28</v>
      </c>
      <c r="S400" s="13"/>
      <c r="T400" s="13"/>
      <c r="U400" s="13" t="s">
        <v>1721</v>
      </c>
      <c r="V400" s="13" t="s">
        <v>1721</v>
      </c>
      <c r="W400" s="59">
        <f t="shared" si="6"/>
        <v>1.0943061722888684E-4</v>
      </c>
      <c r="AA400" s="13"/>
      <c r="AB400" s="13"/>
      <c r="AC400" s="23"/>
      <c r="AD400" s="16"/>
    </row>
    <row r="401" spans="1:29">
      <c r="A401" s="13" t="s">
        <v>478</v>
      </c>
      <c r="B401" s="13" t="s">
        <v>471</v>
      </c>
      <c r="C401" s="139">
        <v>46240</v>
      </c>
      <c r="D401" s="139" t="s">
        <v>441</v>
      </c>
      <c r="E401" s="28">
        <v>0.98396011999999999</v>
      </c>
      <c r="F401" s="13"/>
      <c r="G401" s="18">
        <v>25000000</v>
      </c>
      <c r="H401" s="18">
        <v>24599003.109999999</v>
      </c>
      <c r="I401" s="18">
        <v>25000000</v>
      </c>
      <c r="J401" s="18">
        <v>24599003.109999999</v>
      </c>
      <c r="K401" s="15">
        <v>1308</v>
      </c>
      <c r="L401" s="13" t="s">
        <v>102</v>
      </c>
      <c r="M401" s="13" t="s">
        <v>103</v>
      </c>
      <c r="N401" s="139" t="s">
        <v>397</v>
      </c>
      <c r="O401" s="139" t="s">
        <v>397</v>
      </c>
      <c r="P401" s="28">
        <v>35</v>
      </c>
      <c r="Q401" s="13" t="s">
        <v>54</v>
      </c>
      <c r="R401" s="13" t="s">
        <v>28</v>
      </c>
      <c r="S401" s="13"/>
      <c r="T401" s="13"/>
      <c r="U401" s="13" t="s">
        <v>692</v>
      </c>
      <c r="V401" s="13" t="s">
        <v>692</v>
      </c>
      <c r="W401" s="59">
        <f t="shared" si="6"/>
        <v>4.6995436470562943E-4</v>
      </c>
    </row>
    <row r="402" spans="1:29">
      <c r="A402" s="13" t="s">
        <v>1516</v>
      </c>
      <c r="B402" s="13" t="s">
        <v>471</v>
      </c>
      <c r="C402" s="139">
        <v>46240</v>
      </c>
      <c r="D402" s="139" t="s">
        <v>441</v>
      </c>
      <c r="E402" s="28">
        <v>0.98171069</v>
      </c>
      <c r="F402" s="13"/>
      <c r="G402" s="18">
        <v>25000000</v>
      </c>
      <c r="H402" s="18">
        <v>24542767.25</v>
      </c>
      <c r="I402" s="18">
        <v>25000000</v>
      </c>
      <c r="J402" s="18">
        <v>24542767.25</v>
      </c>
      <c r="K402" s="15">
        <v>70379055</v>
      </c>
      <c r="L402" s="13" t="s">
        <v>102</v>
      </c>
      <c r="M402" s="13" t="s">
        <v>103</v>
      </c>
      <c r="N402" s="139" t="s">
        <v>459</v>
      </c>
      <c r="O402" s="139" t="s">
        <v>459</v>
      </c>
      <c r="P402" s="28">
        <v>40</v>
      </c>
      <c r="Q402" s="13" t="s">
        <v>54</v>
      </c>
      <c r="R402" s="13" t="s">
        <v>28</v>
      </c>
      <c r="S402" s="13"/>
      <c r="T402" s="13"/>
      <c r="U402" s="13" t="s">
        <v>1514</v>
      </c>
      <c r="V402" s="13" t="s">
        <v>1514</v>
      </c>
      <c r="W402" s="59">
        <f t="shared" si="6"/>
        <v>4.6888000052339841E-4</v>
      </c>
    </row>
    <row r="403" spans="1:29">
      <c r="A403" s="13" t="s">
        <v>522</v>
      </c>
      <c r="B403" s="13" t="s">
        <v>471</v>
      </c>
      <c r="C403" s="139">
        <v>46240</v>
      </c>
      <c r="D403" s="139" t="s">
        <v>441</v>
      </c>
      <c r="E403" s="28">
        <v>0.98940128000000005</v>
      </c>
      <c r="F403" s="13"/>
      <c r="G403" s="18">
        <v>5119348.5</v>
      </c>
      <c r="H403" s="18">
        <v>5065089.95</v>
      </c>
      <c r="I403" s="18">
        <v>5119348.5</v>
      </c>
      <c r="J403" s="18">
        <v>5065089.95</v>
      </c>
      <c r="K403" s="15">
        <v>30080794</v>
      </c>
      <c r="L403" s="13" t="s">
        <v>102</v>
      </c>
      <c r="M403" s="13" t="s">
        <v>103</v>
      </c>
      <c r="N403" s="139" t="s">
        <v>783</v>
      </c>
      <c r="O403" s="139" t="s">
        <v>783</v>
      </c>
      <c r="P403" s="28">
        <v>23</v>
      </c>
      <c r="Q403" s="13" t="s">
        <v>54</v>
      </c>
      <c r="R403" s="13" t="s">
        <v>28</v>
      </c>
      <c r="S403" s="13"/>
      <c r="T403" s="13"/>
      <c r="U403" s="13" t="s">
        <v>2090</v>
      </c>
      <c r="V403" s="13" t="s">
        <v>2090</v>
      </c>
      <c r="W403" s="59">
        <f t="shared" si="6"/>
        <v>9.6766568912764312E-5</v>
      </c>
    </row>
    <row r="404" spans="1:29">
      <c r="A404" s="13" t="s">
        <v>322</v>
      </c>
      <c r="B404" s="13" t="s">
        <v>471</v>
      </c>
      <c r="C404" s="139">
        <v>46240</v>
      </c>
      <c r="D404" s="139" t="s">
        <v>441</v>
      </c>
      <c r="E404" s="28">
        <v>0.98621996999999995</v>
      </c>
      <c r="F404" s="13"/>
      <c r="G404" s="18">
        <v>8500000</v>
      </c>
      <c r="H404" s="18">
        <v>8382869.7300000004</v>
      </c>
      <c r="I404" s="18">
        <v>8500000</v>
      </c>
      <c r="J404" s="18">
        <v>8382869.7300000004</v>
      </c>
      <c r="K404" s="15">
        <v>1075</v>
      </c>
      <c r="L404" s="13" t="s">
        <v>102</v>
      </c>
      <c r="M404" s="13" t="s">
        <v>103</v>
      </c>
      <c r="N404" s="139" t="s">
        <v>358</v>
      </c>
      <c r="O404" s="139" t="s">
        <v>358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615</v>
      </c>
      <c r="V404" s="13" t="s">
        <v>615</v>
      </c>
      <c r="W404" s="59">
        <f t="shared" si="6"/>
        <v>1.6015145820160034E-4</v>
      </c>
    </row>
    <row r="405" spans="1:29">
      <c r="A405" s="13" t="s">
        <v>322</v>
      </c>
      <c r="B405" s="13" t="s">
        <v>471</v>
      </c>
      <c r="C405" s="139">
        <v>46240</v>
      </c>
      <c r="D405" s="139" t="s">
        <v>441</v>
      </c>
      <c r="E405" s="28">
        <v>0.98621996999999995</v>
      </c>
      <c r="F405" s="13"/>
      <c r="G405" s="18">
        <v>10000000</v>
      </c>
      <c r="H405" s="18">
        <v>9862199.6799999997</v>
      </c>
      <c r="I405" s="18">
        <v>10000000</v>
      </c>
      <c r="J405" s="18">
        <v>9862199.6799999997</v>
      </c>
      <c r="K405" s="15">
        <v>40621856</v>
      </c>
      <c r="L405" s="13" t="s">
        <v>102</v>
      </c>
      <c r="M405" s="13" t="s">
        <v>103</v>
      </c>
      <c r="N405" s="139" t="s">
        <v>358</v>
      </c>
      <c r="O405" s="139" t="s">
        <v>358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617</v>
      </c>
      <c r="V405" s="13" t="s">
        <v>617</v>
      </c>
      <c r="W405" s="59">
        <f t="shared" si="6"/>
        <v>1.8841348019222484E-4</v>
      </c>
    </row>
    <row r="406" spans="1:29">
      <c r="A406" s="13" t="s">
        <v>340</v>
      </c>
      <c r="B406" s="13" t="s">
        <v>471</v>
      </c>
      <c r="C406" s="139">
        <v>46240</v>
      </c>
      <c r="D406" s="139" t="s">
        <v>441</v>
      </c>
      <c r="E406" s="28">
        <v>0.98396011999999999</v>
      </c>
      <c r="F406" s="13"/>
      <c r="G406" s="18">
        <v>1718406.99</v>
      </c>
      <c r="H406" s="18">
        <v>1690843.95</v>
      </c>
      <c r="I406" s="18">
        <v>1718406.99</v>
      </c>
      <c r="J406" s="18">
        <v>1690843.95</v>
      </c>
      <c r="K406" s="15">
        <v>40751277</v>
      </c>
      <c r="L406" s="13" t="s">
        <v>102</v>
      </c>
      <c r="M406" s="13" t="s">
        <v>103</v>
      </c>
      <c r="N406" s="139" t="s">
        <v>174</v>
      </c>
      <c r="O406" s="139" t="s">
        <v>174</v>
      </c>
      <c r="P406" s="28">
        <v>35</v>
      </c>
      <c r="Q406" s="13" t="s">
        <v>54</v>
      </c>
      <c r="R406" s="13" t="s">
        <v>28</v>
      </c>
      <c r="S406" s="13"/>
      <c r="T406" s="13"/>
      <c r="U406" s="13" t="s">
        <v>1320</v>
      </c>
      <c r="V406" s="13" t="s">
        <v>1320</v>
      </c>
      <c r="W406" s="59">
        <f t="shared" si="6"/>
        <v>3.2302914503701082E-5</v>
      </c>
    </row>
    <row r="407" spans="1:29">
      <c r="A407" s="13" t="s">
        <v>738</v>
      </c>
      <c r="B407" s="13" t="s">
        <v>471</v>
      </c>
      <c r="C407" s="139">
        <v>46240</v>
      </c>
      <c r="D407" s="139" t="s">
        <v>441</v>
      </c>
      <c r="E407" s="28">
        <v>0.98712683000000001</v>
      </c>
      <c r="F407" s="13"/>
      <c r="G407" s="18">
        <v>25000000</v>
      </c>
      <c r="H407" s="18">
        <v>24678170.670000002</v>
      </c>
      <c r="I407" s="18">
        <v>25000000</v>
      </c>
      <c r="J407" s="18">
        <v>24678170.670000002</v>
      </c>
      <c r="K407" s="15">
        <v>896</v>
      </c>
      <c r="L407" s="13" t="s">
        <v>102</v>
      </c>
      <c r="M407" s="13" t="s">
        <v>103</v>
      </c>
      <c r="N407" s="139" t="s">
        <v>327</v>
      </c>
      <c r="O407" s="139" t="s">
        <v>327</v>
      </c>
      <c r="P407" s="28">
        <v>28</v>
      </c>
      <c r="Q407" s="13" t="s">
        <v>54</v>
      </c>
      <c r="R407" s="13" t="s">
        <v>28</v>
      </c>
      <c r="S407" s="13"/>
      <c r="T407" s="13"/>
      <c r="U407" s="13" t="s">
        <v>794</v>
      </c>
      <c r="V407" s="13" t="s">
        <v>794</v>
      </c>
      <c r="W407" s="59">
        <f t="shared" si="6"/>
        <v>4.7146683007663349E-4</v>
      </c>
      <c r="AC407" s="56"/>
    </row>
    <row r="408" spans="1:29">
      <c r="A408" s="13" t="s">
        <v>1825</v>
      </c>
      <c r="B408" s="13" t="s">
        <v>471</v>
      </c>
      <c r="C408" s="139">
        <v>46240</v>
      </c>
      <c r="D408" s="139" t="s">
        <v>441</v>
      </c>
      <c r="E408" s="28">
        <v>0.98622005999999995</v>
      </c>
      <c r="F408" s="13"/>
      <c r="G408" s="18">
        <v>415000</v>
      </c>
      <c r="H408" s="18">
        <v>409281.33</v>
      </c>
      <c r="I408" s="18">
        <v>415000</v>
      </c>
      <c r="J408" s="18">
        <v>409281.33</v>
      </c>
      <c r="K408" s="15">
        <v>9918438</v>
      </c>
      <c r="L408" s="13" t="s">
        <v>102</v>
      </c>
      <c r="M408" s="13" t="s">
        <v>103</v>
      </c>
      <c r="N408" s="139" t="s">
        <v>172</v>
      </c>
      <c r="O408" s="139" t="s">
        <v>172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1827</v>
      </c>
      <c r="V408" s="13" t="s">
        <v>1827</v>
      </c>
      <c r="W408" s="59">
        <f t="shared" si="6"/>
        <v>7.8191602548248581E-6</v>
      </c>
    </row>
    <row r="409" spans="1:29">
      <c r="A409" s="13" t="s">
        <v>1825</v>
      </c>
      <c r="B409" s="13" t="s">
        <v>471</v>
      </c>
      <c r="C409" s="139">
        <v>46240</v>
      </c>
      <c r="D409" s="139" t="s">
        <v>441</v>
      </c>
      <c r="E409" s="28">
        <v>0.98622005999999995</v>
      </c>
      <c r="F409" s="13"/>
      <c r="G409" s="18">
        <v>330000</v>
      </c>
      <c r="H409" s="18">
        <v>325452.62</v>
      </c>
      <c r="I409" s="18">
        <v>330000</v>
      </c>
      <c r="J409" s="18">
        <v>325452.62</v>
      </c>
      <c r="K409" s="15">
        <v>9918444</v>
      </c>
      <c r="L409" s="13" t="s">
        <v>102</v>
      </c>
      <c r="M409" s="13" t="s">
        <v>103</v>
      </c>
      <c r="N409" s="139" t="s">
        <v>172</v>
      </c>
      <c r="O409" s="139" t="s">
        <v>172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1835</v>
      </c>
      <c r="V409" s="13" t="s">
        <v>1835</v>
      </c>
      <c r="W409" s="59">
        <f t="shared" si="6"/>
        <v>6.2176454301803056E-6</v>
      </c>
    </row>
    <row r="410" spans="1:29">
      <c r="A410" s="13" t="s">
        <v>1714</v>
      </c>
      <c r="B410" s="13" t="s">
        <v>471</v>
      </c>
      <c r="C410" s="139">
        <v>46241</v>
      </c>
      <c r="D410" s="139" t="s">
        <v>441</v>
      </c>
      <c r="E410" s="28">
        <v>0.98542129000000001</v>
      </c>
      <c r="F410" s="13"/>
      <c r="G410" s="18">
        <v>7938273</v>
      </c>
      <c r="H410" s="18">
        <v>7822543.21</v>
      </c>
      <c r="I410" s="18">
        <v>7938273</v>
      </c>
      <c r="J410" s="18">
        <v>7822543.21</v>
      </c>
      <c r="K410" s="15">
        <v>90044419</v>
      </c>
      <c r="L410" s="13" t="s">
        <v>102</v>
      </c>
      <c r="M410" s="13" t="s">
        <v>103</v>
      </c>
      <c r="N410" s="139" t="s">
        <v>367</v>
      </c>
      <c r="O410" s="139" t="s">
        <v>367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1849</v>
      </c>
      <c r="V410" s="13" t="s">
        <v>1849</v>
      </c>
      <c r="W410" s="59">
        <f t="shared" si="6"/>
        <v>1.4944663847550062E-4</v>
      </c>
    </row>
    <row r="411" spans="1:29">
      <c r="A411" s="13" t="s">
        <v>1269</v>
      </c>
      <c r="B411" s="13" t="s">
        <v>471</v>
      </c>
      <c r="C411" s="139">
        <v>46241</v>
      </c>
      <c r="D411" s="139" t="s">
        <v>441</v>
      </c>
      <c r="E411" s="28">
        <v>0.98398669000000005</v>
      </c>
      <c r="F411" s="13"/>
      <c r="G411" s="18">
        <v>1701000</v>
      </c>
      <c r="H411" s="18">
        <v>1673761.36</v>
      </c>
      <c r="I411" s="18">
        <v>1701000</v>
      </c>
      <c r="J411" s="18">
        <v>1673761.36</v>
      </c>
      <c r="K411" s="15">
        <v>67242928</v>
      </c>
      <c r="L411" s="13" t="s">
        <v>102</v>
      </c>
      <c r="M411" s="13" t="s">
        <v>103</v>
      </c>
      <c r="N411" s="139" t="s">
        <v>319</v>
      </c>
      <c r="O411" s="139" t="s">
        <v>319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1243</v>
      </c>
      <c r="V411" s="13" t="s">
        <v>1243</v>
      </c>
      <c r="W411" s="59">
        <f t="shared" si="6"/>
        <v>3.1976558281252662E-5</v>
      </c>
    </row>
    <row r="412" spans="1:29">
      <c r="A412" s="13" t="s">
        <v>1431</v>
      </c>
      <c r="B412" s="13" t="s">
        <v>471</v>
      </c>
      <c r="C412" s="139">
        <v>46241</v>
      </c>
      <c r="D412" s="139" t="s">
        <v>441</v>
      </c>
      <c r="E412" s="28">
        <v>0.98446438999999997</v>
      </c>
      <c r="F412" s="13"/>
      <c r="G412" s="18">
        <v>3847875.41</v>
      </c>
      <c r="H412" s="18">
        <v>3788096.3</v>
      </c>
      <c r="I412" s="18">
        <v>3847875.41</v>
      </c>
      <c r="J412" s="18">
        <v>3788096.3</v>
      </c>
      <c r="K412" s="15">
        <v>844</v>
      </c>
      <c r="L412" s="13" t="s">
        <v>102</v>
      </c>
      <c r="M412" s="13" t="s">
        <v>103</v>
      </c>
      <c r="N412" s="139" t="s">
        <v>373</v>
      </c>
      <c r="O412" s="139" t="s">
        <v>373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1432</v>
      </c>
      <c r="V412" s="13" t="s">
        <v>1432</v>
      </c>
      <c r="W412" s="59">
        <f t="shared" si="6"/>
        <v>7.2370103054564204E-5</v>
      </c>
      <c r="AC412" s="56"/>
    </row>
    <row r="413" spans="1:29">
      <c r="A413" s="13" t="s">
        <v>1433</v>
      </c>
      <c r="B413" s="13" t="s">
        <v>471</v>
      </c>
      <c r="C413" s="139">
        <v>46241</v>
      </c>
      <c r="D413" s="139" t="s">
        <v>441</v>
      </c>
      <c r="E413" s="28">
        <v>0.98446438000000003</v>
      </c>
      <c r="F413" s="13"/>
      <c r="G413" s="18">
        <v>3300000</v>
      </c>
      <c r="H413" s="18">
        <v>3248732.46</v>
      </c>
      <c r="I413" s="18">
        <v>3300000</v>
      </c>
      <c r="J413" s="18">
        <v>3248732.46</v>
      </c>
      <c r="K413" s="15">
        <v>13647454</v>
      </c>
      <c r="L413" s="13" t="s">
        <v>102</v>
      </c>
      <c r="M413" s="13" t="s">
        <v>103</v>
      </c>
      <c r="N413" s="139" t="s">
        <v>373</v>
      </c>
      <c r="O413" s="139" t="s">
        <v>373</v>
      </c>
      <c r="P413" s="28">
        <v>32</v>
      </c>
      <c r="Q413" s="13" t="s">
        <v>54</v>
      </c>
      <c r="R413" s="13" t="s">
        <v>28</v>
      </c>
      <c r="S413" s="13"/>
      <c r="T413" s="13"/>
      <c r="U413" s="13" t="s">
        <v>1434</v>
      </c>
      <c r="V413" s="13" t="s">
        <v>1434</v>
      </c>
      <c r="W413" s="59">
        <f t="shared" si="6"/>
        <v>6.2065767157743035E-5</v>
      </c>
    </row>
    <row r="414" spans="1:29">
      <c r="A414" s="13" t="s">
        <v>698</v>
      </c>
      <c r="B414" s="13" t="s">
        <v>471</v>
      </c>
      <c r="C414" s="139">
        <v>46241</v>
      </c>
      <c r="D414" s="139" t="s">
        <v>441</v>
      </c>
      <c r="E414" s="28">
        <v>0.98542121999999999</v>
      </c>
      <c r="F414" s="13"/>
      <c r="G414" s="18">
        <v>8000000</v>
      </c>
      <c r="H414" s="18">
        <v>7883369.75</v>
      </c>
      <c r="I414" s="18">
        <v>8000000</v>
      </c>
      <c r="J414" s="18">
        <v>7883369.75</v>
      </c>
      <c r="K414" s="15">
        <v>90000620</v>
      </c>
      <c r="L414" s="13" t="s">
        <v>102</v>
      </c>
      <c r="M414" s="13" t="s">
        <v>103</v>
      </c>
      <c r="N414" s="139" t="s">
        <v>359</v>
      </c>
      <c r="O414" s="139" t="s">
        <v>359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964</v>
      </c>
      <c r="V414" s="13" t="s">
        <v>964</v>
      </c>
      <c r="W414" s="59">
        <f t="shared" si="6"/>
        <v>1.5060870580949437E-4</v>
      </c>
    </row>
    <row r="415" spans="1:29">
      <c r="A415" s="13" t="s">
        <v>739</v>
      </c>
      <c r="B415" s="13" t="s">
        <v>471</v>
      </c>
      <c r="C415" s="139">
        <v>46241</v>
      </c>
      <c r="D415" s="139" t="s">
        <v>441</v>
      </c>
      <c r="E415" s="28">
        <v>0.98160508999999996</v>
      </c>
      <c r="F415" s="13"/>
      <c r="G415" s="18">
        <v>320500000</v>
      </c>
      <c r="H415" s="18">
        <v>314604430.35000002</v>
      </c>
      <c r="I415" s="18">
        <v>320500000</v>
      </c>
      <c r="J415" s="18">
        <v>314604430.35000002</v>
      </c>
      <c r="K415" s="15">
        <v>70389104</v>
      </c>
      <c r="L415" s="13" t="s">
        <v>102</v>
      </c>
      <c r="M415" s="13" t="s">
        <v>103</v>
      </c>
      <c r="N415" s="139" t="s">
        <v>389</v>
      </c>
      <c r="O415" s="139" t="s">
        <v>389</v>
      </c>
      <c r="P415" s="28">
        <v>38</v>
      </c>
      <c r="Q415" s="13" t="s">
        <v>54</v>
      </c>
      <c r="R415" s="13" t="s">
        <v>28</v>
      </c>
      <c r="S415" s="13"/>
      <c r="T415" s="13"/>
      <c r="U415" s="13" t="s">
        <v>1604</v>
      </c>
      <c r="V415" s="13" t="s">
        <v>1604</v>
      </c>
      <c r="W415" s="59">
        <f t="shared" si="6"/>
        <v>6.0103949959909864E-3</v>
      </c>
    </row>
    <row r="416" spans="1:29">
      <c r="A416" s="13" t="s">
        <v>472</v>
      </c>
      <c r="B416" s="13" t="s">
        <v>471</v>
      </c>
      <c r="C416" s="139">
        <v>46241</v>
      </c>
      <c r="D416" s="139" t="s">
        <v>441</v>
      </c>
      <c r="E416" s="28">
        <v>0.9854214</v>
      </c>
      <c r="F416" s="13"/>
      <c r="G416" s="18">
        <v>10500000</v>
      </c>
      <c r="H416" s="18">
        <v>10346924.689999999</v>
      </c>
      <c r="I416" s="18">
        <v>10500000</v>
      </c>
      <c r="J416" s="18">
        <v>10346924.689999999</v>
      </c>
      <c r="K416" s="15">
        <v>803</v>
      </c>
      <c r="L416" s="13" t="s">
        <v>102</v>
      </c>
      <c r="M416" s="13" t="s">
        <v>103</v>
      </c>
      <c r="N416" s="139" t="s">
        <v>392</v>
      </c>
      <c r="O416" s="139" t="s">
        <v>392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2275</v>
      </c>
      <c r="V416" s="13" t="s">
        <v>2275</v>
      </c>
      <c r="W416" s="59">
        <f t="shared" si="6"/>
        <v>1.9767396254237644E-4</v>
      </c>
    </row>
    <row r="417" spans="1:23">
      <c r="A417" s="13" t="s">
        <v>481</v>
      </c>
      <c r="B417" s="13" t="s">
        <v>471</v>
      </c>
      <c r="C417" s="139">
        <v>46241</v>
      </c>
      <c r="D417" s="139" t="s">
        <v>441</v>
      </c>
      <c r="E417" s="28">
        <v>0.98160504000000004</v>
      </c>
      <c r="F417" s="13"/>
      <c r="G417" s="18">
        <v>20000000</v>
      </c>
      <c r="H417" s="18">
        <v>19632100.789999999</v>
      </c>
      <c r="I417" s="18">
        <v>20000000</v>
      </c>
      <c r="J417" s="18">
        <v>19632100.789999999</v>
      </c>
      <c r="K417" s="15">
        <v>70219541</v>
      </c>
      <c r="L417" s="13" t="s">
        <v>102</v>
      </c>
      <c r="M417" s="13" t="s">
        <v>103</v>
      </c>
      <c r="N417" s="139" t="s">
        <v>373</v>
      </c>
      <c r="O417" s="139" t="s">
        <v>373</v>
      </c>
      <c r="P417" s="28">
        <v>38</v>
      </c>
      <c r="Q417" s="13" t="s">
        <v>54</v>
      </c>
      <c r="R417" s="13" t="s">
        <v>28</v>
      </c>
      <c r="S417" s="13"/>
      <c r="T417" s="13"/>
      <c r="U417" s="13" t="s">
        <v>1491</v>
      </c>
      <c r="V417" s="13" t="s">
        <v>1491</v>
      </c>
      <c r="W417" s="59">
        <f t="shared" si="6"/>
        <v>3.7506363218640758E-4</v>
      </c>
    </row>
    <row r="418" spans="1:23">
      <c r="A418" s="13" t="s">
        <v>481</v>
      </c>
      <c r="B418" s="13" t="s">
        <v>471</v>
      </c>
      <c r="C418" s="139">
        <v>46241</v>
      </c>
      <c r="D418" s="139" t="s">
        <v>441</v>
      </c>
      <c r="E418" s="28">
        <v>0.98160504000000004</v>
      </c>
      <c r="F418" s="13"/>
      <c r="G418" s="18">
        <v>20000000</v>
      </c>
      <c r="H418" s="18">
        <v>19632100.789999999</v>
      </c>
      <c r="I418" s="18">
        <v>20000000</v>
      </c>
      <c r="J418" s="18">
        <v>19632100.789999999</v>
      </c>
      <c r="K418" s="15">
        <v>70219542</v>
      </c>
      <c r="L418" s="13" t="s">
        <v>102</v>
      </c>
      <c r="M418" s="13" t="s">
        <v>103</v>
      </c>
      <c r="N418" s="139" t="s">
        <v>373</v>
      </c>
      <c r="O418" s="139" t="s">
        <v>373</v>
      </c>
      <c r="P418" s="28">
        <v>38</v>
      </c>
      <c r="Q418" s="13" t="s">
        <v>54</v>
      </c>
      <c r="R418" s="13" t="s">
        <v>28</v>
      </c>
      <c r="S418" s="13"/>
      <c r="T418" s="13"/>
      <c r="U418" s="13" t="s">
        <v>1492</v>
      </c>
      <c r="V418" s="13" t="s">
        <v>1492</v>
      </c>
      <c r="W418" s="59">
        <f t="shared" si="6"/>
        <v>3.7506363218640758E-4</v>
      </c>
    </row>
    <row r="419" spans="1:23">
      <c r="A419" s="13" t="s">
        <v>432</v>
      </c>
      <c r="B419" s="13" t="s">
        <v>471</v>
      </c>
      <c r="C419" s="139">
        <v>46241</v>
      </c>
      <c r="D419" s="139" t="s">
        <v>441</v>
      </c>
      <c r="E419" s="28">
        <v>0.98255627000000001</v>
      </c>
      <c r="F419" s="13"/>
      <c r="G419" s="18">
        <v>2273100.5</v>
      </c>
      <c r="H419" s="18">
        <v>2233449.16</v>
      </c>
      <c r="I419" s="18">
        <v>2273100.5</v>
      </c>
      <c r="J419" s="18">
        <v>2233449.16</v>
      </c>
      <c r="K419" s="15">
        <v>2760</v>
      </c>
      <c r="L419" s="13" t="s">
        <v>102</v>
      </c>
      <c r="M419" s="13" t="s">
        <v>103</v>
      </c>
      <c r="N419" s="139" t="s">
        <v>170</v>
      </c>
      <c r="O419" s="139" t="s">
        <v>170</v>
      </c>
      <c r="P419" s="28">
        <v>36</v>
      </c>
      <c r="Q419" s="13" t="s">
        <v>54</v>
      </c>
      <c r="R419" s="13" t="s">
        <v>28</v>
      </c>
      <c r="S419" s="13"/>
      <c r="T419" s="13"/>
      <c r="U419" s="13" t="s">
        <v>1649</v>
      </c>
      <c r="V419" s="13" t="s">
        <v>1649</v>
      </c>
      <c r="W419" s="59">
        <f t="shared" si="6"/>
        <v>4.2669175510751902E-5</v>
      </c>
    </row>
    <row r="420" spans="1:23">
      <c r="A420" s="13" t="s">
        <v>511</v>
      </c>
      <c r="B420" s="13" t="s">
        <v>471</v>
      </c>
      <c r="C420" s="139">
        <v>46241</v>
      </c>
      <c r="D420" s="139" t="s">
        <v>441</v>
      </c>
      <c r="E420" s="28">
        <v>0.98160499999999995</v>
      </c>
      <c r="F420" s="13"/>
      <c r="G420" s="18">
        <v>100000000</v>
      </c>
      <c r="H420" s="18">
        <v>98160500.370000005</v>
      </c>
      <c r="I420" s="18">
        <v>100000000</v>
      </c>
      <c r="J420" s="18">
        <v>98160500.370000005</v>
      </c>
      <c r="K420" s="15">
        <v>2598</v>
      </c>
      <c r="L420" s="13" t="s">
        <v>102</v>
      </c>
      <c r="M420" s="13" t="s">
        <v>103</v>
      </c>
      <c r="N420" s="139" t="s">
        <v>307</v>
      </c>
      <c r="O420" s="139" t="s">
        <v>307</v>
      </c>
      <c r="P420" s="28">
        <v>38</v>
      </c>
      <c r="Q420" s="13" t="s">
        <v>54</v>
      </c>
      <c r="R420" s="13" t="s">
        <v>28</v>
      </c>
      <c r="S420" s="13"/>
      <c r="T420" s="13"/>
      <c r="U420" s="13" t="s">
        <v>536</v>
      </c>
      <c r="V420" s="13" t="s">
        <v>536</v>
      </c>
      <c r="W420" s="59">
        <f t="shared" si="6"/>
        <v>1.8753180925375336E-3</v>
      </c>
    </row>
    <row r="421" spans="1:23">
      <c r="A421" s="13" t="s">
        <v>347</v>
      </c>
      <c r="B421" s="13" t="s">
        <v>471</v>
      </c>
      <c r="C421" s="139">
        <v>46241</v>
      </c>
      <c r="D421" s="139" t="s">
        <v>441</v>
      </c>
      <c r="E421" s="28">
        <v>0.98160502000000005</v>
      </c>
      <c r="F421" s="13"/>
      <c r="G421" s="18">
        <v>10000000</v>
      </c>
      <c r="H421" s="18">
        <v>9816050.2300000004</v>
      </c>
      <c r="I421" s="18">
        <v>10000000</v>
      </c>
      <c r="J421" s="18">
        <v>9816050.2300000004</v>
      </c>
      <c r="K421" s="15">
        <v>60524152</v>
      </c>
      <c r="L421" s="13" t="s">
        <v>102</v>
      </c>
      <c r="M421" s="13" t="s">
        <v>103</v>
      </c>
      <c r="N421" s="139" t="s">
        <v>154</v>
      </c>
      <c r="O421" s="139" t="s">
        <v>154</v>
      </c>
      <c r="P421" s="28">
        <v>38</v>
      </c>
      <c r="Q421" s="13" t="s">
        <v>54</v>
      </c>
      <c r="R421" s="13" t="s">
        <v>28</v>
      </c>
      <c r="S421" s="13"/>
      <c r="T421" s="13"/>
      <c r="U421" s="13" t="s">
        <v>508</v>
      </c>
      <c r="V421" s="13" t="s">
        <v>508</v>
      </c>
      <c r="W421" s="59">
        <f t="shared" si="6"/>
        <v>1.8753181294094311E-4</v>
      </c>
    </row>
    <row r="422" spans="1:23">
      <c r="A422" s="13" t="s">
        <v>2205</v>
      </c>
      <c r="B422" s="13" t="s">
        <v>471</v>
      </c>
      <c r="C422" s="139">
        <v>46241</v>
      </c>
      <c r="D422" s="139" t="s">
        <v>441</v>
      </c>
      <c r="E422" s="28">
        <v>0.98398673000000003</v>
      </c>
      <c r="F422" s="13"/>
      <c r="G422" s="18">
        <v>823765.54</v>
      </c>
      <c r="H422" s="18">
        <v>810574.36</v>
      </c>
      <c r="I422" s="18">
        <v>823765.54</v>
      </c>
      <c r="J422" s="18">
        <v>810574.36</v>
      </c>
      <c r="K422" s="15">
        <v>22969</v>
      </c>
      <c r="L422" s="13" t="s">
        <v>102</v>
      </c>
      <c r="M422" s="13" t="s">
        <v>103</v>
      </c>
      <c r="N422" s="139" t="s">
        <v>495</v>
      </c>
      <c r="O422" s="139" t="s">
        <v>495</v>
      </c>
      <c r="P422" s="28">
        <v>33</v>
      </c>
      <c r="Q422" s="13" t="s">
        <v>54</v>
      </c>
      <c r="R422" s="13" t="s">
        <v>28</v>
      </c>
      <c r="S422" s="13"/>
      <c r="T422" s="13"/>
      <c r="U422" s="13" t="s">
        <v>2126</v>
      </c>
      <c r="V422" s="13" t="s">
        <v>2126</v>
      </c>
      <c r="W422" s="59">
        <f t="shared" si="6"/>
        <v>1.5485707152320131E-5</v>
      </c>
    </row>
    <row r="423" spans="1:23">
      <c r="A423" s="13" t="s">
        <v>323</v>
      </c>
      <c r="B423" s="13" t="s">
        <v>471</v>
      </c>
      <c r="C423" s="139">
        <v>46241</v>
      </c>
      <c r="D423" s="139" t="s">
        <v>441</v>
      </c>
      <c r="E423" s="28">
        <v>0.98542118000000001</v>
      </c>
      <c r="F423" s="13"/>
      <c r="G423" s="18">
        <v>10000000</v>
      </c>
      <c r="H423" s="18">
        <v>9854211.8100000005</v>
      </c>
      <c r="I423" s="18">
        <v>10000000</v>
      </c>
      <c r="J423" s="18">
        <v>9854211.8100000005</v>
      </c>
      <c r="K423" s="15">
        <v>991</v>
      </c>
      <c r="L423" s="13" t="s">
        <v>102</v>
      </c>
      <c r="M423" s="13" t="s">
        <v>103</v>
      </c>
      <c r="N423" s="139" t="s">
        <v>326</v>
      </c>
      <c r="O423" s="139" t="s">
        <v>326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984</v>
      </c>
      <c r="V423" s="13" t="s">
        <v>984</v>
      </c>
      <c r="W423" s="59">
        <f t="shared" si="6"/>
        <v>1.8826087504987763E-4</v>
      </c>
    </row>
    <row r="424" spans="1:23">
      <c r="A424" s="13" t="s">
        <v>478</v>
      </c>
      <c r="B424" s="13" t="s">
        <v>471</v>
      </c>
      <c r="C424" s="139">
        <v>46241</v>
      </c>
      <c r="D424" s="139" t="s">
        <v>441</v>
      </c>
      <c r="E424" s="28">
        <v>0.98303260999999997</v>
      </c>
      <c r="F424" s="13"/>
      <c r="G424" s="18">
        <v>17000000</v>
      </c>
      <c r="H424" s="18">
        <v>16711554.439999999</v>
      </c>
      <c r="I424" s="18">
        <v>17000000</v>
      </c>
      <c r="J424" s="18">
        <v>16711554.439999999</v>
      </c>
      <c r="K424" s="15">
        <v>29088028</v>
      </c>
      <c r="L424" s="13" t="s">
        <v>102</v>
      </c>
      <c r="M424" s="13" t="s">
        <v>103</v>
      </c>
      <c r="N424" s="139" t="s">
        <v>151</v>
      </c>
      <c r="O424" s="139" t="s">
        <v>151</v>
      </c>
      <c r="P424" s="28">
        <v>35</v>
      </c>
      <c r="Q424" s="13" t="s">
        <v>54</v>
      </c>
      <c r="R424" s="13" t="s">
        <v>28</v>
      </c>
      <c r="S424" s="13"/>
      <c r="T424" s="13"/>
      <c r="U424" s="13" t="s">
        <v>547</v>
      </c>
      <c r="V424" s="13" t="s">
        <v>547</v>
      </c>
      <c r="W424" s="59">
        <f t="shared" si="6"/>
        <v>3.1926773271966714E-4</v>
      </c>
    </row>
    <row r="425" spans="1:23">
      <c r="A425" s="13" t="s">
        <v>193</v>
      </c>
      <c r="B425" s="13" t="s">
        <v>471</v>
      </c>
      <c r="C425" s="139">
        <v>46241</v>
      </c>
      <c r="D425" s="139" t="s">
        <v>441</v>
      </c>
      <c r="E425" s="28">
        <v>0.98160508999999996</v>
      </c>
      <c r="F425" s="13"/>
      <c r="G425" s="18">
        <v>136500000</v>
      </c>
      <c r="H425" s="18">
        <v>133989094.36</v>
      </c>
      <c r="I425" s="18">
        <v>136500000</v>
      </c>
      <c r="J425" s="18">
        <v>133989094.36</v>
      </c>
      <c r="K425" s="15">
        <v>70388044</v>
      </c>
      <c r="L425" s="13" t="s">
        <v>102</v>
      </c>
      <c r="M425" s="13" t="s">
        <v>103</v>
      </c>
      <c r="N425" s="139" t="s">
        <v>389</v>
      </c>
      <c r="O425" s="139" t="s">
        <v>389</v>
      </c>
      <c r="P425" s="28">
        <v>38</v>
      </c>
      <c r="Q425" s="13" t="s">
        <v>54</v>
      </c>
      <c r="R425" s="13" t="s">
        <v>28</v>
      </c>
      <c r="S425" s="13"/>
      <c r="T425" s="13"/>
      <c r="U425" s="13" t="s">
        <v>1616</v>
      </c>
      <c r="V425" s="13" t="s">
        <v>1616</v>
      </c>
      <c r="W425" s="59">
        <f t="shared" si="6"/>
        <v>2.5598094132456262E-3</v>
      </c>
    </row>
    <row r="426" spans="1:23">
      <c r="A426" s="13" t="s">
        <v>193</v>
      </c>
      <c r="B426" s="13" t="s">
        <v>471</v>
      </c>
      <c r="C426" s="139">
        <v>46241</v>
      </c>
      <c r="D426" s="139" t="s">
        <v>441</v>
      </c>
      <c r="E426" s="28">
        <v>0.98160506999999997</v>
      </c>
      <c r="F426" s="13"/>
      <c r="G426" s="18">
        <v>268000000</v>
      </c>
      <c r="H426" s="18">
        <v>263070158.44</v>
      </c>
      <c r="I426" s="18">
        <v>268000000</v>
      </c>
      <c r="J426" s="18">
        <v>263070158.44</v>
      </c>
      <c r="K426" s="15">
        <v>70388041</v>
      </c>
      <c r="L426" s="13" t="s">
        <v>102</v>
      </c>
      <c r="M426" s="13" t="s">
        <v>103</v>
      </c>
      <c r="N426" s="139" t="s">
        <v>381</v>
      </c>
      <c r="O426" s="139" t="s">
        <v>381</v>
      </c>
      <c r="P426" s="28">
        <v>38</v>
      </c>
      <c r="Q426" s="13" t="s">
        <v>54</v>
      </c>
      <c r="R426" s="13" t="s">
        <v>28</v>
      </c>
      <c r="S426" s="13"/>
      <c r="T426" s="13"/>
      <c r="U426" s="13" t="s">
        <v>1571</v>
      </c>
      <c r="V426" s="13" t="s">
        <v>1571</v>
      </c>
      <c r="W426" s="59">
        <f t="shared" si="6"/>
        <v>5.0258528213454699E-3</v>
      </c>
    </row>
    <row r="427" spans="1:23">
      <c r="A427" s="13" t="s">
        <v>1044</v>
      </c>
      <c r="B427" s="13" t="s">
        <v>471</v>
      </c>
      <c r="C427" s="139">
        <v>46241</v>
      </c>
      <c r="D427" s="139" t="s">
        <v>441</v>
      </c>
      <c r="E427" s="28">
        <v>0.98398669999999999</v>
      </c>
      <c r="F427" s="13"/>
      <c r="G427" s="18">
        <v>50000000</v>
      </c>
      <c r="H427" s="18">
        <v>49199334.799999997</v>
      </c>
      <c r="I427" s="18">
        <v>50000000</v>
      </c>
      <c r="J427" s="18">
        <v>49199334.799999997</v>
      </c>
      <c r="K427" s="15">
        <v>141</v>
      </c>
      <c r="L427" s="13" t="s">
        <v>102</v>
      </c>
      <c r="M427" s="13" t="s">
        <v>103</v>
      </c>
      <c r="N427" s="139" t="s">
        <v>353</v>
      </c>
      <c r="O427" s="139" t="s">
        <v>353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1126</v>
      </c>
      <c r="V427" s="13" t="s">
        <v>1126</v>
      </c>
      <c r="W427" s="59">
        <f t="shared" si="6"/>
        <v>9.3993411141422335E-4</v>
      </c>
    </row>
    <row r="428" spans="1:23">
      <c r="A428" s="13" t="s">
        <v>322</v>
      </c>
      <c r="B428" s="13" t="s">
        <v>471</v>
      </c>
      <c r="C428" s="139">
        <v>46241</v>
      </c>
      <c r="D428" s="139" t="s">
        <v>441</v>
      </c>
      <c r="E428" s="28">
        <v>0.98542118000000001</v>
      </c>
      <c r="F428" s="13"/>
      <c r="G428" s="18">
        <v>10000000</v>
      </c>
      <c r="H428" s="18">
        <v>9854211.8200000003</v>
      </c>
      <c r="I428" s="18">
        <v>10000000</v>
      </c>
      <c r="J428" s="18">
        <v>9854211.8200000003</v>
      </c>
      <c r="K428" s="15">
        <v>40621854</v>
      </c>
      <c r="L428" s="13" t="s">
        <v>102</v>
      </c>
      <c r="M428" s="13" t="s">
        <v>103</v>
      </c>
      <c r="N428" s="139" t="s">
        <v>358</v>
      </c>
      <c r="O428" s="139" t="s">
        <v>358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618</v>
      </c>
      <c r="V428" s="13" t="s">
        <v>618</v>
      </c>
      <c r="W428" s="59">
        <f t="shared" si="6"/>
        <v>1.8826087524092373E-4</v>
      </c>
    </row>
    <row r="429" spans="1:23">
      <c r="A429" s="13" t="s">
        <v>340</v>
      </c>
      <c r="B429" s="13" t="s">
        <v>471</v>
      </c>
      <c r="C429" s="139">
        <v>46241</v>
      </c>
      <c r="D429" s="139" t="s">
        <v>441</v>
      </c>
      <c r="E429" s="28">
        <v>0.98303267000000005</v>
      </c>
      <c r="F429" s="13"/>
      <c r="G429" s="18">
        <v>4104000</v>
      </c>
      <c r="H429" s="18">
        <v>4034366.07</v>
      </c>
      <c r="I429" s="18">
        <v>4104000</v>
      </c>
      <c r="J429" s="18">
        <v>4034366.07</v>
      </c>
      <c r="K429" s="15">
        <v>40751278</v>
      </c>
      <c r="L429" s="13" t="s">
        <v>102</v>
      </c>
      <c r="M429" s="13" t="s">
        <v>103</v>
      </c>
      <c r="N429" s="139" t="s">
        <v>174</v>
      </c>
      <c r="O429" s="139" t="s">
        <v>174</v>
      </c>
      <c r="P429" s="28">
        <v>35</v>
      </c>
      <c r="Q429" s="13" t="s">
        <v>54</v>
      </c>
      <c r="R429" s="13" t="s">
        <v>28</v>
      </c>
      <c r="S429" s="13"/>
      <c r="T429" s="13"/>
      <c r="U429" s="13" t="s">
        <v>1321</v>
      </c>
      <c r="V429" s="13" t="s">
        <v>1321</v>
      </c>
      <c r="W429" s="59">
        <f t="shared" si="6"/>
        <v>7.7074991004251182E-5</v>
      </c>
    </row>
    <row r="430" spans="1:23">
      <c r="A430" s="13" t="s">
        <v>340</v>
      </c>
      <c r="B430" s="13" t="s">
        <v>471</v>
      </c>
      <c r="C430" s="139">
        <v>46241</v>
      </c>
      <c r="D430" s="139" t="s">
        <v>441</v>
      </c>
      <c r="E430" s="28">
        <v>0.98303267000000005</v>
      </c>
      <c r="F430" s="13"/>
      <c r="G430" s="18">
        <v>5500000</v>
      </c>
      <c r="H430" s="18">
        <v>5406679.6799999997</v>
      </c>
      <c r="I430" s="18">
        <v>5500000</v>
      </c>
      <c r="J430" s="18">
        <v>5406679.6799999997</v>
      </c>
      <c r="K430" s="15">
        <v>40751262</v>
      </c>
      <c r="L430" s="13" t="s">
        <v>102</v>
      </c>
      <c r="M430" s="13" t="s">
        <v>103</v>
      </c>
      <c r="N430" s="139" t="s">
        <v>174</v>
      </c>
      <c r="O430" s="139" t="s">
        <v>174</v>
      </c>
      <c r="P430" s="28">
        <v>35</v>
      </c>
      <c r="Q430" s="13" t="s">
        <v>54</v>
      </c>
      <c r="R430" s="13" t="s">
        <v>28</v>
      </c>
      <c r="S430" s="13"/>
      <c r="T430" s="13"/>
      <c r="U430" s="13" t="s">
        <v>1323</v>
      </c>
      <c r="V430" s="13" t="s">
        <v>1323</v>
      </c>
      <c r="W430" s="59">
        <f t="shared" si="6"/>
        <v>1.0329250753858032E-4</v>
      </c>
    </row>
    <row r="431" spans="1:23">
      <c r="A431" s="13" t="s">
        <v>257</v>
      </c>
      <c r="B431" s="13" t="s">
        <v>471</v>
      </c>
      <c r="C431" s="139">
        <v>46241</v>
      </c>
      <c r="D431" s="139" t="s">
        <v>441</v>
      </c>
      <c r="E431" s="28">
        <v>0.98018158</v>
      </c>
      <c r="F431" s="13"/>
      <c r="G431" s="18">
        <v>50000000</v>
      </c>
      <c r="H431" s="18">
        <v>49009078.979999997</v>
      </c>
      <c r="I431" s="18">
        <v>50000000</v>
      </c>
      <c r="J431" s="18">
        <v>49009078.979999997</v>
      </c>
      <c r="K431" s="15">
        <v>1127975</v>
      </c>
      <c r="L431" s="13" t="s">
        <v>102</v>
      </c>
      <c r="M431" s="13" t="s">
        <v>103</v>
      </c>
      <c r="N431" s="139" t="s">
        <v>153</v>
      </c>
      <c r="O431" s="139" t="s">
        <v>153</v>
      </c>
      <c r="P431" s="28">
        <v>41</v>
      </c>
      <c r="Q431" s="13" t="s">
        <v>54</v>
      </c>
      <c r="R431" s="13" t="s">
        <v>28</v>
      </c>
      <c r="S431" s="13"/>
      <c r="T431" s="13"/>
      <c r="U431" s="13" t="s">
        <v>425</v>
      </c>
      <c r="V431" s="13" t="s">
        <v>425</v>
      </c>
      <c r="W431" s="59">
        <f t="shared" si="6"/>
        <v>9.3629934814272713E-4</v>
      </c>
    </row>
    <row r="432" spans="1:23">
      <c r="A432" s="13" t="s">
        <v>2115</v>
      </c>
      <c r="B432" s="13" t="s">
        <v>471</v>
      </c>
      <c r="C432" s="139">
        <v>46241</v>
      </c>
      <c r="D432" s="139" t="s">
        <v>441</v>
      </c>
      <c r="E432" s="28">
        <v>0.98542118999999995</v>
      </c>
      <c r="F432" s="13"/>
      <c r="G432" s="18">
        <v>1070000</v>
      </c>
      <c r="H432" s="18">
        <v>1054400.67</v>
      </c>
      <c r="I432" s="18">
        <v>1070000</v>
      </c>
      <c r="J432" s="18">
        <v>1054400.67</v>
      </c>
      <c r="K432" s="15">
        <v>1245</v>
      </c>
      <c r="L432" s="13" t="s">
        <v>102</v>
      </c>
      <c r="M432" s="13" t="s">
        <v>103</v>
      </c>
      <c r="N432" s="139" t="s">
        <v>783</v>
      </c>
      <c r="O432" s="139" t="s">
        <v>783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2103</v>
      </c>
      <c r="V432" s="13" t="s">
        <v>2103</v>
      </c>
      <c r="W432" s="59">
        <f t="shared" si="6"/>
        <v>2.0143913751269087E-5</v>
      </c>
    </row>
    <row r="433" spans="1:29">
      <c r="A433" s="13" t="s">
        <v>2200</v>
      </c>
      <c r="B433" s="13" t="s">
        <v>471</v>
      </c>
      <c r="C433" s="139">
        <v>46241</v>
      </c>
      <c r="D433" s="139" t="s">
        <v>441</v>
      </c>
      <c r="E433" s="28">
        <v>0.98398673000000003</v>
      </c>
      <c r="F433" s="13"/>
      <c r="G433" s="18">
        <v>1101785.6200000001</v>
      </c>
      <c r="H433" s="18">
        <v>1084142.43</v>
      </c>
      <c r="I433" s="18">
        <v>1101785.6200000001</v>
      </c>
      <c r="J433" s="18">
        <v>1084142.43</v>
      </c>
      <c r="K433" s="15">
        <v>68221886</v>
      </c>
      <c r="L433" s="13" t="s">
        <v>102</v>
      </c>
      <c r="M433" s="13" t="s">
        <v>103</v>
      </c>
      <c r="N433" s="139" t="s">
        <v>495</v>
      </c>
      <c r="O433" s="139" t="s">
        <v>495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2122</v>
      </c>
      <c r="V433" s="13" t="s">
        <v>2122</v>
      </c>
      <c r="W433" s="59">
        <f t="shared" si="6"/>
        <v>2.0712118481498386E-5</v>
      </c>
    </row>
    <row r="434" spans="1:29">
      <c r="A434" s="13" t="s">
        <v>1388</v>
      </c>
      <c r="B434" s="13" t="s">
        <v>471</v>
      </c>
      <c r="C434" s="139">
        <v>46244</v>
      </c>
      <c r="D434" s="139" t="s">
        <v>441</v>
      </c>
      <c r="E434" s="28">
        <v>0.98358891999999998</v>
      </c>
      <c r="F434" s="13"/>
      <c r="G434" s="18">
        <v>100000000</v>
      </c>
      <c r="H434" s="18">
        <v>98358891.909999996</v>
      </c>
      <c r="I434" s="18">
        <v>100000000</v>
      </c>
      <c r="J434" s="18">
        <v>98358891.909999996</v>
      </c>
      <c r="K434" s="15">
        <v>90003814</v>
      </c>
      <c r="L434" s="13" t="s">
        <v>102</v>
      </c>
      <c r="M434" s="13" t="s">
        <v>103</v>
      </c>
      <c r="N434" s="139" t="s">
        <v>351</v>
      </c>
      <c r="O434" s="139" t="s">
        <v>351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1360</v>
      </c>
      <c r="V434" s="13" t="s">
        <v>1360</v>
      </c>
      <c r="W434" s="59">
        <f t="shared" si="6"/>
        <v>1.8791082855679887E-3</v>
      </c>
    </row>
    <row r="435" spans="1:29">
      <c r="A435" s="13" t="s">
        <v>698</v>
      </c>
      <c r="B435" s="13" t="s">
        <v>471</v>
      </c>
      <c r="C435" s="139">
        <v>46244</v>
      </c>
      <c r="D435" s="139" t="s">
        <v>441</v>
      </c>
      <c r="E435" s="28">
        <v>0.98303260999999997</v>
      </c>
      <c r="F435" s="13"/>
      <c r="G435" s="18">
        <v>10000000</v>
      </c>
      <c r="H435" s="18">
        <v>9830326.1400000006</v>
      </c>
      <c r="I435" s="18">
        <v>10000000</v>
      </c>
      <c r="J435" s="18">
        <v>9830326.1400000006</v>
      </c>
      <c r="K435" s="15">
        <v>40200399</v>
      </c>
      <c r="L435" s="13" t="s">
        <v>102</v>
      </c>
      <c r="M435" s="13" t="s">
        <v>103</v>
      </c>
      <c r="N435" s="139" t="s">
        <v>326</v>
      </c>
      <c r="O435" s="139" t="s">
        <v>326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979</v>
      </c>
      <c r="V435" s="13" t="s">
        <v>979</v>
      </c>
      <c r="W435" s="59">
        <f t="shared" si="6"/>
        <v>1.8780454863615175E-4</v>
      </c>
    </row>
    <row r="436" spans="1:29">
      <c r="A436" s="13" t="s">
        <v>698</v>
      </c>
      <c r="B436" s="13" t="s">
        <v>471</v>
      </c>
      <c r="C436" s="139">
        <v>46244</v>
      </c>
      <c r="D436" s="139" t="s">
        <v>441</v>
      </c>
      <c r="E436" s="28">
        <v>0.98303258000000004</v>
      </c>
      <c r="F436" s="13"/>
      <c r="G436" s="18">
        <v>1040000</v>
      </c>
      <c r="H436" s="18">
        <v>1022353.89</v>
      </c>
      <c r="I436" s="18">
        <v>1040000</v>
      </c>
      <c r="J436" s="18">
        <v>1022353.89</v>
      </c>
      <c r="K436" s="15">
        <v>13001545</v>
      </c>
      <c r="L436" s="13" t="s">
        <v>102</v>
      </c>
      <c r="M436" s="13" t="s">
        <v>103</v>
      </c>
      <c r="N436" s="139" t="s">
        <v>341</v>
      </c>
      <c r="O436" s="139" t="s">
        <v>341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917</v>
      </c>
      <c r="V436" s="13" t="s">
        <v>917</v>
      </c>
      <c r="W436" s="59">
        <f t="shared" si="6"/>
        <v>1.9531672512532113E-5</v>
      </c>
    </row>
    <row r="437" spans="1:29">
      <c r="A437" s="13" t="s">
        <v>512</v>
      </c>
      <c r="B437" s="13" t="s">
        <v>471</v>
      </c>
      <c r="C437" s="139">
        <v>46244</v>
      </c>
      <c r="D437" s="139" t="s">
        <v>441</v>
      </c>
      <c r="E437" s="28">
        <v>0.97970804</v>
      </c>
      <c r="F437" s="13"/>
      <c r="G437" s="18">
        <v>20000000</v>
      </c>
      <c r="H437" s="18">
        <v>19594160.780000001</v>
      </c>
      <c r="I437" s="18">
        <v>20000000</v>
      </c>
      <c r="J437" s="18">
        <v>19594160.780000001</v>
      </c>
      <c r="K437" s="15">
        <v>424</v>
      </c>
      <c r="L437" s="13" t="s">
        <v>102</v>
      </c>
      <c r="M437" s="13" t="s">
        <v>103</v>
      </c>
      <c r="N437" s="139" t="s">
        <v>428</v>
      </c>
      <c r="O437" s="139" t="s">
        <v>428</v>
      </c>
      <c r="P437" s="28">
        <v>36</v>
      </c>
      <c r="Q437" s="13" t="s">
        <v>54</v>
      </c>
      <c r="R437" s="13" t="s">
        <v>28</v>
      </c>
      <c r="S437" s="13"/>
      <c r="T437" s="13"/>
      <c r="U437" s="13" t="s">
        <v>1120</v>
      </c>
      <c r="V437" s="13" t="s">
        <v>1120</v>
      </c>
      <c r="W437" s="59">
        <f t="shared" si="6"/>
        <v>3.7433880308594594E-4</v>
      </c>
    </row>
    <row r="438" spans="1:29">
      <c r="A438" s="13" t="s">
        <v>653</v>
      </c>
      <c r="B438" s="13" t="s">
        <v>471</v>
      </c>
      <c r="C438" s="139">
        <v>46244</v>
      </c>
      <c r="D438" s="139" t="s">
        <v>441</v>
      </c>
      <c r="E438" s="28">
        <v>0.98136749000000001</v>
      </c>
      <c r="F438" s="13"/>
      <c r="G438" s="18">
        <v>5600000</v>
      </c>
      <c r="H438" s="18">
        <v>5495657.9299999997</v>
      </c>
      <c r="I438" s="18">
        <v>5600000</v>
      </c>
      <c r="J438" s="18">
        <v>5495657.9299999997</v>
      </c>
      <c r="K438" s="15">
        <v>3501249</v>
      </c>
      <c r="L438" s="13" t="s">
        <v>102</v>
      </c>
      <c r="M438" s="13" t="s">
        <v>103</v>
      </c>
      <c r="N438" s="139" t="s">
        <v>355</v>
      </c>
      <c r="O438" s="139" t="s">
        <v>355</v>
      </c>
      <c r="P438" s="28">
        <v>33</v>
      </c>
      <c r="Q438" s="13" t="s">
        <v>54</v>
      </c>
      <c r="R438" s="13" t="s">
        <v>28</v>
      </c>
      <c r="S438" s="13"/>
      <c r="T438" s="13"/>
      <c r="U438" s="13" t="s">
        <v>841</v>
      </c>
      <c r="V438" s="13" t="s">
        <v>841</v>
      </c>
      <c r="W438" s="59">
        <f t="shared" si="6"/>
        <v>1.0499240231742077E-4</v>
      </c>
    </row>
    <row r="439" spans="1:29">
      <c r="A439" s="13" t="s">
        <v>1018</v>
      </c>
      <c r="B439" s="13" t="s">
        <v>471</v>
      </c>
      <c r="C439" s="139">
        <v>46244</v>
      </c>
      <c r="D439" s="139" t="s">
        <v>441</v>
      </c>
      <c r="E439" s="28">
        <v>0.98081373999999999</v>
      </c>
      <c r="F439" s="13"/>
      <c r="G439" s="18">
        <v>4190169.08</v>
      </c>
      <c r="H439" s="18">
        <v>4109775.39</v>
      </c>
      <c r="I439" s="18">
        <v>4190169.08</v>
      </c>
      <c r="J439" s="18">
        <v>4109775.39</v>
      </c>
      <c r="K439" s="15">
        <v>13668591</v>
      </c>
      <c r="L439" s="13" t="s">
        <v>102</v>
      </c>
      <c r="M439" s="13" t="s">
        <v>103</v>
      </c>
      <c r="N439" s="139" t="s">
        <v>400</v>
      </c>
      <c r="O439" s="139" t="s">
        <v>400</v>
      </c>
      <c r="P439" s="28">
        <v>34</v>
      </c>
      <c r="Q439" s="13" t="s">
        <v>54</v>
      </c>
      <c r="R439" s="13" t="s">
        <v>28</v>
      </c>
      <c r="S439" s="13"/>
      <c r="T439" s="13"/>
      <c r="U439" s="13" t="s">
        <v>1544</v>
      </c>
      <c r="V439" s="13" t="s">
        <v>1544</v>
      </c>
      <c r="W439" s="59">
        <f t="shared" si="6"/>
        <v>7.8515656665172911E-5</v>
      </c>
    </row>
    <row r="440" spans="1:29">
      <c r="A440" s="13" t="s">
        <v>197</v>
      </c>
      <c r="B440" s="13" t="s">
        <v>471</v>
      </c>
      <c r="C440" s="139">
        <v>46244</v>
      </c>
      <c r="D440" s="139" t="s">
        <v>441</v>
      </c>
      <c r="E440" s="28">
        <v>0.98862404999999998</v>
      </c>
      <c r="F440" s="13"/>
      <c r="G440" s="18">
        <v>2500000</v>
      </c>
      <c r="H440" s="18">
        <v>2471560.13</v>
      </c>
      <c r="I440" s="18">
        <v>2500000</v>
      </c>
      <c r="J440" s="18">
        <v>2471560.13</v>
      </c>
      <c r="K440" s="15">
        <v>6131</v>
      </c>
      <c r="L440" s="13" t="s">
        <v>102</v>
      </c>
      <c r="M440" s="13" t="s">
        <v>103</v>
      </c>
      <c r="N440" s="139" t="s">
        <v>319</v>
      </c>
      <c r="O440" s="139" t="s">
        <v>319</v>
      </c>
      <c r="P440" s="28">
        <v>20</v>
      </c>
      <c r="Q440" s="13" t="s">
        <v>54</v>
      </c>
      <c r="R440" s="13" t="s">
        <v>28</v>
      </c>
      <c r="S440" s="13"/>
      <c r="T440" s="13"/>
      <c r="U440" s="13" t="s">
        <v>1205</v>
      </c>
      <c r="V440" s="13" t="s">
        <v>1205</v>
      </c>
      <c r="W440" s="59">
        <f t="shared" si="6"/>
        <v>4.7218192767077251E-5</v>
      </c>
    </row>
    <row r="441" spans="1:29">
      <c r="A441" s="13" t="s">
        <v>472</v>
      </c>
      <c r="B441" s="13" t="s">
        <v>471</v>
      </c>
      <c r="C441" s="139">
        <v>46244</v>
      </c>
      <c r="D441" s="139" t="s">
        <v>441</v>
      </c>
      <c r="E441" s="28">
        <v>0.98303267000000005</v>
      </c>
      <c r="F441" s="13"/>
      <c r="G441" s="18">
        <v>8750000</v>
      </c>
      <c r="H441" s="18">
        <v>8601535.8800000008</v>
      </c>
      <c r="I441" s="18">
        <v>8750000</v>
      </c>
      <c r="J441" s="18">
        <v>8601535.8800000008</v>
      </c>
      <c r="K441" s="15">
        <v>633</v>
      </c>
      <c r="L441" s="13" t="s">
        <v>102</v>
      </c>
      <c r="M441" s="13" t="s">
        <v>103</v>
      </c>
      <c r="N441" s="139" t="s">
        <v>381</v>
      </c>
      <c r="O441" s="139" t="s">
        <v>381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1580</v>
      </c>
      <c r="V441" s="13" t="s">
        <v>1580</v>
      </c>
      <c r="W441" s="59">
        <f t="shared" si="6"/>
        <v>1.6432898975222244E-4</v>
      </c>
    </row>
    <row r="442" spans="1:29">
      <c r="A442" s="13" t="s">
        <v>481</v>
      </c>
      <c r="B442" s="13" t="s">
        <v>471</v>
      </c>
      <c r="C442" s="139">
        <v>46244</v>
      </c>
      <c r="D442" s="139" t="s">
        <v>441</v>
      </c>
      <c r="E442" s="28">
        <v>0.97860484000000003</v>
      </c>
      <c r="F442" s="13"/>
      <c r="G442" s="18">
        <v>20000000</v>
      </c>
      <c r="H442" s="18">
        <v>19572096.809999999</v>
      </c>
      <c r="I442" s="18">
        <v>20000000</v>
      </c>
      <c r="J442" s="18">
        <v>19572096.809999999</v>
      </c>
      <c r="K442" s="15">
        <v>70219543</v>
      </c>
      <c r="L442" s="13" t="s">
        <v>102</v>
      </c>
      <c r="M442" s="13" t="s">
        <v>103</v>
      </c>
      <c r="N442" s="139" t="s">
        <v>459</v>
      </c>
      <c r="O442" s="139" t="s">
        <v>459</v>
      </c>
      <c r="P442" s="28">
        <v>38</v>
      </c>
      <c r="Q442" s="13" t="s">
        <v>54</v>
      </c>
      <c r="R442" s="13" t="s">
        <v>28</v>
      </c>
      <c r="S442" s="13"/>
      <c r="T442" s="13"/>
      <c r="U442" s="13" t="s">
        <v>1509</v>
      </c>
      <c r="V442" s="13" t="s">
        <v>1509</v>
      </c>
      <c r="W442" s="59">
        <f t="shared" si="6"/>
        <v>3.7391727954054585E-4</v>
      </c>
      <c r="AC442" s="56"/>
    </row>
    <row r="443" spans="1:29">
      <c r="A443" s="13" t="s">
        <v>481</v>
      </c>
      <c r="B443" s="13" t="s">
        <v>471</v>
      </c>
      <c r="C443" s="139">
        <v>46244</v>
      </c>
      <c r="D443" s="139" t="s">
        <v>441</v>
      </c>
      <c r="E443" s="28">
        <v>0.97860482000000004</v>
      </c>
      <c r="F443" s="13"/>
      <c r="G443" s="18">
        <v>20000000</v>
      </c>
      <c r="H443" s="18">
        <v>19572096.48</v>
      </c>
      <c r="I443" s="18">
        <v>20000000</v>
      </c>
      <c r="J443" s="18">
        <v>19572096.48</v>
      </c>
      <c r="K443" s="15">
        <v>70219544</v>
      </c>
      <c r="L443" s="13" t="s">
        <v>102</v>
      </c>
      <c r="M443" s="13" t="s">
        <v>103</v>
      </c>
      <c r="N443" s="139" t="s">
        <v>373</v>
      </c>
      <c r="O443" s="139" t="s">
        <v>373</v>
      </c>
      <c r="P443" s="28">
        <v>38</v>
      </c>
      <c r="Q443" s="13" t="s">
        <v>54</v>
      </c>
      <c r="R443" s="13" t="s">
        <v>28</v>
      </c>
      <c r="S443" s="13"/>
      <c r="T443" s="13"/>
      <c r="U443" s="13" t="s">
        <v>1493</v>
      </c>
      <c r="V443" s="13" t="s">
        <v>1493</v>
      </c>
      <c r="W443" s="59">
        <f t="shared" si="6"/>
        <v>3.739172732360245E-4</v>
      </c>
    </row>
    <row r="444" spans="1:29">
      <c r="A444" s="13" t="s">
        <v>432</v>
      </c>
      <c r="B444" s="13" t="s">
        <v>471</v>
      </c>
      <c r="C444" s="139">
        <v>46244</v>
      </c>
      <c r="D444" s="139" t="s">
        <v>441</v>
      </c>
      <c r="E444" s="28">
        <v>0.97970800000000002</v>
      </c>
      <c r="F444" s="13"/>
      <c r="G444" s="18">
        <v>2197564.35</v>
      </c>
      <c r="H444" s="18">
        <v>2152971.37</v>
      </c>
      <c r="I444" s="18">
        <v>2197564.35</v>
      </c>
      <c r="J444" s="18">
        <v>2152971.37</v>
      </c>
      <c r="K444" s="15">
        <v>2761</v>
      </c>
      <c r="L444" s="13" t="s">
        <v>102</v>
      </c>
      <c r="M444" s="13" t="s">
        <v>103</v>
      </c>
      <c r="N444" s="139" t="s">
        <v>170</v>
      </c>
      <c r="O444" s="139" t="s">
        <v>170</v>
      </c>
      <c r="P444" s="28">
        <v>36</v>
      </c>
      <c r="Q444" s="13" t="s">
        <v>54</v>
      </c>
      <c r="R444" s="13" t="s">
        <v>28</v>
      </c>
      <c r="S444" s="13"/>
      <c r="T444" s="13"/>
      <c r="U444" s="13" t="s">
        <v>1650</v>
      </c>
      <c r="V444" s="13" t="s">
        <v>1650</v>
      </c>
      <c r="W444" s="59">
        <f t="shared" si="6"/>
        <v>4.1131678706379851E-5</v>
      </c>
    </row>
    <row r="445" spans="1:29">
      <c r="A445" s="13" t="s">
        <v>254</v>
      </c>
      <c r="B445" s="13" t="s">
        <v>471</v>
      </c>
      <c r="C445" s="139">
        <v>46244</v>
      </c>
      <c r="D445" s="139" t="s">
        <v>441</v>
      </c>
      <c r="E445" s="28">
        <v>0.98192190999999995</v>
      </c>
      <c r="F445" s="13"/>
      <c r="G445" s="18">
        <v>50000000</v>
      </c>
      <c r="H445" s="18">
        <v>49096095.25</v>
      </c>
      <c r="I445" s="18">
        <v>50000000</v>
      </c>
      <c r="J445" s="18">
        <v>49096095.25</v>
      </c>
      <c r="K445" s="15">
        <v>4578</v>
      </c>
      <c r="L445" s="13" t="s">
        <v>102</v>
      </c>
      <c r="M445" s="13" t="s">
        <v>103</v>
      </c>
      <c r="N445" s="139" t="s">
        <v>326</v>
      </c>
      <c r="O445" s="139" t="s">
        <v>326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973</v>
      </c>
      <c r="V445" s="13" t="s">
        <v>973</v>
      </c>
      <c r="W445" s="59">
        <f t="shared" si="6"/>
        <v>9.3796176005852877E-4</v>
      </c>
    </row>
    <row r="446" spans="1:29">
      <c r="A446" s="13" t="s">
        <v>323</v>
      </c>
      <c r="B446" s="13" t="s">
        <v>471</v>
      </c>
      <c r="C446" s="139">
        <v>46244</v>
      </c>
      <c r="D446" s="139" t="s">
        <v>441</v>
      </c>
      <c r="E446" s="28">
        <v>0.98470342</v>
      </c>
      <c r="F446" s="13"/>
      <c r="G446" s="18">
        <v>5800000</v>
      </c>
      <c r="H446" s="18">
        <v>5711279.8499999996</v>
      </c>
      <c r="I446" s="18">
        <v>5800000</v>
      </c>
      <c r="J446" s="18">
        <v>5711279.8499999996</v>
      </c>
      <c r="K446" s="15">
        <v>123</v>
      </c>
      <c r="L446" s="13" t="s">
        <v>102</v>
      </c>
      <c r="M446" s="13" t="s">
        <v>103</v>
      </c>
      <c r="N446" s="139" t="s">
        <v>457</v>
      </c>
      <c r="O446" s="139" t="s">
        <v>457</v>
      </c>
      <c r="P446" s="28">
        <v>27</v>
      </c>
      <c r="Q446" s="13" t="s">
        <v>54</v>
      </c>
      <c r="R446" s="13" t="s">
        <v>28</v>
      </c>
      <c r="S446" s="13"/>
      <c r="T446" s="13"/>
      <c r="U446" s="13" t="s">
        <v>1722</v>
      </c>
      <c r="V446" s="13" t="s">
        <v>1722</v>
      </c>
      <c r="W446" s="59">
        <f t="shared" si="6"/>
        <v>1.0911177504065987E-4</v>
      </c>
    </row>
    <row r="447" spans="1:29">
      <c r="A447" s="13" t="s">
        <v>323</v>
      </c>
      <c r="B447" s="13" t="s">
        <v>471</v>
      </c>
      <c r="C447" s="139">
        <v>46244</v>
      </c>
      <c r="D447" s="139" t="s">
        <v>441</v>
      </c>
      <c r="E447" s="28">
        <v>0.98470342</v>
      </c>
      <c r="F447" s="13"/>
      <c r="G447" s="18">
        <v>5800000</v>
      </c>
      <c r="H447" s="18">
        <v>5711279.8499999996</v>
      </c>
      <c r="I447" s="18">
        <v>5800000</v>
      </c>
      <c r="J447" s="18">
        <v>5711279.8499999996</v>
      </c>
      <c r="K447" s="15">
        <v>124</v>
      </c>
      <c r="L447" s="13" t="s">
        <v>102</v>
      </c>
      <c r="M447" s="13" t="s">
        <v>103</v>
      </c>
      <c r="N447" s="139" t="s">
        <v>457</v>
      </c>
      <c r="O447" s="139" t="s">
        <v>457</v>
      </c>
      <c r="P447" s="28">
        <v>27</v>
      </c>
      <c r="Q447" s="13" t="s">
        <v>54</v>
      </c>
      <c r="R447" s="13" t="s">
        <v>28</v>
      </c>
      <c r="S447" s="13"/>
      <c r="T447" s="13"/>
      <c r="U447" s="13" t="s">
        <v>1723</v>
      </c>
      <c r="V447" s="13" t="s">
        <v>1723</v>
      </c>
      <c r="W447" s="59">
        <f t="shared" si="6"/>
        <v>1.0911177504065987E-4</v>
      </c>
    </row>
    <row r="448" spans="1:29">
      <c r="A448" s="13" t="s">
        <v>340</v>
      </c>
      <c r="B448" s="13" t="s">
        <v>471</v>
      </c>
      <c r="C448" s="139">
        <v>46244</v>
      </c>
      <c r="D448" s="139" t="s">
        <v>441</v>
      </c>
      <c r="E448" s="28">
        <v>0.98026064999999996</v>
      </c>
      <c r="F448" s="13"/>
      <c r="G448" s="18">
        <v>2500000</v>
      </c>
      <c r="H448" s="18">
        <v>2450651.62</v>
      </c>
      <c r="I448" s="18">
        <v>2500000</v>
      </c>
      <c r="J448" s="18">
        <v>2450651.62</v>
      </c>
      <c r="K448" s="15">
        <v>40761865</v>
      </c>
      <c r="L448" s="13" t="s">
        <v>102</v>
      </c>
      <c r="M448" s="13" t="s">
        <v>103</v>
      </c>
      <c r="N448" s="139" t="s">
        <v>494</v>
      </c>
      <c r="O448" s="139" t="s">
        <v>494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2029</v>
      </c>
      <c r="V448" s="13" t="s">
        <v>2029</v>
      </c>
      <c r="W448" s="59">
        <f t="shared" si="6"/>
        <v>4.6818743834531009E-5</v>
      </c>
    </row>
    <row r="449" spans="1:29">
      <c r="A449" s="13" t="s">
        <v>1597</v>
      </c>
      <c r="B449" s="13" t="s">
        <v>471</v>
      </c>
      <c r="C449" s="139">
        <v>46244</v>
      </c>
      <c r="D449" s="139" t="s">
        <v>441</v>
      </c>
      <c r="E449" s="28">
        <v>0.98247700999999998</v>
      </c>
      <c r="F449" s="13"/>
      <c r="G449" s="18">
        <v>8091449.2599999998</v>
      </c>
      <c r="H449" s="18">
        <v>7949662.9100000001</v>
      </c>
      <c r="I449" s="18">
        <v>8091449.2599999998</v>
      </c>
      <c r="J449" s="18">
        <v>7949662.9100000001</v>
      </c>
      <c r="K449" s="15">
        <v>1110</v>
      </c>
      <c r="L449" s="13" t="s">
        <v>102</v>
      </c>
      <c r="M449" s="13" t="s">
        <v>103</v>
      </c>
      <c r="N449" s="139" t="s">
        <v>431</v>
      </c>
      <c r="O449" s="139" t="s">
        <v>431</v>
      </c>
      <c r="P449" s="28">
        <v>31</v>
      </c>
      <c r="Q449" s="13" t="s">
        <v>54</v>
      </c>
      <c r="R449" s="13" t="s">
        <v>28</v>
      </c>
      <c r="S449" s="13"/>
      <c r="T449" s="13"/>
      <c r="U449" s="13" t="s">
        <v>1930</v>
      </c>
      <c r="V449" s="13" t="s">
        <v>1930</v>
      </c>
      <c r="W449" s="59">
        <f t="shared" si="6"/>
        <v>1.5187521078747308E-4</v>
      </c>
      <c r="AC449" s="56"/>
    </row>
    <row r="450" spans="1:29">
      <c r="A450" s="13" t="s">
        <v>1585</v>
      </c>
      <c r="B450" s="13" t="s">
        <v>471</v>
      </c>
      <c r="C450" s="139">
        <v>46244</v>
      </c>
      <c r="D450" s="139" t="s">
        <v>441</v>
      </c>
      <c r="E450" s="28">
        <v>0.98081377000000003</v>
      </c>
      <c r="F450" s="13"/>
      <c r="G450" s="18">
        <v>18000000</v>
      </c>
      <c r="H450" s="18">
        <v>17654647.850000001</v>
      </c>
      <c r="I450" s="18">
        <v>18000000</v>
      </c>
      <c r="J450" s="18">
        <v>17654647.850000001</v>
      </c>
      <c r="K450" s="15">
        <v>212</v>
      </c>
      <c r="L450" s="13" t="s">
        <v>102</v>
      </c>
      <c r="M450" s="13" t="s">
        <v>103</v>
      </c>
      <c r="N450" s="139" t="s">
        <v>381</v>
      </c>
      <c r="O450" s="139" t="s">
        <v>381</v>
      </c>
      <c r="P450" s="28">
        <v>34</v>
      </c>
      <c r="Q450" s="13" t="s">
        <v>54</v>
      </c>
      <c r="R450" s="13" t="s">
        <v>28</v>
      </c>
      <c r="S450" s="13"/>
      <c r="T450" s="13"/>
      <c r="U450" s="13" t="s">
        <v>1575</v>
      </c>
      <c r="V450" s="13" t="s">
        <v>1575</v>
      </c>
      <c r="W450" s="59">
        <f t="shared" si="6"/>
        <v>3.3728516466081937E-4</v>
      </c>
    </row>
    <row r="451" spans="1:29">
      <c r="A451" s="13" t="s">
        <v>1825</v>
      </c>
      <c r="B451" s="13" t="s">
        <v>471</v>
      </c>
      <c r="C451" s="139">
        <v>46244</v>
      </c>
      <c r="D451" s="139" t="s">
        <v>441</v>
      </c>
      <c r="E451" s="28">
        <v>0.98303271000000003</v>
      </c>
      <c r="F451" s="13"/>
      <c r="G451" s="18">
        <v>330000</v>
      </c>
      <c r="H451" s="18">
        <v>324400.78999999998</v>
      </c>
      <c r="I451" s="18">
        <v>330000</v>
      </c>
      <c r="J451" s="18">
        <v>324400.78999999998</v>
      </c>
      <c r="K451" s="15">
        <v>9918445</v>
      </c>
      <c r="L451" s="13" t="s">
        <v>102</v>
      </c>
      <c r="M451" s="13" t="s">
        <v>103</v>
      </c>
      <c r="N451" s="139" t="s">
        <v>172</v>
      </c>
      <c r="O451" s="139" t="s">
        <v>172</v>
      </c>
      <c r="P451" s="28">
        <v>30</v>
      </c>
      <c r="Q451" s="13" t="s">
        <v>54</v>
      </c>
      <c r="R451" s="13" t="s">
        <v>28</v>
      </c>
      <c r="S451" s="13"/>
      <c r="T451" s="13"/>
      <c r="U451" s="13" t="s">
        <v>1836</v>
      </c>
      <c r="V451" s="13" t="s">
        <v>1836</v>
      </c>
      <c r="W451" s="59">
        <f t="shared" si="6"/>
        <v>6.1975506280772331E-6</v>
      </c>
    </row>
    <row r="452" spans="1:29">
      <c r="A452" s="13" t="s">
        <v>1825</v>
      </c>
      <c r="B452" s="13" t="s">
        <v>471</v>
      </c>
      <c r="C452" s="139">
        <v>46244</v>
      </c>
      <c r="D452" s="139" t="s">
        <v>441</v>
      </c>
      <c r="E452" s="28">
        <v>0.98303269999999998</v>
      </c>
      <c r="F452" s="13"/>
      <c r="G452" s="18">
        <v>415000</v>
      </c>
      <c r="H452" s="18">
        <v>407958.57</v>
      </c>
      <c r="I452" s="18">
        <v>415000</v>
      </c>
      <c r="J452" s="18">
        <v>407958.57</v>
      </c>
      <c r="K452" s="15">
        <v>9918439</v>
      </c>
      <c r="L452" s="13" t="s">
        <v>102</v>
      </c>
      <c r="M452" s="13" t="s">
        <v>103</v>
      </c>
      <c r="N452" s="139" t="s">
        <v>172</v>
      </c>
      <c r="O452" s="139" t="s">
        <v>172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1837</v>
      </c>
      <c r="V452" s="13" t="s">
        <v>1837</v>
      </c>
      <c r="W452" s="59">
        <f t="shared" si="6"/>
        <v>7.7938894406915286E-6</v>
      </c>
      <c r="AC452" s="56"/>
    </row>
    <row r="453" spans="1:29">
      <c r="A453" s="13" t="s">
        <v>1864</v>
      </c>
      <c r="B453" s="13" t="s">
        <v>471</v>
      </c>
      <c r="C453" s="139">
        <v>46244</v>
      </c>
      <c r="D453" s="139" t="s">
        <v>441</v>
      </c>
      <c r="E453" s="28">
        <v>0.98192188000000002</v>
      </c>
      <c r="F453" s="13"/>
      <c r="G453" s="18">
        <v>40000000</v>
      </c>
      <c r="H453" s="18">
        <v>39276875.329999998</v>
      </c>
      <c r="I453" s="18">
        <v>40000000</v>
      </c>
      <c r="J453" s="18">
        <v>39276875.329999998</v>
      </c>
      <c r="K453" s="15">
        <v>6192</v>
      </c>
      <c r="L453" s="13" t="s">
        <v>102</v>
      </c>
      <c r="M453" s="13" t="s">
        <v>103</v>
      </c>
      <c r="N453" s="139" t="s">
        <v>367</v>
      </c>
      <c r="O453" s="139" t="s">
        <v>367</v>
      </c>
      <c r="P453" s="28">
        <v>32</v>
      </c>
      <c r="Q453" s="13" t="s">
        <v>54</v>
      </c>
      <c r="R453" s="13" t="s">
        <v>28</v>
      </c>
      <c r="S453" s="13"/>
      <c r="T453" s="13"/>
      <c r="U453" s="13" t="s">
        <v>1859</v>
      </c>
      <c r="V453" s="13" t="s">
        <v>1859</v>
      </c>
      <c r="W453" s="59">
        <f t="shared" ref="W453:W516" si="7">+J453/$W$2</f>
        <v>7.5036939142581209E-4</v>
      </c>
    </row>
    <row r="454" spans="1:29">
      <c r="A454" s="13" t="s">
        <v>2488</v>
      </c>
      <c r="B454" s="13" t="s">
        <v>471</v>
      </c>
      <c r="C454" s="139">
        <v>46244</v>
      </c>
      <c r="D454" s="139" t="s">
        <v>441</v>
      </c>
      <c r="E454" s="28">
        <v>0.98303266</v>
      </c>
      <c r="F454" s="13"/>
      <c r="G454" s="18">
        <v>2870567.12</v>
      </c>
      <c r="H454" s="18">
        <v>2821861.23</v>
      </c>
      <c r="I454" s="18">
        <v>2870567.12</v>
      </c>
      <c r="J454" s="18">
        <v>2821861.23</v>
      </c>
      <c r="K454" s="15">
        <v>93</v>
      </c>
      <c r="L454" s="13" t="s">
        <v>102</v>
      </c>
      <c r="M454" s="13" t="s">
        <v>103</v>
      </c>
      <c r="N454" s="139" t="s">
        <v>441</v>
      </c>
      <c r="O454" s="139" t="s">
        <v>441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2455</v>
      </c>
      <c r="V454" s="13" t="s">
        <v>2455</v>
      </c>
      <c r="W454" s="59">
        <f t="shared" si="7"/>
        <v>5.3910558720690208E-5</v>
      </c>
    </row>
    <row r="455" spans="1:29">
      <c r="A455" s="13" t="s">
        <v>1388</v>
      </c>
      <c r="B455" s="13" t="s">
        <v>471</v>
      </c>
      <c r="C455" s="139">
        <v>46245</v>
      </c>
      <c r="D455" s="139" t="s">
        <v>441</v>
      </c>
      <c r="E455" s="28">
        <v>0.98282084000000003</v>
      </c>
      <c r="F455" s="13"/>
      <c r="G455" s="18">
        <v>100000000</v>
      </c>
      <c r="H455" s="18">
        <v>98282083.909999996</v>
      </c>
      <c r="I455" s="18">
        <v>100000000</v>
      </c>
      <c r="J455" s="18">
        <v>98282083.909999996</v>
      </c>
      <c r="K455" s="15">
        <v>90003815</v>
      </c>
      <c r="L455" s="13" t="s">
        <v>102</v>
      </c>
      <c r="M455" s="13" t="s">
        <v>103</v>
      </c>
      <c r="N455" s="139" t="s">
        <v>351</v>
      </c>
      <c r="O455" s="139" t="s">
        <v>351</v>
      </c>
      <c r="P455" s="28">
        <v>29</v>
      </c>
      <c r="Q455" s="13" t="s">
        <v>54</v>
      </c>
      <c r="R455" s="13" t="s">
        <v>28</v>
      </c>
      <c r="S455" s="13"/>
      <c r="T455" s="13"/>
      <c r="U455" s="13" t="s">
        <v>1361</v>
      </c>
      <c r="V455" s="13" t="s">
        <v>1361</v>
      </c>
      <c r="W455" s="59">
        <f t="shared" si="7"/>
        <v>1.8776408986709305E-3</v>
      </c>
    </row>
    <row r="456" spans="1:29">
      <c r="A456" s="13" t="s">
        <v>1107</v>
      </c>
      <c r="B456" s="13" t="s">
        <v>471</v>
      </c>
      <c r="C456" s="139">
        <v>46245</v>
      </c>
      <c r="D456" s="139" t="s">
        <v>441</v>
      </c>
      <c r="E456" s="28">
        <v>0.98049763000000001</v>
      </c>
      <c r="F456" s="13"/>
      <c r="G456" s="18">
        <v>2000000</v>
      </c>
      <c r="H456" s="18">
        <v>1960995.26</v>
      </c>
      <c r="I456" s="18">
        <v>2000000</v>
      </c>
      <c r="J456" s="18">
        <v>1960995.26</v>
      </c>
      <c r="K456" s="15">
        <v>435</v>
      </c>
      <c r="L456" s="13" t="s">
        <v>102</v>
      </c>
      <c r="M456" s="13" t="s">
        <v>103</v>
      </c>
      <c r="N456" s="139" t="s">
        <v>484</v>
      </c>
      <c r="O456" s="139" t="s">
        <v>484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1704</v>
      </c>
      <c r="V456" s="13" t="s">
        <v>1704</v>
      </c>
      <c r="W456" s="59">
        <f t="shared" si="7"/>
        <v>3.7464049965073995E-5</v>
      </c>
    </row>
    <row r="457" spans="1:29">
      <c r="A457" s="13" t="s">
        <v>1268</v>
      </c>
      <c r="B457" s="13" t="s">
        <v>471</v>
      </c>
      <c r="C457" s="139">
        <v>46245</v>
      </c>
      <c r="D457" s="139" t="s">
        <v>441</v>
      </c>
      <c r="E457" s="28">
        <v>0.98049757000000004</v>
      </c>
      <c r="F457" s="13"/>
      <c r="G457" s="18">
        <v>3000000</v>
      </c>
      <c r="H457" s="18">
        <v>2941492.71</v>
      </c>
      <c r="I457" s="18">
        <v>3000000</v>
      </c>
      <c r="J457" s="18">
        <v>2941492.71</v>
      </c>
      <c r="K457" s="15">
        <v>90015794</v>
      </c>
      <c r="L457" s="13" t="s">
        <v>102</v>
      </c>
      <c r="M457" s="13" t="s">
        <v>103</v>
      </c>
      <c r="N457" s="139" t="s">
        <v>319</v>
      </c>
      <c r="O457" s="139" t="s">
        <v>319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1242</v>
      </c>
      <c r="V457" s="13" t="s">
        <v>1242</v>
      </c>
      <c r="W457" s="59">
        <f t="shared" si="7"/>
        <v>5.6196071508781164E-5</v>
      </c>
      <c r="AC457" s="56"/>
    </row>
    <row r="458" spans="1:29">
      <c r="A458" s="13" t="s">
        <v>512</v>
      </c>
      <c r="B458" s="13" t="s">
        <v>471</v>
      </c>
      <c r="C458" s="139">
        <v>46245</v>
      </c>
      <c r="D458" s="139" t="s">
        <v>441</v>
      </c>
      <c r="E458" s="28">
        <v>0.97876224999999994</v>
      </c>
      <c r="F458" s="13"/>
      <c r="G458" s="18">
        <v>20000000</v>
      </c>
      <c r="H458" s="18">
        <v>19575245.010000002</v>
      </c>
      <c r="I458" s="18">
        <v>20000000</v>
      </c>
      <c r="J458" s="18">
        <v>19575245.010000002</v>
      </c>
      <c r="K458" s="15">
        <v>425</v>
      </c>
      <c r="L458" s="13" t="s">
        <v>102</v>
      </c>
      <c r="M458" s="13" t="s">
        <v>103</v>
      </c>
      <c r="N458" s="139" t="s">
        <v>428</v>
      </c>
      <c r="O458" s="139" t="s">
        <v>428</v>
      </c>
      <c r="P458" s="28">
        <v>36</v>
      </c>
      <c r="Q458" s="13" t="s">
        <v>54</v>
      </c>
      <c r="R458" s="13" t="s">
        <v>28</v>
      </c>
      <c r="S458" s="13"/>
      <c r="T458" s="13"/>
      <c r="U458" s="13" t="s">
        <v>1121</v>
      </c>
      <c r="V458" s="13" t="s">
        <v>1121</v>
      </c>
      <c r="W458" s="59">
        <f t="shared" si="7"/>
        <v>3.7397742467424705E-4</v>
      </c>
    </row>
    <row r="459" spans="1:29">
      <c r="A459" s="13" t="s">
        <v>654</v>
      </c>
      <c r="B459" s="13" t="s">
        <v>471</v>
      </c>
      <c r="C459" s="139">
        <v>46245</v>
      </c>
      <c r="D459" s="139" t="s">
        <v>441</v>
      </c>
      <c r="E459" s="28">
        <v>0.98049759000000003</v>
      </c>
      <c r="F459" s="13"/>
      <c r="G459" s="18">
        <v>10000000</v>
      </c>
      <c r="H459" s="18">
        <v>9804975.8699999992</v>
      </c>
      <c r="I459" s="18">
        <v>10000000</v>
      </c>
      <c r="J459" s="18">
        <v>9804975.8699999992</v>
      </c>
      <c r="K459" s="15">
        <v>13633528</v>
      </c>
      <c r="L459" s="13" t="s">
        <v>102</v>
      </c>
      <c r="M459" s="13" t="s">
        <v>103</v>
      </c>
      <c r="N459" s="139" t="s">
        <v>162</v>
      </c>
      <c r="O459" s="139" t="s">
        <v>162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1082</v>
      </c>
      <c r="V459" s="13" t="s">
        <v>1082</v>
      </c>
      <c r="W459" s="59">
        <f t="shared" si="7"/>
        <v>1.8732024161038761E-4</v>
      </c>
    </row>
    <row r="460" spans="1:29">
      <c r="A460" s="13" t="s">
        <v>882</v>
      </c>
      <c r="B460" s="13" t="s">
        <v>471</v>
      </c>
      <c r="C460" s="139">
        <v>46245</v>
      </c>
      <c r="D460" s="139" t="s">
        <v>441</v>
      </c>
      <c r="E460" s="28">
        <v>0.97760875000000003</v>
      </c>
      <c r="F460" s="13"/>
      <c r="G460" s="18">
        <v>5211510.2699999996</v>
      </c>
      <c r="H460" s="18">
        <v>5094818.05</v>
      </c>
      <c r="I460" s="18">
        <v>5211510.2699999996</v>
      </c>
      <c r="J460" s="18">
        <v>5094818.05</v>
      </c>
      <c r="K460" s="15">
        <v>90000479</v>
      </c>
      <c r="L460" s="13" t="s">
        <v>102</v>
      </c>
      <c r="M460" s="13" t="s">
        <v>103</v>
      </c>
      <c r="N460" s="139" t="s">
        <v>355</v>
      </c>
      <c r="O460" s="139" t="s">
        <v>355</v>
      </c>
      <c r="P460" s="28">
        <v>38</v>
      </c>
      <c r="Q460" s="13" t="s">
        <v>54</v>
      </c>
      <c r="R460" s="13" t="s">
        <v>28</v>
      </c>
      <c r="S460" s="13"/>
      <c r="T460" s="13"/>
      <c r="U460" s="13" t="s">
        <v>847</v>
      </c>
      <c r="V460" s="13" t="s">
        <v>847</v>
      </c>
      <c r="W460" s="59">
        <f t="shared" si="7"/>
        <v>9.7334512674018838E-5</v>
      </c>
    </row>
    <row r="461" spans="1:29">
      <c r="A461" s="13" t="s">
        <v>737</v>
      </c>
      <c r="B461" s="13" t="s">
        <v>471</v>
      </c>
      <c r="C461" s="139">
        <v>46245</v>
      </c>
      <c r="D461" s="139" t="s">
        <v>441</v>
      </c>
      <c r="E461" s="28">
        <v>0.98574055000000005</v>
      </c>
      <c r="F461" s="13"/>
      <c r="G461" s="18">
        <v>3000000</v>
      </c>
      <c r="H461" s="18">
        <v>2957221.65</v>
      </c>
      <c r="I461" s="18">
        <v>3000000</v>
      </c>
      <c r="J461" s="18">
        <v>2957221.65</v>
      </c>
      <c r="K461" s="15">
        <v>16821009</v>
      </c>
      <c r="L461" s="13" t="s">
        <v>102</v>
      </c>
      <c r="M461" s="13" t="s">
        <v>103</v>
      </c>
      <c r="N461" s="139" t="s">
        <v>382</v>
      </c>
      <c r="O461" s="139" t="s">
        <v>382</v>
      </c>
      <c r="P461" s="28">
        <v>24</v>
      </c>
      <c r="Q461" s="13" t="s">
        <v>54</v>
      </c>
      <c r="R461" s="13" t="s">
        <v>28</v>
      </c>
      <c r="S461" s="13"/>
      <c r="T461" s="13"/>
      <c r="U461" s="13" t="s">
        <v>2366</v>
      </c>
      <c r="V461" s="13" t="s">
        <v>2366</v>
      </c>
      <c r="W461" s="59">
        <f t="shared" si="7"/>
        <v>5.6496566775688464E-5</v>
      </c>
    </row>
    <row r="462" spans="1:29">
      <c r="A462" s="13" t="s">
        <v>481</v>
      </c>
      <c r="B462" s="13" t="s">
        <v>471</v>
      </c>
      <c r="C462" s="139">
        <v>46245</v>
      </c>
      <c r="D462" s="139" t="s">
        <v>441</v>
      </c>
      <c r="E462" s="28">
        <v>0.97760879999999994</v>
      </c>
      <c r="F462" s="13"/>
      <c r="G462" s="18">
        <v>20000000</v>
      </c>
      <c r="H462" s="18">
        <v>19552176.010000002</v>
      </c>
      <c r="I462" s="18">
        <v>20000000</v>
      </c>
      <c r="J462" s="18">
        <v>19552176.010000002</v>
      </c>
      <c r="K462" s="15">
        <v>70219545</v>
      </c>
      <c r="L462" s="13" t="s">
        <v>102</v>
      </c>
      <c r="M462" s="13" t="s">
        <v>103</v>
      </c>
      <c r="N462" s="139" t="s">
        <v>459</v>
      </c>
      <c r="O462" s="139" t="s">
        <v>459</v>
      </c>
      <c r="P462" s="28">
        <v>38</v>
      </c>
      <c r="Q462" s="13" t="s">
        <v>54</v>
      </c>
      <c r="R462" s="13" t="s">
        <v>28</v>
      </c>
      <c r="S462" s="13"/>
      <c r="T462" s="13"/>
      <c r="U462" s="13" t="s">
        <v>1510</v>
      </c>
      <c r="V462" s="13" t="s">
        <v>1510</v>
      </c>
      <c r="W462" s="59">
        <f t="shared" si="7"/>
        <v>3.7353670042249935E-4</v>
      </c>
    </row>
    <row r="463" spans="1:29">
      <c r="A463" s="13" t="s">
        <v>310</v>
      </c>
      <c r="B463" s="13" t="s">
        <v>471</v>
      </c>
      <c r="C463" s="139">
        <v>46245</v>
      </c>
      <c r="D463" s="139" t="s">
        <v>441</v>
      </c>
      <c r="E463" s="28">
        <v>0.98049752999999995</v>
      </c>
      <c r="F463" s="13"/>
      <c r="G463" s="18">
        <v>50000000</v>
      </c>
      <c r="H463" s="18">
        <v>49024876.57</v>
      </c>
      <c r="I463" s="18">
        <v>50000000</v>
      </c>
      <c r="J463" s="18">
        <v>49024876.57</v>
      </c>
      <c r="K463" s="15">
        <v>29007571</v>
      </c>
      <c r="L463" s="13" t="s">
        <v>102</v>
      </c>
      <c r="M463" s="13" t="s">
        <v>103</v>
      </c>
      <c r="N463" s="139" t="s">
        <v>154</v>
      </c>
      <c r="O463" s="139" t="s">
        <v>154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500</v>
      </c>
      <c r="V463" s="13" t="s">
        <v>500</v>
      </c>
      <c r="W463" s="59">
        <f t="shared" si="7"/>
        <v>9.366011549411219E-4</v>
      </c>
    </row>
    <row r="464" spans="1:29">
      <c r="A464" s="13" t="s">
        <v>432</v>
      </c>
      <c r="B464" s="13" t="s">
        <v>471</v>
      </c>
      <c r="C464" s="139">
        <v>46245</v>
      </c>
      <c r="D464" s="139" t="s">
        <v>441</v>
      </c>
      <c r="E464" s="28">
        <v>0.97876233000000001</v>
      </c>
      <c r="F464" s="13"/>
      <c r="G464" s="18">
        <v>2197564.35</v>
      </c>
      <c r="H464" s="18">
        <v>2150893.21</v>
      </c>
      <c r="I464" s="18">
        <v>2197564.35</v>
      </c>
      <c r="J464" s="18">
        <v>2150893.21</v>
      </c>
      <c r="K464" s="15">
        <v>2762</v>
      </c>
      <c r="L464" s="13" t="s">
        <v>102</v>
      </c>
      <c r="M464" s="13" t="s">
        <v>103</v>
      </c>
      <c r="N464" s="139" t="s">
        <v>170</v>
      </c>
      <c r="O464" s="139" t="s">
        <v>170</v>
      </c>
      <c r="P464" s="28">
        <v>36</v>
      </c>
      <c r="Q464" s="13" t="s">
        <v>54</v>
      </c>
      <c r="R464" s="13" t="s">
        <v>28</v>
      </c>
      <c r="S464" s="13"/>
      <c r="T464" s="13"/>
      <c r="U464" s="13" t="s">
        <v>1651</v>
      </c>
      <c r="V464" s="13" t="s">
        <v>1651</v>
      </c>
      <c r="W464" s="59">
        <f t="shared" si="7"/>
        <v>4.1091976269732743E-5</v>
      </c>
    </row>
    <row r="465" spans="1:29">
      <c r="A465" s="13" t="s">
        <v>254</v>
      </c>
      <c r="B465" s="13" t="s">
        <v>471</v>
      </c>
      <c r="C465" s="139">
        <v>46245</v>
      </c>
      <c r="D465" s="139" t="s">
        <v>441</v>
      </c>
      <c r="E465" s="28">
        <v>0.98107730999999998</v>
      </c>
      <c r="F465" s="13"/>
      <c r="G465" s="18">
        <v>50000000</v>
      </c>
      <c r="H465" s="18">
        <v>49053865.439999998</v>
      </c>
      <c r="I465" s="18">
        <v>50000000</v>
      </c>
      <c r="J465" s="18">
        <v>49053865.439999998</v>
      </c>
      <c r="K465" s="15">
        <v>4636</v>
      </c>
      <c r="L465" s="13" t="s">
        <v>102</v>
      </c>
      <c r="M465" s="13" t="s">
        <v>103</v>
      </c>
      <c r="N465" s="139" t="s">
        <v>349</v>
      </c>
      <c r="O465" s="139" t="s">
        <v>349</v>
      </c>
      <c r="P465" s="28">
        <v>32</v>
      </c>
      <c r="Q465" s="13" t="s">
        <v>54</v>
      </c>
      <c r="R465" s="13" t="s">
        <v>28</v>
      </c>
      <c r="S465" s="13"/>
      <c r="T465" s="13"/>
      <c r="U465" s="13" t="s">
        <v>1014</v>
      </c>
      <c r="V465" s="13" t="s">
        <v>1014</v>
      </c>
      <c r="W465" s="59">
        <f t="shared" si="7"/>
        <v>9.3715497600140886E-4</v>
      </c>
    </row>
    <row r="466" spans="1:29">
      <c r="A466" s="13" t="s">
        <v>193</v>
      </c>
      <c r="B466" s="13" t="s">
        <v>471</v>
      </c>
      <c r="C466" s="139">
        <v>46245</v>
      </c>
      <c r="D466" s="139" t="s">
        <v>441</v>
      </c>
      <c r="E466" s="28">
        <v>0.97760884000000003</v>
      </c>
      <c r="F466" s="13"/>
      <c r="G466" s="18">
        <v>136200000</v>
      </c>
      <c r="H466" s="18">
        <v>133150323.48</v>
      </c>
      <c r="I466" s="18">
        <v>136200000</v>
      </c>
      <c r="J466" s="18">
        <v>133150323.48</v>
      </c>
      <c r="K466" s="15">
        <v>70388045</v>
      </c>
      <c r="L466" s="13" t="s">
        <v>102</v>
      </c>
      <c r="M466" s="13" t="s">
        <v>103</v>
      </c>
      <c r="N466" s="139" t="s">
        <v>389</v>
      </c>
      <c r="O466" s="139" t="s">
        <v>389</v>
      </c>
      <c r="P466" s="28">
        <v>38</v>
      </c>
      <c r="Q466" s="13" t="s">
        <v>54</v>
      </c>
      <c r="R466" s="13" t="s">
        <v>28</v>
      </c>
      <c r="S466" s="13"/>
      <c r="T466" s="13"/>
      <c r="U466" s="13" t="s">
        <v>1617</v>
      </c>
      <c r="V466" s="13" t="s">
        <v>1617</v>
      </c>
      <c r="W466" s="59">
        <f t="shared" si="7"/>
        <v>2.5437850225708786E-3</v>
      </c>
    </row>
    <row r="467" spans="1:29">
      <c r="A467" s="13" t="s">
        <v>1516</v>
      </c>
      <c r="B467" s="13" t="s">
        <v>471</v>
      </c>
      <c r="C467" s="139">
        <v>46245</v>
      </c>
      <c r="D467" s="139" t="s">
        <v>441</v>
      </c>
      <c r="E467" s="28">
        <v>0.97645806000000002</v>
      </c>
      <c r="F467" s="13"/>
      <c r="G467" s="18">
        <v>25000000</v>
      </c>
      <c r="H467" s="18">
        <v>24411451.5</v>
      </c>
      <c r="I467" s="18">
        <v>25000000</v>
      </c>
      <c r="J467" s="18">
        <v>24411451.5</v>
      </c>
      <c r="K467" s="15">
        <v>70379056</v>
      </c>
      <c r="L467" s="13" t="s">
        <v>102</v>
      </c>
      <c r="M467" s="13" t="s">
        <v>103</v>
      </c>
      <c r="N467" s="139" t="s">
        <v>459</v>
      </c>
      <c r="O467" s="139" t="s">
        <v>459</v>
      </c>
      <c r="P467" s="28">
        <v>40</v>
      </c>
      <c r="Q467" s="13" t="s">
        <v>54</v>
      </c>
      <c r="R467" s="13" t="s">
        <v>28</v>
      </c>
      <c r="S467" s="13"/>
      <c r="T467" s="13"/>
      <c r="U467" s="13" t="s">
        <v>1515</v>
      </c>
      <c r="V467" s="13" t="s">
        <v>1515</v>
      </c>
      <c r="W467" s="59">
        <f t="shared" si="7"/>
        <v>4.6637126431197014E-4</v>
      </c>
    </row>
    <row r="468" spans="1:29">
      <c r="A468" s="13" t="s">
        <v>2113</v>
      </c>
      <c r="B468" s="13" t="s">
        <v>471</v>
      </c>
      <c r="C468" s="139">
        <v>46245</v>
      </c>
      <c r="D468" s="139" t="s">
        <v>441</v>
      </c>
      <c r="E468" s="28">
        <v>0.98223897999999998</v>
      </c>
      <c r="F468" s="13"/>
      <c r="G468" s="18">
        <v>2200000</v>
      </c>
      <c r="H468" s="18">
        <v>2160925.75</v>
      </c>
      <c r="I468" s="18">
        <v>2200000</v>
      </c>
      <c r="J468" s="18">
        <v>2160925.75</v>
      </c>
      <c r="K468" s="15">
        <v>9793</v>
      </c>
      <c r="L468" s="13" t="s">
        <v>102</v>
      </c>
      <c r="M468" s="13" t="s">
        <v>103</v>
      </c>
      <c r="N468" s="139" t="s">
        <v>783</v>
      </c>
      <c r="O468" s="139" t="s">
        <v>783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2097</v>
      </c>
      <c r="V468" s="13" t="s">
        <v>2097</v>
      </c>
      <c r="W468" s="59">
        <f t="shared" si="7"/>
        <v>4.1283644035332854E-5</v>
      </c>
      <c r="AC468" s="56"/>
    </row>
    <row r="469" spans="1:29">
      <c r="A469" s="13" t="s">
        <v>1657</v>
      </c>
      <c r="B469" s="13" t="s">
        <v>471</v>
      </c>
      <c r="C469" s="139">
        <v>46245</v>
      </c>
      <c r="D469" s="139" t="s">
        <v>441</v>
      </c>
      <c r="E469" s="28">
        <v>0.98223906999999999</v>
      </c>
      <c r="F469" s="13"/>
      <c r="G469" s="18">
        <v>2700000</v>
      </c>
      <c r="H469" s="18">
        <v>2652045.5</v>
      </c>
      <c r="I469" s="18">
        <v>2700000</v>
      </c>
      <c r="J469" s="18">
        <v>2652045.5</v>
      </c>
      <c r="K469" s="15">
        <v>6270</v>
      </c>
      <c r="L469" s="13" t="s">
        <v>102</v>
      </c>
      <c r="M469" s="13" t="s">
        <v>103</v>
      </c>
      <c r="N469" s="139" t="s">
        <v>170</v>
      </c>
      <c r="O469" s="139" t="s">
        <v>170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1625</v>
      </c>
      <c r="V469" s="13" t="s">
        <v>1625</v>
      </c>
      <c r="W469" s="59">
        <f t="shared" si="7"/>
        <v>5.0666295400249793E-5</v>
      </c>
    </row>
    <row r="470" spans="1:29">
      <c r="A470" s="13" t="s">
        <v>1590</v>
      </c>
      <c r="B470" s="13" t="s">
        <v>471</v>
      </c>
      <c r="C470" s="139">
        <v>46245</v>
      </c>
      <c r="D470" s="139" t="s">
        <v>441</v>
      </c>
      <c r="E470" s="28">
        <v>0.98223903999999995</v>
      </c>
      <c r="F470" s="13"/>
      <c r="G470" s="18">
        <v>3533450.77</v>
      </c>
      <c r="H470" s="18">
        <v>3470693.29</v>
      </c>
      <c r="I470" s="18">
        <v>3533450.77</v>
      </c>
      <c r="J470" s="18">
        <v>3470693.29</v>
      </c>
      <c r="K470" s="15">
        <v>9755701</v>
      </c>
      <c r="L470" s="13" t="s">
        <v>102</v>
      </c>
      <c r="M470" s="13" t="s">
        <v>103</v>
      </c>
      <c r="N470" s="139" t="s">
        <v>389</v>
      </c>
      <c r="O470" s="139" t="s">
        <v>389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1591</v>
      </c>
      <c r="V470" s="13" t="s">
        <v>1591</v>
      </c>
      <c r="W470" s="59">
        <f t="shared" si="7"/>
        <v>6.6306242285362317E-5</v>
      </c>
      <c r="AB470" s="52"/>
      <c r="AC470" s="56"/>
    </row>
    <row r="471" spans="1:29">
      <c r="A471" s="13" t="s">
        <v>1388</v>
      </c>
      <c r="B471" s="13" t="s">
        <v>471</v>
      </c>
      <c r="C471" s="139">
        <v>46246</v>
      </c>
      <c r="D471" s="139" t="s">
        <v>441</v>
      </c>
      <c r="E471" s="28">
        <v>0.98205405000000001</v>
      </c>
      <c r="F471" s="13"/>
      <c r="G471" s="18">
        <v>100000000</v>
      </c>
      <c r="H471" s="18">
        <v>98205404.799999997</v>
      </c>
      <c r="I471" s="18">
        <v>100000000</v>
      </c>
      <c r="J471" s="18">
        <v>98205404.799999997</v>
      </c>
      <c r="K471" s="15">
        <v>90003816</v>
      </c>
      <c r="L471" s="13" t="s">
        <v>102</v>
      </c>
      <c r="M471" s="13" t="s">
        <v>103</v>
      </c>
      <c r="N471" s="139" t="s">
        <v>351</v>
      </c>
      <c r="O471" s="139" t="s">
        <v>351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1367</v>
      </c>
      <c r="V471" s="13" t="s">
        <v>1367</v>
      </c>
      <c r="W471" s="59">
        <f t="shared" si="7"/>
        <v>1.8761759741670757E-3</v>
      </c>
    </row>
    <row r="472" spans="1:29">
      <c r="A472" s="13" t="s">
        <v>1781</v>
      </c>
      <c r="B472" s="13" t="s">
        <v>471</v>
      </c>
      <c r="C472" s="139">
        <v>46246</v>
      </c>
      <c r="D472" s="139" t="s">
        <v>441</v>
      </c>
      <c r="E472" s="28">
        <v>0.98144666000000003</v>
      </c>
      <c r="F472" s="13"/>
      <c r="G472" s="18">
        <v>5586280.8700000001</v>
      </c>
      <c r="H472" s="18">
        <v>5482636.71</v>
      </c>
      <c r="I472" s="18">
        <v>5586280.8700000001</v>
      </c>
      <c r="J472" s="18">
        <v>5482636.71</v>
      </c>
      <c r="K472" s="15">
        <v>29572225</v>
      </c>
      <c r="L472" s="13" t="s">
        <v>102</v>
      </c>
      <c r="M472" s="13" t="s">
        <v>103</v>
      </c>
      <c r="N472" s="139" t="s">
        <v>172</v>
      </c>
      <c r="O472" s="139" t="s">
        <v>172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1782</v>
      </c>
      <c r="V472" s="13" t="s">
        <v>1782</v>
      </c>
      <c r="W472" s="59">
        <f t="shared" si="7"/>
        <v>1.0474363698553199E-4</v>
      </c>
    </row>
    <row r="473" spans="1:29">
      <c r="A473" s="13" t="s">
        <v>1154</v>
      </c>
      <c r="B473" s="13" t="s">
        <v>471</v>
      </c>
      <c r="C473" s="139">
        <v>46246</v>
      </c>
      <c r="D473" s="139" t="s">
        <v>441</v>
      </c>
      <c r="E473" s="28">
        <v>0.97962916</v>
      </c>
      <c r="F473" s="13"/>
      <c r="G473" s="18">
        <v>3900000</v>
      </c>
      <c r="H473" s="18">
        <v>3820553.74</v>
      </c>
      <c r="I473" s="18">
        <v>3900000</v>
      </c>
      <c r="J473" s="18">
        <v>3820553.74</v>
      </c>
      <c r="K473" s="15">
        <v>283</v>
      </c>
      <c r="L473" s="13" t="s">
        <v>102</v>
      </c>
      <c r="M473" s="13" t="s">
        <v>103</v>
      </c>
      <c r="N473" s="139" t="s">
        <v>458</v>
      </c>
      <c r="O473" s="139" t="s">
        <v>458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1156</v>
      </c>
      <c r="V473" s="13" t="s">
        <v>1156</v>
      </c>
      <c r="W473" s="59">
        <f t="shared" si="7"/>
        <v>7.2990189792508902E-5</v>
      </c>
    </row>
    <row r="474" spans="1:29">
      <c r="A474" s="13" t="s">
        <v>1429</v>
      </c>
      <c r="B474" s="13" t="s">
        <v>471</v>
      </c>
      <c r="C474" s="139">
        <v>46246</v>
      </c>
      <c r="D474" s="139" t="s">
        <v>441</v>
      </c>
      <c r="E474" s="28">
        <v>0.98023419000000001</v>
      </c>
      <c r="F474" s="13"/>
      <c r="G474" s="18">
        <v>2899135.68</v>
      </c>
      <c r="H474" s="18">
        <v>2841831.91</v>
      </c>
      <c r="I474" s="18">
        <v>2899135.68</v>
      </c>
      <c r="J474" s="18">
        <v>2841831.91</v>
      </c>
      <c r="K474" s="15">
        <v>6553</v>
      </c>
      <c r="L474" s="13" t="s">
        <v>102</v>
      </c>
      <c r="M474" s="13" t="s">
        <v>103</v>
      </c>
      <c r="N474" s="139" t="s">
        <v>373</v>
      </c>
      <c r="O474" s="139" t="s">
        <v>373</v>
      </c>
      <c r="P474" s="28">
        <v>32</v>
      </c>
      <c r="Q474" s="13" t="s">
        <v>54</v>
      </c>
      <c r="R474" s="13" t="s">
        <v>28</v>
      </c>
      <c r="S474" s="13"/>
      <c r="T474" s="13"/>
      <c r="U474" s="13" t="s">
        <v>1485</v>
      </c>
      <c r="V474" s="13" t="s">
        <v>1485</v>
      </c>
      <c r="W474" s="59">
        <f t="shared" si="7"/>
        <v>5.4292090776691463E-5</v>
      </c>
    </row>
    <row r="475" spans="1:29">
      <c r="A475" s="13" t="s">
        <v>1433</v>
      </c>
      <c r="B475" s="13" t="s">
        <v>471</v>
      </c>
      <c r="C475" s="139">
        <v>46246</v>
      </c>
      <c r="D475" s="139" t="s">
        <v>441</v>
      </c>
      <c r="E475" s="28">
        <v>0.98023419000000001</v>
      </c>
      <c r="F475" s="13"/>
      <c r="G475" s="18">
        <v>3300000</v>
      </c>
      <c r="H475" s="18">
        <v>3234772.84</v>
      </c>
      <c r="I475" s="18">
        <v>3300000</v>
      </c>
      <c r="J475" s="18">
        <v>3234772.84</v>
      </c>
      <c r="K475" s="15">
        <v>13647455</v>
      </c>
      <c r="L475" s="13" t="s">
        <v>102</v>
      </c>
      <c r="M475" s="13" t="s">
        <v>103</v>
      </c>
      <c r="N475" s="139" t="s">
        <v>373</v>
      </c>
      <c r="O475" s="139" t="s">
        <v>373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1435</v>
      </c>
      <c r="V475" s="13" t="s">
        <v>1435</v>
      </c>
      <c r="W475" s="59">
        <f t="shared" si="7"/>
        <v>6.1799074059681465E-5</v>
      </c>
      <c r="AC475" s="56"/>
    </row>
    <row r="476" spans="1:29">
      <c r="A476" s="13" t="s">
        <v>491</v>
      </c>
      <c r="B476" s="13" t="s">
        <v>471</v>
      </c>
      <c r="C476" s="139">
        <v>46246</v>
      </c>
      <c r="D476" s="139" t="s">
        <v>441</v>
      </c>
      <c r="E476" s="28">
        <v>0.97902473000000001</v>
      </c>
      <c r="F476" s="13"/>
      <c r="G476" s="18">
        <v>4000000</v>
      </c>
      <c r="H476" s="18">
        <v>3916098.93</v>
      </c>
      <c r="I476" s="18">
        <v>4000000</v>
      </c>
      <c r="J476" s="18">
        <v>3916098.93</v>
      </c>
      <c r="K476" s="15">
        <v>90000050</v>
      </c>
      <c r="L476" s="13" t="s">
        <v>102</v>
      </c>
      <c r="M476" s="13" t="s">
        <v>103</v>
      </c>
      <c r="N476" s="139" t="s">
        <v>400</v>
      </c>
      <c r="O476" s="139" t="s">
        <v>400</v>
      </c>
      <c r="P476" s="28">
        <v>34</v>
      </c>
      <c r="Q476" s="13" t="s">
        <v>54</v>
      </c>
      <c r="R476" s="13" t="s">
        <v>28</v>
      </c>
      <c r="S476" s="13"/>
      <c r="T476" s="13"/>
      <c r="U476" s="13" t="s">
        <v>1546</v>
      </c>
      <c r="V476" s="13" t="s">
        <v>1546</v>
      </c>
      <c r="W476" s="59">
        <f t="shared" si="7"/>
        <v>7.4815543399983953E-5</v>
      </c>
    </row>
    <row r="477" spans="1:29">
      <c r="A477" s="13" t="s">
        <v>653</v>
      </c>
      <c r="B477" s="13" t="s">
        <v>471</v>
      </c>
      <c r="C477" s="139">
        <v>46246</v>
      </c>
      <c r="D477" s="139" t="s">
        <v>441</v>
      </c>
      <c r="E477" s="28">
        <v>0.98144668000000002</v>
      </c>
      <c r="F477" s="13"/>
      <c r="G477" s="18">
        <v>5000000</v>
      </c>
      <c r="H477" s="18">
        <v>4907233.38</v>
      </c>
      <c r="I477" s="18">
        <v>5000000</v>
      </c>
      <c r="J477" s="18">
        <v>4907233.38</v>
      </c>
      <c r="K477" s="15">
        <v>3501230</v>
      </c>
      <c r="L477" s="13" t="s">
        <v>102</v>
      </c>
      <c r="M477" s="13" t="s">
        <v>103</v>
      </c>
      <c r="N477" s="139" t="s">
        <v>358</v>
      </c>
      <c r="O477" s="139" t="s">
        <v>358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621</v>
      </c>
      <c r="V477" s="13" t="s">
        <v>621</v>
      </c>
      <c r="W477" s="59">
        <f t="shared" si="7"/>
        <v>9.3750780681947665E-5</v>
      </c>
    </row>
    <row r="478" spans="1:29">
      <c r="A478" s="13" t="s">
        <v>655</v>
      </c>
      <c r="B478" s="13" t="s">
        <v>471</v>
      </c>
      <c r="C478" s="139">
        <v>46246</v>
      </c>
      <c r="D478" s="139" t="s">
        <v>441</v>
      </c>
      <c r="E478" s="28">
        <v>0.97661481999999999</v>
      </c>
      <c r="F478" s="13"/>
      <c r="G478" s="18">
        <v>4957711.8099999996</v>
      </c>
      <c r="H478" s="18">
        <v>4841774.8499999996</v>
      </c>
      <c r="I478" s="18">
        <v>4957711.8099999996</v>
      </c>
      <c r="J478" s="18">
        <v>4841774.8499999996</v>
      </c>
      <c r="K478" s="15">
        <v>590</v>
      </c>
      <c r="L478" s="13" t="s">
        <v>102</v>
      </c>
      <c r="M478" s="13" t="s">
        <v>103</v>
      </c>
      <c r="N478" s="139" t="s">
        <v>355</v>
      </c>
      <c r="O478" s="139" t="s">
        <v>355</v>
      </c>
      <c r="P478" s="28">
        <v>38</v>
      </c>
      <c r="Q478" s="13" t="s">
        <v>54</v>
      </c>
      <c r="R478" s="13" t="s">
        <v>28</v>
      </c>
      <c r="S478" s="13"/>
      <c r="T478" s="13"/>
      <c r="U478" s="13" t="s">
        <v>853</v>
      </c>
      <c r="V478" s="13" t="s">
        <v>853</v>
      </c>
      <c r="W478" s="59">
        <f t="shared" si="7"/>
        <v>9.2500220984745597E-5</v>
      </c>
      <c r="AC478" s="56"/>
    </row>
    <row r="479" spans="1:29">
      <c r="A479" s="13" t="s">
        <v>197</v>
      </c>
      <c r="B479" s="13" t="s">
        <v>471</v>
      </c>
      <c r="C479" s="139">
        <v>46246</v>
      </c>
      <c r="D479" s="139" t="s">
        <v>441</v>
      </c>
      <c r="E479" s="28">
        <v>0.98755413999999997</v>
      </c>
      <c r="F479" s="13"/>
      <c r="G479" s="18">
        <v>2500000</v>
      </c>
      <c r="H479" s="18">
        <v>2468885.35</v>
      </c>
      <c r="I479" s="18">
        <v>2500000</v>
      </c>
      <c r="J479" s="18">
        <v>2468885.35</v>
      </c>
      <c r="K479" s="15">
        <v>6132</v>
      </c>
      <c r="L479" s="13" t="s">
        <v>102</v>
      </c>
      <c r="M479" s="13" t="s">
        <v>103</v>
      </c>
      <c r="N479" s="139" t="s">
        <v>319</v>
      </c>
      <c r="O479" s="139" t="s">
        <v>319</v>
      </c>
      <c r="P479" s="28">
        <v>20</v>
      </c>
      <c r="Q479" s="13" t="s">
        <v>54</v>
      </c>
      <c r="R479" s="13" t="s">
        <v>28</v>
      </c>
      <c r="S479" s="13"/>
      <c r="T479" s="13"/>
      <c r="U479" s="13" t="s">
        <v>1206</v>
      </c>
      <c r="V479" s="13" t="s">
        <v>1206</v>
      </c>
      <c r="W479" s="59">
        <f t="shared" si="7"/>
        <v>4.7167092137917356E-5</v>
      </c>
    </row>
    <row r="480" spans="1:29">
      <c r="A480" s="13" t="s">
        <v>737</v>
      </c>
      <c r="B480" s="13" t="s">
        <v>471</v>
      </c>
      <c r="C480" s="139">
        <v>46246</v>
      </c>
      <c r="D480" s="139" t="s">
        <v>441</v>
      </c>
      <c r="E480" s="28">
        <v>0.98510215999999995</v>
      </c>
      <c r="F480" s="13"/>
      <c r="G480" s="18">
        <v>3000000</v>
      </c>
      <c r="H480" s="18">
        <v>2955306.48</v>
      </c>
      <c r="I480" s="18">
        <v>3000000</v>
      </c>
      <c r="J480" s="18">
        <v>2955306.48</v>
      </c>
      <c r="K480" s="15">
        <v>909575</v>
      </c>
      <c r="L480" s="13" t="s">
        <v>102</v>
      </c>
      <c r="M480" s="13" t="s">
        <v>103</v>
      </c>
      <c r="N480" s="139" t="s">
        <v>783</v>
      </c>
      <c r="O480" s="139" t="s">
        <v>783</v>
      </c>
      <c r="P480" s="28">
        <v>24</v>
      </c>
      <c r="Q480" s="13" t="s">
        <v>54</v>
      </c>
      <c r="R480" s="13" t="s">
        <v>28</v>
      </c>
      <c r="S480" s="13"/>
      <c r="T480" s="13"/>
      <c r="U480" s="13" t="s">
        <v>2070</v>
      </c>
      <c r="V480" s="13" t="s">
        <v>2070</v>
      </c>
      <c r="W480" s="59">
        <f t="shared" si="7"/>
        <v>5.645997819945111E-5</v>
      </c>
    </row>
    <row r="481" spans="1:23">
      <c r="A481" s="13" t="s">
        <v>737</v>
      </c>
      <c r="B481" s="13" t="s">
        <v>471</v>
      </c>
      <c r="C481" s="139">
        <v>46246</v>
      </c>
      <c r="D481" s="139" t="s">
        <v>441</v>
      </c>
      <c r="E481" s="28">
        <v>0.98449101999999999</v>
      </c>
      <c r="F481" s="13"/>
      <c r="G481" s="18">
        <v>25000000</v>
      </c>
      <c r="H481" s="18">
        <v>24612275.539999999</v>
      </c>
      <c r="I481" s="18">
        <v>25000000</v>
      </c>
      <c r="J481" s="18">
        <v>24612275.539999999</v>
      </c>
      <c r="K481" s="15">
        <v>6531</v>
      </c>
      <c r="L481" s="13" t="s">
        <v>102</v>
      </c>
      <c r="M481" s="13" t="s">
        <v>103</v>
      </c>
      <c r="N481" s="139" t="s">
        <v>392</v>
      </c>
      <c r="O481" s="139" t="s">
        <v>392</v>
      </c>
      <c r="P481" s="28">
        <v>25</v>
      </c>
      <c r="Q481" s="13" t="s">
        <v>54</v>
      </c>
      <c r="R481" s="13" t="s">
        <v>28</v>
      </c>
      <c r="S481" s="13"/>
      <c r="T481" s="13"/>
      <c r="U481" s="13" t="s">
        <v>2278</v>
      </c>
      <c r="V481" s="13" t="s">
        <v>2278</v>
      </c>
      <c r="W481" s="59">
        <f t="shared" si="7"/>
        <v>4.7020792930663614E-4</v>
      </c>
    </row>
    <row r="482" spans="1:23">
      <c r="A482" s="13" t="s">
        <v>737</v>
      </c>
      <c r="B482" s="13" t="s">
        <v>471</v>
      </c>
      <c r="C482" s="139">
        <v>46246</v>
      </c>
      <c r="D482" s="139" t="s">
        <v>441</v>
      </c>
      <c r="E482" s="28">
        <v>0.98449101999999999</v>
      </c>
      <c r="F482" s="13"/>
      <c r="G482" s="18">
        <v>25000000</v>
      </c>
      <c r="H482" s="18">
        <v>24612275.539999999</v>
      </c>
      <c r="I482" s="18">
        <v>25000000</v>
      </c>
      <c r="J482" s="18">
        <v>24612275.539999999</v>
      </c>
      <c r="K482" s="15">
        <v>6530</v>
      </c>
      <c r="L482" s="13" t="s">
        <v>102</v>
      </c>
      <c r="M482" s="13" t="s">
        <v>103</v>
      </c>
      <c r="N482" s="139" t="s">
        <v>392</v>
      </c>
      <c r="O482" s="139" t="s">
        <v>392</v>
      </c>
      <c r="P482" s="28">
        <v>25</v>
      </c>
      <c r="Q482" s="13" t="s">
        <v>54</v>
      </c>
      <c r="R482" s="13" t="s">
        <v>28</v>
      </c>
      <c r="S482" s="13"/>
      <c r="T482" s="13"/>
      <c r="U482" s="13" t="s">
        <v>2279</v>
      </c>
      <c r="V482" s="13" t="s">
        <v>2279</v>
      </c>
      <c r="W482" s="59">
        <f t="shared" si="7"/>
        <v>4.7020792930663614E-4</v>
      </c>
    </row>
    <row r="483" spans="1:23">
      <c r="A483" s="13" t="s">
        <v>970</v>
      </c>
      <c r="B483" s="13" t="s">
        <v>471</v>
      </c>
      <c r="C483" s="139">
        <v>46246</v>
      </c>
      <c r="D483" s="139" t="s">
        <v>441</v>
      </c>
      <c r="E483" s="28">
        <v>0.98266211000000003</v>
      </c>
      <c r="F483" s="13"/>
      <c r="G483" s="18">
        <v>7000000</v>
      </c>
      <c r="H483" s="18">
        <v>6878634.75</v>
      </c>
      <c r="I483" s="18">
        <v>7000000</v>
      </c>
      <c r="J483" s="18">
        <v>6878634.75</v>
      </c>
      <c r="K483" s="15">
        <v>29175494</v>
      </c>
      <c r="L483" s="13" t="s">
        <v>102</v>
      </c>
      <c r="M483" s="13" t="s">
        <v>103</v>
      </c>
      <c r="N483" s="139" t="s">
        <v>359</v>
      </c>
      <c r="O483" s="139" t="s">
        <v>359</v>
      </c>
      <c r="P483" s="28">
        <v>28</v>
      </c>
      <c r="Q483" s="13" t="s">
        <v>54</v>
      </c>
      <c r="R483" s="13" t="s">
        <v>28</v>
      </c>
      <c r="S483" s="13"/>
      <c r="T483" s="13"/>
      <c r="U483" s="13" t="s">
        <v>953</v>
      </c>
      <c r="V483" s="13" t="s">
        <v>953</v>
      </c>
      <c r="W483" s="59">
        <f t="shared" si="7"/>
        <v>1.3141363532183871E-4</v>
      </c>
    </row>
    <row r="484" spans="1:23">
      <c r="A484" s="13" t="s">
        <v>472</v>
      </c>
      <c r="B484" s="13" t="s">
        <v>471</v>
      </c>
      <c r="C484" s="139">
        <v>46246</v>
      </c>
      <c r="D484" s="139" t="s">
        <v>441</v>
      </c>
      <c r="E484" s="28">
        <v>0.98144664000000004</v>
      </c>
      <c r="F484" s="13"/>
      <c r="G484" s="18">
        <v>10000000</v>
      </c>
      <c r="H484" s="18">
        <v>9814466.4100000001</v>
      </c>
      <c r="I484" s="18">
        <v>10000000</v>
      </c>
      <c r="J484" s="18">
        <v>9814466.4100000001</v>
      </c>
      <c r="K484" s="15">
        <v>559</v>
      </c>
      <c r="L484" s="13" t="s">
        <v>102</v>
      </c>
      <c r="M484" s="13" t="s">
        <v>103</v>
      </c>
      <c r="N484" s="139" t="s">
        <v>398</v>
      </c>
      <c r="O484" s="139" t="s">
        <v>398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1180</v>
      </c>
      <c r="V484" s="13" t="s">
        <v>1180</v>
      </c>
      <c r="W484" s="59">
        <f t="shared" si="7"/>
        <v>1.875015546772818E-4</v>
      </c>
    </row>
    <row r="485" spans="1:23">
      <c r="A485" s="13" t="s">
        <v>472</v>
      </c>
      <c r="B485" s="13" t="s">
        <v>471</v>
      </c>
      <c r="C485" s="139">
        <v>46246</v>
      </c>
      <c r="D485" s="139" t="s">
        <v>441</v>
      </c>
      <c r="E485" s="28">
        <v>0.98144664999999998</v>
      </c>
      <c r="F485" s="13"/>
      <c r="G485" s="18">
        <v>10000000</v>
      </c>
      <c r="H485" s="18">
        <v>9814466.5</v>
      </c>
      <c r="I485" s="18">
        <v>10000000</v>
      </c>
      <c r="J485" s="18">
        <v>9814466.5</v>
      </c>
      <c r="K485" s="15">
        <v>500</v>
      </c>
      <c r="L485" s="13" t="s">
        <v>102</v>
      </c>
      <c r="M485" s="13" t="s">
        <v>103</v>
      </c>
      <c r="N485" s="139" t="s">
        <v>363</v>
      </c>
      <c r="O485" s="139" t="s">
        <v>363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1052</v>
      </c>
      <c r="V485" s="13" t="s">
        <v>1052</v>
      </c>
      <c r="W485" s="59">
        <f t="shared" si="7"/>
        <v>1.8750155639669669E-4</v>
      </c>
    </row>
    <row r="486" spans="1:23">
      <c r="A486" s="13" t="s">
        <v>475</v>
      </c>
      <c r="B486" s="13" t="s">
        <v>471</v>
      </c>
      <c r="C486" s="139">
        <v>46246</v>
      </c>
      <c r="D486" s="139" t="s">
        <v>441</v>
      </c>
      <c r="E486" s="28">
        <v>0.97781826000000005</v>
      </c>
      <c r="F486" s="13"/>
      <c r="G486" s="18">
        <v>65000000</v>
      </c>
      <c r="H486" s="18">
        <v>63558187</v>
      </c>
      <c r="I486" s="18">
        <v>65000000</v>
      </c>
      <c r="J486" s="18">
        <v>63558187</v>
      </c>
      <c r="K486" s="15">
        <v>312</v>
      </c>
      <c r="L486" s="13" t="s">
        <v>102</v>
      </c>
      <c r="M486" s="13" t="s">
        <v>103</v>
      </c>
      <c r="N486" s="139" t="s">
        <v>345</v>
      </c>
      <c r="O486" s="139" t="s">
        <v>345</v>
      </c>
      <c r="P486" s="28">
        <v>36</v>
      </c>
      <c r="Q486" s="13" t="s">
        <v>54</v>
      </c>
      <c r="R486" s="13" t="s">
        <v>28</v>
      </c>
      <c r="S486" s="13"/>
      <c r="T486" s="13"/>
      <c r="U486" s="13" t="s">
        <v>532</v>
      </c>
      <c r="V486" s="13" t="s">
        <v>532</v>
      </c>
      <c r="W486" s="59">
        <f t="shared" si="7"/>
        <v>1.2142543850195316E-3</v>
      </c>
    </row>
    <row r="487" spans="1:23">
      <c r="A487" s="13" t="s">
        <v>481</v>
      </c>
      <c r="B487" s="13" t="s">
        <v>471</v>
      </c>
      <c r="C487" s="139">
        <v>46246</v>
      </c>
      <c r="D487" s="139" t="s">
        <v>441</v>
      </c>
      <c r="E487" s="28">
        <v>0.97661478000000002</v>
      </c>
      <c r="F487" s="13"/>
      <c r="G487" s="18">
        <v>42000000</v>
      </c>
      <c r="H487" s="18">
        <v>41017820.909999996</v>
      </c>
      <c r="I487" s="18">
        <v>42000000</v>
      </c>
      <c r="J487" s="18">
        <v>41017820.909999996</v>
      </c>
      <c r="K487" s="15">
        <v>151336</v>
      </c>
      <c r="L487" s="13" t="s">
        <v>102</v>
      </c>
      <c r="M487" s="13" t="s">
        <v>103</v>
      </c>
      <c r="N487" s="139" t="s">
        <v>459</v>
      </c>
      <c r="O487" s="139" t="s">
        <v>459</v>
      </c>
      <c r="P487" s="28">
        <v>38</v>
      </c>
      <c r="Q487" s="13" t="s">
        <v>54</v>
      </c>
      <c r="R487" s="13" t="s">
        <v>28</v>
      </c>
      <c r="S487" s="13"/>
      <c r="T487" s="13"/>
      <c r="U487" s="13" t="s">
        <v>1511</v>
      </c>
      <c r="V487" s="13" t="s">
        <v>1511</v>
      </c>
      <c r="W487" s="59">
        <f t="shared" si="7"/>
        <v>7.8362947803897135E-4</v>
      </c>
    </row>
    <row r="488" spans="1:23">
      <c r="A488" s="13" t="s">
        <v>1389</v>
      </c>
      <c r="B488" s="13" t="s">
        <v>471</v>
      </c>
      <c r="C488" s="139">
        <v>46246</v>
      </c>
      <c r="D488" s="139" t="s">
        <v>441</v>
      </c>
      <c r="E488" s="28">
        <v>0.97962917000000005</v>
      </c>
      <c r="F488" s="13"/>
      <c r="G488" s="18">
        <v>2000000</v>
      </c>
      <c r="H488" s="18">
        <v>1959258.34</v>
      </c>
      <c r="I488" s="18">
        <v>2000000</v>
      </c>
      <c r="J488" s="18">
        <v>1959258.34</v>
      </c>
      <c r="K488" s="15">
        <v>6186</v>
      </c>
      <c r="L488" s="13" t="s">
        <v>102</v>
      </c>
      <c r="M488" s="13" t="s">
        <v>103</v>
      </c>
      <c r="N488" s="139" t="s">
        <v>351</v>
      </c>
      <c r="O488" s="139" t="s">
        <v>351</v>
      </c>
      <c r="P488" s="28">
        <v>33</v>
      </c>
      <c r="Q488" s="13" t="s">
        <v>54</v>
      </c>
      <c r="R488" s="13" t="s">
        <v>28</v>
      </c>
      <c r="S488" s="13"/>
      <c r="T488" s="13"/>
      <c r="U488" s="13" t="s">
        <v>1380</v>
      </c>
      <c r="V488" s="13" t="s">
        <v>1380</v>
      </c>
      <c r="W488" s="59">
        <f t="shared" si="7"/>
        <v>3.7430866785597405E-5</v>
      </c>
    </row>
    <row r="489" spans="1:23">
      <c r="A489" s="13" t="s">
        <v>432</v>
      </c>
      <c r="B489" s="13" t="s">
        <v>471</v>
      </c>
      <c r="C489" s="139">
        <v>46246</v>
      </c>
      <c r="D489" s="139" t="s">
        <v>441</v>
      </c>
      <c r="E489" s="28">
        <v>0.97781834999999995</v>
      </c>
      <c r="F489" s="13"/>
      <c r="G489" s="18">
        <v>2197564.35</v>
      </c>
      <c r="H489" s="18">
        <v>2148818.75</v>
      </c>
      <c r="I489" s="18">
        <v>2197564.35</v>
      </c>
      <c r="J489" s="18">
        <v>2148818.75</v>
      </c>
      <c r="K489" s="15">
        <v>2763</v>
      </c>
      <c r="L489" s="13" t="s">
        <v>102</v>
      </c>
      <c r="M489" s="13" t="s">
        <v>103</v>
      </c>
      <c r="N489" s="139" t="s">
        <v>170</v>
      </c>
      <c r="O489" s="139" t="s">
        <v>170</v>
      </c>
      <c r="P489" s="28">
        <v>36</v>
      </c>
      <c r="Q489" s="13" t="s">
        <v>54</v>
      </c>
      <c r="R489" s="13" t="s">
        <v>28</v>
      </c>
      <c r="S489" s="13"/>
      <c r="T489" s="13"/>
      <c r="U489" s="13" t="s">
        <v>1652</v>
      </c>
      <c r="V489" s="13" t="s">
        <v>1652</v>
      </c>
      <c r="W489" s="59">
        <f t="shared" si="7"/>
        <v>4.1052344520143228E-5</v>
      </c>
    </row>
    <row r="490" spans="1:23">
      <c r="A490" s="13" t="s">
        <v>472</v>
      </c>
      <c r="B490" s="13" t="s">
        <v>471</v>
      </c>
      <c r="C490" s="139">
        <v>46246</v>
      </c>
      <c r="D490" s="139" t="s">
        <v>441</v>
      </c>
      <c r="E490" s="28">
        <v>0.98144666000000003</v>
      </c>
      <c r="F490" s="13"/>
      <c r="G490" s="18">
        <v>10000000</v>
      </c>
      <c r="H490" s="18">
        <v>9814466.6199999992</v>
      </c>
      <c r="I490" s="18">
        <v>10000000</v>
      </c>
      <c r="J490" s="18">
        <v>9814466.6199999992</v>
      </c>
      <c r="K490" s="15">
        <v>608</v>
      </c>
      <c r="L490" s="13" t="s">
        <v>102</v>
      </c>
      <c r="M490" s="13" t="s">
        <v>103</v>
      </c>
      <c r="N490" s="139" t="s">
        <v>343</v>
      </c>
      <c r="O490" s="139" t="s">
        <v>343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1498</v>
      </c>
      <c r="V490" s="13" t="s">
        <v>1498</v>
      </c>
      <c r="W490" s="59">
        <f t="shared" si="7"/>
        <v>1.8750155868924991E-4</v>
      </c>
    </row>
    <row r="491" spans="1:23">
      <c r="A491" s="13" t="s">
        <v>254</v>
      </c>
      <c r="B491" s="13" t="s">
        <v>471</v>
      </c>
      <c r="C491" s="139">
        <v>46246</v>
      </c>
      <c r="D491" s="139" t="s">
        <v>441</v>
      </c>
      <c r="E491" s="28">
        <v>0.98023426000000002</v>
      </c>
      <c r="F491" s="13"/>
      <c r="G491" s="18">
        <v>50000000</v>
      </c>
      <c r="H491" s="18">
        <v>49011713.25</v>
      </c>
      <c r="I491" s="18">
        <v>50000000</v>
      </c>
      <c r="J491" s="18">
        <v>49011713.25</v>
      </c>
      <c r="K491" s="15">
        <v>4678</v>
      </c>
      <c r="L491" s="13" t="s">
        <v>102</v>
      </c>
      <c r="M491" s="13" t="s">
        <v>103</v>
      </c>
      <c r="N491" s="139" t="s">
        <v>362</v>
      </c>
      <c r="O491" s="139" t="s">
        <v>362</v>
      </c>
      <c r="P491" s="28">
        <v>32</v>
      </c>
      <c r="Q491" s="13" t="s">
        <v>54</v>
      </c>
      <c r="R491" s="13" t="s">
        <v>28</v>
      </c>
      <c r="S491" s="13"/>
      <c r="T491" s="13"/>
      <c r="U491" s="13" t="s">
        <v>1105</v>
      </c>
      <c r="V491" s="13" t="s">
        <v>1105</v>
      </c>
      <c r="W491" s="59">
        <f t="shared" si="7"/>
        <v>9.3634967484412953E-4</v>
      </c>
    </row>
    <row r="492" spans="1:23">
      <c r="A492" s="13" t="s">
        <v>473</v>
      </c>
      <c r="B492" s="13" t="s">
        <v>471</v>
      </c>
      <c r="C492" s="139">
        <v>46246</v>
      </c>
      <c r="D492" s="139" t="s">
        <v>441</v>
      </c>
      <c r="E492" s="28">
        <v>0.97962925000000001</v>
      </c>
      <c r="F492" s="13"/>
      <c r="G492" s="18">
        <v>180000000</v>
      </c>
      <c r="H492" s="18">
        <v>176333265.5</v>
      </c>
      <c r="I492" s="18">
        <v>180000000</v>
      </c>
      <c r="J492" s="18">
        <v>176333265.5</v>
      </c>
      <c r="K492" s="15">
        <v>68125958</v>
      </c>
      <c r="L492" s="13" t="s">
        <v>102</v>
      </c>
      <c r="M492" s="13" t="s">
        <v>103</v>
      </c>
      <c r="N492" s="139" t="s">
        <v>493</v>
      </c>
      <c r="O492" s="139" t="s">
        <v>493</v>
      </c>
      <c r="P492" s="28">
        <v>33</v>
      </c>
      <c r="Q492" s="13" t="s">
        <v>54</v>
      </c>
      <c r="R492" s="13" t="s">
        <v>28</v>
      </c>
      <c r="S492" s="13"/>
      <c r="T492" s="13"/>
      <c r="U492" s="13" t="s">
        <v>1979</v>
      </c>
      <c r="V492" s="13" t="s">
        <v>1979</v>
      </c>
      <c r="W492" s="59">
        <f t="shared" si="7"/>
        <v>3.3687782953624574E-3</v>
      </c>
    </row>
    <row r="493" spans="1:23">
      <c r="A493" s="13" t="s">
        <v>473</v>
      </c>
      <c r="B493" s="13" t="s">
        <v>471</v>
      </c>
      <c r="C493" s="139">
        <v>46246</v>
      </c>
      <c r="D493" s="139" t="s">
        <v>441</v>
      </c>
      <c r="E493" s="28">
        <v>0.97962925000000001</v>
      </c>
      <c r="F493" s="13"/>
      <c r="G493" s="18">
        <v>135000000</v>
      </c>
      <c r="H493" s="18">
        <v>132249949.13</v>
      </c>
      <c r="I493" s="18">
        <v>135000000</v>
      </c>
      <c r="J493" s="18">
        <v>132249949.13</v>
      </c>
      <c r="K493" s="15">
        <v>68125939</v>
      </c>
      <c r="L493" s="13" t="s">
        <v>102</v>
      </c>
      <c r="M493" s="13" t="s">
        <v>103</v>
      </c>
      <c r="N493" s="139" t="s">
        <v>493</v>
      </c>
      <c r="O493" s="139" t="s">
        <v>493</v>
      </c>
      <c r="P493" s="28">
        <v>33</v>
      </c>
      <c r="Q493" s="13" t="s">
        <v>54</v>
      </c>
      <c r="R493" s="13" t="s">
        <v>28</v>
      </c>
      <c r="S493" s="13"/>
      <c r="T493" s="13"/>
      <c r="U493" s="13" t="s">
        <v>1980</v>
      </c>
      <c r="V493" s="13" t="s">
        <v>1980</v>
      </c>
      <c r="W493" s="59">
        <f t="shared" si="7"/>
        <v>2.5265837216173659E-3</v>
      </c>
    </row>
    <row r="494" spans="1:23">
      <c r="A494" s="13" t="s">
        <v>323</v>
      </c>
      <c r="B494" s="13" t="s">
        <v>471</v>
      </c>
      <c r="C494" s="139">
        <v>46246</v>
      </c>
      <c r="D494" s="139" t="s">
        <v>441</v>
      </c>
      <c r="E494" s="28">
        <v>0.98327103000000005</v>
      </c>
      <c r="F494" s="13"/>
      <c r="G494" s="18">
        <v>5900000</v>
      </c>
      <c r="H494" s="18">
        <v>5801299.0800000001</v>
      </c>
      <c r="I494" s="18">
        <v>5900000</v>
      </c>
      <c r="J494" s="18">
        <v>5801299.0800000001</v>
      </c>
      <c r="K494" s="15">
        <v>126</v>
      </c>
      <c r="L494" s="13" t="s">
        <v>102</v>
      </c>
      <c r="M494" s="13" t="s">
        <v>103</v>
      </c>
      <c r="N494" s="139" t="s">
        <v>457</v>
      </c>
      <c r="O494" s="139" t="s">
        <v>457</v>
      </c>
      <c r="P494" s="28">
        <v>27</v>
      </c>
      <c r="Q494" s="13" t="s">
        <v>54</v>
      </c>
      <c r="R494" s="13" t="s">
        <v>28</v>
      </c>
      <c r="S494" s="13"/>
      <c r="T494" s="13"/>
      <c r="U494" s="13" t="s">
        <v>1724</v>
      </c>
      <c r="V494" s="13" t="s">
        <v>1724</v>
      </c>
      <c r="W494" s="59">
        <f t="shared" si="7"/>
        <v>1.1083155733658317E-4</v>
      </c>
    </row>
    <row r="495" spans="1:23">
      <c r="A495" s="13" t="s">
        <v>323</v>
      </c>
      <c r="B495" s="13" t="s">
        <v>471</v>
      </c>
      <c r="C495" s="139">
        <v>46246</v>
      </c>
      <c r="D495" s="139" t="s">
        <v>441</v>
      </c>
      <c r="E495" s="28">
        <v>0.98327103000000005</v>
      </c>
      <c r="F495" s="13"/>
      <c r="G495" s="18">
        <v>5900000</v>
      </c>
      <c r="H495" s="18">
        <v>5801299.0800000001</v>
      </c>
      <c r="I495" s="18">
        <v>5900000</v>
      </c>
      <c r="J495" s="18">
        <v>5801299.0800000001</v>
      </c>
      <c r="K495" s="15">
        <v>125</v>
      </c>
      <c r="L495" s="13" t="s">
        <v>102</v>
      </c>
      <c r="M495" s="13" t="s">
        <v>103</v>
      </c>
      <c r="N495" s="139" t="s">
        <v>457</v>
      </c>
      <c r="O495" s="139" t="s">
        <v>457</v>
      </c>
      <c r="P495" s="28">
        <v>27</v>
      </c>
      <c r="Q495" s="13" t="s">
        <v>54</v>
      </c>
      <c r="R495" s="13" t="s">
        <v>28</v>
      </c>
      <c r="S495" s="13"/>
      <c r="T495" s="13"/>
      <c r="U495" s="13" t="s">
        <v>1725</v>
      </c>
      <c r="V495" s="13" t="s">
        <v>1725</v>
      </c>
      <c r="W495" s="59">
        <f t="shared" si="7"/>
        <v>1.1083155733658317E-4</v>
      </c>
    </row>
    <row r="496" spans="1:23">
      <c r="A496" s="13" t="s">
        <v>322</v>
      </c>
      <c r="B496" s="13" t="s">
        <v>471</v>
      </c>
      <c r="C496" s="139">
        <v>46246</v>
      </c>
      <c r="D496" s="139" t="s">
        <v>441</v>
      </c>
      <c r="E496" s="28">
        <v>0.98205401999999997</v>
      </c>
      <c r="F496" s="13"/>
      <c r="G496" s="18">
        <v>80000000</v>
      </c>
      <c r="H496" s="18">
        <v>78564321.260000005</v>
      </c>
      <c r="I496" s="18">
        <v>80000000</v>
      </c>
      <c r="J496" s="18">
        <v>78564321.260000005</v>
      </c>
      <c r="K496" s="15">
        <v>90041870</v>
      </c>
      <c r="L496" s="13" t="s">
        <v>102</v>
      </c>
      <c r="M496" s="13" t="s">
        <v>103</v>
      </c>
      <c r="N496" s="139" t="s">
        <v>397</v>
      </c>
      <c r="O496" s="139" t="s">
        <v>397</v>
      </c>
      <c r="P496" s="28">
        <v>29</v>
      </c>
      <c r="Q496" s="13" t="s">
        <v>54</v>
      </c>
      <c r="R496" s="13" t="s">
        <v>28</v>
      </c>
      <c r="S496" s="13"/>
      <c r="T496" s="13"/>
      <c r="U496" s="13" t="s">
        <v>673</v>
      </c>
      <c r="V496" s="13" t="s">
        <v>673</v>
      </c>
      <c r="W496" s="59">
        <f t="shared" si="7"/>
        <v>1.5009407300437664E-3</v>
      </c>
    </row>
    <row r="497" spans="1:29">
      <c r="A497" s="13" t="s">
        <v>360</v>
      </c>
      <c r="B497" s="13" t="s">
        <v>471</v>
      </c>
      <c r="C497" s="139">
        <v>46246</v>
      </c>
      <c r="D497" s="139" t="s">
        <v>441</v>
      </c>
      <c r="E497" s="28">
        <v>0.98144666999999997</v>
      </c>
      <c r="F497" s="13"/>
      <c r="G497" s="18">
        <v>16800000</v>
      </c>
      <c r="H497" s="18">
        <v>16488303.98</v>
      </c>
      <c r="I497" s="18">
        <v>16800000</v>
      </c>
      <c r="J497" s="18">
        <v>16488303.98</v>
      </c>
      <c r="K497" s="15">
        <v>32660</v>
      </c>
      <c r="L497" s="13" t="s">
        <v>102</v>
      </c>
      <c r="M497" s="13" t="s">
        <v>103</v>
      </c>
      <c r="N497" s="139" t="s">
        <v>359</v>
      </c>
      <c r="O497" s="139" t="s">
        <v>359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966</v>
      </c>
      <c r="V497" s="13" t="s">
        <v>966</v>
      </c>
      <c r="W497" s="59">
        <f t="shared" si="7"/>
        <v>3.1500261971364909E-4</v>
      </c>
    </row>
    <row r="498" spans="1:29">
      <c r="A498" s="13" t="s">
        <v>661</v>
      </c>
      <c r="B498" s="13" t="s">
        <v>471</v>
      </c>
      <c r="C498" s="139">
        <v>46246</v>
      </c>
      <c r="D498" s="139" t="s">
        <v>441</v>
      </c>
      <c r="E498" s="28">
        <v>0.98144666000000003</v>
      </c>
      <c r="F498" s="13"/>
      <c r="G498" s="18">
        <v>10000000</v>
      </c>
      <c r="H498" s="18">
        <v>9814466.6300000008</v>
      </c>
      <c r="I498" s="18">
        <v>10000000</v>
      </c>
      <c r="J498" s="18">
        <v>9814466.6300000008</v>
      </c>
      <c r="K498" s="15">
        <v>3435966</v>
      </c>
      <c r="L498" s="13" t="s">
        <v>102</v>
      </c>
      <c r="M498" s="13" t="s">
        <v>103</v>
      </c>
      <c r="N498" s="139" t="s">
        <v>357</v>
      </c>
      <c r="O498" s="139" t="s">
        <v>357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1001</v>
      </c>
      <c r="V498" s="13" t="s">
        <v>1001</v>
      </c>
      <c r="W498" s="59">
        <f t="shared" si="7"/>
        <v>1.8750155888029604E-4</v>
      </c>
    </row>
    <row r="499" spans="1:29">
      <c r="A499" s="13" t="s">
        <v>1507</v>
      </c>
      <c r="B499" s="13" t="s">
        <v>471</v>
      </c>
      <c r="C499" s="139">
        <v>46246</v>
      </c>
      <c r="D499" s="139" t="s">
        <v>441</v>
      </c>
      <c r="E499" s="28">
        <v>0.98084011000000004</v>
      </c>
      <c r="F499" s="13"/>
      <c r="G499" s="18">
        <v>10000000</v>
      </c>
      <c r="H499" s="18">
        <v>9808401.0999999996</v>
      </c>
      <c r="I499" s="18">
        <v>10000000</v>
      </c>
      <c r="J499" s="18">
        <v>9808401.0999999996</v>
      </c>
      <c r="K499" s="15">
        <v>68232550</v>
      </c>
      <c r="L499" s="13" t="s">
        <v>102</v>
      </c>
      <c r="M499" s="13" t="s">
        <v>103</v>
      </c>
      <c r="N499" s="139" t="s">
        <v>509</v>
      </c>
      <c r="O499" s="139" t="s">
        <v>509</v>
      </c>
      <c r="P499" s="28">
        <v>31</v>
      </c>
      <c r="Q499" s="13" t="s">
        <v>54</v>
      </c>
      <c r="R499" s="13" t="s">
        <v>28</v>
      </c>
      <c r="S499" s="13"/>
      <c r="T499" s="13"/>
      <c r="U499" s="13" t="s">
        <v>2048</v>
      </c>
      <c r="V499" s="13" t="s">
        <v>2048</v>
      </c>
      <c r="W499" s="59">
        <f t="shared" si="7"/>
        <v>1.8738567929424101E-4</v>
      </c>
    </row>
    <row r="500" spans="1:29">
      <c r="A500" s="13" t="s">
        <v>1524</v>
      </c>
      <c r="B500" s="13" t="s">
        <v>471</v>
      </c>
      <c r="C500" s="139">
        <v>46246</v>
      </c>
      <c r="D500" s="139" t="s">
        <v>441</v>
      </c>
      <c r="E500" s="28">
        <v>0.98449096000000003</v>
      </c>
      <c r="F500" s="13"/>
      <c r="G500" s="18">
        <v>29200000</v>
      </c>
      <c r="H500" s="18">
        <v>28747136.100000001</v>
      </c>
      <c r="I500" s="18">
        <v>29200000</v>
      </c>
      <c r="J500" s="18">
        <v>28747136.100000001</v>
      </c>
      <c r="K500" s="15">
        <v>1533585</v>
      </c>
      <c r="L500" s="13" t="s">
        <v>102</v>
      </c>
      <c r="M500" s="13" t="s">
        <v>103</v>
      </c>
      <c r="N500" s="139" t="s">
        <v>401</v>
      </c>
      <c r="O500" s="139" t="s">
        <v>401</v>
      </c>
      <c r="P500" s="28">
        <v>25</v>
      </c>
      <c r="Q500" s="13" t="s">
        <v>54</v>
      </c>
      <c r="R500" s="13" t="s">
        <v>28</v>
      </c>
      <c r="S500" s="13"/>
      <c r="T500" s="13"/>
      <c r="U500" s="13" t="s">
        <v>1525</v>
      </c>
      <c r="V500" s="13" t="s">
        <v>1525</v>
      </c>
      <c r="W500" s="59">
        <f t="shared" si="7"/>
        <v>5.4920282836542014E-4</v>
      </c>
      <c r="AC500" s="56"/>
    </row>
    <row r="501" spans="1:29">
      <c r="A501" s="13" t="s">
        <v>1555</v>
      </c>
      <c r="B501" s="13" t="s">
        <v>471</v>
      </c>
      <c r="C501" s="139">
        <v>46246</v>
      </c>
      <c r="D501" s="139" t="s">
        <v>441</v>
      </c>
      <c r="E501" s="28">
        <v>0.97842112999999997</v>
      </c>
      <c r="F501" s="13"/>
      <c r="G501" s="18">
        <v>30000000</v>
      </c>
      <c r="H501" s="18">
        <v>29352633.75</v>
      </c>
      <c r="I501" s="18">
        <v>30000000</v>
      </c>
      <c r="J501" s="18">
        <v>29352633.75</v>
      </c>
      <c r="K501" s="15">
        <v>298</v>
      </c>
      <c r="L501" s="13" t="s">
        <v>102</v>
      </c>
      <c r="M501" s="13" t="s">
        <v>103</v>
      </c>
      <c r="N501" s="139" t="s">
        <v>400</v>
      </c>
      <c r="O501" s="139" t="s">
        <v>400</v>
      </c>
      <c r="P501" s="28">
        <v>35</v>
      </c>
      <c r="Q501" s="13" t="s">
        <v>54</v>
      </c>
      <c r="R501" s="13" t="s">
        <v>28</v>
      </c>
      <c r="S501" s="13"/>
      <c r="T501" s="13"/>
      <c r="U501" s="13" t="s">
        <v>1541</v>
      </c>
      <c r="V501" s="13" t="s">
        <v>1541</v>
      </c>
      <c r="W501" s="59">
        <f t="shared" si="7"/>
        <v>5.6077062492059123E-4</v>
      </c>
    </row>
    <row r="502" spans="1:29">
      <c r="A502" s="13" t="s">
        <v>1555</v>
      </c>
      <c r="B502" s="13" t="s">
        <v>471</v>
      </c>
      <c r="C502" s="139">
        <v>46246</v>
      </c>
      <c r="D502" s="139" t="s">
        <v>441</v>
      </c>
      <c r="E502" s="28">
        <v>0.97842112999999997</v>
      </c>
      <c r="F502" s="13"/>
      <c r="G502" s="18">
        <v>20000000</v>
      </c>
      <c r="H502" s="18">
        <v>19568422.5</v>
      </c>
      <c r="I502" s="18">
        <v>20000000</v>
      </c>
      <c r="J502" s="18">
        <v>19568422.5</v>
      </c>
      <c r="K502" s="15">
        <v>299</v>
      </c>
      <c r="L502" s="13" t="s">
        <v>102</v>
      </c>
      <c r="M502" s="13" t="s">
        <v>103</v>
      </c>
      <c r="N502" s="139" t="s">
        <v>400</v>
      </c>
      <c r="O502" s="139" t="s">
        <v>400</v>
      </c>
      <c r="P502" s="28">
        <v>35</v>
      </c>
      <c r="Q502" s="13" t="s">
        <v>54</v>
      </c>
      <c r="R502" s="13" t="s">
        <v>28</v>
      </c>
      <c r="S502" s="13"/>
      <c r="T502" s="13"/>
      <c r="U502" s="13" t="s">
        <v>1542</v>
      </c>
      <c r="V502" s="13" t="s">
        <v>1542</v>
      </c>
      <c r="W502" s="59">
        <f t="shared" si="7"/>
        <v>3.7384708328039415E-4</v>
      </c>
    </row>
    <row r="503" spans="1:29">
      <c r="A503" s="13" t="s">
        <v>1588</v>
      </c>
      <c r="B503" s="13" t="s">
        <v>471</v>
      </c>
      <c r="C503" s="139">
        <v>46246</v>
      </c>
      <c r="D503" s="139" t="s">
        <v>441</v>
      </c>
      <c r="E503" s="28">
        <v>0.98144666000000003</v>
      </c>
      <c r="F503" s="13"/>
      <c r="G503" s="18">
        <v>1770042.5</v>
      </c>
      <c r="H503" s="18">
        <v>1737202.3</v>
      </c>
      <c r="I503" s="18">
        <v>1770042.5</v>
      </c>
      <c r="J503" s="18">
        <v>1737202.3</v>
      </c>
      <c r="K503" s="15">
        <v>249</v>
      </c>
      <c r="L503" s="13" t="s">
        <v>102</v>
      </c>
      <c r="M503" s="13" t="s">
        <v>103</v>
      </c>
      <c r="N503" s="139" t="s">
        <v>389</v>
      </c>
      <c r="O503" s="139" t="s">
        <v>389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1603</v>
      </c>
      <c r="V503" s="13" t="s">
        <v>1603</v>
      </c>
      <c r="W503" s="59">
        <f t="shared" si="7"/>
        <v>3.318857270804493E-5</v>
      </c>
    </row>
    <row r="504" spans="1:29">
      <c r="A504" s="13" t="s">
        <v>1825</v>
      </c>
      <c r="B504" s="13" t="s">
        <v>471</v>
      </c>
      <c r="C504" s="139">
        <v>46246</v>
      </c>
      <c r="D504" s="139" t="s">
        <v>441</v>
      </c>
      <c r="E504" s="28">
        <v>0.98144664000000004</v>
      </c>
      <c r="F504" s="13"/>
      <c r="G504" s="18">
        <v>330000</v>
      </c>
      <c r="H504" s="18">
        <v>323877.39</v>
      </c>
      <c r="I504" s="18">
        <v>330000</v>
      </c>
      <c r="J504" s="18">
        <v>323877.39</v>
      </c>
      <c r="K504" s="15">
        <v>9918446</v>
      </c>
      <c r="L504" s="13" t="s">
        <v>102</v>
      </c>
      <c r="M504" s="13" t="s">
        <v>103</v>
      </c>
      <c r="N504" s="139" t="s">
        <v>172</v>
      </c>
      <c r="O504" s="139" t="s">
        <v>172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1839</v>
      </c>
      <c r="V504" s="13" t="s">
        <v>1839</v>
      </c>
      <c r="W504" s="59">
        <f t="shared" si="7"/>
        <v>6.1875512751202459E-6</v>
      </c>
    </row>
    <row r="505" spans="1:29">
      <c r="A505" s="13" t="s">
        <v>2198</v>
      </c>
      <c r="B505" s="13" t="s">
        <v>471</v>
      </c>
      <c r="C505" s="139">
        <v>46246</v>
      </c>
      <c r="D505" s="139" t="s">
        <v>441</v>
      </c>
      <c r="E505" s="28">
        <v>0.97962910000000003</v>
      </c>
      <c r="F505" s="13"/>
      <c r="G505" s="18">
        <v>851125.3</v>
      </c>
      <c r="H505" s="18">
        <v>833787.11</v>
      </c>
      <c r="I505" s="18">
        <v>851125.3</v>
      </c>
      <c r="J505" s="18">
        <v>833787.11</v>
      </c>
      <c r="K505" s="15">
        <v>131</v>
      </c>
      <c r="L505" s="13" t="s">
        <v>102</v>
      </c>
      <c r="M505" s="13" t="s">
        <v>103</v>
      </c>
      <c r="N505" s="139" t="s">
        <v>495</v>
      </c>
      <c r="O505" s="139" t="s">
        <v>495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2120</v>
      </c>
      <c r="V505" s="13" t="s">
        <v>2120</v>
      </c>
      <c r="W505" s="59">
        <f t="shared" si="7"/>
        <v>1.5929177691778127E-5</v>
      </c>
    </row>
    <row r="506" spans="1:29">
      <c r="A506" s="13" t="s">
        <v>698</v>
      </c>
      <c r="B506" s="13" t="s">
        <v>471</v>
      </c>
      <c r="C506" s="139">
        <v>46247</v>
      </c>
      <c r="D506" s="139" t="s">
        <v>441</v>
      </c>
      <c r="E506" s="28">
        <v>0.98128831999999999</v>
      </c>
      <c r="F506" s="13"/>
      <c r="G506" s="18">
        <v>5000000</v>
      </c>
      <c r="H506" s="18">
        <v>4906441.58</v>
      </c>
      <c r="I506" s="18">
        <v>5000000</v>
      </c>
      <c r="J506" s="18">
        <v>4906441.58</v>
      </c>
      <c r="K506" s="15">
        <v>6879</v>
      </c>
      <c r="L506" s="13" t="s">
        <v>102</v>
      </c>
      <c r="M506" s="13" t="s">
        <v>103</v>
      </c>
      <c r="N506" s="139" t="s">
        <v>327</v>
      </c>
      <c r="O506" s="139" t="s">
        <v>327</v>
      </c>
      <c r="P506" s="28">
        <v>29</v>
      </c>
      <c r="Q506" s="13" t="s">
        <v>54</v>
      </c>
      <c r="R506" s="13" t="s">
        <v>28</v>
      </c>
      <c r="S506" s="13"/>
      <c r="T506" s="13"/>
      <c r="U506" s="13" t="s">
        <v>752</v>
      </c>
      <c r="V506" s="13" t="s">
        <v>752</v>
      </c>
      <c r="W506" s="59">
        <f t="shared" si="7"/>
        <v>9.3735653651624129E-5</v>
      </c>
    </row>
    <row r="507" spans="1:29">
      <c r="A507" s="13" t="s">
        <v>2197</v>
      </c>
      <c r="B507" s="13" t="s">
        <v>471</v>
      </c>
      <c r="C507" s="139">
        <v>46247</v>
      </c>
      <c r="D507" s="139" t="s">
        <v>441</v>
      </c>
      <c r="E507" s="28">
        <v>0.97876240000000003</v>
      </c>
      <c r="F507" s="13"/>
      <c r="G507" s="18">
        <v>473598.9</v>
      </c>
      <c r="H507" s="18">
        <v>463540.79</v>
      </c>
      <c r="I507" s="18">
        <v>473598.9</v>
      </c>
      <c r="J507" s="18">
        <v>463540.79</v>
      </c>
      <c r="K507" s="15">
        <v>38695</v>
      </c>
      <c r="L507" s="13" t="s">
        <v>102</v>
      </c>
      <c r="M507" s="13" t="s">
        <v>103</v>
      </c>
      <c r="N507" s="139" t="s">
        <v>495</v>
      </c>
      <c r="O507" s="139" t="s">
        <v>495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2124</v>
      </c>
      <c r="V507" s="13" t="s">
        <v>2124</v>
      </c>
      <c r="W507" s="59">
        <f t="shared" si="7"/>
        <v>8.8557660855385602E-6</v>
      </c>
    </row>
    <row r="508" spans="1:29">
      <c r="A508" s="13" t="s">
        <v>1075</v>
      </c>
      <c r="B508" s="13" t="s">
        <v>471</v>
      </c>
      <c r="C508" s="139">
        <v>46247</v>
      </c>
      <c r="D508" s="139" t="s">
        <v>441</v>
      </c>
      <c r="E508" s="28">
        <v>0.97687619000000003</v>
      </c>
      <c r="F508" s="13"/>
      <c r="G508" s="18">
        <v>3345657.98</v>
      </c>
      <c r="H508" s="18">
        <v>3268293.64</v>
      </c>
      <c r="I508" s="18">
        <v>3345657.98</v>
      </c>
      <c r="J508" s="18">
        <v>3268293.64</v>
      </c>
      <c r="K508" s="15">
        <v>226</v>
      </c>
      <c r="L508" s="13" t="s">
        <v>102</v>
      </c>
      <c r="M508" s="13" t="s">
        <v>103</v>
      </c>
      <c r="N508" s="139" t="s">
        <v>170</v>
      </c>
      <c r="O508" s="139" t="s">
        <v>170</v>
      </c>
      <c r="P508" s="28">
        <v>36</v>
      </c>
      <c r="Q508" s="13" t="s">
        <v>54</v>
      </c>
      <c r="R508" s="13" t="s">
        <v>28</v>
      </c>
      <c r="S508" s="13"/>
      <c r="T508" s="13"/>
      <c r="U508" s="13" t="s">
        <v>1636</v>
      </c>
      <c r="V508" s="13" t="s">
        <v>1636</v>
      </c>
      <c r="W508" s="59">
        <f t="shared" si="7"/>
        <v>6.2439475875884356E-5</v>
      </c>
    </row>
    <row r="509" spans="1:29">
      <c r="A509" s="13" t="s">
        <v>1016</v>
      </c>
      <c r="B509" s="13" t="s">
        <v>471</v>
      </c>
      <c r="C509" s="139">
        <v>46247</v>
      </c>
      <c r="D509" s="139" t="s">
        <v>441</v>
      </c>
      <c r="E509" s="28">
        <v>0.98255630000000005</v>
      </c>
      <c r="F509" s="13"/>
      <c r="G509" s="18">
        <v>150000000</v>
      </c>
      <c r="H509" s="18">
        <v>147383444.46000001</v>
      </c>
      <c r="I509" s="18">
        <v>150000000</v>
      </c>
      <c r="J509" s="18">
        <v>147383444.46000001</v>
      </c>
      <c r="K509" s="15">
        <v>67981</v>
      </c>
      <c r="L509" s="13" t="s">
        <v>102</v>
      </c>
      <c r="M509" s="13" t="s">
        <v>103</v>
      </c>
      <c r="N509" s="139" t="s">
        <v>349</v>
      </c>
      <c r="O509" s="139" t="s">
        <v>349</v>
      </c>
      <c r="P509" s="28">
        <v>27</v>
      </c>
      <c r="Q509" s="13" t="s">
        <v>54</v>
      </c>
      <c r="R509" s="13" t="s">
        <v>28</v>
      </c>
      <c r="S509" s="13"/>
      <c r="T509" s="13"/>
      <c r="U509" s="13" t="s">
        <v>1005</v>
      </c>
      <c r="V509" s="13" t="s">
        <v>1005</v>
      </c>
      <c r="W509" s="59">
        <f t="shared" si="7"/>
        <v>2.8157032502333272E-3</v>
      </c>
      <c r="AC509" s="56"/>
    </row>
    <row r="510" spans="1:29">
      <c r="A510" s="13" t="s">
        <v>970</v>
      </c>
      <c r="B510" s="13" t="s">
        <v>471</v>
      </c>
      <c r="C510" s="139">
        <v>46247</v>
      </c>
      <c r="D510" s="139" t="s">
        <v>441</v>
      </c>
      <c r="E510" s="28">
        <v>0.98192190000000001</v>
      </c>
      <c r="F510" s="13"/>
      <c r="G510" s="18">
        <v>7000000</v>
      </c>
      <c r="H510" s="18">
        <v>6873453.2800000003</v>
      </c>
      <c r="I510" s="18">
        <v>7000000</v>
      </c>
      <c r="J510" s="18">
        <v>6873453.2800000003</v>
      </c>
      <c r="K510" s="15">
        <v>29175498</v>
      </c>
      <c r="L510" s="13" t="s">
        <v>102</v>
      </c>
      <c r="M510" s="13" t="s">
        <v>103</v>
      </c>
      <c r="N510" s="139" t="s">
        <v>359</v>
      </c>
      <c r="O510" s="139" t="s">
        <v>359</v>
      </c>
      <c r="P510" s="28">
        <v>28</v>
      </c>
      <c r="Q510" s="13" t="s">
        <v>54</v>
      </c>
      <c r="R510" s="13" t="s">
        <v>28</v>
      </c>
      <c r="S510" s="13"/>
      <c r="T510" s="13"/>
      <c r="U510" s="13" t="s">
        <v>954</v>
      </c>
      <c r="V510" s="13" t="s">
        <v>954</v>
      </c>
      <c r="W510" s="59">
        <f t="shared" si="7"/>
        <v>1.3131464535744047E-4</v>
      </c>
    </row>
    <row r="511" spans="1:29">
      <c r="A511" s="13" t="s">
        <v>481</v>
      </c>
      <c r="B511" s="13" t="s">
        <v>471</v>
      </c>
      <c r="C511" s="139">
        <v>46247</v>
      </c>
      <c r="D511" s="139" t="s">
        <v>441</v>
      </c>
      <c r="E511" s="28">
        <v>0.97562285999999998</v>
      </c>
      <c r="F511" s="13"/>
      <c r="G511" s="18">
        <v>42000000</v>
      </c>
      <c r="H511" s="18">
        <v>40976160.039999999</v>
      </c>
      <c r="I511" s="18">
        <v>42000000</v>
      </c>
      <c r="J511" s="18">
        <v>40976160.039999999</v>
      </c>
      <c r="K511" s="15">
        <v>151337</v>
      </c>
      <c r="L511" s="13" t="s">
        <v>102</v>
      </c>
      <c r="M511" s="13" t="s">
        <v>103</v>
      </c>
      <c r="N511" s="139" t="s">
        <v>401</v>
      </c>
      <c r="O511" s="139" t="s">
        <v>401</v>
      </c>
      <c r="P511" s="28">
        <v>38</v>
      </c>
      <c r="Q511" s="13" t="s">
        <v>54</v>
      </c>
      <c r="R511" s="13" t="s">
        <v>28</v>
      </c>
      <c r="S511" s="13"/>
      <c r="T511" s="13"/>
      <c r="U511" s="13" t="s">
        <v>1528</v>
      </c>
      <c r="V511" s="13" t="s">
        <v>1528</v>
      </c>
      <c r="W511" s="59">
        <f t="shared" si="7"/>
        <v>7.8283356335875518E-4</v>
      </c>
    </row>
    <row r="512" spans="1:29">
      <c r="A512" s="13" t="s">
        <v>1389</v>
      </c>
      <c r="B512" s="13" t="s">
        <v>471</v>
      </c>
      <c r="C512" s="139">
        <v>46247</v>
      </c>
      <c r="D512" s="139" t="s">
        <v>441</v>
      </c>
      <c r="E512" s="28">
        <v>0.97876226</v>
      </c>
      <c r="F512" s="13"/>
      <c r="G512" s="18">
        <v>2200000</v>
      </c>
      <c r="H512" s="18">
        <v>2153276.98</v>
      </c>
      <c r="I512" s="18">
        <v>2200000</v>
      </c>
      <c r="J512" s="18">
        <v>2153276.98</v>
      </c>
      <c r="K512" s="15">
        <v>6187</v>
      </c>
      <c r="L512" s="13" t="s">
        <v>102</v>
      </c>
      <c r="M512" s="13" t="s">
        <v>103</v>
      </c>
      <c r="N512" s="139" t="s">
        <v>351</v>
      </c>
      <c r="O512" s="139" t="s">
        <v>351</v>
      </c>
      <c r="P512" s="28">
        <v>33</v>
      </c>
      <c r="Q512" s="13" t="s">
        <v>54</v>
      </c>
      <c r="R512" s="13" t="s">
        <v>28</v>
      </c>
      <c r="S512" s="13"/>
      <c r="T512" s="13"/>
      <c r="U512" s="13" t="s">
        <v>1371</v>
      </c>
      <c r="V512" s="13" t="s">
        <v>1371</v>
      </c>
      <c r="W512" s="59">
        <f t="shared" si="7"/>
        <v>4.1137517266290405E-5</v>
      </c>
    </row>
    <row r="513" spans="1:23">
      <c r="A513" s="13" t="s">
        <v>432</v>
      </c>
      <c r="B513" s="13" t="s">
        <v>471</v>
      </c>
      <c r="C513" s="139">
        <v>46247</v>
      </c>
      <c r="D513" s="139" t="s">
        <v>441</v>
      </c>
      <c r="E513" s="28">
        <v>0.97687619000000003</v>
      </c>
      <c r="F513" s="13"/>
      <c r="G513" s="18">
        <v>2197564.35</v>
      </c>
      <c r="H513" s="18">
        <v>2146748.2999999998</v>
      </c>
      <c r="I513" s="18">
        <v>2197564.35</v>
      </c>
      <c r="J513" s="18">
        <v>2146748.2999999998</v>
      </c>
      <c r="K513" s="15">
        <v>2764</v>
      </c>
      <c r="L513" s="13" t="s">
        <v>102</v>
      </c>
      <c r="M513" s="13" t="s">
        <v>103</v>
      </c>
      <c r="N513" s="139" t="s">
        <v>170</v>
      </c>
      <c r="O513" s="139" t="s">
        <v>170</v>
      </c>
      <c r="P513" s="28">
        <v>36</v>
      </c>
      <c r="Q513" s="13" t="s">
        <v>54</v>
      </c>
      <c r="R513" s="13" t="s">
        <v>28</v>
      </c>
      <c r="S513" s="13"/>
      <c r="T513" s="13"/>
      <c r="U513" s="13" t="s">
        <v>1653</v>
      </c>
      <c r="V513" s="13" t="s">
        <v>1653</v>
      </c>
      <c r="W513" s="59">
        <f t="shared" si="7"/>
        <v>4.1012789380040446E-5</v>
      </c>
    </row>
    <row r="514" spans="1:23">
      <c r="A514" s="13" t="s">
        <v>1310</v>
      </c>
      <c r="B514" s="13" t="s">
        <v>471</v>
      </c>
      <c r="C514" s="139">
        <v>46247</v>
      </c>
      <c r="D514" s="139" t="s">
        <v>441</v>
      </c>
      <c r="E514" s="28">
        <v>0.98830286000000001</v>
      </c>
      <c r="F514" s="13"/>
      <c r="G514" s="18">
        <v>31000000</v>
      </c>
      <c r="H514" s="18">
        <v>30637388.649999999</v>
      </c>
      <c r="I514" s="18">
        <v>31000000</v>
      </c>
      <c r="J514" s="18">
        <v>30637388.649999999</v>
      </c>
      <c r="K514" s="15">
        <v>152408</v>
      </c>
      <c r="L514" s="13" t="s">
        <v>102</v>
      </c>
      <c r="M514" s="13" t="s">
        <v>103</v>
      </c>
      <c r="N514" s="139" t="s">
        <v>351</v>
      </c>
      <c r="O514" s="139" t="s">
        <v>351</v>
      </c>
      <c r="P514" s="28">
        <v>18</v>
      </c>
      <c r="Q514" s="13" t="s">
        <v>54</v>
      </c>
      <c r="R514" s="13" t="s">
        <v>28</v>
      </c>
      <c r="S514" s="13"/>
      <c r="T514" s="13"/>
      <c r="U514" s="13" t="s">
        <v>1387</v>
      </c>
      <c r="V514" s="13" t="s">
        <v>1387</v>
      </c>
      <c r="W514" s="59">
        <f t="shared" si="7"/>
        <v>5.8531536643438445E-4</v>
      </c>
    </row>
    <row r="515" spans="1:23">
      <c r="A515" s="13" t="s">
        <v>472</v>
      </c>
      <c r="B515" s="13" t="s">
        <v>471</v>
      </c>
      <c r="C515" s="139">
        <v>46247</v>
      </c>
      <c r="D515" s="139" t="s">
        <v>441</v>
      </c>
      <c r="E515" s="28">
        <v>0.97876231000000002</v>
      </c>
      <c r="F515" s="13"/>
      <c r="G515" s="18">
        <v>10000000</v>
      </c>
      <c r="H515" s="18">
        <v>9787623.1099999994</v>
      </c>
      <c r="I515" s="18">
        <v>10000000</v>
      </c>
      <c r="J515" s="18">
        <v>9787623.1099999994</v>
      </c>
      <c r="K515" s="15">
        <v>663</v>
      </c>
      <c r="L515" s="13" t="s">
        <v>102</v>
      </c>
      <c r="M515" s="13" t="s">
        <v>103</v>
      </c>
      <c r="N515" s="139" t="s">
        <v>383</v>
      </c>
      <c r="O515" s="139" t="s">
        <v>383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1681</v>
      </c>
      <c r="V515" s="13" t="s">
        <v>1681</v>
      </c>
      <c r="W515" s="59">
        <f t="shared" si="7"/>
        <v>1.8698872389541265E-4</v>
      </c>
    </row>
    <row r="516" spans="1:23">
      <c r="A516" s="13" t="s">
        <v>472</v>
      </c>
      <c r="B516" s="13" t="s">
        <v>471</v>
      </c>
      <c r="C516" s="139">
        <v>46247</v>
      </c>
      <c r="D516" s="139" t="s">
        <v>441</v>
      </c>
      <c r="E516" s="28">
        <v>0.98065557000000003</v>
      </c>
      <c r="F516" s="13"/>
      <c r="G516" s="18">
        <v>10000000</v>
      </c>
      <c r="H516" s="18">
        <v>9806555.6600000001</v>
      </c>
      <c r="I516" s="18">
        <v>10000000</v>
      </c>
      <c r="J516" s="18">
        <v>9806555.6600000001</v>
      </c>
      <c r="K516" s="15">
        <v>668</v>
      </c>
      <c r="L516" s="13" t="s">
        <v>102</v>
      </c>
      <c r="M516" s="13" t="s">
        <v>103</v>
      </c>
      <c r="N516" s="139" t="s">
        <v>354</v>
      </c>
      <c r="O516" s="139" t="s">
        <v>354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1690</v>
      </c>
      <c r="V516" s="13" t="s">
        <v>1690</v>
      </c>
      <c r="W516" s="59">
        <f t="shared" si="7"/>
        <v>1.8735042288247001E-4</v>
      </c>
    </row>
    <row r="517" spans="1:23">
      <c r="A517" s="13" t="s">
        <v>254</v>
      </c>
      <c r="B517" s="13" t="s">
        <v>471</v>
      </c>
      <c r="C517" s="139">
        <v>46247</v>
      </c>
      <c r="D517" s="139" t="s">
        <v>441</v>
      </c>
      <c r="E517" s="28">
        <v>0.97939255000000003</v>
      </c>
      <c r="F517" s="13"/>
      <c r="G517" s="18">
        <v>50000000</v>
      </c>
      <c r="H517" s="18">
        <v>48969627.469999999</v>
      </c>
      <c r="I517" s="18">
        <v>50000000</v>
      </c>
      <c r="J517" s="18">
        <v>48969627.469999999</v>
      </c>
      <c r="K517" s="15">
        <v>4633</v>
      </c>
      <c r="L517" s="13" t="s">
        <v>102</v>
      </c>
      <c r="M517" s="13" t="s">
        <v>103</v>
      </c>
      <c r="N517" s="139" t="s">
        <v>349</v>
      </c>
      <c r="O517" s="139" t="s">
        <v>349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1015</v>
      </c>
      <c r="V517" s="13" t="s">
        <v>1015</v>
      </c>
      <c r="W517" s="59">
        <f t="shared" ref="W517:W580" si="8">+J517/$W$2</f>
        <v>9.3554564242401077E-4</v>
      </c>
    </row>
    <row r="518" spans="1:23">
      <c r="A518" s="13" t="s">
        <v>347</v>
      </c>
      <c r="B518" s="13" t="s">
        <v>471</v>
      </c>
      <c r="C518" s="139">
        <v>46247</v>
      </c>
      <c r="D518" s="139" t="s">
        <v>441</v>
      </c>
      <c r="E518" s="28">
        <v>0.97750404000000002</v>
      </c>
      <c r="F518" s="13"/>
      <c r="G518" s="18">
        <v>10000000</v>
      </c>
      <c r="H518" s="18">
        <v>9775040.3599999994</v>
      </c>
      <c r="I518" s="18">
        <v>10000000</v>
      </c>
      <c r="J518" s="18">
        <v>9775040.3599999994</v>
      </c>
      <c r="K518" s="15">
        <v>254</v>
      </c>
      <c r="L518" s="13" t="s">
        <v>102</v>
      </c>
      <c r="M518" s="13" t="s">
        <v>103</v>
      </c>
      <c r="N518" s="139" t="s">
        <v>341</v>
      </c>
      <c r="O518" s="139" t="s">
        <v>341</v>
      </c>
      <c r="P518" s="28">
        <v>35</v>
      </c>
      <c r="Q518" s="13" t="s">
        <v>54</v>
      </c>
      <c r="R518" s="13" t="s">
        <v>28</v>
      </c>
      <c r="S518" s="13"/>
      <c r="T518" s="13"/>
      <c r="U518" s="13" t="s">
        <v>947</v>
      </c>
      <c r="V518" s="13" t="s">
        <v>947</v>
      </c>
      <c r="W518" s="59">
        <f t="shared" si="8"/>
        <v>1.8674833536194008E-4</v>
      </c>
    </row>
    <row r="519" spans="1:23">
      <c r="A519" s="13" t="s">
        <v>147</v>
      </c>
      <c r="B519" s="13" t="s">
        <v>471</v>
      </c>
      <c r="C519" s="139">
        <v>46247</v>
      </c>
      <c r="D519" s="139" t="s">
        <v>441</v>
      </c>
      <c r="E519" s="28">
        <v>0.97750402999999997</v>
      </c>
      <c r="F519" s="13"/>
      <c r="G519" s="18">
        <v>15000000</v>
      </c>
      <c r="H519" s="18">
        <v>14662560.48</v>
      </c>
      <c r="I519" s="18">
        <v>15000000</v>
      </c>
      <c r="J519" s="18">
        <v>14662560.48</v>
      </c>
      <c r="K519" s="15">
        <v>4182</v>
      </c>
      <c r="L519" s="13" t="s">
        <v>102</v>
      </c>
      <c r="M519" s="13" t="s">
        <v>103</v>
      </c>
      <c r="N519" s="139" t="s">
        <v>369</v>
      </c>
      <c r="O519" s="139" t="s">
        <v>369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1074</v>
      </c>
      <c r="V519" s="13" t="s">
        <v>1074</v>
      </c>
      <c r="W519" s="59">
        <f t="shared" si="8"/>
        <v>2.8012250189663352E-4</v>
      </c>
    </row>
    <row r="520" spans="1:23">
      <c r="A520" s="13" t="s">
        <v>478</v>
      </c>
      <c r="B520" s="13" t="s">
        <v>471</v>
      </c>
      <c r="C520" s="139">
        <v>46247</v>
      </c>
      <c r="D520" s="139" t="s">
        <v>441</v>
      </c>
      <c r="E520" s="28">
        <v>0.97750404999999996</v>
      </c>
      <c r="F520" s="13"/>
      <c r="G520" s="18">
        <v>25000000</v>
      </c>
      <c r="H520" s="18">
        <v>24437601.289999999</v>
      </c>
      <c r="I520" s="18">
        <v>25000000</v>
      </c>
      <c r="J520" s="18">
        <v>24437601.289999999</v>
      </c>
      <c r="K520" s="15">
        <v>1309</v>
      </c>
      <c r="L520" s="13" t="s">
        <v>102</v>
      </c>
      <c r="M520" s="13" t="s">
        <v>103</v>
      </c>
      <c r="N520" s="139" t="s">
        <v>397</v>
      </c>
      <c r="O520" s="139" t="s">
        <v>397</v>
      </c>
      <c r="P520" s="28">
        <v>35</v>
      </c>
      <c r="Q520" s="13" t="s">
        <v>54</v>
      </c>
      <c r="R520" s="13" t="s">
        <v>28</v>
      </c>
      <c r="S520" s="13"/>
      <c r="T520" s="13"/>
      <c r="U520" s="13" t="s">
        <v>693</v>
      </c>
      <c r="V520" s="13" t="s">
        <v>693</v>
      </c>
      <c r="W520" s="59">
        <f t="shared" si="8"/>
        <v>4.668708458556482E-4</v>
      </c>
    </row>
    <row r="521" spans="1:23">
      <c r="A521" s="13" t="s">
        <v>2330</v>
      </c>
      <c r="B521" s="13" t="s">
        <v>471</v>
      </c>
      <c r="C521" s="139">
        <v>46247</v>
      </c>
      <c r="D521" s="139" t="s">
        <v>441</v>
      </c>
      <c r="E521" s="28">
        <v>0.97876229000000003</v>
      </c>
      <c r="F521" s="13"/>
      <c r="G521" s="18">
        <v>2718106</v>
      </c>
      <c r="H521" s="18">
        <v>2660379.66</v>
      </c>
      <c r="I521" s="18">
        <v>2718106</v>
      </c>
      <c r="J521" s="18">
        <v>2660379.66</v>
      </c>
      <c r="K521" s="15">
        <v>4077</v>
      </c>
      <c r="L521" s="13" t="s">
        <v>102</v>
      </c>
      <c r="M521" s="13" t="s">
        <v>103</v>
      </c>
      <c r="N521" s="139" t="s">
        <v>392</v>
      </c>
      <c r="O521" s="139" t="s">
        <v>392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2271</v>
      </c>
      <c r="V521" s="13" t="s">
        <v>2271</v>
      </c>
      <c r="W521" s="59">
        <f t="shared" si="8"/>
        <v>5.0825516278048818E-5</v>
      </c>
    </row>
    <row r="522" spans="1:23">
      <c r="A522" s="13" t="s">
        <v>2488</v>
      </c>
      <c r="B522" s="13" t="s">
        <v>471</v>
      </c>
      <c r="C522" s="139">
        <v>46247</v>
      </c>
      <c r="D522" s="139" t="s">
        <v>441</v>
      </c>
      <c r="E522" s="28">
        <v>0.98065568000000003</v>
      </c>
      <c r="F522" s="13"/>
      <c r="G522" s="18">
        <v>2870567.12</v>
      </c>
      <c r="H522" s="18">
        <v>2815037.96</v>
      </c>
      <c r="I522" s="18">
        <v>2870567.12</v>
      </c>
      <c r="J522" s="18">
        <v>2815037.96</v>
      </c>
      <c r="K522" s="15">
        <v>94</v>
      </c>
      <c r="L522" s="13" t="s">
        <v>102</v>
      </c>
      <c r="M522" s="13" t="s">
        <v>103</v>
      </c>
      <c r="N522" s="139" t="s">
        <v>441</v>
      </c>
      <c r="O522" s="139" t="s">
        <v>441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2451</v>
      </c>
      <c r="V522" s="13" t="s">
        <v>2451</v>
      </c>
      <c r="W522" s="59">
        <f t="shared" si="8"/>
        <v>5.3780202807333647E-5</v>
      </c>
    </row>
    <row r="523" spans="1:23">
      <c r="A523" s="13" t="s">
        <v>1388</v>
      </c>
      <c r="B523" s="13" t="s">
        <v>471</v>
      </c>
      <c r="C523" s="139">
        <v>46248</v>
      </c>
      <c r="D523" s="139" t="s">
        <v>441</v>
      </c>
      <c r="E523" s="28">
        <v>0.98052386999999996</v>
      </c>
      <c r="F523" s="13"/>
      <c r="G523" s="18">
        <v>100000000</v>
      </c>
      <c r="H523" s="18">
        <v>98052386.780000001</v>
      </c>
      <c r="I523" s="18">
        <v>100000000</v>
      </c>
      <c r="J523" s="18">
        <v>98052386.780000001</v>
      </c>
      <c r="K523" s="15">
        <v>90003817</v>
      </c>
      <c r="L523" s="13" t="s">
        <v>102</v>
      </c>
      <c r="M523" s="13" t="s">
        <v>103</v>
      </c>
      <c r="N523" s="139" t="s">
        <v>351</v>
      </c>
      <c r="O523" s="139" t="s">
        <v>351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1362</v>
      </c>
      <c r="V523" s="13" t="s">
        <v>1362</v>
      </c>
      <c r="W523" s="59">
        <f t="shared" si="8"/>
        <v>1.8732526245477416E-3</v>
      </c>
    </row>
    <row r="524" spans="1:23">
      <c r="A524" s="13" t="s">
        <v>1075</v>
      </c>
      <c r="B524" s="13" t="s">
        <v>471</v>
      </c>
      <c r="C524" s="139">
        <v>46248</v>
      </c>
      <c r="D524" s="139" t="s">
        <v>441</v>
      </c>
      <c r="E524" s="28">
        <v>0.97593584</v>
      </c>
      <c r="F524" s="13"/>
      <c r="G524" s="18">
        <v>3345657.98</v>
      </c>
      <c r="H524" s="18">
        <v>3265147.54</v>
      </c>
      <c r="I524" s="18">
        <v>3345657.98</v>
      </c>
      <c r="J524" s="18">
        <v>3265147.54</v>
      </c>
      <c r="K524" s="15">
        <v>227</v>
      </c>
      <c r="L524" s="13" t="s">
        <v>102</v>
      </c>
      <c r="M524" s="13" t="s">
        <v>103</v>
      </c>
      <c r="N524" s="139" t="s">
        <v>170</v>
      </c>
      <c r="O524" s="139" t="s">
        <v>170</v>
      </c>
      <c r="P524" s="28">
        <v>36</v>
      </c>
      <c r="Q524" s="13" t="s">
        <v>54</v>
      </c>
      <c r="R524" s="13" t="s">
        <v>28</v>
      </c>
      <c r="S524" s="13"/>
      <c r="T524" s="13"/>
      <c r="U524" s="13" t="s">
        <v>1637</v>
      </c>
      <c r="V524" s="13" t="s">
        <v>1637</v>
      </c>
      <c r="W524" s="59">
        <f t="shared" si="8"/>
        <v>6.2379370861864527E-5</v>
      </c>
    </row>
    <row r="525" spans="1:23">
      <c r="A525" s="13" t="s">
        <v>698</v>
      </c>
      <c r="B525" s="13" t="s">
        <v>471</v>
      </c>
      <c r="C525" s="139">
        <v>46248</v>
      </c>
      <c r="D525" s="139" t="s">
        <v>441</v>
      </c>
      <c r="E525" s="28">
        <v>0.97986583000000005</v>
      </c>
      <c r="F525" s="13"/>
      <c r="G525" s="18">
        <v>1040000</v>
      </c>
      <c r="H525" s="18">
        <v>1019060.46</v>
      </c>
      <c r="I525" s="18">
        <v>1040000</v>
      </c>
      <c r="J525" s="18">
        <v>1019060.46</v>
      </c>
      <c r="K525" s="15">
        <v>10401546</v>
      </c>
      <c r="L525" s="13" t="s">
        <v>102</v>
      </c>
      <c r="M525" s="13" t="s">
        <v>103</v>
      </c>
      <c r="N525" s="139" t="s">
        <v>341</v>
      </c>
      <c r="O525" s="139" t="s">
        <v>341</v>
      </c>
      <c r="P525" s="28">
        <v>30</v>
      </c>
      <c r="Q525" s="13" t="s">
        <v>54</v>
      </c>
      <c r="R525" s="13" t="s">
        <v>28</v>
      </c>
      <c r="S525" s="13"/>
      <c r="T525" s="13"/>
      <c r="U525" s="13" t="s">
        <v>912</v>
      </c>
      <c r="V525" s="13" t="s">
        <v>912</v>
      </c>
      <c r="W525" s="59">
        <f t="shared" si="8"/>
        <v>1.9468752816297623E-5</v>
      </c>
    </row>
    <row r="526" spans="1:23">
      <c r="A526" s="13" t="s">
        <v>655</v>
      </c>
      <c r="B526" s="13" t="s">
        <v>471</v>
      </c>
      <c r="C526" s="139">
        <v>46248</v>
      </c>
      <c r="D526" s="139" t="s">
        <v>441</v>
      </c>
      <c r="E526" s="28">
        <v>0.97463286999999998</v>
      </c>
      <c r="F526" s="13"/>
      <c r="G526" s="18">
        <v>4957711.8099999996</v>
      </c>
      <c r="H526" s="18">
        <v>4831948.88</v>
      </c>
      <c r="I526" s="18">
        <v>4957711.8099999996</v>
      </c>
      <c r="J526" s="18">
        <v>4831948.88</v>
      </c>
      <c r="K526" s="15">
        <v>591</v>
      </c>
      <c r="L526" s="13" t="s">
        <v>102</v>
      </c>
      <c r="M526" s="13" t="s">
        <v>103</v>
      </c>
      <c r="N526" s="139" t="s">
        <v>355</v>
      </c>
      <c r="O526" s="139" t="s">
        <v>355</v>
      </c>
      <c r="P526" s="28">
        <v>38</v>
      </c>
      <c r="Q526" s="13" t="s">
        <v>54</v>
      </c>
      <c r="R526" s="13" t="s">
        <v>28</v>
      </c>
      <c r="S526" s="13"/>
      <c r="T526" s="13"/>
      <c r="U526" s="13" t="s">
        <v>856</v>
      </c>
      <c r="V526" s="13" t="s">
        <v>856</v>
      </c>
      <c r="W526" s="59">
        <f t="shared" si="8"/>
        <v>9.2312499658465949E-5</v>
      </c>
    </row>
    <row r="527" spans="1:23">
      <c r="A527" s="13" t="s">
        <v>197</v>
      </c>
      <c r="B527" s="13" t="s">
        <v>471</v>
      </c>
      <c r="C527" s="139">
        <v>46248</v>
      </c>
      <c r="D527" s="139" t="s">
        <v>441</v>
      </c>
      <c r="E527" s="28">
        <v>0.98052384999999997</v>
      </c>
      <c r="F527" s="13"/>
      <c r="G527" s="18">
        <v>42000000</v>
      </c>
      <c r="H527" s="18">
        <v>41182001.899999999</v>
      </c>
      <c r="I527" s="18">
        <v>42000000</v>
      </c>
      <c r="J527" s="18">
        <v>41182001.899999999</v>
      </c>
      <c r="K527" s="15">
        <v>7578</v>
      </c>
      <c r="L527" s="13" t="s">
        <v>102</v>
      </c>
      <c r="M527" s="13" t="s">
        <v>103</v>
      </c>
      <c r="N527" s="139" t="s">
        <v>397</v>
      </c>
      <c r="O527" s="139" t="s">
        <v>397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672</v>
      </c>
      <c r="V527" s="13" t="s">
        <v>672</v>
      </c>
      <c r="W527" s="59">
        <f t="shared" si="8"/>
        <v>7.8676609184836696E-4</v>
      </c>
    </row>
    <row r="528" spans="1:23">
      <c r="A528" s="13" t="s">
        <v>197</v>
      </c>
      <c r="B528" s="13" t="s">
        <v>471</v>
      </c>
      <c r="C528" s="139">
        <v>46248</v>
      </c>
      <c r="D528" s="139" t="s">
        <v>441</v>
      </c>
      <c r="E528" s="28">
        <v>0.98648654000000002</v>
      </c>
      <c r="F528" s="13"/>
      <c r="G528" s="18">
        <v>2500000</v>
      </c>
      <c r="H528" s="18">
        <v>2466216.35</v>
      </c>
      <c r="I528" s="18">
        <v>2500000</v>
      </c>
      <c r="J528" s="18">
        <v>2466216.35</v>
      </c>
      <c r="K528" s="15">
        <v>6133</v>
      </c>
      <c r="L528" s="13" t="s">
        <v>102</v>
      </c>
      <c r="M528" s="13" t="s">
        <v>103</v>
      </c>
      <c r="N528" s="139" t="s">
        <v>319</v>
      </c>
      <c r="O528" s="139" t="s">
        <v>319</v>
      </c>
      <c r="P528" s="28">
        <v>20</v>
      </c>
      <c r="Q528" s="13" t="s">
        <v>54</v>
      </c>
      <c r="R528" s="13" t="s">
        <v>28</v>
      </c>
      <c r="S528" s="13"/>
      <c r="T528" s="13"/>
      <c r="U528" s="13" t="s">
        <v>1200</v>
      </c>
      <c r="V528" s="13" t="s">
        <v>1200</v>
      </c>
      <c r="W528" s="59">
        <f t="shared" si="8"/>
        <v>4.7116101933404176E-5</v>
      </c>
    </row>
    <row r="529" spans="1:29">
      <c r="A529" s="13" t="s">
        <v>737</v>
      </c>
      <c r="B529" s="13" t="s">
        <v>471</v>
      </c>
      <c r="C529" s="139">
        <v>46248</v>
      </c>
      <c r="D529" s="139" t="s">
        <v>441</v>
      </c>
      <c r="E529" s="28">
        <v>0.98382756000000005</v>
      </c>
      <c r="F529" s="13"/>
      <c r="G529" s="18">
        <v>6875000</v>
      </c>
      <c r="H529" s="18">
        <v>6763814.4900000002</v>
      </c>
      <c r="I529" s="18">
        <v>6875000</v>
      </c>
      <c r="J529" s="18">
        <v>6763814.4900000002</v>
      </c>
      <c r="K529" s="15">
        <v>50454429</v>
      </c>
      <c r="L529" s="13" t="s">
        <v>102</v>
      </c>
      <c r="M529" s="13" t="s">
        <v>103</v>
      </c>
      <c r="N529" s="139" t="s">
        <v>382</v>
      </c>
      <c r="O529" s="139" t="s">
        <v>382</v>
      </c>
      <c r="P529" s="28">
        <v>24</v>
      </c>
      <c r="Q529" s="13" t="s">
        <v>54</v>
      </c>
      <c r="R529" s="13" t="s">
        <v>28</v>
      </c>
      <c r="S529" s="13"/>
      <c r="T529" s="13"/>
      <c r="U529" s="13" t="s">
        <v>2352</v>
      </c>
      <c r="V529" s="13" t="s">
        <v>2352</v>
      </c>
      <c r="W529" s="59">
        <f t="shared" si="8"/>
        <v>1.2922003901623481E-4</v>
      </c>
    </row>
    <row r="530" spans="1:29">
      <c r="A530" s="13" t="s">
        <v>472</v>
      </c>
      <c r="B530" s="13" t="s">
        <v>471</v>
      </c>
      <c r="C530" s="139">
        <v>46248</v>
      </c>
      <c r="D530" s="139" t="s">
        <v>441</v>
      </c>
      <c r="E530" s="28">
        <v>0.97986587000000003</v>
      </c>
      <c r="F530" s="13"/>
      <c r="G530" s="18">
        <v>10000000</v>
      </c>
      <c r="H530" s="18">
        <v>9798658.7400000002</v>
      </c>
      <c r="I530" s="18">
        <v>10000000</v>
      </c>
      <c r="J530" s="18">
        <v>9798658.7400000002</v>
      </c>
      <c r="K530" s="15">
        <v>635</v>
      </c>
      <c r="L530" s="13" t="s">
        <v>102</v>
      </c>
      <c r="M530" s="13" t="s">
        <v>103</v>
      </c>
      <c r="N530" s="139" t="s">
        <v>389</v>
      </c>
      <c r="O530" s="139" t="s">
        <v>389</v>
      </c>
      <c r="P530" s="28">
        <v>30</v>
      </c>
      <c r="Q530" s="13" t="s">
        <v>54</v>
      </c>
      <c r="R530" s="13" t="s">
        <v>28</v>
      </c>
      <c r="S530" s="13"/>
      <c r="T530" s="13"/>
      <c r="U530" s="13" t="s">
        <v>1608</v>
      </c>
      <c r="V530" s="13" t="s">
        <v>1608</v>
      </c>
      <c r="W530" s="59">
        <f t="shared" si="8"/>
        <v>1.8719955530441672E-4</v>
      </c>
      <c r="AC530" s="56"/>
    </row>
    <row r="531" spans="1:29">
      <c r="A531" s="13" t="s">
        <v>472</v>
      </c>
      <c r="B531" s="13" t="s">
        <v>471</v>
      </c>
      <c r="C531" s="139">
        <v>46248</v>
      </c>
      <c r="D531" s="139" t="s">
        <v>441</v>
      </c>
      <c r="E531" s="28">
        <v>0.97986587999999997</v>
      </c>
      <c r="F531" s="13"/>
      <c r="G531" s="18">
        <v>5000000</v>
      </c>
      <c r="H531" s="18">
        <v>4899329.38</v>
      </c>
      <c r="I531" s="18">
        <v>5000000</v>
      </c>
      <c r="J531" s="18">
        <v>4899329.38</v>
      </c>
      <c r="K531" s="15">
        <v>640</v>
      </c>
      <c r="L531" s="13" t="s">
        <v>102</v>
      </c>
      <c r="M531" s="13" t="s">
        <v>103</v>
      </c>
      <c r="N531" s="139" t="s">
        <v>389</v>
      </c>
      <c r="O531" s="139" t="s">
        <v>389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1609</v>
      </c>
      <c r="V531" s="13" t="s">
        <v>1609</v>
      </c>
      <c r="W531" s="59">
        <f t="shared" si="8"/>
        <v>9.3599777843254457E-5</v>
      </c>
    </row>
    <row r="532" spans="1:29">
      <c r="A532" s="13" t="s">
        <v>472</v>
      </c>
      <c r="B532" s="13" t="s">
        <v>471</v>
      </c>
      <c r="C532" s="139">
        <v>46248</v>
      </c>
      <c r="D532" s="139" t="s">
        <v>441</v>
      </c>
      <c r="E532" s="28">
        <v>0.97986576999999997</v>
      </c>
      <c r="F532" s="13"/>
      <c r="G532" s="18">
        <v>10000000</v>
      </c>
      <c r="H532" s="18">
        <v>9798657.7300000004</v>
      </c>
      <c r="I532" s="18">
        <v>10000000</v>
      </c>
      <c r="J532" s="18">
        <v>9798657.7300000004</v>
      </c>
      <c r="K532" s="15">
        <v>575</v>
      </c>
      <c r="L532" s="13" t="s">
        <v>102</v>
      </c>
      <c r="M532" s="13" t="s">
        <v>103</v>
      </c>
      <c r="N532" s="139" t="s">
        <v>174</v>
      </c>
      <c r="O532" s="139" t="s">
        <v>174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1311</v>
      </c>
      <c r="V532" s="13" t="s">
        <v>1311</v>
      </c>
      <c r="W532" s="59">
        <f t="shared" si="8"/>
        <v>1.8719953600876044E-4</v>
      </c>
    </row>
    <row r="533" spans="1:29">
      <c r="A533" s="13" t="s">
        <v>481</v>
      </c>
      <c r="B533" s="13" t="s">
        <v>471</v>
      </c>
      <c r="C533" s="139">
        <v>46248</v>
      </c>
      <c r="D533" s="139" t="s">
        <v>441</v>
      </c>
      <c r="E533" s="28">
        <v>0.97463286999999998</v>
      </c>
      <c r="F533" s="13"/>
      <c r="G533" s="18">
        <v>42000000</v>
      </c>
      <c r="H533" s="18">
        <v>40934580.560000002</v>
      </c>
      <c r="I533" s="18">
        <v>42000000</v>
      </c>
      <c r="J533" s="18">
        <v>40934580.560000002</v>
      </c>
      <c r="K533" s="15">
        <v>151338</v>
      </c>
      <c r="L533" s="13" t="s">
        <v>102</v>
      </c>
      <c r="M533" s="13" t="s">
        <v>103</v>
      </c>
      <c r="N533" s="139" t="s">
        <v>401</v>
      </c>
      <c r="O533" s="139" t="s">
        <v>401</v>
      </c>
      <c r="P533" s="28">
        <v>38</v>
      </c>
      <c r="Q533" s="13" t="s">
        <v>54</v>
      </c>
      <c r="R533" s="13" t="s">
        <v>28</v>
      </c>
      <c r="S533" s="13"/>
      <c r="T533" s="13"/>
      <c r="U533" s="13" t="s">
        <v>1529</v>
      </c>
      <c r="V533" s="13" t="s">
        <v>1529</v>
      </c>
      <c r="W533" s="59">
        <f t="shared" si="8"/>
        <v>7.8203920360275976E-4</v>
      </c>
    </row>
    <row r="534" spans="1:29">
      <c r="A534" s="13" t="s">
        <v>1389</v>
      </c>
      <c r="B534" s="13" t="s">
        <v>471</v>
      </c>
      <c r="C534" s="139">
        <v>46248</v>
      </c>
      <c r="D534" s="139" t="s">
        <v>441</v>
      </c>
      <c r="E534" s="28">
        <v>0.97789689000000002</v>
      </c>
      <c r="F534" s="13"/>
      <c r="G534" s="18">
        <v>2200000</v>
      </c>
      <c r="H534" s="18">
        <v>2151373.16</v>
      </c>
      <c r="I534" s="18">
        <v>2200000</v>
      </c>
      <c r="J534" s="18">
        <v>2151373.16</v>
      </c>
      <c r="K534" s="15">
        <v>6188</v>
      </c>
      <c r="L534" s="13" t="s">
        <v>102</v>
      </c>
      <c r="M534" s="13" t="s">
        <v>103</v>
      </c>
      <c r="N534" s="139" t="s">
        <v>351</v>
      </c>
      <c r="O534" s="139" t="s">
        <v>351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1381</v>
      </c>
      <c r="V534" s="13" t="s">
        <v>1381</v>
      </c>
      <c r="W534" s="59">
        <f t="shared" si="8"/>
        <v>4.1101145527378347E-5</v>
      </c>
    </row>
    <row r="535" spans="1:29">
      <c r="A535" s="13" t="s">
        <v>432</v>
      </c>
      <c r="B535" s="13" t="s">
        <v>471</v>
      </c>
      <c r="C535" s="139">
        <v>46248</v>
      </c>
      <c r="D535" s="139" t="s">
        <v>441</v>
      </c>
      <c r="E535" s="28">
        <v>0.97593585000000005</v>
      </c>
      <c r="F535" s="13"/>
      <c r="G535" s="18">
        <v>2197564.35</v>
      </c>
      <c r="H535" s="18">
        <v>2144681.8199999998</v>
      </c>
      <c r="I535" s="18">
        <v>2197564.35</v>
      </c>
      <c r="J535" s="18">
        <v>2144681.8199999998</v>
      </c>
      <c r="K535" s="15">
        <v>2765</v>
      </c>
      <c r="L535" s="13" t="s">
        <v>102</v>
      </c>
      <c r="M535" s="13" t="s">
        <v>103</v>
      </c>
      <c r="N535" s="139" t="s">
        <v>170</v>
      </c>
      <c r="O535" s="139" t="s">
        <v>170</v>
      </c>
      <c r="P535" s="28">
        <v>36</v>
      </c>
      <c r="Q535" s="13" t="s">
        <v>54</v>
      </c>
      <c r="R535" s="13" t="s">
        <v>28</v>
      </c>
      <c r="S535" s="13"/>
      <c r="T535" s="13"/>
      <c r="U535" s="13" t="s">
        <v>1643</v>
      </c>
      <c r="V535" s="13" t="s">
        <v>1643</v>
      </c>
      <c r="W535" s="59">
        <f t="shared" si="8"/>
        <v>4.0973310085239999E-5</v>
      </c>
    </row>
    <row r="536" spans="1:29">
      <c r="A536" s="13" t="s">
        <v>1862</v>
      </c>
      <c r="B536" s="13" t="s">
        <v>471</v>
      </c>
      <c r="C536" s="139">
        <v>46248</v>
      </c>
      <c r="D536" s="139" t="s">
        <v>441</v>
      </c>
      <c r="E536" s="28">
        <v>0.98151266000000004</v>
      </c>
      <c r="F536" s="13"/>
      <c r="G536" s="18">
        <v>30000000</v>
      </c>
      <c r="H536" s="18">
        <v>29445379.760000002</v>
      </c>
      <c r="I536" s="18">
        <v>30000000</v>
      </c>
      <c r="J536" s="18">
        <v>29445379.760000002</v>
      </c>
      <c r="K536" s="15">
        <v>494</v>
      </c>
      <c r="L536" s="13" t="s">
        <v>102</v>
      </c>
      <c r="M536" s="13" t="s">
        <v>103</v>
      </c>
      <c r="N536" s="139" t="s">
        <v>493</v>
      </c>
      <c r="O536" s="139" t="s">
        <v>493</v>
      </c>
      <c r="P536" s="28">
        <v>27.5</v>
      </c>
      <c r="Q536" s="13" t="s">
        <v>54</v>
      </c>
      <c r="R536" s="13" t="s">
        <v>28</v>
      </c>
      <c r="S536" s="13"/>
      <c r="T536" s="13"/>
      <c r="U536" s="13" t="s">
        <v>1972</v>
      </c>
      <c r="V536" s="13" t="s">
        <v>1972</v>
      </c>
      <c r="W536" s="59">
        <f t="shared" si="8"/>
        <v>5.625425012854027E-4</v>
      </c>
    </row>
    <row r="537" spans="1:29">
      <c r="A537" s="13" t="s">
        <v>511</v>
      </c>
      <c r="B537" s="13" t="s">
        <v>471</v>
      </c>
      <c r="C537" s="139">
        <v>46248</v>
      </c>
      <c r="D537" s="139" t="s">
        <v>441</v>
      </c>
      <c r="E537" s="28">
        <v>0.97658871000000003</v>
      </c>
      <c r="F537" s="13"/>
      <c r="G537" s="18">
        <v>100000000</v>
      </c>
      <c r="H537" s="18">
        <v>97658871.299999997</v>
      </c>
      <c r="I537" s="18">
        <v>100000000</v>
      </c>
      <c r="J537" s="18">
        <v>97658871.299999997</v>
      </c>
      <c r="K537" s="15">
        <v>2763</v>
      </c>
      <c r="L537" s="13" t="s">
        <v>102</v>
      </c>
      <c r="M537" s="13" t="s">
        <v>103</v>
      </c>
      <c r="N537" s="139" t="s">
        <v>369</v>
      </c>
      <c r="O537" s="139" t="s">
        <v>369</v>
      </c>
      <c r="P537" s="28">
        <v>35</v>
      </c>
      <c r="Q537" s="13" t="s">
        <v>54</v>
      </c>
      <c r="R537" s="13" t="s">
        <v>28</v>
      </c>
      <c r="S537" s="13"/>
      <c r="T537" s="13"/>
      <c r="U537" s="13" t="s">
        <v>1068</v>
      </c>
      <c r="V537" s="13" t="s">
        <v>1068</v>
      </c>
      <c r="W537" s="59">
        <f t="shared" si="8"/>
        <v>1.865734664710985E-3</v>
      </c>
    </row>
    <row r="538" spans="1:29">
      <c r="A538" s="13" t="s">
        <v>149</v>
      </c>
      <c r="B538" s="13" t="s">
        <v>471</v>
      </c>
      <c r="C538" s="139">
        <v>46248</v>
      </c>
      <c r="D538" s="139" t="s">
        <v>441</v>
      </c>
      <c r="E538" s="28">
        <v>0.98316501999999995</v>
      </c>
      <c r="F538" s="13"/>
      <c r="G538" s="18">
        <v>50000000</v>
      </c>
      <c r="H538" s="18">
        <v>49158250.979999997</v>
      </c>
      <c r="I538" s="18">
        <v>50000000</v>
      </c>
      <c r="J538" s="18">
        <v>49158250.979999997</v>
      </c>
      <c r="K538" s="15">
        <v>4902</v>
      </c>
      <c r="L538" s="13" t="s">
        <v>102</v>
      </c>
      <c r="M538" s="13" t="s">
        <v>103</v>
      </c>
      <c r="N538" s="139" t="s">
        <v>457</v>
      </c>
      <c r="O538" s="139" t="s">
        <v>457</v>
      </c>
      <c r="P538" s="28">
        <v>25</v>
      </c>
      <c r="Q538" s="13" t="s">
        <v>54</v>
      </c>
      <c r="R538" s="13" t="s">
        <v>28</v>
      </c>
      <c r="S538" s="13"/>
      <c r="T538" s="13"/>
      <c r="U538" s="13" t="s">
        <v>1741</v>
      </c>
      <c r="V538" s="13" t="s">
        <v>1741</v>
      </c>
      <c r="W538" s="59">
        <f t="shared" si="8"/>
        <v>9.3914922104929911E-4</v>
      </c>
    </row>
    <row r="539" spans="1:29">
      <c r="A539" s="13" t="s">
        <v>380</v>
      </c>
      <c r="B539" s="13" t="s">
        <v>471</v>
      </c>
      <c r="C539" s="139">
        <v>46248</v>
      </c>
      <c r="D539" s="139" t="s">
        <v>441</v>
      </c>
      <c r="E539" s="28">
        <v>0.97593587000000004</v>
      </c>
      <c r="F539" s="13"/>
      <c r="G539" s="18">
        <v>50000000</v>
      </c>
      <c r="H539" s="18">
        <v>48796793.469999999</v>
      </c>
      <c r="I539" s="18">
        <v>50000000</v>
      </c>
      <c r="J539" s="18">
        <v>48796793.469999999</v>
      </c>
      <c r="K539" s="15">
        <v>6573</v>
      </c>
      <c r="L539" s="13" t="s">
        <v>102</v>
      </c>
      <c r="M539" s="13" t="s">
        <v>103</v>
      </c>
      <c r="N539" s="139" t="s">
        <v>151</v>
      </c>
      <c r="O539" s="139" t="s">
        <v>151</v>
      </c>
      <c r="P539" s="28">
        <v>36</v>
      </c>
      <c r="Q539" s="13" t="s">
        <v>54</v>
      </c>
      <c r="R539" s="13" t="s">
        <v>28</v>
      </c>
      <c r="S539" s="13"/>
      <c r="T539" s="13"/>
      <c r="U539" s="13" t="s">
        <v>553</v>
      </c>
      <c r="V539" s="13" t="s">
        <v>553</v>
      </c>
      <c r="W539" s="59">
        <f t="shared" si="8"/>
        <v>9.3224371623186713E-4</v>
      </c>
      <c r="AC539" s="56"/>
    </row>
    <row r="540" spans="1:29">
      <c r="A540" s="13" t="s">
        <v>1657</v>
      </c>
      <c r="B540" s="13" t="s">
        <v>471</v>
      </c>
      <c r="C540" s="139">
        <v>46248</v>
      </c>
      <c r="D540" s="139" t="s">
        <v>441</v>
      </c>
      <c r="E540" s="28">
        <v>0.97986578000000002</v>
      </c>
      <c r="F540" s="13"/>
      <c r="G540" s="18">
        <v>2700000</v>
      </c>
      <c r="H540" s="18">
        <v>2645637.61</v>
      </c>
      <c r="I540" s="18">
        <v>2700000</v>
      </c>
      <c r="J540" s="18">
        <v>2645637.61</v>
      </c>
      <c r="K540" s="15">
        <v>6271</v>
      </c>
      <c r="L540" s="13" t="s">
        <v>102</v>
      </c>
      <c r="M540" s="13" t="s">
        <v>103</v>
      </c>
      <c r="N540" s="139" t="s">
        <v>170</v>
      </c>
      <c r="O540" s="139" t="s">
        <v>170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1627</v>
      </c>
      <c r="V540" s="13" t="s">
        <v>1627</v>
      </c>
      <c r="W540" s="59">
        <f t="shared" si="8"/>
        <v>5.0543875159860888E-5</v>
      </c>
      <c r="AC540" s="56"/>
    </row>
    <row r="541" spans="1:29">
      <c r="A541" s="13" t="s">
        <v>322</v>
      </c>
      <c r="B541" s="13" t="s">
        <v>471</v>
      </c>
      <c r="C541" s="139">
        <v>46248</v>
      </c>
      <c r="D541" s="139" t="s">
        <v>441</v>
      </c>
      <c r="E541" s="28">
        <v>0.98184267999999997</v>
      </c>
      <c r="F541" s="13"/>
      <c r="G541" s="18">
        <v>75000000</v>
      </c>
      <c r="H541" s="18">
        <v>73638200.989999995</v>
      </c>
      <c r="I541" s="18">
        <v>75000000</v>
      </c>
      <c r="J541" s="18">
        <v>73638200.989999995</v>
      </c>
      <c r="K541" s="15">
        <v>16182</v>
      </c>
      <c r="L541" s="13" t="s">
        <v>102</v>
      </c>
      <c r="M541" s="13" t="s">
        <v>103</v>
      </c>
      <c r="N541" s="139" t="s">
        <v>327</v>
      </c>
      <c r="O541" s="139" t="s">
        <v>327</v>
      </c>
      <c r="P541" s="28">
        <v>27</v>
      </c>
      <c r="Q541" s="13" t="s">
        <v>54</v>
      </c>
      <c r="R541" s="13" t="s">
        <v>28</v>
      </c>
      <c r="S541" s="13"/>
      <c r="T541" s="13"/>
      <c r="U541" s="13" t="s">
        <v>790</v>
      </c>
      <c r="V541" s="13" t="s">
        <v>790</v>
      </c>
      <c r="W541" s="59">
        <f t="shared" si="8"/>
        <v>1.4068291226912611E-3</v>
      </c>
    </row>
    <row r="542" spans="1:29">
      <c r="A542" s="13" t="s">
        <v>395</v>
      </c>
      <c r="B542" s="13" t="s">
        <v>471</v>
      </c>
      <c r="C542" s="139">
        <v>46248</v>
      </c>
      <c r="D542" s="139" t="s">
        <v>441</v>
      </c>
      <c r="E542" s="28">
        <v>0.97139056000000001</v>
      </c>
      <c r="F542" s="13"/>
      <c r="G542" s="18">
        <v>3000000</v>
      </c>
      <c r="H542" s="18">
        <v>2914171.69</v>
      </c>
      <c r="I542" s="18">
        <v>3000000</v>
      </c>
      <c r="J542" s="18">
        <v>2914171.69</v>
      </c>
      <c r="K542" s="15">
        <v>3074</v>
      </c>
      <c r="L542" s="13" t="s">
        <v>102</v>
      </c>
      <c r="M542" s="13" t="s">
        <v>103</v>
      </c>
      <c r="N542" s="139" t="s">
        <v>228</v>
      </c>
      <c r="O542" s="139" t="s">
        <v>228</v>
      </c>
      <c r="P542" s="28">
        <v>43</v>
      </c>
      <c r="Q542" s="13" t="s">
        <v>54</v>
      </c>
      <c r="R542" s="13" t="s">
        <v>28</v>
      </c>
      <c r="S542" s="13"/>
      <c r="T542" s="13"/>
      <c r="U542" s="13" t="s">
        <v>386</v>
      </c>
      <c r="V542" s="13" t="s">
        <v>386</v>
      </c>
      <c r="W542" s="59">
        <f t="shared" si="8"/>
        <v>5.5674114072547086E-5</v>
      </c>
    </row>
    <row r="543" spans="1:29">
      <c r="A543" s="13" t="s">
        <v>257</v>
      </c>
      <c r="B543" s="13" t="s">
        <v>471</v>
      </c>
      <c r="C543" s="139">
        <v>46248</v>
      </c>
      <c r="D543" s="139" t="s">
        <v>441</v>
      </c>
      <c r="E543" s="28">
        <v>0.97593587000000004</v>
      </c>
      <c r="F543" s="13"/>
      <c r="G543" s="18">
        <v>25000000</v>
      </c>
      <c r="H543" s="18">
        <v>24398396.73</v>
      </c>
      <c r="I543" s="18">
        <v>25000000</v>
      </c>
      <c r="J543" s="18">
        <v>24398396.73</v>
      </c>
      <c r="K543" s="15">
        <v>1176620</v>
      </c>
      <c r="L543" s="13" t="s">
        <v>102</v>
      </c>
      <c r="M543" s="13" t="s">
        <v>103</v>
      </c>
      <c r="N543" s="139" t="s">
        <v>151</v>
      </c>
      <c r="O543" s="139" t="s">
        <v>151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538</v>
      </c>
      <c r="V543" s="13" t="s">
        <v>538</v>
      </c>
      <c r="W543" s="59">
        <f t="shared" si="8"/>
        <v>4.6612185802041053E-4</v>
      </c>
    </row>
    <row r="544" spans="1:29">
      <c r="A544" s="13" t="s">
        <v>661</v>
      </c>
      <c r="B544" s="13" t="s">
        <v>471</v>
      </c>
      <c r="C544" s="139">
        <v>46248</v>
      </c>
      <c r="D544" s="139" t="s">
        <v>441</v>
      </c>
      <c r="E544" s="28">
        <v>0.98250342000000002</v>
      </c>
      <c r="F544" s="13"/>
      <c r="G544" s="18">
        <v>10000000</v>
      </c>
      <c r="H544" s="18">
        <v>9825034.2200000007</v>
      </c>
      <c r="I544" s="18">
        <v>10000000</v>
      </c>
      <c r="J544" s="18">
        <v>9825034.2200000007</v>
      </c>
      <c r="K544" s="15">
        <v>9825609</v>
      </c>
      <c r="L544" s="13" t="s">
        <v>102</v>
      </c>
      <c r="M544" s="13" t="s">
        <v>103</v>
      </c>
      <c r="N544" s="139" t="s">
        <v>383</v>
      </c>
      <c r="O544" s="139" t="s">
        <v>383</v>
      </c>
      <c r="P544" s="28">
        <v>26</v>
      </c>
      <c r="Q544" s="13" t="s">
        <v>54</v>
      </c>
      <c r="R544" s="13" t="s">
        <v>28</v>
      </c>
      <c r="S544" s="13"/>
      <c r="T544" s="13"/>
      <c r="U544" s="13" t="s">
        <v>1670</v>
      </c>
      <c r="V544" s="13" t="s">
        <v>1670</v>
      </c>
      <c r="W544" s="59">
        <f t="shared" si="8"/>
        <v>1.8770344856756149E-4</v>
      </c>
      <c r="AC544" s="56"/>
    </row>
    <row r="545" spans="1:29">
      <c r="A545" s="13" t="s">
        <v>2114</v>
      </c>
      <c r="B545" s="13" t="s">
        <v>471</v>
      </c>
      <c r="C545" s="139">
        <v>46248</v>
      </c>
      <c r="D545" s="139" t="s">
        <v>441</v>
      </c>
      <c r="E545" s="28">
        <v>0.97789691000000001</v>
      </c>
      <c r="F545" s="13"/>
      <c r="G545" s="18">
        <v>45000000</v>
      </c>
      <c r="H545" s="18">
        <v>44005360.93</v>
      </c>
      <c r="I545" s="18">
        <v>45000000</v>
      </c>
      <c r="J545" s="18">
        <v>44005360.93</v>
      </c>
      <c r="K545" s="15">
        <v>90000331</v>
      </c>
      <c r="L545" s="13" t="s">
        <v>102</v>
      </c>
      <c r="M545" s="13" t="s">
        <v>103</v>
      </c>
      <c r="N545" s="139" t="s">
        <v>783</v>
      </c>
      <c r="O545" s="139" t="s">
        <v>783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2094</v>
      </c>
      <c r="V545" s="13" t="s">
        <v>2094</v>
      </c>
      <c r="W545" s="59">
        <f t="shared" si="8"/>
        <v>8.4070526545415266E-4</v>
      </c>
      <c r="AC545"/>
    </row>
    <row r="546" spans="1:29">
      <c r="A546" s="13" t="s">
        <v>1825</v>
      </c>
      <c r="B546" s="13" t="s">
        <v>471</v>
      </c>
      <c r="C546" s="139">
        <v>46248</v>
      </c>
      <c r="D546" s="139" t="s">
        <v>441</v>
      </c>
      <c r="E546" s="28">
        <v>0.97986587000000003</v>
      </c>
      <c r="F546" s="13"/>
      <c r="G546" s="18">
        <v>330000</v>
      </c>
      <c r="H546" s="18">
        <v>323355.74</v>
      </c>
      <c r="I546" s="18">
        <v>330000</v>
      </c>
      <c r="J546" s="18">
        <v>323355.74</v>
      </c>
      <c r="K546" s="15">
        <v>9918447</v>
      </c>
      <c r="L546" s="13" t="s">
        <v>102</v>
      </c>
      <c r="M546" s="13" t="s">
        <v>103</v>
      </c>
      <c r="N546" s="139" t="s">
        <v>172</v>
      </c>
      <c r="O546" s="139" t="s">
        <v>172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1838</v>
      </c>
      <c r="V546" s="13" t="s">
        <v>1838</v>
      </c>
      <c r="W546" s="59">
        <f t="shared" si="8"/>
        <v>6.1775853552310353E-6</v>
      </c>
    </row>
    <row r="547" spans="1:29">
      <c r="A547" s="13" t="s">
        <v>2330</v>
      </c>
      <c r="B547" s="13" t="s">
        <v>471</v>
      </c>
      <c r="C547" s="139">
        <v>46248</v>
      </c>
      <c r="D547" s="139" t="s">
        <v>441</v>
      </c>
      <c r="E547" s="28">
        <v>0.97789687000000003</v>
      </c>
      <c r="F547" s="13"/>
      <c r="G547" s="18">
        <v>2718106</v>
      </c>
      <c r="H547" s="18">
        <v>2658027.34</v>
      </c>
      <c r="I547" s="18">
        <v>2718106</v>
      </c>
      <c r="J547" s="18">
        <v>2658027.34</v>
      </c>
      <c r="K547" s="15">
        <v>4078</v>
      </c>
      <c r="L547" s="13" t="s">
        <v>102</v>
      </c>
      <c r="M547" s="13" t="s">
        <v>103</v>
      </c>
      <c r="N547" s="139" t="s">
        <v>392</v>
      </c>
      <c r="O547" s="139" t="s">
        <v>392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2270</v>
      </c>
      <c r="V547" s="13" t="s">
        <v>2270</v>
      </c>
      <c r="W547" s="59">
        <f t="shared" si="8"/>
        <v>5.0780576121480646E-5</v>
      </c>
    </row>
    <row r="548" spans="1:29">
      <c r="A548" s="13" t="s">
        <v>2489</v>
      </c>
      <c r="B548" s="13" t="s">
        <v>471</v>
      </c>
      <c r="C548" s="139">
        <v>46248</v>
      </c>
      <c r="D548" s="139" t="s">
        <v>441</v>
      </c>
      <c r="E548" s="28">
        <v>0.97986582</v>
      </c>
      <c r="F548" s="13"/>
      <c r="G548" s="18">
        <v>1768326.86</v>
      </c>
      <c r="H548" s="18">
        <v>1732723.04</v>
      </c>
      <c r="I548" s="18">
        <v>1768326.86</v>
      </c>
      <c r="J548" s="18">
        <v>1732723.04</v>
      </c>
      <c r="K548" s="15">
        <v>11347808</v>
      </c>
      <c r="L548" s="13" t="s">
        <v>102</v>
      </c>
      <c r="M548" s="13" t="s">
        <v>103</v>
      </c>
      <c r="N548" s="139" t="s">
        <v>441</v>
      </c>
      <c r="O548" s="139" t="s">
        <v>441</v>
      </c>
      <c r="P548" s="28">
        <v>30</v>
      </c>
      <c r="Q548" s="13" t="s">
        <v>54</v>
      </c>
      <c r="R548" s="13" t="s">
        <v>28</v>
      </c>
      <c r="S548" s="13"/>
      <c r="T548" s="13"/>
      <c r="U548" s="13" t="s">
        <v>2467</v>
      </c>
      <c r="V548" s="13" t="s">
        <v>2467</v>
      </c>
      <c r="W548" s="59">
        <f t="shared" si="8"/>
        <v>3.3102998191946122E-5</v>
      </c>
    </row>
    <row r="549" spans="1:29">
      <c r="A549" s="13" t="s">
        <v>1075</v>
      </c>
      <c r="B549" s="13" t="s">
        <v>471</v>
      </c>
      <c r="C549" s="139">
        <v>46252</v>
      </c>
      <c r="D549" s="139" t="s">
        <v>441</v>
      </c>
      <c r="E549" s="28">
        <v>0.97219263</v>
      </c>
      <c r="F549" s="13"/>
      <c r="G549" s="18">
        <v>3345657.98</v>
      </c>
      <c r="H549" s="18">
        <v>3252624.04</v>
      </c>
      <c r="I549" s="18">
        <v>3345657.98</v>
      </c>
      <c r="J549" s="18">
        <v>3252624.04</v>
      </c>
      <c r="K549" s="15">
        <v>228</v>
      </c>
      <c r="L549" s="13" t="s">
        <v>102</v>
      </c>
      <c r="M549" s="13" t="s">
        <v>103</v>
      </c>
      <c r="N549" s="139" t="s">
        <v>170</v>
      </c>
      <c r="O549" s="139" t="s">
        <v>170</v>
      </c>
      <c r="P549" s="28">
        <v>36</v>
      </c>
      <c r="Q549" s="13" t="s">
        <v>54</v>
      </c>
      <c r="R549" s="13" t="s">
        <v>28</v>
      </c>
      <c r="S549" s="13"/>
      <c r="T549" s="13"/>
      <c r="U549" s="13" t="s">
        <v>1638</v>
      </c>
      <c r="V549" s="13" t="s">
        <v>1638</v>
      </c>
      <c r="W549" s="59">
        <f t="shared" si="8"/>
        <v>6.214011427654386E-5</v>
      </c>
    </row>
    <row r="550" spans="1:29">
      <c r="A550" s="13" t="s">
        <v>1269</v>
      </c>
      <c r="B550" s="13" t="s">
        <v>471</v>
      </c>
      <c r="C550" s="139">
        <v>46252</v>
      </c>
      <c r="D550" s="139" t="s">
        <v>441</v>
      </c>
      <c r="E550" s="28">
        <v>0.97445079000000001</v>
      </c>
      <c r="F550" s="13"/>
      <c r="G550" s="18">
        <v>1701000</v>
      </c>
      <c r="H550" s="18">
        <v>1657540.8</v>
      </c>
      <c r="I550" s="18">
        <v>1701000</v>
      </c>
      <c r="J550" s="18">
        <v>1657540.8</v>
      </c>
      <c r="K550" s="15">
        <v>67242959</v>
      </c>
      <c r="L550" s="13" t="s">
        <v>102</v>
      </c>
      <c r="M550" s="13" t="s">
        <v>103</v>
      </c>
      <c r="N550" s="139" t="s">
        <v>319</v>
      </c>
      <c r="O550" s="139" t="s">
        <v>319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1244</v>
      </c>
      <c r="V550" s="13" t="s">
        <v>1244</v>
      </c>
      <c r="W550" s="59">
        <f t="shared" si="8"/>
        <v>3.1666670805899209E-5</v>
      </c>
    </row>
    <row r="551" spans="1:29">
      <c r="A551" s="13" t="s">
        <v>1433</v>
      </c>
      <c r="B551" s="13" t="s">
        <v>471</v>
      </c>
      <c r="C551" s="139">
        <v>46252</v>
      </c>
      <c r="D551" s="139" t="s">
        <v>441</v>
      </c>
      <c r="E551" s="28">
        <v>0.97520578999999996</v>
      </c>
      <c r="F551" s="13"/>
      <c r="G551" s="18">
        <v>3300000</v>
      </c>
      <c r="H551" s="18">
        <v>3218179.09</v>
      </c>
      <c r="I551" s="18">
        <v>3300000</v>
      </c>
      <c r="J551" s="18">
        <v>3218179.09</v>
      </c>
      <c r="K551" s="15">
        <v>13647456</v>
      </c>
      <c r="L551" s="13" t="s">
        <v>102</v>
      </c>
      <c r="M551" s="13" t="s">
        <v>103</v>
      </c>
      <c r="N551" s="139" t="s">
        <v>373</v>
      </c>
      <c r="O551" s="139" t="s">
        <v>373</v>
      </c>
      <c r="P551" s="28">
        <v>32</v>
      </c>
      <c r="Q551" s="13" t="s">
        <v>54</v>
      </c>
      <c r="R551" s="13" t="s">
        <v>28</v>
      </c>
      <c r="S551" s="13"/>
      <c r="T551" s="13"/>
      <c r="U551" s="13" t="s">
        <v>1436</v>
      </c>
      <c r="V551" s="13" t="s">
        <v>1436</v>
      </c>
      <c r="W551" s="59">
        <f t="shared" si="8"/>
        <v>6.1482056934862944E-5</v>
      </c>
    </row>
    <row r="552" spans="1:29">
      <c r="A552" s="13" t="s">
        <v>583</v>
      </c>
      <c r="B552" s="13" t="s">
        <v>471</v>
      </c>
      <c r="C552" s="139">
        <v>46252</v>
      </c>
      <c r="D552" s="139" t="s">
        <v>441</v>
      </c>
      <c r="E552" s="28">
        <v>0.96919809000000001</v>
      </c>
      <c r="F552" s="13"/>
      <c r="G552" s="18">
        <v>9943984.5</v>
      </c>
      <c r="H552" s="18">
        <v>9637690.7799999993</v>
      </c>
      <c r="I552" s="18">
        <v>9943984.5</v>
      </c>
      <c r="J552" s="18">
        <v>9637690.7799999993</v>
      </c>
      <c r="K552" s="15">
        <v>1820</v>
      </c>
      <c r="L552" s="13" t="s">
        <v>102</v>
      </c>
      <c r="M552" s="13" t="s">
        <v>103</v>
      </c>
      <c r="N552" s="139" t="s">
        <v>346</v>
      </c>
      <c r="O552" s="139" t="s">
        <v>346</v>
      </c>
      <c r="P552" s="28">
        <v>40</v>
      </c>
      <c r="Q552" s="13" t="s">
        <v>54</v>
      </c>
      <c r="R552" s="13" t="s">
        <v>28</v>
      </c>
      <c r="S552" s="13"/>
      <c r="T552" s="13"/>
      <c r="U552" s="13" t="s">
        <v>572</v>
      </c>
      <c r="V552" s="13" t="s">
        <v>572</v>
      </c>
      <c r="W552" s="59">
        <f t="shared" si="8"/>
        <v>1.8412432518059884E-4</v>
      </c>
    </row>
    <row r="553" spans="1:29">
      <c r="A553" s="13" t="s">
        <v>583</v>
      </c>
      <c r="B553" s="13" t="s">
        <v>471</v>
      </c>
      <c r="C553" s="139">
        <v>46252</v>
      </c>
      <c r="D553" s="139" t="s">
        <v>441</v>
      </c>
      <c r="E553" s="28">
        <v>0.96919809000000001</v>
      </c>
      <c r="F553" s="13"/>
      <c r="G553" s="18">
        <v>9943984.5</v>
      </c>
      <c r="H553" s="18">
        <v>9637690.7799999993</v>
      </c>
      <c r="I553" s="18">
        <v>9943984.5</v>
      </c>
      <c r="J553" s="18">
        <v>9637690.7799999993</v>
      </c>
      <c r="K553" s="15">
        <v>1819</v>
      </c>
      <c r="L553" s="13" t="s">
        <v>102</v>
      </c>
      <c r="M553" s="13" t="s">
        <v>103</v>
      </c>
      <c r="N553" s="139" t="s">
        <v>346</v>
      </c>
      <c r="O553" s="139" t="s">
        <v>346</v>
      </c>
      <c r="P553" s="28">
        <v>40</v>
      </c>
      <c r="Q553" s="13" t="s">
        <v>54</v>
      </c>
      <c r="R553" s="13" t="s">
        <v>28</v>
      </c>
      <c r="S553" s="13"/>
      <c r="T553" s="13"/>
      <c r="U553" s="13" t="s">
        <v>577</v>
      </c>
      <c r="V553" s="13" t="s">
        <v>577</v>
      </c>
      <c r="W553" s="59">
        <f t="shared" si="8"/>
        <v>1.8412432518059884E-4</v>
      </c>
    </row>
    <row r="554" spans="1:29">
      <c r="A554" s="13" t="s">
        <v>653</v>
      </c>
      <c r="B554" s="13" t="s">
        <v>471</v>
      </c>
      <c r="C554" s="139">
        <v>46252</v>
      </c>
      <c r="D554" s="139" t="s">
        <v>441</v>
      </c>
      <c r="E554" s="28">
        <v>0.97671931999999995</v>
      </c>
      <c r="F554" s="13"/>
      <c r="G554" s="18">
        <v>5000000</v>
      </c>
      <c r="H554" s="18">
        <v>4883596.59</v>
      </c>
      <c r="I554" s="18">
        <v>5000000</v>
      </c>
      <c r="J554" s="18">
        <v>4883596.59</v>
      </c>
      <c r="K554" s="15">
        <v>3501229</v>
      </c>
      <c r="L554" s="13" t="s">
        <v>102</v>
      </c>
      <c r="M554" s="13" t="s">
        <v>103</v>
      </c>
      <c r="N554" s="139" t="s">
        <v>358</v>
      </c>
      <c r="O554" s="139" t="s">
        <v>358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622</v>
      </c>
      <c r="V554" s="13" t="s">
        <v>622</v>
      </c>
      <c r="W554" s="59">
        <f t="shared" si="8"/>
        <v>9.3299209023598047E-5</v>
      </c>
    </row>
    <row r="555" spans="1:29">
      <c r="A555" s="13" t="s">
        <v>653</v>
      </c>
      <c r="B555" s="13" t="s">
        <v>471</v>
      </c>
      <c r="C555" s="139">
        <v>46252</v>
      </c>
      <c r="D555" s="139" t="s">
        <v>441</v>
      </c>
      <c r="E555" s="28">
        <v>0.97445071999999999</v>
      </c>
      <c r="F555" s="13"/>
      <c r="G555" s="18">
        <v>5600000</v>
      </c>
      <c r="H555" s="18">
        <v>5456924.0199999996</v>
      </c>
      <c r="I555" s="18">
        <v>5600000</v>
      </c>
      <c r="J555" s="18">
        <v>5456924.0199999996</v>
      </c>
      <c r="K555" s="15">
        <v>3501250</v>
      </c>
      <c r="L555" s="13" t="s">
        <v>102</v>
      </c>
      <c r="M555" s="13" t="s">
        <v>103</v>
      </c>
      <c r="N555" s="139" t="s">
        <v>355</v>
      </c>
      <c r="O555" s="139" t="s">
        <v>355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844</v>
      </c>
      <c r="V555" s="13" t="s">
        <v>844</v>
      </c>
      <c r="W555" s="59">
        <f t="shared" si="8"/>
        <v>1.0425240606695421E-4</v>
      </c>
    </row>
    <row r="556" spans="1:29">
      <c r="A556" s="13" t="s">
        <v>481</v>
      </c>
      <c r="B556" s="13" t="s">
        <v>471</v>
      </c>
      <c r="C556" s="139">
        <v>46252</v>
      </c>
      <c r="D556" s="139" t="s">
        <v>441</v>
      </c>
      <c r="E556" s="28">
        <v>0.97069306</v>
      </c>
      <c r="F556" s="13"/>
      <c r="G556" s="18">
        <v>43000000</v>
      </c>
      <c r="H556" s="18">
        <v>41739801.689999998</v>
      </c>
      <c r="I556" s="18">
        <v>43000000</v>
      </c>
      <c r="J556" s="18">
        <v>41739801.689999998</v>
      </c>
      <c r="K556" s="15">
        <v>151340</v>
      </c>
      <c r="L556" s="13" t="s">
        <v>102</v>
      </c>
      <c r="M556" s="13" t="s">
        <v>103</v>
      </c>
      <c r="N556" s="139" t="s">
        <v>401</v>
      </c>
      <c r="O556" s="139" t="s">
        <v>401</v>
      </c>
      <c r="P556" s="28">
        <v>38</v>
      </c>
      <c r="Q556" s="13" t="s">
        <v>54</v>
      </c>
      <c r="R556" s="13" t="s">
        <v>28</v>
      </c>
      <c r="S556" s="13"/>
      <c r="T556" s="13"/>
      <c r="U556" s="13" t="s">
        <v>1530</v>
      </c>
      <c r="V556" s="13" t="s">
        <v>1530</v>
      </c>
      <c r="W556" s="59">
        <f t="shared" si="8"/>
        <v>7.9742263938284072E-4</v>
      </c>
      <c r="AC556" s="56"/>
    </row>
    <row r="557" spans="1:29">
      <c r="A557" s="13" t="s">
        <v>1389</v>
      </c>
      <c r="B557" s="13" t="s">
        <v>471</v>
      </c>
      <c r="C557" s="139">
        <v>46252</v>
      </c>
      <c r="D557" s="139" t="s">
        <v>441</v>
      </c>
      <c r="E557" s="28">
        <v>0.97445073000000004</v>
      </c>
      <c r="F557" s="13"/>
      <c r="G557" s="18">
        <v>2200000</v>
      </c>
      <c r="H557" s="18">
        <v>2143791.6</v>
      </c>
      <c r="I557" s="18">
        <v>2200000</v>
      </c>
      <c r="J557" s="18">
        <v>2143791.6</v>
      </c>
      <c r="K557" s="15">
        <v>6189</v>
      </c>
      <c r="L557" s="13" t="s">
        <v>102</v>
      </c>
      <c r="M557" s="13" t="s">
        <v>103</v>
      </c>
      <c r="N557" s="139" t="s">
        <v>351</v>
      </c>
      <c r="O557" s="139" t="s">
        <v>351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1382</v>
      </c>
      <c r="V557" s="13" t="s">
        <v>1382</v>
      </c>
      <c r="W557" s="59">
        <f t="shared" si="8"/>
        <v>4.0956302779184651E-5</v>
      </c>
      <c r="AC557" s="56"/>
    </row>
    <row r="558" spans="1:29">
      <c r="A558" s="13" t="s">
        <v>432</v>
      </c>
      <c r="B558" s="13" t="s">
        <v>471</v>
      </c>
      <c r="C558" s="139">
        <v>46252</v>
      </c>
      <c r="D558" s="139" t="s">
        <v>441</v>
      </c>
      <c r="E558" s="28">
        <v>0.97219263</v>
      </c>
      <c r="F558" s="13"/>
      <c r="G558" s="18">
        <v>2304789</v>
      </c>
      <c r="H558" s="18">
        <v>2240698.89</v>
      </c>
      <c r="I558" s="18">
        <v>2304789</v>
      </c>
      <c r="J558" s="18">
        <v>2240698.89</v>
      </c>
      <c r="K558" s="15">
        <v>2766</v>
      </c>
      <c r="L558" s="13" t="s">
        <v>102</v>
      </c>
      <c r="M558" s="13" t="s">
        <v>103</v>
      </c>
      <c r="N558" s="139" t="s">
        <v>170</v>
      </c>
      <c r="O558" s="139" t="s">
        <v>170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1644</v>
      </c>
      <c r="V558" s="13" t="s">
        <v>1644</v>
      </c>
      <c r="W558" s="59">
        <f t="shared" si="8"/>
        <v>4.2807678776156679E-5</v>
      </c>
    </row>
    <row r="559" spans="1:29">
      <c r="A559" s="13" t="s">
        <v>193</v>
      </c>
      <c r="B559" s="13" t="s">
        <v>471</v>
      </c>
      <c r="C559" s="139">
        <v>46252</v>
      </c>
      <c r="D559" s="139" t="s">
        <v>441</v>
      </c>
      <c r="E559" s="28">
        <v>0.97069322000000002</v>
      </c>
      <c r="F559" s="13"/>
      <c r="G559" s="18">
        <v>215000000</v>
      </c>
      <c r="H559" s="18">
        <v>208699043.19999999</v>
      </c>
      <c r="I559" s="18">
        <v>215000000</v>
      </c>
      <c r="J559" s="18">
        <v>208699043.19999999</v>
      </c>
      <c r="K559" s="15">
        <v>70390705</v>
      </c>
      <c r="L559" s="13" t="s">
        <v>102</v>
      </c>
      <c r="M559" s="13" t="s">
        <v>103</v>
      </c>
      <c r="N559" s="139" t="s">
        <v>484</v>
      </c>
      <c r="O559" s="139" t="s">
        <v>484</v>
      </c>
      <c r="P559" s="28">
        <v>38</v>
      </c>
      <c r="Q559" s="13" t="s">
        <v>54</v>
      </c>
      <c r="R559" s="13" t="s">
        <v>28</v>
      </c>
      <c r="S559" s="13"/>
      <c r="T559" s="13"/>
      <c r="U559" s="13" t="s">
        <v>1708</v>
      </c>
      <c r="V559" s="13" t="s">
        <v>1708</v>
      </c>
      <c r="W559" s="59">
        <f t="shared" si="8"/>
        <v>3.987113860799407E-3</v>
      </c>
    </row>
    <row r="560" spans="1:29">
      <c r="A560" s="13" t="s">
        <v>300</v>
      </c>
      <c r="B560" s="13" t="s">
        <v>471</v>
      </c>
      <c r="C560" s="139">
        <v>46252</v>
      </c>
      <c r="D560" s="139" t="s">
        <v>441</v>
      </c>
      <c r="E560" s="28">
        <v>0.97069311999999996</v>
      </c>
      <c r="F560" s="13"/>
      <c r="G560" s="18">
        <v>5450000</v>
      </c>
      <c r="H560" s="18">
        <v>5290277.4800000004</v>
      </c>
      <c r="I560" s="18">
        <v>5450000</v>
      </c>
      <c r="J560" s="18">
        <v>5290277.4800000004</v>
      </c>
      <c r="K560" s="15">
        <v>28517</v>
      </c>
      <c r="L560" s="13" t="s">
        <v>102</v>
      </c>
      <c r="M560" s="13" t="s">
        <v>103</v>
      </c>
      <c r="N560" s="139" t="s">
        <v>306</v>
      </c>
      <c r="O560" s="139" t="s">
        <v>306</v>
      </c>
      <c r="P560" s="28">
        <v>38</v>
      </c>
      <c r="Q560" s="13" t="s">
        <v>54</v>
      </c>
      <c r="R560" s="13" t="s">
        <v>28</v>
      </c>
      <c r="S560" s="13"/>
      <c r="T560" s="13"/>
      <c r="U560" s="13" t="s">
        <v>528</v>
      </c>
      <c r="V560" s="13" t="s">
        <v>528</v>
      </c>
      <c r="W560" s="59">
        <f t="shared" si="8"/>
        <v>1.010686888859822E-4</v>
      </c>
      <c r="AC560" s="56"/>
    </row>
    <row r="561" spans="1:29">
      <c r="A561" s="13" t="s">
        <v>395</v>
      </c>
      <c r="B561" s="13" t="s">
        <v>471</v>
      </c>
      <c r="C561" s="139">
        <v>46252</v>
      </c>
      <c r="D561" s="139" t="s">
        <v>441</v>
      </c>
      <c r="E561" s="28">
        <v>0.96696426000000002</v>
      </c>
      <c r="F561" s="13"/>
      <c r="G561" s="18">
        <v>3500000</v>
      </c>
      <c r="H561" s="18">
        <v>3384374.93</v>
      </c>
      <c r="I561" s="18">
        <v>3500000</v>
      </c>
      <c r="J561" s="18">
        <v>3384374.93</v>
      </c>
      <c r="K561" s="15">
        <v>3075</v>
      </c>
      <c r="L561" s="13" t="s">
        <v>102</v>
      </c>
      <c r="M561" s="13" t="s">
        <v>103</v>
      </c>
      <c r="N561" s="139" t="s">
        <v>228</v>
      </c>
      <c r="O561" s="139" t="s">
        <v>228</v>
      </c>
      <c r="P561" s="28">
        <v>43</v>
      </c>
      <c r="Q561" s="13" t="s">
        <v>54</v>
      </c>
      <c r="R561" s="13" t="s">
        <v>28</v>
      </c>
      <c r="S561" s="13"/>
      <c r="T561" s="13"/>
      <c r="U561" s="13" t="s">
        <v>390</v>
      </c>
      <c r="V561" s="13" t="s">
        <v>390</v>
      </c>
      <c r="W561" s="59">
        <f t="shared" si="8"/>
        <v>6.4657163668036509E-5</v>
      </c>
    </row>
    <row r="562" spans="1:29">
      <c r="A562" s="13" t="s">
        <v>661</v>
      </c>
      <c r="B562" s="13" t="s">
        <v>471</v>
      </c>
      <c r="C562" s="139">
        <v>46252</v>
      </c>
      <c r="D562" s="139" t="s">
        <v>441</v>
      </c>
      <c r="E562" s="28">
        <v>0.97520574999999998</v>
      </c>
      <c r="F562" s="13"/>
      <c r="G562" s="18">
        <v>15000000</v>
      </c>
      <c r="H562" s="18">
        <v>14628086.25</v>
      </c>
      <c r="I562" s="18">
        <v>15000000</v>
      </c>
      <c r="J562" s="18">
        <v>14628086.25</v>
      </c>
      <c r="K562" s="15">
        <v>176</v>
      </c>
      <c r="L562" s="13" t="s">
        <v>102</v>
      </c>
      <c r="M562" s="13" t="s">
        <v>103</v>
      </c>
      <c r="N562" s="139" t="s">
        <v>358</v>
      </c>
      <c r="O562" s="139" t="s">
        <v>358</v>
      </c>
      <c r="P562" s="28">
        <v>32</v>
      </c>
      <c r="Q562" s="13" t="s">
        <v>54</v>
      </c>
      <c r="R562" s="13" t="s">
        <v>28</v>
      </c>
      <c r="S562" s="13"/>
      <c r="T562" s="13"/>
      <c r="U562" s="13" t="s">
        <v>596</v>
      </c>
      <c r="V562" s="13" t="s">
        <v>596</v>
      </c>
      <c r="W562" s="59">
        <f t="shared" si="8"/>
        <v>2.7946388517196717E-4</v>
      </c>
      <c r="AC562" s="56"/>
    </row>
    <row r="563" spans="1:29">
      <c r="A563" s="13" t="s">
        <v>1555</v>
      </c>
      <c r="B563" s="13" t="s">
        <v>471</v>
      </c>
      <c r="C563" s="139">
        <v>46252</v>
      </c>
      <c r="D563" s="139" t="s">
        <v>441</v>
      </c>
      <c r="E563" s="28">
        <v>0.97294420999999998</v>
      </c>
      <c r="F563" s="13"/>
      <c r="G563" s="18">
        <v>50000000</v>
      </c>
      <c r="H563" s="18">
        <v>48647210.420000002</v>
      </c>
      <c r="I563" s="18">
        <v>50000000</v>
      </c>
      <c r="J563" s="18">
        <v>48647210.420000002</v>
      </c>
      <c r="K563" s="15">
        <v>300</v>
      </c>
      <c r="L563" s="13" t="s">
        <v>102</v>
      </c>
      <c r="M563" s="13" t="s">
        <v>103</v>
      </c>
      <c r="N563" s="139" t="s">
        <v>400</v>
      </c>
      <c r="O563" s="139" t="s">
        <v>400</v>
      </c>
      <c r="P563" s="28">
        <v>35</v>
      </c>
      <c r="Q563" s="13" t="s">
        <v>54</v>
      </c>
      <c r="R563" s="13" t="s">
        <v>28</v>
      </c>
      <c r="S563" s="13"/>
      <c r="T563" s="13"/>
      <c r="U563" s="13" t="s">
        <v>1543</v>
      </c>
      <c r="V563" s="13" t="s">
        <v>1543</v>
      </c>
      <c r="W563" s="59">
        <f t="shared" si="8"/>
        <v>9.2938599037528961E-4</v>
      </c>
    </row>
    <row r="564" spans="1:29">
      <c r="A564" s="13" t="s">
        <v>2330</v>
      </c>
      <c r="B564" s="13" t="s">
        <v>471</v>
      </c>
      <c r="C564" s="139">
        <v>46252</v>
      </c>
      <c r="D564" s="139" t="s">
        <v>441</v>
      </c>
      <c r="E564" s="28">
        <v>0.97445097000000003</v>
      </c>
      <c r="F564" s="13"/>
      <c r="G564" s="18">
        <v>2718108.62</v>
      </c>
      <c r="H564" s="18">
        <v>2648663.5699999998</v>
      </c>
      <c r="I564" s="18">
        <v>2718108.62</v>
      </c>
      <c r="J564" s="18">
        <v>2648663.5699999998</v>
      </c>
      <c r="K564" s="15">
        <v>4079</v>
      </c>
      <c r="L564" s="13" t="s">
        <v>102</v>
      </c>
      <c r="M564" s="13" t="s">
        <v>103</v>
      </c>
      <c r="N564" s="139" t="s">
        <v>392</v>
      </c>
      <c r="O564" s="139" t="s">
        <v>392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2272</v>
      </c>
      <c r="V564" s="13" t="s">
        <v>2272</v>
      </c>
      <c r="W564" s="59">
        <f t="shared" si="8"/>
        <v>5.0601684946016272E-5</v>
      </c>
    </row>
    <row r="565" spans="1:29">
      <c r="A565" s="13" t="s">
        <v>2488</v>
      </c>
      <c r="B565" s="13" t="s">
        <v>471</v>
      </c>
      <c r="C565" s="139">
        <v>46252</v>
      </c>
      <c r="D565" s="139" t="s">
        <v>441</v>
      </c>
      <c r="E565" s="28">
        <v>0.97671931000000001</v>
      </c>
      <c r="F565" s="13"/>
      <c r="G565" s="18">
        <v>2870567.11</v>
      </c>
      <c r="H565" s="18">
        <v>2803738.32</v>
      </c>
      <c r="I565" s="18">
        <v>2870567.11</v>
      </c>
      <c r="J565" s="18">
        <v>2803738.32</v>
      </c>
      <c r="K565" s="15">
        <v>95</v>
      </c>
      <c r="L565" s="13" t="s">
        <v>102</v>
      </c>
      <c r="M565" s="13" t="s">
        <v>103</v>
      </c>
      <c r="N565" s="139" t="s">
        <v>441</v>
      </c>
      <c r="O565" s="139" t="s">
        <v>441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2466</v>
      </c>
      <c r="V565" s="13" t="s">
        <v>2466</v>
      </c>
      <c r="W565" s="59">
        <f t="shared" si="8"/>
        <v>5.3564327590201633E-5</v>
      </c>
    </row>
    <row r="566" spans="1:29">
      <c r="A566" s="13" t="s">
        <v>698</v>
      </c>
      <c r="B566" s="13" t="s">
        <v>471</v>
      </c>
      <c r="C566" s="139">
        <v>46253</v>
      </c>
      <c r="D566" s="139" t="s">
        <v>441</v>
      </c>
      <c r="E566" s="28">
        <v>0.97829001999999998</v>
      </c>
      <c r="F566" s="13"/>
      <c r="G566" s="18">
        <v>2900000</v>
      </c>
      <c r="H566" s="18">
        <v>2837041.05</v>
      </c>
      <c r="I566" s="18">
        <v>2900000</v>
      </c>
      <c r="J566" s="18">
        <v>2837041.05</v>
      </c>
      <c r="K566" s="15">
        <v>10946</v>
      </c>
      <c r="L566" s="13" t="s">
        <v>102</v>
      </c>
      <c r="M566" s="13" t="s">
        <v>103</v>
      </c>
      <c r="N566" s="139" t="s">
        <v>431</v>
      </c>
      <c r="O566" s="139" t="s">
        <v>431</v>
      </c>
      <c r="P566" s="28">
        <v>27</v>
      </c>
      <c r="Q566" s="13" t="s">
        <v>54</v>
      </c>
      <c r="R566" s="13" t="s">
        <v>28</v>
      </c>
      <c r="S566" s="13"/>
      <c r="T566" s="13"/>
      <c r="U566" s="13" t="s">
        <v>1909</v>
      </c>
      <c r="V566" s="13" t="s">
        <v>1909</v>
      </c>
      <c r="W566" s="59">
        <f t="shared" si="8"/>
        <v>5.4200563264067241E-5</v>
      </c>
    </row>
    <row r="567" spans="1:29">
      <c r="A567" s="13" t="s">
        <v>698</v>
      </c>
      <c r="B567" s="13" t="s">
        <v>471</v>
      </c>
      <c r="C567" s="139">
        <v>46253</v>
      </c>
      <c r="D567" s="139" t="s">
        <v>441</v>
      </c>
      <c r="E567" s="28">
        <v>0.97671931999999995</v>
      </c>
      <c r="F567" s="13"/>
      <c r="G567" s="18">
        <v>5000000</v>
      </c>
      <c r="H567" s="18">
        <v>4883596.6100000003</v>
      </c>
      <c r="I567" s="18">
        <v>5000000</v>
      </c>
      <c r="J567" s="18">
        <v>4883596.6100000003</v>
      </c>
      <c r="K567" s="15">
        <v>6880</v>
      </c>
      <c r="L567" s="13" t="s">
        <v>102</v>
      </c>
      <c r="M567" s="13" t="s">
        <v>103</v>
      </c>
      <c r="N567" s="139" t="s">
        <v>327</v>
      </c>
      <c r="O567" s="139" t="s">
        <v>327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753</v>
      </c>
      <c r="V567" s="13" t="s">
        <v>753</v>
      </c>
      <c r="W567" s="59">
        <f t="shared" si="8"/>
        <v>9.3299209405690259E-5</v>
      </c>
    </row>
    <row r="568" spans="1:29">
      <c r="A568" s="13" t="s">
        <v>698</v>
      </c>
      <c r="B568" s="13" t="s">
        <v>471</v>
      </c>
      <c r="C568" s="139">
        <v>46253</v>
      </c>
      <c r="D568" s="139" t="s">
        <v>441</v>
      </c>
      <c r="E568" s="28">
        <v>0.97986585999999998</v>
      </c>
      <c r="F568" s="13"/>
      <c r="G568" s="18">
        <v>30000000</v>
      </c>
      <c r="H568" s="18">
        <v>29395975.690000001</v>
      </c>
      <c r="I568" s="18">
        <v>30000000</v>
      </c>
      <c r="J568" s="18">
        <v>29395975.690000001</v>
      </c>
      <c r="K568" s="15">
        <v>126</v>
      </c>
      <c r="L568" s="13" t="s">
        <v>102</v>
      </c>
      <c r="M568" s="13" t="s">
        <v>103</v>
      </c>
      <c r="N568" s="139" t="s">
        <v>509</v>
      </c>
      <c r="O568" s="139" t="s">
        <v>509</v>
      </c>
      <c r="P568" s="28">
        <v>25</v>
      </c>
      <c r="Q568" s="13" t="s">
        <v>54</v>
      </c>
      <c r="R568" s="13" t="s">
        <v>28</v>
      </c>
      <c r="S568" s="13"/>
      <c r="T568" s="13"/>
      <c r="U568" s="13" t="s">
        <v>2038</v>
      </c>
      <c r="V568" s="13" t="s">
        <v>2038</v>
      </c>
      <c r="W568" s="59">
        <f t="shared" si="8"/>
        <v>5.6159865578780672E-4</v>
      </c>
    </row>
    <row r="569" spans="1:29">
      <c r="A569" s="13" t="s">
        <v>581</v>
      </c>
      <c r="B569" s="13" t="s">
        <v>471</v>
      </c>
      <c r="C569" s="139">
        <v>46253</v>
      </c>
      <c r="D569" s="139" t="s">
        <v>441</v>
      </c>
      <c r="E569" s="28">
        <v>0.97671929999999996</v>
      </c>
      <c r="F569" s="13"/>
      <c r="G569" s="18">
        <v>2500000</v>
      </c>
      <c r="H569" s="18">
        <v>2441798.2400000002</v>
      </c>
      <c r="I569" s="18">
        <v>2500000</v>
      </c>
      <c r="J569" s="18">
        <v>2441798.2400000002</v>
      </c>
      <c r="K569" s="15">
        <v>366</v>
      </c>
      <c r="L569" s="13" t="s">
        <v>102</v>
      </c>
      <c r="M569" s="13" t="s">
        <v>103</v>
      </c>
      <c r="N569" s="139" t="s">
        <v>358</v>
      </c>
      <c r="O569" s="139" t="s">
        <v>358</v>
      </c>
      <c r="P569" s="28">
        <v>29</v>
      </c>
      <c r="Q569" s="13" t="s">
        <v>54</v>
      </c>
      <c r="R569" s="13" t="s">
        <v>28</v>
      </c>
      <c r="S569" s="13"/>
      <c r="T569" s="13"/>
      <c r="U569" s="13" t="s">
        <v>589</v>
      </c>
      <c r="V569" s="13" t="s">
        <v>589</v>
      </c>
      <c r="W569" s="59">
        <f t="shared" si="8"/>
        <v>4.6649603461045471E-5</v>
      </c>
      <c r="AC569" s="56"/>
    </row>
    <row r="570" spans="1:29">
      <c r="A570" s="13" t="s">
        <v>1075</v>
      </c>
      <c r="B570" s="13" t="s">
        <v>471</v>
      </c>
      <c r="C570" s="139">
        <v>46253</v>
      </c>
      <c r="D570" s="139" t="s">
        <v>441</v>
      </c>
      <c r="E570" s="28">
        <v>0.97126142999999998</v>
      </c>
      <c r="F570" s="13"/>
      <c r="G570" s="18">
        <v>3345657.98</v>
      </c>
      <c r="H570" s="18">
        <v>3249508.54</v>
      </c>
      <c r="I570" s="18">
        <v>3345657.98</v>
      </c>
      <c r="J570" s="18">
        <v>3249508.54</v>
      </c>
      <c r="K570" s="15">
        <v>229</v>
      </c>
      <c r="L570" s="13" t="s">
        <v>102</v>
      </c>
      <c r="M570" s="13" t="s">
        <v>103</v>
      </c>
      <c r="N570" s="139" t="s">
        <v>170</v>
      </c>
      <c r="O570" s="139" t="s">
        <v>170</v>
      </c>
      <c r="P570" s="28">
        <v>36</v>
      </c>
      <c r="Q570" s="13" t="s">
        <v>54</v>
      </c>
      <c r="R570" s="13" t="s">
        <v>28</v>
      </c>
      <c r="S570" s="13"/>
      <c r="T570" s="13"/>
      <c r="U570" s="13" t="s">
        <v>1639</v>
      </c>
      <c r="V570" s="13" t="s">
        <v>1639</v>
      </c>
      <c r="W570" s="59">
        <f t="shared" si="8"/>
        <v>6.2080593863594885E-5</v>
      </c>
      <c r="AC570" s="56"/>
    </row>
    <row r="571" spans="1:29">
      <c r="A571" s="13" t="s">
        <v>1107</v>
      </c>
      <c r="B571" s="13" t="s">
        <v>471</v>
      </c>
      <c r="C571" s="139">
        <v>46253</v>
      </c>
      <c r="D571" s="139" t="s">
        <v>441</v>
      </c>
      <c r="E571" s="28">
        <v>0.97359306999999995</v>
      </c>
      <c r="F571" s="13"/>
      <c r="G571" s="18">
        <v>2000000</v>
      </c>
      <c r="H571" s="18">
        <v>1947186.15</v>
      </c>
      <c r="I571" s="18">
        <v>2000000</v>
      </c>
      <c r="J571" s="18">
        <v>1947186.15</v>
      </c>
      <c r="K571" s="15">
        <v>436</v>
      </c>
      <c r="L571" s="13" t="s">
        <v>102</v>
      </c>
      <c r="M571" s="13" t="s">
        <v>103</v>
      </c>
      <c r="N571" s="139" t="s">
        <v>484</v>
      </c>
      <c r="O571" s="139" t="s">
        <v>484</v>
      </c>
      <c r="P571" s="28">
        <v>33</v>
      </c>
      <c r="Q571" s="13" t="s">
        <v>54</v>
      </c>
      <c r="R571" s="13" t="s">
        <v>28</v>
      </c>
      <c r="S571" s="13"/>
      <c r="T571" s="13"/>
      <c r="U571" s="13" t="s">
        <v>1705</v>
      </c>
      <c r="V571" s="13" t="s">
        <v>1705</v>
      </c>
      <c r="W571" s="59">
        <f t="shared" si="8"/>
        <v>3.7200232301887392E-5</v>
      </c>
    </row>
    <row r="572" spans="1:29">
      <c r="A572" s="13" t="s">
        <v>1268</v>
      </c>
      <c r="B572" s="13" t="s">
        <v>471</v>
      </c>
      <c r="C572" s="139">
        <v>46253</v>
      </c>
      <c r="D572" s="139" t="s">
        <v>441</v>
      </c>
      <c r="E572" s="28">
        <v>0.97359302000000003</v>
      </c>
      <c r="F572" s="13"/>
      <c r="G572" s="18">
        <v>3000000</v>
      </c>
      <c r="H572" s="18">
        <v>2920779.06</v>
      </c>
      <c r="I572" s="18">
        <v>3000000</v>
      </c>
      <c r="J572" s="18">
        <v>2920779.06</v>
      </c>
      <c r="K572" s="15">
        <v>90015795</v>
      </c>
      <c r="L572" s="13" t="s">
        <v>102</v>
      </c>
      <c r="M572" s="13" t="s">
        <v>103</v>
      </c>
      <c r="N572" s="139" t="s">
        <v>319</v>
      </c>
      <c r="O572" s="139" t="s">
        <v>319</v>
      </c>
      <c r="P572" s="28">
        <v>33</v>
      </c>
      <c r="Q572" s="13" t="s">
        <v>54</v>
      </c>
      <c r="R572" s="13" t="s">
        <v>28</v>
      </c>
      <c r="S572" s="13"/>
      <c r="T572" s="13"/>
      <c r="U572" s="13" t="s">
        <v>1237</v>
      </c>
      <c r="V572" s="13" t="s">
        <v>1237</v>
      </c>
      <c r="W572" s="59">
        <f t="shared" si="8"/>
        <v>5.5800345300570419E-5</v>
      </c>
    </row>
    <row r="573" spans="1:29">
      <c r="A573" s="13" t="s">
        <v>583</v>
      </c>
      <c r="B573" s="13" t="s">
        <v>471</v>
      </c>
      <c r="C573" s="139">
        <v>46253</v>
      </c>
      <c r="D573" s="139" t="s">
        <v>441</v>
      </c>
      <c r="E573" s="28">
        <v>0.96816983000000001</v>
      </c>
      <c r="F573" s="13"/>
      <c r="G573" s="18">
        <v>9943984.5</v>
      </c>
      <c r="H573" s="18">
        <v>9627465.7699999996</v>
      </c>
      <c r="I573" s="18">
        <v>9943984.5</v>
      </c>
      <c r="J573" s="18">
        <v>9627465.7699999996</v>
      </c>
      <c r="K573" s="15">
        <v>1821</v>
      </c>
      <c r="L573" s="13" t="s">
        <v>102</v>
      </c>
      <c r="M573" s="13" t="s">
        <v>103</v>
      </c>
      <c r="N573" s="139" t="s">
        <v>346</v>
      </c>
      <c r="O573" s="139" t="s">
        <v>346</v>
      </c>
      <c r="P573" s="28">
        <v>40</v>
      </c>
      <c r="Q573" s="13" t="s">
        <v>54</v>
      </c>
      <c r="R573" s="13" t="s">
        <v>28</v>
      </c>
      <c r="S573" s="13"/>
      <c r="T573" s="13"/>
      <c r="U573" s="13" t="s">
        <v>573</v>
      </c>
      <c r="V573" s="13" t="s">
        <v>573</v>
      </c>
      <c r="W573" s="59">
        <f t="shared" si="8"/>
        <v>1.8392898035068153E-4</v>
      </c>
    </row>
    <row r="574" spans="1:29">
      <c r="A574" s="13" t="s">
        <v>583</v>
      </c>
      <c r="B574" s="13" t="s">
        <v>471</v>
      </c>
      <c r="C574" s="139">
        <v>46253</v>
      </c>
      <c r="D574" s="139" t="s">
        <v>441</v>
      </c>
      <c r="E574" s="28">
        <v>0.96816983000000001</v>
      </c>
      <c r="F574" s="13"/>
      <c r="G574" s="18">
        <v>9943984.5</v>
      </c>
      <c r="H574" s="18">
        <v>9627465.7699999996</v>
      </c>
      <c r="I574" s="18">
        <v>9943984.5</v>
      </c>
      <c r="J574" s="18">
        <v>9627465.7699999996</v>
      </c>
      <c r="K574" s="15">
        <v>1822</v>
      </c>
      <c r="L574" s="13" t="s">
        <v>102</v>
      </c>
      <c r="M574" s="13" t="s">
        <v>103</v>
      </c>
      <c r="N574" s="139" t="s">
        <v>346</v>
      </c>
      <c r="O574" s="139" t="s">
        <v>346</v>
      </c>
      <c r="P574" s="28">
        <v>40</v>
      </c>
      <c r="Q574" s="13" t="s">
        <v>54</v>
      </c>
      <c r="R574" s="13" t="s">
        <v>28</v>
      </c>
      <c r="S574" s="13"/>
      <c r="T574" s="13"/>
      <c r="U574" s="13" t="s">
        <v>578</v>
      </c>
      <c r="V574" s="13" t="s">
        <v>578</v>
      </c>
      <c r="W574" s="59">
        <f t="shared" si="8"/>
        <v>1.8392898035068153E-4</v>
      </c>
    </row>
    <row r="575" spans="1:29">
      <c r="A575" s="13" t="s">
        <v>699</v>
      </c>
      <c r="B575" s="13" t="s">
        <v>471</v>
      </c>
      <c r="C575" s="139">
        <v>46253</v>
      </c>
      <c r="D575" s="139" t="s">
        <v>441</v>
      </c>
      <c r="E575" s="28">
        <v>0.97359315000000002</v>
      </c>
      <c r="F575" s="13"/>
      <c r="G575" s="18">
        <v>10000000</v>
      </c>
      <c r="H575" s="18">
        <v>9735931.4700000007</v>
      </c>
      <c r="I575" s="18">
        <v>10000000</v>
      </c>
      <c r="J575" s="18">
        <v>9735931.4700000007</v>
      </c>
      <c r="K575" s="15">
        <v>29692616</v>
      </c>
      <c r="L575" s="13" t="s">
        <v>102</v>
      </c>
      <c r="M575" s="13" t="s">
        <v>103</v>
      </c>
      <c r="N575" s="139" t="s">
        <v>392</v>
      </c>
      <c r="O575" s="139" t="s">
        <v>392</v>
      </c>
      <c r="P575" s="28">
        <v>33</v>
      </c>
      <c r="Q575" s="13" t="s">
        <v>54</v>
      </c>
      <c r="R575" s="13" t="s">
        <v>28</v>
      </c>
      <c r="S575" s="13"/>
      <c r="T575" s="13"/>
      <c r="U575" s="13" t="s">
        <v>2303</v>
      </c>
      <c r="V575" s="13" t="s">
        <v>2303</v>
      </c>
      <c r="W575" s="59">
        <f t="shared" si="8"/>
        <v>1.860011752647563E-4</v>
      </c>
    </row>
    <row r="576" spans="1:29">
      <c r="A576" s="13" t="s">
        <v>737</v>
      </c>
      <c r="B576" s="13" t="s">
        <v>471</v>
      </c>
      <c r="C576" s="139">
        <v>46253</v>
      </c>
      <c r="D576" s="139" t="s">
        <v>441</v>
      </c>
      <c r="E576" s="28">
        <v>0.98065575999999999</v>
      </c>
      <c r="F576" s="13"/>
      <c r="G576" s="18">
        <v>6875000</v>
      </c>
      <c r="H576" s="18">
        <v>6742008.3700000001</v>
      </c>
      <c r="I576" s="18">
        <v>6875000</v>
      </c>
      <c r="J576" s="18">
        <v>6742008.3700000001</v>
      </c>
      <c r="K576" s="15">
        <v>50454430</v>
      </c>
      <c r="L576" s="13" t="s">
        <v>102</v>
      </c>
      <c r="M576" s="13" t="s">
        <v>103</v>
      </c>
      <c r="N576" s="139" t="s">
        <v>382</v>
      </c>
      <c r="O576" s="139" t="s">
        <v>382</v>
      </c>
      <c r="P576" s="28">
        <v>24</v>
      </c>
      <c r="Q576" s="13" t="s">
        <v>54</v>
      </c>
      <c r="R576" s="13" t="s">
        <v>28</v>
      </c>
      <c r="S576" s="13"/>
      <c r="T576" s="13"/>
      <c r="U576" s="13" t="s">
        <v>2347</v>
      </c>
      <c r="V576" s="13" t="s">
        <v>2347</v>
      </c>
      <c r="W576" s="59">
        <f t="shared" si="8"/>
        <v>1.2880344159456412E-4</v>
      </c>
    </row>
    <row r="577" spans="1:29">
      <c r="A577" s="13" t="s">
        <v>209</v>
      </c>
      <c r="B577" s="13" t="s">
        <v>471</v>
      </c>
      <c r="C577" s="139">
        <v>46253</v>
      </c>
      <c r="D577" s="139" t="s">
        <v>441</v>
      </c>
      <c r="E577" s="28">
        <v>0.98105112999999999</v>
      </c>
      <c r="F577" s="13"/>
      <c r="G577" s="18">
        <v>213331018.81999999</v>
      </c>
      <c r="H577" s="18">
        <v>209288637.28999999</v>
      </c>
      <c r="I577" s="18">
        <v>213331018.81999999</v>
      </c>
      <c r="J577" s="18">
        <v>209288637.28999999</v>
      </c>
      <c r="K577" s="15">
        <v>97</v>
      </c>
      <c r="L577" s="13" t="s">
        <v>102</v>
      </c>
      <c r="M577" s="13" t="s">
        <v>103</v>
      </c>
      <c r="N577" s="139" t="s">
        <v>382</v>
      </c>
      <c r="O577" s="139" t="s">
        <v>382</v>
      </c>
      <c r="P577" s="28">
        <v>23.5</v>
      </c>
      <c r="Q577" s="13" t="s">
        <v>54</v>
      </c>
      <c r="R577" s="13" t="s">
        <v>28</v>
      </c>
      <c r="S577" s="13"/>
      <c r="T577" s="13"/>
      <c r="U577" s="13" t="s">
        <v>2405</v>
      </c>
      <c r="V577" s="13" t="s">
        <v>2405</v>
      </c>
      <c r="W577" s="59">
        <f t="shared" si="8"/>
        <v>3.9983778260406447E-3</v>
      </c>
    </row>
    <row r="578" spans="1:29">
      <c r="A578" s="13" t="s">
        <v>323</v>
      </c>
      <c r="B578" s="13" t="s">
        <v>471</v>
      </c>
      <c r="C578" s="139">
        <v>46253</v>
      </c>
      <c r="D578" s="139" t="s">
        <v>441</v>
      </c>
      <c r="E578" s="28">
        <v>0.97907747000000001</v>
      </c>
      <c r="F578" s="13"/>
      <c r="G578" s="18">
        <v>15000000</v>
      </c>
      <c r="H578" s="18">
        <v>14686162.060000001</v>
      </c>
      <c r="I578" s="18">
        <v>15000000</v>
      </c>
      <c r="J578" s="18">
        <v>14686162.060000001</v>
      </c>
      <c r="K578" s="15">
        <v>9621090</v>
      </c>
      <c r="L578" s="13" t="s">
        <v>102</v>
      </c>
      <c r="M578" s="13" t="s">
        <v>103</v>
      </c>
      <c r="N578" s="139" t="s">
        <v>382</v>
      </c>
      <c r="O578" s="139" t="s">
        <v>382</v>
      </c>
      <c r="P578" s="28">
        <v>26</v>
      </c>
      <c r="Q578" s="13" t="s">
        <v>54</v>
      </c>
      <c r="R578" s="13" t="s">
        <v>28</v>
      </c>
      <c r="S578" s="13"/>
      <c r="T578" s="13"/>
      <c r="U578" s="13" t="s">
        <v>2385</v>
      </c>
      <c r="V578" s="13" t="s">
        <v>2385</v>
      </c>
      <c r="W578" s="59">
        <f t="shared" si="8"/>
        <v>2.8057340088165952E-4</v>
      </c>
    </row>
    <row r="579" spans="1:29">
      <c r="A579" s="13" t="s">
        <v>481</v>
      </c>
      <c r="B579" s="13" t="s">
        <v>471</v>
      </c>
      <c r="C579" s="139">
        <v>46253</v>
      </c>
      <c r="D579" s="139" t="s">
        <v>441</v>
      </c>
      <c r="E579" s="28">
        <v>0.96971313000000003</v>
      </c>
      <c r="F579" s="13"/>
      <c r="G579" s="18">
        <v>42000000</v>
      </c>
      <c r="H579" s="18">
        <v>40727951.43</v>
      </c>
      <c r="I579" s="18">
        <v>42000000</v>
      </c>
      <c r="J579" s="18">
        <v>40727951.43</v>
      </c>
      <c r="K579" s="15">
        <v>151341</v>
      </c>
      <c r="L579" s="13" t="s">
        <v>102</v>
      </c>
      <c r="M579" s="13" t="s">
        <v>103</v>
      </c>
      <c r="N579" s="139" t="s">
        <v>381</v>
      </c>
      <c r="O579" s="139" t="s">
        <v>381</v>
      </c>
      <c r="P579" s="28">
        <v>38</v>
      </c>
      <c r="Q579" s="13" t="s">
        <v>54</v>
      </c>
      <c r="R579" s="13" t="s">
        <v>28</v>
      </c>
      <c r="S579" s="13"/>
      <c r="T579" s="13"/>
      <c r="U579" s="13" t="s">
        <v>1572</v>
      </c>
      <c r="V579" s="13" t="s">
        <v>1572</v>
      </c>
      <c r="W579" s="59">
        <f t="shared" si="8"/>
        <v>7.7809163462670835E-4</v>
      </c>
    </row>
    <row r="580" spans="1:29">
      <c r="A580" s="13" t="s">
        <v>1389</v>
      </c>
      <c r="B580" s="13" t="s">
        <v>471</v>
      </c>
      <c r="C580" s="139">
        <v>46253</v>
      </c>
      <c r="D580" s="139" t="s">
        <v>441</v>
      </c>
      <c r="E580" s="28">
        <v>0.97359306999999995</v>
      </c>
      <c r="F580" s="13"/>
      <c r="G580" s="18">
        <v>2200000</v>
      </c>
      <c r="H580" s="18">
        <v>2141904.7599999998</v>
      </c>
      <c r="I580" s="18">
        <v>2200000</v>
      </c>
      <c r="J580" s="18">
        <v>2141904.7599999998</v>
      </c>
      <c r="K580" s="15">
        <v>6190</v>
      </c>
      <c r="L580" s="13" t="s">
        <v>102</v>
      </c>
      <c r="M580" s="13" t="s">
        <v>103</v>
      </c>
      <c r="N580" s="139" t="s">
        <v>351</v>
      </c>
      <c r="O580" s="139" t="s">
        <v>351</v>
      </c>
      <c r="P580" s="28">
        <v>33</v>
      </c>
      <c r="Q580" s="13" t="s">
        <v>54</v>
      </c>
      <c r="R580" s="13" t="s">
        <v>28</v>
      </c>
      <c r="S580" s="13"/>
      <c r="T580" s="13"/>
      <c r="U580" s="13" t="s">
        <v>1383</v>
      </c>
      <c r="V580" s="13" t="s">
        <v>1383</v>
      </c>
      <c r="W580" s="59">
        <f t="shared" si="8"/>
        <v>4.0920255436553082E-5</v>
      </c>
    </row>
    <row r="581" spans="1:29">
      <c r="A581" s="13" t="s">
        <v>310</v>
      </c>
      <c r="B581" s="13" t="s">
        <v>471</v>
      </c>
      <c r="C581" s="139">
        <v>46253</v>
      </c>
      <c r="D581" s="139" t="s">
        <v>441</v>
      </c>
      <c r="E581" s="28">
        <v>0.97359298000000005</v>
      </c>
      <c r="F581" s="13"/>
      <c r="G581" s="18">
        <v>50000000</v>
      </c>
      <c r="H581" s="18">
        <v>48679649.159999996</v>
      </c>
      <c r="I581" s="18">
        <v>50000000</v>
      </c>
      <c r="J581" s="18">
        <v>48679649.159999996</v>
      </c>
      <c r="K581" s="15">
        <v>29007570</v>
      </c>
      <c r="L581" s="13" t="s">
        <v>102</v>
      </c>
      <c r="M581" s="13" t="s">
        <v>103</v>
      </c>
      <c r="N581" s="139" t="s">
        <v>154</v>
      </c>
      <c r="O581" s="139" t="s">
        <v>154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502</v>
      </c>
      <c r="V581" s="13" t="s">
        <v>502</v>
      </c>
      <c r="W581" s="59">
        <f t="shared" ref="W581:W644" si="9">+J581/$W$2</f>
        <v>9.3000571985702417E-4</v>
      </c>
    </row>
    <row r="582" spans="1:29">
      <c r="A582" s="13" t="s">
        <v>2112</v>
      </c>
      <c r="B582" s="13" t="s">
        <v>471</v>
      </c>
      <c r="C582" s="139">
        <v>46253</v>
      </c>
      <c r="D582" s="139" t="s">
        <v>441</v>
      </c>
      <c r="E582" s="28">
        <v>0.97907743000000003</v>
      </c>
      <c r="F582" s="13"/>
      <c r="G582" s="18">
        <v>411347057.39999998</v>
      </c>
      <c r="H582" s="18">
        <v>402740618.69</v>
      </c>
      <c r="I582" s="18">
        <v>411347057.39999998</v>
      </c>
      <c r="J582" s="18">
        <v>402740618.69</v>
      </c>
      <c r="K582" s="15">
        <v>30013761</v>
      </c>
      <c r="L582" s="13" t="s">
        <v>102</v>
      </c>
      <c r="M582" s="13" t="s">
        <v>103</v>
      </c>
      <c r="N582" s="139" t="s">
        <v>783</v>
      </c>
      <c r="O582" s="139" t="s">
        <v>783</v>
      </c>
      <c r="P582" s="28">
        <v>26</v>
      </c>
      <c r="Q582" s="13" t="s">
        <v>54</v>
      </c>
      <c r="R582" s="13" t="s">
        <v>28</v>
      </c>
      <c r="S582" s="13"/>
      <c r="T582" s="13"/>
      <c r="U582" s="13" t="s">
        <v>2091</v>
      </c>
      <c r="V582" s="13" t="s">
        <v>2091</v>
      </c>
      <c r="W582" s="59">
        <f t="shared" si="9"/>
        <v>7.6942025150876572E-3</v>
      </c>
    </row>
    <row r="583" spans="1:29">
      <c r="A583" s="13" t="s">
        <v>2112</v>
      </c>
      <c r="B583" s="13" t="s">
        <v>471</v>
      </c>
      <c r="C583" s="139">
        <v>46253</v>
      </c>
      <c r="D583" s="139" t="s">
        <v>441</v>
      </c>
      <c r="E583" s="28">
        <v>0.97907743000000003</v>
      </c>
      <c r="F583" s="13"/>
      <c r="G583" s="18">
        <v>282621528</v>
      </c>
      <c r="H583" s="18">
        <v>276708358.52999997</v>
      </c>
      <c r="I583" s="18">
        <v>282621528</v>
      </c>
      <c r="J583" s="18">
        <v>276708358.52999997</v>
      </c>
      <c r="K583" s="15">
        <v>30013762</v>
      </c>
      <c r="L583" s="13" t="s">
        <v>102</v>
      </c>
      <c r="M583" s="13" t="s">
        <v>103</v>
      </c>
      <c r="N583" s="139" t="s">
        <v>783</v>
      </c>
      <c r="O583" s="139" t="s">
        <v>783</v>
      </c>
      <c r="P583" s="28">
        <v>26</v>
      </c>
      <c r="Q583" s="13" t="s">
        <v>54</v>
      </c>
      <c r="R583" s="13" t="s">
        <v>28</v>
      </c>
      <c r="S583" s="13"/>
      <c r="T583" s="13"/>
      <c r="U583" s="13" t="s">
        <v>2092</v>
      </c>
      <c r="V583" s="13" t="s">
        <v>2092</v>
      </c>
      <c r="W583" s="59">
        <f t="shared" si="9"/>
        <v>5.2864053173292871E-3</v>
      </c>
    </row>
    <row r="584" spans="1:29">
      <c r="A584" s="13" t="s">
        <v>2112</v>
      </c>
      <c r="B584" s="13" t="s">
        <v>471</v>
      </c>
      <c r="C584" s="139">
        <v>46253</v>
      </c>
      <c r="D584" s="139" t="s">
        <v>441</v>
      </c>
      <c r="E584" s="28">
        <v>0.97907743000000003</v>
      </c>
      <c r="F584" s="13"/>
      <c r="G584" s="18">
        <v>139384224</v>
      </c>
      <c r="H584" s="18">
        <v>136467947.44</v>
      </c>
      <c r="I584" s="18">
        <v>139384224</v>
      </c>
      <c r="J584" s="18">
        <v>136467947.44</v>
      </c>
      <c r="K584" s="15">
        <v>30013763</v>
      </c>
      <c r="L584" s="13" t="s">
        <v>102</v>
      </c>
      <c r="M584" s="13" t="s">
        <v>103</v>
      </c>
      <c r="N584" s="139" t="s">
        <v>783</v>
      </c>
      <c r="O584" s="139" t="s">
        <v>783</v>
      </c>
      <c r="P584" s="28">
        <v>26</v>
      </c>
      <c r="Q584" s="13" t="s">
        <v>54</v>
      </c>
      <c r="R584" s="13" t="s">
        <v>28</v>
      </c>
      <c r="S584" s="13"/>
      <c r="T584" s="13"/>
      <c r="U584" s="13" t="s">
        <v>2093</v>
      </c>
      <c r="V584" s="13" t="s">
        <v>2093</v>
      </c>
      <c r="W584" s="59">
        <f t="shared" si="9"/>
        <v>2.6071669349793593E-3</v>
      </c>
      <c r="AC584" s="56"/>
    </row>
    <row r="585" spans="1:29">
      <c r="A585" s="13" t="s">
        <v>1744</v>
      </c>
      <c r="B585" s="13" t="s">
        <v>471</v>
      </c>
      <c r="C585" s="139">
        <v>46253</v>
      </c>
      <c r="D585" s="139" t="s">
        <v>441</v>
      </c>
      <c r="E585" s="28">
        <v>0.97515366999999997</v>
      </c>
      <c r="F585" s="13"/>
      <c r="G585" s="18">
        <v>35624104.350000001</v>
      </c>
      <c r="H585" s="18">
        <v>34738975.93</v>
      </c>
      <c r="I585" s="18">
        <v>35624104.350000001</v>
      </c>
      <c r="J585" s="18">
        <v>34738975.93</v>
      </c>
      <c r="K585" s="15">
        <v>84234525</v>
      </c>
      <c r="L585" s="13" t="s">
        <v>102</v>
      </c>
      <c r="M585" s="13" t="s">
        <v>103</v>
      </c>
      <c r="N585" s="139" t="s">
        <v>494</v>
      </c>
      <c r="O585" s="139" t="s">
        <v>494</v>
      </c>
      <c r="P585" s="28">
        <v>31</v>
      </c>
      <c r="Q585" s="13" t="s">
        <v>54</v>
      </c>
      <c r="R585" s="13" t="s">
        <v>28</v>
      </c>
      <c r="S585" s="13"/>
      <c r="T585" s="13"/>
      <c r="U585" s="13" t="s">
        <v>1992</v>
      </c>
      <c r="V585" s="13" t="s">
        <v>1992</v>
      </c>
      <c r="W585" s="59">
        <f t="shared" si="9"/>
        <v>6.6367459245007202E-4</v>
      </c>
    </row>
    <row r="586" spans="1:29">
      <c r="A586" s="13" t="s">
        <v>1862</v>
      </c>
      <c r="B586" s="13" t="s">
        <v>471</v>
      </c>
      <c r="C586" s="139">
        <v>46253</v>
      </c>
      <c r="D586" s="139" t="s">
        <v>441</v>
      </c>
      <c r="E586" s="28">
        <v>0.97789702000000001</v>
      </c>
      <c r="F586" s="13"/>
      <c r="G586" s="18">
        <v>30000000</v>
      </c>
      <c r="H586" s="18">
        <v>29336910.649999999</v>
      </c>
      <c r="I586" s="18">
        <v>30000000</v>
      </c>
      <c r="J586" s="18">
        <v>29336910.649999999</v>
      </c>
      <c r="K586" s="15">
        <v>495</v>
      </c>
      <c r="L586" s="13" t="s">
        <v>102</v>
      </c>
      <c r="M586" s="13" t="s">
        <v>103</v>
      </c>
      <c r="N586" s="139" t="s">
        <v>493</v>
      </c>
      <c r="O586" s="139" t="s">
        <v>493</v>
      </c>
      <c r="P586" s="28">
        <v>27.5</v>
      </c>
      <c r="Q586" s="13" t="s">
        <v>54</v>
      </c>
      <c r="R586" s="13" t="s">
        <v>28</v>
      </c>
      <c r="S586" s="13"/>
      <c r="T586" s="13"/>
      <c r="U586" s="13" t="s">
        <v>1970</v>
      </c>
      <c r="V586" s="13" t="s">
        <v>1970</v>
      </c>
      <c r="W586" s="59">
        <f t="shared" si="9"/>
        <v>5.6047024122460722E-4</v>
      </c>
      <c r="AC586" s="56"/>
    </row>
    <row r="587" spans="1:29">
      <c r="A587" s="13" t="s">
        <v>1862</v>
      </c>
      <c r="B587" s="13" t="s">
        <v>471</v>
      </c>
      <c r="C587" s="139">
        <v>46253</v>
      </c>
      <c r="D587" s="139" t="s">
        <v>441</v>
      </c>
      <c r="E587" s="28">
        <v>0.97789702000000001</v>
      </c>
      <c r="F587" s="13"/>
      <c r="G587" s="18">
        <v>30000000</v>
      </c>
      <c r="H587" s="18">
        <v>29336910.649999999</v>
      </c>
      <c r="I587" s="18">
        <v>30000000</v>
      </c>
      <c r="J587" s="18">
        <v>29336910.649999999</v>
      </c>
      <c r="K587" s="15">
        <v>485</v>
      </c>
      <c r="L587" s="13" t="s">
        <v>102</v>
      </c>
      <c r="M587" s="13" t="s">
        <v>103</v>
      </c>
      <c r="N587" s="139" t="s">
        <v>493</v>
      </c>
      <c r="O587" s="139" t="s">
        <v>493</v>
      </c>
      <c r="P587" s="28">
        <v>27.5</v>
      </c>
      <c r="Q587" s="13" t="s">
        <v>54</v>
      </c>
      <c r="R587" s="13" t="s">
        <v>28</v>
      </c>
      <c r="S587" s="13"/>
      <c r="T587" s="13"/>
      <c r="U587" s="13" t="s">
        <v>1971</v>
      </c>
      <c r="V587" s="13" t="s">
        <v>1971</v>
      </c>
      <c r="W587" s="59">
        <f t="shared" si="9"/>
        <v>5.6047024122460722E-4</v>
      </c>
    </row>
    <row r="588" spans="1:29">
      <c r="A588" s="13" t="s">
        <v>122</v>
      </c>
      <c r="B588" s="13" t="s">
        <v>471</v>
      </c>
      <c r="C588" s="139">
        <v>46253</v>
      </c>
      <c r="D588" s="139" t="s">
        <v>441</v>
      </c>
      <c r="E588" s="28">
        <v>0.93975284000000003</v>
      </c>
      <c r="F588" s="13"/>
      <c r="G588" s="18">
        <v>10000000</v>
      </c>
      <c r="H588" s="18">
        <v>9397528.3900000006</v>
      </c>
      <c r="I588" s="18">
        <v>10000000</v>
      </c>
      <c r="J588" s="18">
        <v>9397528.3900000006</v>
      </c>
      <c r="K588" s="15">
        <v>3936</v>
      </c>
      <c r="L588" s="13" t="s">
        <v>102</v>
      </c>
      <c r="M588" s="13" t="s">
        <v>103</v>
      </c>
      <c r="N588" s="139" t="s">
        <v>135</v>
      </c>
      <c r="O588" s="139" t="s">
        <v>135</v>
      </c>
      <c r="P588" s="28">
        <v>78</v>
      </c>
      <c r="Q588" s="13" t="s">
        <v>54</v>
      </c>
      <c r="R588" s="13" t="s">
        <v>28</v>
      </c>
      <c r="S588" s="13"/>
      <c r="T588" s="13"/>
      <c r="U588" s="13" t="s">
        <v>187</v>
      </c>
      <c r="V588" s="13" t="s">
        <v>187</v>
      </c>
      <c r="W588" s="59">
        <f t="shared" si="9"/>
        <v>1.7953611634490203E-4</v>
      </c>
      <c r="AC588" s="56"/>
    </row>
    <row r="589" spans="1:29">
      <c r="A589" s="13" t="s">
        <v>147</v>
      </c>
      <c r="B589" s="13" t="s">
        <v>471</v>
      </c>
      <c r="C589" s="139">
        <v>46253</v>
      </c>
      <c r="D589" s="139" t="s">
        <v>441</v>
      </c>
      <c r="E589" s="28">
        <v>0.97203737000000001</v>
      </c>
      <c r="F589" s="13"/>
      <c r="G589" s="18">
        <v>20000000</v>
      </c>
      <c r="H589" s="18">
        <v>19440747.379999999</v>
      </c>
      <c r="I589" s="18">
        <v>20000000</v>
      </c>
      <c r="J589" s="18">
        <v>19440747.379999999</v>
      </c>
      <c r="K589" s="15">
        <v>4183</v>
      </c>
      <c r="L589" s="13" t="s">
        <v>102</v>
      </c>
      <c r="M589" s="13" t="s">
        <v>103</v>
      </c>
      <c r="N589" s="139" t="s">
        <v>162</v>
      </c>
      <c r="O589" s="139" t="s">
        <v>162</v>
      </c>
      <c r="P589" s="28">
        <v>35</v>
      </c>
      <c r="Q589" s="13" t="s">
        <v>54</v>
      </c>
      <c r="R589" s="13" t="s">
        <v>28</v>
      </c>
      <c r="S589" s="13"/>
      <c r="T589" s="13"/>
      <c r="U589" s="13" t="s">
        <v>1081</v>
      </c>
      <c r="V589" s="13" t="s">
        <v>1081</v>
      </c>
      <c r="W589" s="59">
        <f t="shared" si="9"/>
        <v>3.7140789988584746E-4</v>
      </c>
    </row>
    <row r="590" spans="1:29">
      <c r="A590" s="13" t="s">
        <v>323</v>
      </c>
      <c r="B590" s="13" t="s">
        <v>471</v>
      </c>
      <c r="C590" s="139">
        <v>46253</v>
      </c>
      <c r="D590" s="139" t="s">
        <v>441</v>
      </c>
      <c r="E590" s="28">
        <v>0.97593591000000002</v>
      </c>
      <c r="F590" s="13"/>
      <c r="G590" s="18">
        <v>60000000</v>
      </c>
      <c r="H590" s="18">
        <v>58556154.380000003</v>
      </c>
      <c r="I590" s="18">
        <v>60000000</v>
      </c>
      <c r="J590" s="18">
        <v>58556154.380000003</v>
      </c>
      <c r="K590" s="15">
        <v>60</v>
      </c>
      <c r="L590" s="13" t="s">
        <v>102</v>
      </c>
      <c r="M590" s="13" t="s">
        <v>103</v>
      </c>
      <c r="N590" s="139" t="s">
        <v>326</v>
      </c>
      <c r="O590" s="139" t="s">
        <v>326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983</v>
      </c>
      <c r="V590" s="13" t="s">
        <v>983</v>
      </c>
      <c r="W590" s="59">
        <f t="shared" si="9"/>
        <v>1.1186925018140568E-3</v>
      </c>
      <c r="AC590" s="56"/>
    </row>
    <row r="591" spans="1:29">
      <c r="A591" s="13" t="s">
        <v>323</v>
      </c>
      <c r="B591" s="13" t="s">
        <v>471</v>
      </c>
      <c r="C591" s="139">
        <v>46253</v>
      </c>
      <c r="D591" s="139" t="s">
        <v>441</v>
      </c>
      <c r="E591" s="28">
        <v>0.97671929999999996</v>
      </c>
      <c r="F591" s="13"/>
      <c r="G591" s="18">
        <v>5500000</v>
      </c>
      <c r="H591" s="18">
        <v>5371956.1200000001</v>
      </c>
      <c r="I591" s="18">
        <v>5500000</v>
      </c>
      <c r="J591" s="18">
        <v>5371956.1200000001</v>
      </c>
      <c r="K591" s="15">
        <v>66554053</v>
      </c>
      <c r="L591" s="13" t="s">
        <v>102</v>
      </c>
      <c r="M591" s="13" t="s">
        <v>103</v>
      </c>
      <c r="N591" s="139" t="s">
        <v>160</v>
      </c>
      <c r="O591" s="139" t="s">
        <v>160</v>
      </c>
      <c r="P591" s="28">
        <v>29</v>
      </c>
      <c r="Q591" s="13" t="s">
        <v>54</v>
      </c>
      <c r="R591" s="13" t="s">
        <v>28</v>
      </c>
      <c r="S591" s="13"/>
      <c r="T591" s="13"/>
      <c r="U591" s="13" t="s">
        <v>898</v>
      </c>
      <c r="V591" s="13" t="s">
        <v>898</v>
      </c>
      <c r="W591" s="59">
        <f t="shared" si="9"/>
        <v>1.0262912746146315E-4</v>
      </c>
    </row>
    <row r="592" spans="1:29">
      <c r="A592" s="13" t="s">
        <v>478</v>
      </c>
      <c r="B592" s="13" t="s">
        <v>471</v>
      </c>
      <c r="C592" s="139">
        <v>46253</v>
      </c>
      <c r="D592" s="139" t="s">
        <v>441</v>
      </c>
      <c r="E592" s="28">
        <v>0.96816981999999996</v>
      </c>
      <c r="F592" s="13"/>
      <c r="G592" s="18">
        <v>40000000</v>
      </c>
      <c r="H592" s="18">
        <v>38726792.82</v>
      </c>
      <c r="I592" s="18">
        <v>40000000</v>
      </c>
      <c r="J592" s="18">
        <v>38726792.82</v>
      </c>
      <c r="K592" s="15">
        <v>223</v>
      </c>
      <c r="L592" s="13" t="s">
        <v>102</v>
      </c>
      <c r="M592" s="13" t="s">
        <v>103</v>
      </c>
      <c r="N592" s="139" t="s">
        <v>320</v>
      </c>
      <c r="O592" s="139" t="s">
        <v>320</v>
      </c>
      <c r="P592" s="28">
        <v>40</v>
      </c>
      <c r="Q592" s="13" t="s">
        <v>54</v>
      </c>
      <c r="R592" s="13" t="s">
        <v>28</v>
      </c>
      <c r="S592" s="13"/>
      <c r="T592" s="13"/>
      <c r="U592" s="13" t="s">
        <v>479</v>
      </c>
      <c r="V592" s="13" t="s">
        <v>479</v>
      </c>
      <c r="W592" s="59">
        <f t="shared" si="9"/>
        <v>7.398602795172228E-4</v>
      </c>
    </row>
    <row r="593" spans="1:29">
      <c r="A593" s="13" t="s">
        <v>1516</v>
      </c>
      <c r="B593" s="13" t="s">
        <v>471</v>
      </c>
      <c r="C593" s="139">
        <v>46253</v>
      </c>
      <c r="D593" s="139" t="s">
        <v>441</v>
      </c>
      <c r="E593" s="28">
        <v>0.96971337999999996</v>
      </c>
      <c r="F593" s="13"/>
      <c r="G593" s="18">
        <v>525000000</v>
      </c>
      <c r="H593" s="18">
        <v>509099525.92000002</v>
      </c>
      <c r="I593" s="18">
        <v>525000000</v>
      </c>
      <c r="J593" s="18">
        <v>509099525.92000002</v>
      </c>
      <c r="K593" s="15">
        <v>157282</v>
      </c>
      <c r="L593" s="13" t="s">
        <v>102</v>
      </c>
      <c r="M593" s="13" t="s">
        <v>103</v>
      </c>
      <c r="N593" s="139" t="s">
        <v>382</v>
      </c>
      <c r="O593" s="139" t="s">
        <v>382</v>
      </c>
      <c r="P593" s="28">
        <v>38</v>
      </c>
      <c r="Q593" s="13" t="s">
        <v>54</v>
      </c>
      <c r="R593" s="13" t="s">
        <v>28</v>
      </c>
      <c r="S593" s="13"/>
      <c r="T593" s="13"/>
      <c r="U593" s="13" t="s">
        <v>2406</v>
      </c>
      <c r="V593" s="13" t="s">
        <v>2406</v>
      </c>
      <c r="W593" s="59">
        <f t="shared" si="9"/>
        <v>9.726147974606714E-3</v>
      </c>
    </row>
    <row r="594" spans="1:29">
      <c r="A594" s="13" t="s">
        <v>522</v>
      </c>
      <c r="B594" s="13" t="s">
        <v>471</v>
      </c>
      <c r="C594" s="139">
        <v>46253</v>
      </c>
      <c r="D594" s="139" t="s">
        <v>441</v>
      </c>
      <c r="E594" s="28">
        <v>0.97437267000000005</v>
      </c>
      <c r="F594" s="13"/>
      <c r="G594" s="18">
        <v>3243208.42</v>
      </c>
      <c r="H594" s="18">
        <v>3160093.65</v>
      </c>
      <c r="I594" s="18">
        <v>3243208.42</v>
      </c>
      <c r="J594" s="18">
        <v>3160093.65</v>
      </c>
      <c r="K594" s="15">
        <v>143910</v>
      </c>
      <c r="L594" s="13" t="s">
        <v>102</v>
      </c>
      <c r="M594" s="13" t="s">
        <v>103</v>
      </c>
      <c r="N594" s="139" t="s">
        <v>358</v>
      </c>
      <c r="O594" s="139" t="s">
        <v>358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587</v>
      </c>
      <c r="V594" s="13" t="s">
        <v>587</v>
      </c>
      <c r="W594" s="59">
        <f t="shared" si="9"/>
        <v>6.0372357247774817E-5</v>
      </c>
    </row>
    <row r="595" spans="1:29">
      <c r="A595" s="13" t="s">
        <v>2113</v>
      </c>
      <c r="B595" s="13" t="s">
        <v>471</v>
      </c>
      <c r="C595" s="139">
        <v>46253</v>
      </c>
      <c r="D595" s="139" t="s">
        <v>441</v>
      </c>
      <c r="E595" s="28">
        <v>0.97593602999999995</v>
      </c>
      <c r="F595" s="13"/>
      <c r="G595" s="18">
        <v>2200000</v>
      </c>
      <c r="H595" s="18">
        <v>2147059.27</v>
      </c>
      <c r="I595" s="18">
        <v>2200000</v>
      </c>
      <c r="J595" s="18">
        <v>2147059.27</v>
      </c>
      <c r="K595" s="15">
        <v>9789</v>
      </c>
      <c r="L595" s="13" t="s">
        <v>102</v>
      </c>
      <c r="M595" s="13" t="s">
        <v>103</v>
      </c>
      <c r="N595" s="139" t="s">
        <v>783</v>
      </c>
      <c r="O595" s="139" t="s">
        <v>783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2099</v>
      </c>
      <c r="V595" s="13" t="s">
        <v>2099</v>
      </c>
      <c r="W595" s="59">
        <f t="shared" si="9"/>
        <v>4.1018730340661455E-5</v>
      </c>
      <c r="AC595" s="56"/>
    </row>
    <row r="596" spans="1:29">
      <c r="A596" s="13" t="s">
        <v>395</v>
      </c>
      <c r="B596" s="13" t="s">
        <v>471</v>
      </c>
      <c r="C596" s="139">
        <v>46253</v>
      </c>
      <c r="D596" s="139" t="s">
        <v>441</v>
      </c>
      <c r="E596" s="28">
        <v>0.96586404000000003</v>
      </c>
      <c r="F596" s="13"/>
      <c r="G596" s="18">
        <v>3500000</v>
      </c>
      <c r="H596" s="18">
        <v>3380524.14</v>
      </c>
      <c r="I596" s="18">
        <v>3500000</v>
      </c>
      <c r="J596" s="18">
        <v>3380524.14</v>
      </c>
      <c r="K596" s="15">
        <v>3076</v>
      </c>
      <c r="L596" s="13" t="s">
        <v>102</v>
      </c>
      <c r="M596" s="13" t="s">
        <v>103</v>
      </c>
      <c r="N596" s="139" t="s">
        <v>228</v>
      </c>
      <c r="O596" s="139" t="s">
        <v>228</v>
      </c>
      <c r="P596" s="28">
        <v>43</v>
      </c>
      <c r="Q596" s="13" t="s">
        <v>54</v>
      </c>
      <c r="R596" s="13" t="s">
        <v>28</v>
      </c>
      <c r="S596" s="13"/>
      <c r="T596" s="13"/>
      <c r="U596" s="13" t="s">
        <v>393</v>
      </c>
      <c r="V596" s="13" t="s">
        <v>393</v>
      </c>
      <c r="W596" s="59">
        <f t="shared" si="9"/>
        <v>6.4583595826284051E-5</v>
      </c>
    </row>
    <row r="597" spans="1:29">
      <c r="A597" s="13" t="s">
        <v>1594</v>
      </c>
      <c r="B597" s="13" t="s">
        <v>471</v>
      </c>
      <c r="C597" s="139">
        <v>46253</v>
      </c>
      <c r="D597" s="139" t="s">
        <v>441</v>
      </c>
      <c r="E597" s="28">
        <v>0.97593589000000003</v>
      </c>
      <c r="F597" s="13"/>
      <c r="G597" s="18">
        <v>2500000</v>
      </c>
      <c r="H597" s="18">
        <v>2439839.73</v>
      </c>
      <c r="I597" s="18">
        <v>2500000</v>
      </c>
      <c r="J597" s="18">
        <v>2439839.73</v>
      </c>
      <c r="K597" s="15">
        <v>334</v>
      </c>
      <c r="L597" s="13" t="s">
        <v>102</v>
      </c>
      <c r="M597" s="13" t="s">
        <v>103</v>
      </c>
      <c r="N597" s="139" t="s">
        <v>389</v>
      </c>
      <c r="O597" s="139" t="s">
        <v>389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1595</v>
      </c>
      <c r="V597" s="13" t="s">
        <v>1595</v>
      </c>
      <c r="W597" s="59">
        <f t="shared" si="9"/>
        <v>4.6612186891003833E-5</v>
      </c>
    </row>
    <row r="598" spans="1:29">
      <c r="A598" s="13" t="s">
        <v>698</v>
      </c>
      <c r="B598" s="13" t="s">
        <v>471</v>
      </c>
      <c r="C598" s="139">
        <v>46254</v>
      </c>
      <c r="D598" s="139" t="s">
        <v>441</v>
      </c>
      <c r="E598" s="28">
        <v>0.97596192999999998</v>
      </c>
      <c r="F598" s="13"/>
      <c r="G598" s="18">
        <v>6410198.7999999998</v>
      </c>
      <c r="H598" s="18">
        <v>6256110</v>
      </c>
      <c r="I598" s="18">
        <v>6410198.7999999998</v>
      </c>
      <c r="J598" s="18">
        <v>6256110</v>
      </c>
      <c r="K598" s="15">
        <v>5612</v>
      </c>
      <c r="L598" s="13" t="s">
        <v>102</v>
      </c>
      <c r="M598" s="13" t="s">
        <v>103</v>
      </c>
      <c r="N598" s="139" t="s">
        <v>327</v>
      </c>
      <c r="O598" s="139" t="s">
        <v>327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749</v>
      </c>
      <c r="V598" s="13" t="s">
        <v>749</v>
      </c>
      <c r="W598" s="59">
        <f t="shared" si="9"/>
        <v>1.1952054265903687E-4</v>
      </c>
    </row>
    <row r="599" spans="1:29">
      <c r="A599" s="13" t="s">
        <v>698</v>
      </c>
      <c r="B599" s="13" t="s">
        <v>471</v>
      </c>
      <c r="C599" s="139">
        <v>46254</v>
      </c>
      <c r="D599" s="139" t="s">
        <v>441</v>
      </c>
      <c r="E599" s="28">
        <v>0.97596192999999998</v>
      </c>
      <c r="F599" s="13"/>
      <c r="G599" s="18">
        <v>5184831.3600000003</v>
      </c>
      <c r="H599" s="18">
        <v>5060198.04</v>
      </c>
      <c r="I599" s="18">
        <v>5184831.3600000003</v>
      </c>
      <c r="J599" s="18">
        <v>5060198.04</v>
      </c>
      <c r="K599" s="15">
        <v>6881</v>
      </c>
      <c r="L599" s="13" t="s">
        <v>102</v>
      </c>
      <c r="M599" s="13" t="s">
        <v>103</v>
      </c>
      <c r="N599" s="139" t="s">
        <v>327</v>
      </c>
      <c r="O599" s="139" t="s">
        <v>327</v>
      </c>
      <c r="P599" s="28">
        <v>29</v>
      </c>
      <c r="Q599" s="13" t="s">
        <v>54</v>
      </c>
      <c r="R599" s="13" t="s">
        <v>28</v>
      </c>
      <c r="S599" s="13"/>
      <c r="T599" s="13"/>
      <c r="U599" s="13" t="s">
        <v>750</v>
      </c>
      <c r="V599" s="13" t="s">
        <v>750</v>
      </c>
      <c r="W599" s="59">
        <f t="shared" si="9"/>
        <v>9.6673110879283566E-5</v>
      </c>
    </row>
    <row r="600" spans="1:29">
      <c r="A600" s="13" t="s">
        <v>1388</v>
      </c>
      <c r="B600" s="13" t="s">
        <v>471</v>
      </c>
      <c r="C600" s="139">
        <v>46254</v>
      </c>
      <c r="D600" s="139" t="s">
        <v>441</v>
      </c>
      <c r="E600" s="28">
        <v>0.97596198000000001</v>
      </c>
      <c r="F600" s="13"/>
      <c r="G600" s="18">
        <v>200000000</v>
      </c>
      <c r="H600" s="18">
        <v>195192396.31999999</v>
      </c>
      <c r="I600" s="18">
        <v>200000000</v>
      </c>
      <c r="J600" s="18">
        <v>195192396.31999999</v>
      </c>
      <c r="K600" s="15">
        <v>90003854</v>
      </c>
      <c r="L600" s="13" t="s">
        <v>102</v>
      </c>
      <c r="M600" s="13" t="s">
        <v>103</v>
      </c>
      <c r="N600" s="139" t="s">
        <v>484</v>
      </c>
      <c r="O600" s="139" t="s">
        <v>484</v>
      </c>
      <c r="P600" s="28">
        <v>29</v>
      </c>
      <c r="Q600" s="13" t="s">
        <v>54</v>
      </c>
      <c r="R600" s="13" t="s">
        <v>28</v>
      </c>
      <c r="S600" s="13"/>
      <c r="T600" s="13"/>
      <c r="U600" s="13" t="s">
        <v>1709</v>
      </c>
      <c r="V600" s="13" t="s">
        <v>1709</v>
      </c>
      <c r="W600" s="59">
        <f t="shared" si="9"/>
        <v>3.729074637607745E-3</v>
      </c>
    </row>
    <row r="601" spans="1:29">
      <c r="A601" s="13" t="s">
        <v>1075</v>
      </c>
      <c r="B601" s="13" t="s">
        <v>471</v>
      </c>
      <c r="C601" s="139">
        <v>46254</v>
      </c>
      <c r="D601" s="139" t="s">
        <v>441</v>
      </c>
      <c r="E601" s="28">
        <v>0.97033185</v>
      </c>
      <c r="F601" s="13"/>
      <c r="G601" s="18">
        <v>3345657.98</v>
      </c>
      <c r="H601" s="18">
        <v>3246398.49</v>
      </c>
      <c r="I601" s="18">
        <v>3345657.98</v>
      </c>
      <c r="J601" s="18">
        <v>3246398.49</v>
      </c>
      <c r="K601" s="15">
        <v>230</v>
      </c>
      <c r="L601" s="13" t="s">
        <v>102</v>
      </c>
      <c r="M601" s="13" t="s">
        <v>103</v>
      </c>
      <c r="N601" s="139" t="s">
        <v>170</v>
      </c>
      <c r="O601" s="139" t="s">
        <v>170</v>
      </c>
      <c r="P601" s="28">
        <v>36</v>
      </c>
      <c r="Q601" s="13" t="s">
        <v>54</v>
      </c>
      <c r="R601" s="13" t="s">
        <v>28</v>
      </c>
      <c r="S601" s="13"/>
      <c r="T601" s="13"/>
      <c r="U601" s="13" t="s">
        <v>1640</v>
      </c>
      <c r="V601" s="13" t="s">
        <v>1640</v>
      </c>
      <c r="W601" s="59">
        <f t="shared" si="9"/>
        <v>6.2021177570771273E-5</v>
      </c>
    </row>
    <row r="602" spans="1:29">
      <c r="A602" s="13" t="s">
        <v>1075</v>
      </c>
      <c r="B602" s="13" t="s">
        <v>471</v>
      </c>
      <c r="C602" s="139">
        <v>46254</v>
      </c>
      <c r="D602" s="139" t="s">
        <v>441</v>
      </c>
      <c r="E602" s="28">
        <v>0.97033185</v>
      </c>
      <c r="F602" s="13"/>
      <c r="G602" s="18">
        <v>3345657.98</v>
      </c>
      <c r="H602" s="18">
        <v>3246398.49</v>
      </c>
      <c r="I602" s="18">
        <v>3345657.98</v>
      </c>
      <c r="J602" s="18">
        <v>3246398.49</v>
      </c>
      <c r="K602" s="15">
        <v>231</v>
      </c>
      <c r="L602" s="13" t="s">
        <v>102</v>
      </c>
      <c r="M602" s="13" t="s">
        <v>103</v>
      </c>
      <c r="N602" s="139" t="s">
        <v>170</v>
      </c>
      <c r="O602" s="139" t="s">
        <v>170</v>
      </c>
      <c r="P602" s="28">
        <v>36</v>
      </c>
      <c r="Q602" s="13" t="s">
        <v>54</v>
      </c>
      <c r="R602" s="13" t="s">
        <v>28</v>
      </c>
      <c r="S602" s="13"/>
      <c r="T602" s="13"/>
      <c r="U602" s="13" t="s">
        <v>1641</v>
      </c>
      <c r="V602" s="13" t="s">
        <v>1641</v>
      </c>
      <c r="W602" s="59">
        <f t="shared" si="9"/>
        <v>6.2021177570771273E-5</v>
      </c>
    </row>
    <row r="603" spans="1:29">
      <c r="A603" s="13" t="s">
        <v>1154</v>
      </c>
      <c r="B603" s="13" t="s">
        <v>471</v>
      </c>
      <c r="C603" s="139">
        <v>46254</v>
      </c>
      <c r="D603" s="139" t="s">
        <v>441</v>
      </c>
      <c r="E603" s="28">
        <v>0.97273679999999996</v>
      </c>
      <c r="F603" s="13"/>
      <c r="G603" s="18">
        <v>3900000</v>
      </c>
      <c r="H603" s="18">
        <v>3793673.52</v>
      </c>
      <c r="I603" s="18">
        <v>3900000</v>
      </c>
      <c r="J603" s="18">
        <v>3793673.52</v>
      </c>
      <c r="K603" s="15">
        <v>284</v>
      </c>
      <c r="L603" s="13" t="s">
        <v>102</v>
      </c>
      <c r="M603" s="13" t="s">
        <v>103</v>
      </c>
      <c r="N603" s="139" t="s">
        <v>458</v>
      </c>
      <c r="O603" s="139" t="s">
        <v>458</v>
      </c>
      <c r="P603" s="28">
        <v>33</v>
      </c>
      <c r="Q603" s="13" t="s">
        <v>54</v>
      </c>
      <c r="R603" s="13" t="s">
        <v>28</v>
      </c>
      <c r="S603" s="13"/>
      <c r="T603" s="13"/>
      <c r="U603" s="13" t="s">
        <v>1155</v>
      </c>
      <c r="V603" s="13" t="s">
        <v>1155</v>
      </c>
      <c r="W603" s="59">
        <f t="shared" si="9"/>
        <v>7.2476653668432711E-5</v>
      </c>
    </row>
    <row r="604" spans="1:29">
      <c r="A604" s="13" t="s">
        <v>1461</v>
      </c>
      <c r="B604" s="13" t="s">
        <v>471</v>
      </c>
      <c r="C604" s="139">
        <v>46254</v>
      </c>
      <c r="D604" s="139" t="s">
        <v>441</v>
      </c>
      <c r="E604" s="28">
        <v>0.97354112999999998</v>
      </c>
      <c r="F604" s="13"/>
      <c r="G604" s="18">
        <v>13000000</v>
      </c>
      <c r="H604" s="18">
        <v>12656034.720000001</v>
      </c>
      <c r="I604" s="18">
        <v>13000000</v>
      </c>
      <c r="J604" s="18">
        <v>12656034.720000001</v>
      </c>
      <c r="K604" s="15">
        <v>545</v>
      </c>
      <c r="L604" s="13" t="s">
        <v>102</v>
      </c>
      <c r="M604" s="13" t="s">
        <v>103</v>
      </c>
      <c r="N604" s="139" t="s">
        <v>373</v>
      </c>
      <c r="O604" s="139" t="s">
        <v>373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1464</v>
      </c>
      <c r="V604" s="13" t="s">
        <v>1464</v>
      </c>
      <c r="W604" s="59">
        <f t="shared" si="9"/>
        <v>2.4178860947873546E-4</v>
      </c>
    </row>
    <row r="605" spans="1:29">
      <c r="A605" s="13" t="s">
        <v>1467</v>
      </c>
      <c r="B605" s="13" t="s">
        <v>471</v>
      </c>
      <c r="C605" s="139">
        <v>46254</v>
      </c>
      <c r="D605" s="139" t="s">
        <v>441</v>
      </c>
      <c r="E605" s="28">
        <v>0.97354116000000002</v>
      </c>
      <c r="F605" s="13"/>
      <c r="G605" s="18">
        <v>1000000</v>
      </c>
      <c r="H605" s="18">
        <v>973541.16</v>
      </c>
      <c r="I605" s="18">
        <v>1000000</v>
      </c>
      <c r="J605" s="18">
        <v>973541.16</v>
      </c>
      <c r="K605" s="15">
        <v>67381452</v>
      </c>
      <c r="L605" s="13" t="s">
        <v>102</v>
      </c>
      <c r="M605" s="13" t="s">
        <v>103</v>
      </c>
      <c r="N605" s="139" t="s">
        <v>373</v>
      </c>
      <c r="O605" s="139" t="s">
        <v>373</v>
      </c>
      <c r="P605" s="28">
        <v>32</v>
      </c>
      <c r="Q605" s="13" t="s">
        <v>54</v>
      </c>
      <c r="R605" s="13" t="s">
        <v>28</v>
      </c>
      <c r="S605" s="13"/>
      <c r="T605" s="13"/>
      <c r="U605" s="13" t="s">
        <v>1468</v>
      </c>
      <c r="V605" s="13" t="s">
        <v>1468</v>
      </c>
      <c r="W605" s="59">
        <f t="shared" si="9"/>
        <v>1.8599124335107317E-5</v>
      </c>
    </row>
    <row r="606" spans="1:29">
      <c r="A606" s="13" t="s">
        <v>208</v>
      </c>
      <c r="B606" s="13" t="s">
        <v>471</v>
      </c>
      <c r="C606" s="139">
        <v>46254</v>
      </c>
      <c r="D606" s="139" t="s">
        <v>441</v>
      </c>
      <c r="E606" s="28">
        <v>0.97839494000000005</v>
      </c>
      <c r="F606" s="13"/>
      <c r="G606" s="18">
        <v>28712357.309999999</v>
      </c>
      <c r="H606" s="18">
        <v>28092025.109999999</v>
      </c>
      <c r="I606" s="18">
        <v>28712357.309999999</v>
      </c>
      <c r="J606" s="18">
        <v>28092025.109999999</v>
      </c>
      <c r="K606" s="15">
        <v>568307</v>
      </c>
      <c r="L606" s="13" t="s">
        <v>102</v>
      </c>
      <c r="M606" s="13" t="s">
        <v>103</v>
      </c>
      <c r="N606" s="139" t="s">
        <v>355</v>
      </c>
      <c r="O606" s="139" t="s">
        <v>355</v>
      </c>
      <c r="P606" s="28">
        <v>26</v>
      </c>
      <c r="Q606" s="13" t="s">
        <v>54</v>
      </c>
      <c r="R606" s="13" t="s">
        <v>28</v>
      </c>
      <c r="S606" s="13"/>
      <c r="T606" s="13"/>
      <c r="U606" s="13" t="s">
        <v>862</v>
      </c>
      <c r="V606" s="13" t="s">
        <v>862</v>
      </c>
      <c r="W606" s="59">
        <f t="shared" si="9"/>
        <v>5.3668718829088516E-4</v>
      </c>
    </row>
    <row r="607" spans="1:29">
      <c r="A607" s="13" t="s">
        <v>208</v>
      </c>
      <c r="B607" s="13" t="s">
        <v>471</v>
      </c>
      <c r="C607" s="139">
        <v>46254</v>
      </c>
      <c r="D607" s="139" t="s">
        <v>441</v>
      </c>
      <c r="E607" s="28">
        <v>0.97839494000000005</v>
      </c>
      <c r="F607" s="13"/>
      <c r="G607" s="18">
        <v>50399108.950000003</v>
      </c>
      <c r="H607" s="18">
        <v>49310233.189999998</v>
      </c>
      <c r="I607" s="18">
        <v>50399108.950000003</v>
      </c>
      <c r="J607" s="18">
        <v>49310233.189999998</v>
      </c>
      <c r="K607" s="15">
        <v>568283</v>
      </c>
      <c r="L607" s="13" t="s">
        <v>102</v>
      </c>
      <c r="M607" s="13" t="s">
        <v>103</v>
      </c>
      <c r="N607" s="139" t="s">
        <v>355</v>
      </c>
      <c r="O607" s="139" t="s">
        <v>355</v>
      </c>
      <c r="P607" s="28">
        <v>26</v>
      </c>
      <c r="Q607" s="13" t="s">
        <v>54</v>
      </c>
      <c r="R607" s="13" t="s">
        <v>28</v>
      </c>
      <c r="S607" s="13"/>
      <c r="T607" s="13"/>
      <c r="U607" s="13" t="s">
        <v>863</v>
      </c>
      <c r="V607" s="13" t="s">
        <v>863</v>
      </c>
      <c r="W607" s="59">
        <f t="shared" si="9"/>
        <v>9.4205278192238467E-4</v>
      </c>
    </row>
    <row r="608" spans="1:29">
      <c r="A608" s="13" t="s">
        <v>208</v>
      </c>
      <c r="B608" s="13" t="s">
        <v>471</v>
      </c>
      <c r="C608" s="139">
        <v>46254</v>
      </c>
      <c r="D608" s="139" t="s">
        <v>441</v>
      </c>
      <c r="E608" s="28">
        <v>0.97839494000000005</v>
      </c>
      <c r="F608" s="13"/>
      <c r="G608" s="18">
        <v>4643215.3099999996</v>
      </c>
      <c r="H608" s="18">
        <v>4542898.34</v>
      </c>
      <c r="I608" s="18">
        <v>4643215.3099999996</v>
      </c>
      <c r="J608" s="18">
        <v>4542898.34</v>
      </c>
      <c r="K608" s="15">
        <v>568282</v>
      </c>
      <c r="L608" s="13" t="s">
        <v>102</v>
      </c>
      <c r="M608" s="13" t="s">
        <v>103</v>
      </c>
      <c r="N608" s="139" t="s">
        <v>355</v>
      </c>
      <c r="O608" s="139" t="s">
        <v>355</v>
      </c>
      <c r="P608" s="28">
        <v>26</v>
      </c>
      <c r="Q608" s="13" t="s">
        <v>54</v>
      </c>
      <c r="R608" s="13" t="s">
        <v>28</v>
      </c>
      <c r="S608" s="13"/>
      <c r="T608" s="13"/>
      <c r="U608" s="13" t="s">
        <v>864</v>
      </c>
      <c r="V608" s="13" t="s">
        <v>864</v>
      </c>
      <c r="W608" s="59">
        <f t="shared" si="9"/>
        <v>8.6790301775646167E-5</v>
      </c>
    </row>
    <row r="609" spans="1:29">
      <c r="A609" s="13" t="s">
        <v>208</v>
      </c>
      <c r="B609" s="13" t="s">
        <v>471</v>
      </c>
      <c r="C609" s="139">
        <v>46254</v>
      </c>
      <c r="D609" s="139" t="s">
        <v>441</v>
      </c>
      <c r="E609" s="28">
        <v>0.97839494000000005</v>
      </c>
      <c r="F609" s="13"/>
      <c r="G609" s="18">
        <v>2120477.86</v>
      </c>
      <c r="H609" s="18">
        <v>2074664.8</v>
      </c>
      <c r="I609" s="18">
        <v>2120477.86</v>
      </c>
      <c r="J609" s="18">
        <v>2074664.8</v>
      </c>
      <c r="K609" s="15">
        <v>568321</v>
      </c>
      <c r="L609" s="13" t="s">
        <v>102</v>
      </c>
      <c r="M609" s="13" t="s">
        <v>103</v>
      </c>
      <c r="N609" s="139" t="s">
        <v>355</v>
      </c>
      <c r="O609" s="139" t="s">
        <v>355</v>
      </c>
      <c r="P609" s="28">
        <v>26</v>
      </c>
      <c r="Q609" s="13" t="s">
        <v>54</v>
      </c>
      <c r="R609" s="13" t="s">
        <v>28</v>
      </c>
      <c r="S609" s="13"/>
      <c r="T609" s="13"/>
      <c r="U609" s="13" t="s">
        <v>865</v>
      </c>
      <c r="V609" s="13" t="s">
        <v>865</v>
      </c>
      <c r="W609" s="59">
        <f t="shared" si="9"/>
        <v>3.9635662213676258E-5</v>
      </c>
    </row>
    <row r="610" spans="1:29">
      <c r="A610" s="13" t="s">
        <v>208</v>
      </c>
      <c r="B610" s="13" t="s">
        <v>471</v>
      </c>
      <c r="C610" s="139">
        <v>46254</v>
      </c>
      <c r="D610" s="139" t="s">
        <v>441</v>
      </c>
      <c r="E610" s="28">
        <v>0.97839494000000005</v>
      </c>
      <c r="F610" s="13"/>
      <c r="G610" s="18">
        <v>3412014.84</v>
      </c>
      <c r="H610" s="18">
        <v>3338298.04</v>
      </c>
      <c r="I610" s="18">
        <v>3412014.84</v>
      </c>
      <c r="J610" s="18">
        <v>3338298.04</v>
      </c>
      <c r="K610" s="15">
        <v>568312</v>
      </c>
      <c r="L610" s="13" t="s">
        <v>102</v>
      </c>
      <c r="M610" s="13" t="s">
        <v>103</v>
      </c>
      <c r="N610" s="139" t="s">
        <v>355</v>
      </c>
      <c r="O610" s="139" t="s">
        <v>355</v>
      </c>
      <c r="P610" s="28">
        <v>26</v>
      </c>
      <c r="Q610" s="13" t="s">
        <v>54</v>
      </c>
      <c r="R610" s="13" t="s">
        <v>28</v>
      </c>
      <c r="S610" s="13"/>
      <c r="T610" s="13"/>
      <c r="U610" s="13" t="s">
        <v>870</v>
      </c>
      <c r="V610" s="13" t="s">
        <v>870</v>
      </c>
      <c r="W610" s="59">
        <f t="shared" si="9"/>
        <v>6.3776882647267891E-5</v>
      </c>
    </row>
    <row r="611" spans="1:29">
      <c r="A611" s="13" t="s">
        <v>208</v>
      </c>
      <c r="B611" s="13" t="s">
        <v>471</v>
      </c>
      <c r="C611" s="139">
        <v>46254</v>
      </c>
      <c r="D611" s="139" t="s">
        <v>441</v>
      </c>
      <c r="E611" s="28">
        <v>0.97839494000000005</v>
      </c>
      <c r="F611" s="13"/>
      <c r="G611" s="18">
        <v>2502217.0699999998</v>
      </c>
      <c r="H611" s="18">
        <v>2448156.52</v>
      </c>
      <c r="I611" s="18">
        <v>2502217.0699999998</v>
      </c>
      <c r="J611" s="18">
        <v>2448156.52</v>
      </c>
      <c r="K611" s="15">
        <v>568315</v>
      </c>
      <c r="L611" s="13" t="s">
        <v>102</v>
      </c>
      <c r="M611" s="13" t="s">
        <v>103</v>
      </c>
      <c r="N611" s="139" t="s">
        <v>355</v>
      </c>
      <c r="O611" s="139" t="s">
        <v>355</v>
      </c>
      <c r="P611" s="28">
        <v>26</v>
      </c>
      <c r="Q611" s="13" t="s">
        <v>54</v>
      </c>
      <c r="R611" s="13" t="s">
        <v>28</v>
      </c>
      <c r="S611" s="13"/>
      <c r="T611" s="13"/>
      <c r="U611" s="13" t="s">
        <v>871</v>
      </c>
      <c r="V611" s="13" t="s">
        <v>871</v>
      </c>
      <c r="W611" s="59">
        <f t="shared" si="9"/>
        <v>4.6771075921724402E-5</v>
      </c>
    </row>
    <row r="612" spans="1:29">
      <c r="A612" s="13" t="s">
        <v>208</v>
      </c>
      <c r="B612" s="13" t="s">
        <v>471</v>
      </c>
      <c r="C612" s="139">
        <v>46254</v>
      </c>
      <c r="D612" s="139" t="s">
        <v>441</v>
      </c>
      <c r="E612" s="28">
        <v>0.97839494000000005</v>
      </c>
      <c r="F612" s="13"/>
      <c r="G612" s="18">
        <v>6395453.2000000002</v>
      </c>
      <c r="H612" s="18">
        <v>6257279.0499999998</v>
      </c>
      <c r="I612" s="18">
        <v>6395453.2000000002</v>
      </c>
      <c r="J612" s="18">
        <v>6257279.0499999998</v>
      </c>
      <c r="K612" s="15">
        <v>568311</v>
      </c>
      <c r="L612" s="13" t="s">
        <v>102</v>
      </c>
      <c r="M612" s="13" t="s">
        <v>103</v>
      </c>
      <c r="N612" s="139" t="s">
        <v>355</v>
      </c>
      <c r="O612" s="139" t="s">
        <v>355</v>
      </c>
      <c r="P612" s="28">
        <v>26</v>
      </c>
      <c r="Q612" s="13" t="s">
        <v>54</v>
      </c>
      <c r="R612" s="13" t="s">
        <v>28</v>
      </c>
      <c r="S612" s="13"/>
      <c r="T612" s="13"/>
      <c r="U612" s="13" t="s">
        <v>872</v>
      </c>
      <c r="V612" s="13" t="s">
        <v>872</v>
      </c>
      <c r="W612" s="59">
        <f t="shared" si="9"/>
        <v>1.1954287690354271E-4</v>
      </c>
    </row>
    <row r="613" spans="1:29">
      <c r="A613" s="13" t="s">
        <v>208</v>
      </c>
      <c r="B613" s="13" t="s">
        <v>471</v>
      </c>
      <c r="C613" s="139">
        <v>46254</v>
      </c>
      <c r="D613" s="139" t="s">
        <v>441</v>
      </c>
      <c r="E613" s="28">
        <v>0.97839494999999999</v>
      </c>
      <c r="F613" s="13"/>
      <c r="G613" s="18">
        <v>1860181.4</v>
      </c>
      <c r="H613" s="18">
        <v>1819992.08</v>
      </c>
      <c r="I613" s="18">
        <v>1860181.4</v>
      </c>
      <c r="J613" s="18">
        <v>1819992.08</v>
      </c>
      <c r="K613" s="15">
        <v>568323</v>
      </c>
      <c r="L613" s="13" t="s">
        <v>102</v>
      </c>
      <c r="M613" s="13" t="s">
        <v>103</v>
      </c>
      <c r="N613" s="139" t="s">
        <v>355</v>
      </c>
      <c r="O613" s="139" t="s">
        <v>355</v>
      </c>
      <c r="P613" s="28">
        <v>26</v>
      </c>
      <c r="Q613" s="13" t="s">
        <v>54</v>
      </c>
      <c r="R613" s="13" t="s">
        <v>28</v>
      </c>
      <c r="S613" s="13"/>
      <c r="T613" s="13"/>
      <c r="U613" s="13" t="s">
        <v>873</v>
      </c>
      <c r="V613" s="13" t="s">
        <v>873</v>
      </c>
      <c r="W613" s="59">
        <f t="shared" si="9"/>
        <v>3.4770239180057454E-5</v>
      </c>
    </row>
    <row r="614" spans="1:29">
      <c r="A614" s="13" t="s">
        <v>208</v>
      </c>
      <c r="B614" s="13" t="s">
        <v>471</v>
      </c>
      <c r="C614" s="139">
        <v>46254</v>
      </c>
      <c r="D614" s="139" t="s">
        <v>441</v>
      </c>
      <c r="E614" s="28">
        <v>0.97839494000000005</v>
      </c>
      <c r="F614" s="13"/>
      <c r="G614" s="18">
        <v>3621557.13</v>
      </c>
      <c r="H614" s="18">
        <v>3543313.17</v>
      </c>
      <c r="I614" s="18">
        <v>3621557.13</v>
      </c>
      <c r="J614" s="18">
        <v>3543313.17</v>
      </c>
      <c r="K614" s="15">
        <v>568292</v>
      </c>
      <c r="L614" s="13" t="s">
        <v>102</v>
      </c>
      <c r="M614" s="13" t="s">
        <v>103</v>
      </c>
      <c r="N614" s="139" t="s">
        <v>355</v>
      </c>
      <c r="O614" s="139" t="s">
        <v>355</v>
      </c>
      <c r="P614" s="28">
        <v>26</v>
      </c>
      <c r="Q614" s="13" t="s">
        <v>54</v>
      </c>
      <c r="R614" s="13" t="s">
        <v>28</v>
      </c>
      <c r="S614" s="13"/>
      <c r="T614" s="13"/>
      <c r="U614" s="13" t="s">
        <v>874</v>
      </c>
      <c r="V614" s="13" t="s">
        <v>874</v>
      </c>
      <c r="W614" s="59">
        <f t="shared" si="9"/>
        <v>6.7693616782523347E-5</v>
      </c>
    </row>
    <row r="615" spans="1:29">
      <c r="A615" s="13" t="s">
        <v>208</v>
      </c>
      <c r="B615" s="13" t="s">
        <v>471</v>
      </c>
      <c r="C615" s="139">
        <v>46254</v>
      </c>
      <c r="D615" s="139" t="s">
        <v>441</v>
      </c>
      <c r="E615" s="28">
        <v>0.97839494000000005</v>
      </c>
      <c r="F615" s="13"/>
      <c r="G615" s="18">
        <v>14947325.66</v>
      </c>
      <c r="H615" s="18">
        <v>14624387.800000001</v>
      </c>
      <c r="I615" s="18">
        <v>14947325.66</v>
      </c>
      <c r="J615" s="18">
        <v>14624387.800000001</v>
      </c>
      <c r="K615" s="15">
        <v>568359</v>
      </c>
      <c r="L615" s="13" t="s">
        <v>102</v>
      </c>
      <c r="M615" s="13" t="s">
        <v>103</v>
      </c>
      <c r="N615" s="139" t="s">
        <v>355</v>
      </c>
      <c r="O615" s="139" t="s">
        <v>355</v>
      </c>
      <c r="P615" s="28">
        <v>26</v>
      </c>
      <c r="Q615" s="13" t="s">
        <v>54</v>
      </c>
      <c r="R615" s="13" t="s">
        <v>28</v>
      </c>
      <c r="S615" s="13"/>
      <c r="T615" s="13"/>
      <c r="U615" s="13" t="s">
        <v>875</v>
      </c>
      <c r="V615" s="13" t="s">
        <v>875</v>
      </c>
      <c r="W615" s="59">
        <f t="shared" si="9"/>
        <v>2.7939322772652629E-4</v>
      </c>
    </row>
    <row r="616" spans="1:29">
      <c r="A616" s="13" t="s">
        <v>208</v>
      </c>
      <c r="B616" s="13" t="s">
        <v>471</v>
      </c>
      <c r="C616" s="139">
        <v>46254</v>
      </c>
      <c r="D616" s="139" t="s">
        <v>441</v>
      </c>
      <c r="E616" s="28">
        <v>0.97839494000000005</v>
      </c>
      <c r="F616" s="13"/>
      <c r="G616" s="18">
        <v>10604114.439999999</v>
      </c>
      <c r="H616" s="18">
        <v>10375011.91</v>
      </c>
      <c r="I616" s="18">
        <v>10604114.439999999</v>
      </c>
      <c r="J616" s="18">
        <v>10375011.91</v>
      </c>
      <c r="K616" s="15">
        <v>568349</v>
      </c>
      <c r="L616" s="13" t="s">
        <v>102</v>
      </c>
      <c r="M616" s="13" t="s">
        <v>103</v>
      </c>
      <c r="N616" s="139" t="s">
        <v>355</v>
      </c>
      <c r="O616" s="139" t="s">
        <v>355</v>
      </c>
      <c r="P616" s="28">
        <v>26</v>
      </c>
      <c r="Q616" s="13" t="s">
        <v>54</v>
      </c>
      <c r="R616" s="13" t="s">
        <v>28</v>
      </c>
      <c r="S616" s="13"/>
      <c r="T616" s="13"/>
      <c r="U616" s="13" t="s">
        <v>876</v>
      </c>
      <c r="V616" s="13" t="s">
        <v>876</v>
      </c>
      <c r="W616" s="59">
        <f t="shared" si="9"/>
        <v>1.9821055793091402E-4</v>
      </c>
    </row>
    <row r="617" spans="1:29">
      <c r="A617" s="13" t="s">
        <v>698</v>
      </c>
      <c r="B617" s="13" t="s">
        <v>471</v>
      </c>
      <c r="C617" s="139">
        <v>46254</v>
      </c>
      <c r="D617" s="139" t="s">
        <v>441</v>
      </c>
      <c r="E617" s="28">
        <v>0.97515364999999998</v>
      </c>
      <c r="F617" s="13"/>
      <c r="G617" s="18">
        <v>1040000</v>
      </c>
      <c r="H617" s="18">
        <v>1014159.79</v>
      </c>
      <c r="I617" s="18">
        <v>1040000</v>
      </c>
      <c r="J617" s="18">
        <v>1014159.79</v>
      </c>
      <c r="K617" s="15">
        <v>13301548</v>
      </c>
      <c r="L617" s="13" t="s">
        <v>102</v>
      </c>
      <c r="M617" s="13" t="s">
        <v>103</v>
      </c>
      <c r="N617" s="139" t="s">
        <v>341</v>
      </c>
      <c r="O617" s="139" t="s">
        <v>341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914</v>
      </c>
      <c r="V617" s="13" t="s">
        <v>914</v>
      </c>
      <c r="W617" s="59">
        <f t="shared" si="9"/>
        <v>1.9375127426431901E-5</v>
      </c>
    </row>
    <row r="618" spans="1:29">
      <c r="A618" s="13" t="s">
        <v>698</v>
      </c>
      <c r="B618" s="13" t="s">
        <v>471</v>
      </c>
      <c r="C618" s="139">
        <v>46254</v>
      </c>
      <c r="D618" s="139" t="s">
        <v>441</v>
      </c>
      <c r="E618" s="28">
        <v>0.97515364999999998</v>
      </c>
      <c r="F618" s="13"/>
      <c r="G618" s="18">
        <v>1040000</v>
      </c>
      <c r="H618" s="18">
        <v>1014159.79</v>
      </c>
      <c r="I618" s="18">
        <v>1040000</v>
      </c>
      <c r="J618" s="18">
        <v>1014159.79</v>
      </c>
      <c r="K618" s="15">
        <v>19101547</v>
      </c>
      <c r="L618" s="13" t="s">
        <v>102</v>
      </c>
      <c r="M618" s="13" t="s">
        <v>103</v>
      </c>
      <c r="N618" s="139" t="s">
        <v>341</v>
      </c>
      <c r="O618" s="139" t="s">
        <v>341</v>
      </c>
      <c r="P618" s="28">
        <v>30</v>
      </c>
      <c r="Q618" s="13" t="s">
        <v>54</v>
      </c>
      <c r="R618" s="13" t="s">
        <v>28</v>
      </c>
      <c r="S618" s="13"/>
      <c r="T618" s="13"/>
      <c r="U618" s="13" t="s">
        <v>920</v>
      </c>
      <c r="V618" s="13" t="s">
        <v>920</v>
      </c>
      <c r="W618" s="59">
        <f t="shared" si="9"/>
        <v>1.9375127426431901E-5</v>
      </c>
    </row>
    <row r="619" spans="1:29">
      <c r="A619" s="13" t="s">
        <v>583</v>
      </c>
      <c r="B619" s="13" t="s">
        <v>471</v>
      </c>
      <c r="C619" s="139">
        <v>46254</v>
      </c>
      <c r="D619" s="139" t="s">
        <v>441</v>
      </c>
      <c r="E619" s="28">
        <v>0.96714365999999996</v>
      </c>
      <c r="F619" s="13"/>
      <c r="G619" s="18">
        <v>7551944</v>
      </c>
      <c r="H619" s="18">
        <v>7303814.7400000002</v>
      </c>
      <c r="I619" s="18">
        <v>7551944</v>
      </c>
      <c r="J619" s="18">
        <v>7303814.7400000002</v>
      </c>
      <c r="K619" s="15">
        <v>1824</v>
      </c>
      <c r="L619" s="13" t="s">
        <v>102</v>
      </c>
      <c r="M619" s="13" t="s">
        <v>103</v>
      </c>
      <c r="N619" s="139" t="s">
        <v>346</v>
      </c>
      <c r="O619" s="139" t="s">
        <v>346</v>
      </c>
      <c r="P619" s="28">
        <v>40</v>
      </c>
      <c r="Q619" s="13" t="s">
        <v>54</v>
      </c>
      <c r="R619" s="13" t="s">
        <v>28</v>
      </c>
      <c r="S619" s="13"/>
      <c r="T619" s="13"/>
      <c r="U619" s="13" t="s">
        <v>570</v>
      </c>
      <c r="V619" s="13" t="s">
        <v>570</v>
      </c>
      <c r="W619" s="59">
        <f t="shared" si="9"/>
        <v>1.3953653327800699E-4</v>
      </c>
    </row>
    <row r="620" spans="1:29">
      <c r="A620" s="13" t="s">
        <v>583</v>
      </c>
      <c r="B620" s="13" t="s">
        <v>471</v>
      </c>
      <c r="C620" s="139">
        <v>46254</v>
      </c>
      <c r="D620" s="139" t="s">
        <v>441</v>
      </c>
      <c r="E620" s="28">
        <v>0.96714365999999996</v>
      </c>
      <c r="F620" s="13"/>
      <c r="G620" s="18">
        <v>7551944</v>
      </c>
      <c r="H620" s="18">
        <v>7303814.7400000002</v>
      </c>
      <c r="I620" s="18">
        <v>7551944</v>
      </c>
      <c r="J620" s="18">
        <v>7303814.7400000002</v>
      </c>
      <c r="K620" s="15">
        <v>1823</v>
      </c>
      <c r="L620" s="13" t="s">
        <v>102</v>
      </c>
      <c r="M620" s="13" t="s">
        <v>103</v>
      </c>
      <c r="N620" s="139" t="s">
        <v>346</v>
      </c>
      <c r="O620" s="139" t="s">
        <v>346</v>
      </c>
      <c r="P620" s="28">
        <v>40</v>
      </c>
      <c r="Q620" s="13" t="s">
        <v>54</v>
      </c>
      <c r="R620" s="13" t="s">
        <v>28</v>
      </c>
      <c r="S620" s="13"/>
      <c r="T620" s="13"/>
      <c r="U620" s="13" t="s">
        <v>579</v>
      </c>
      <c r="V620" s="13" t="s">
        <v>579</v>
      </c>
      <c r="W620" s="59">
        <f t="shared" si="9"/>
        <v>1.3953653327800699E-4</v>
      </c>
    </row>
    <row r="621" spans="1:29">
      <c r="A621" s="13" t="s">
        <v>985</v>
      </c>
      <c r="B621" s="13" t="s">
        <v>471</v>
      </c>
      <c r="C621" s="139">
        <v>46254</v>
      </c>
      <c r="D621" s="139" t="s">
        <v>441</v>
      </c>
      <c r="E621" s="28">
        <v>0.97515370000000001</v>
      </c>
      <c r="F621" s="13"/>
      <c r="G621" s="18">
        <v>17969542.75</v>
      </c>
      <c r="H621" s="18">
        <v>17523066.100000001</v>
      </c>
      <c r="I621" s="18">
        <v>17969542.75</v>
      </c>
      <c r="J621" s="18">
        <v>17523066.100000001</v>
      </c>
      <c r="K621" s="15">
        <v>691</v>
      </c>
      <c r="L621" s="13" t="s">
        <v>102</v>
      </c>
      <c r="M621" s="13" t="s">
        <v>103</v>
      </c>
      <c r="N621" s="139" t="s">
        <v>342</v>
      </c>
      <c r="O621" s="139" t="s">
        <v>342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986</v>
      </c>
      <c r="V621" s="13" t="s">
        <v>986</v>
      </c>
      <c r="W621" s="59">
        <f t="shared" si="9"/>
        <v>3.3477134662308894E-4</v>
      </c>
    </row>
    <row r="622" spans="1:29">
      <c r="A622" s="13" t="s">
        <v>197</v>
      </c>
      <c r="B622" s="13" t="s">
        <v>471</v>
      </c>
      <c r="C622" s="139">
        <v>46254</v>
      </c>
      <c r="D622" s="139" t="s">
        <v>441</v>
      </c>
      <c r="E622" s="28">
        <v>0.98329743000000003</v>
      </c>
      <c r="F622" s="13"/>
      <c r="G622" s="18">
        <v>2500000</v>
      </c>
      <c r="H622" s="18">
        <v>2458243.58</v>
      </c>
      <c r="I622" s="18">
        <v>2500000</v>
      </c>
      <c r="J622" s="18">
        <v>2458243.58</v>
      </c>
      <c r="K622" s="15">
        <v>6135</v>
      </c>
      <c r="L622" s="13" t="s">
        <v>102</v>
      </c>
      <c r="M622" s="13" t="s">
        <v>103</v>
      </c>
      <c r="N622" s="139" t="s">
        <v>319</v>
      </c>
      <c r="O622" s="139" t="s">
        <v>319</v>
      </c>
      <c r="P622" s="28">
        <v>20</v>
      </c>
      <c r="Q622" s="13" t="s">
        <v>54</v>
      </c>
      <c r="R622" s="13" t="s">
        <v>28</v>
      </c>
      <c r="S622" s="13"/>
      <c r="T622" s="13"/>
      <c r="U622" s="13" t="s">
        <v>1197</v>
      </c>
      <c r="V622" s="13" t="s">
        <v>1197</v>
      </c>
      <c r="W622" s="59">
        <f t="shared" si="9"/>
        <v>4.6963785270670352E-5</v>
      </c>
      <c r="AC622" s="56"/>
    </row>
    <row r="623" spans="1:29">
      <c r="A623" s="13" t="s">
        <v>197</v>
      </c>
      <c r="B623" s="13" t="s">
        <v>471</v>
      </c>
      <c r="C623" s="139">
        <v>46254</v>
      </c>
      <c r="D623" s="139" t="s">
        <v>441</v>
      </c>
      <c r="E623" s="28">
        <v>0.98329743000000003</v>
      </c>
      <c r="F623" s="13"/>
      <c r="G623" s="18">
        <v>2500000</v>
      </c>
      <c r="H623" s="18">
        <v>2458243.58</v>
      </c>
      <c r="I623" s="18">
        <v>2500000</v>
      </c>
      <c r="J623" s="18">
        <v>2458243.58</v>
      </c>
      <c r="K623" s="15">
        <v>6134</v>
      </c>
      <c r="L623" s="13" t="s">
        <v>102</v>
      </c>
      <c r="M623" s="13" t="s">
        <v>103</v>
      </c>
      <c r="N623" s="139" t="s">
        <v>319</v>
      </c>
      <c r="O623" s="139" t="s">
        <v>319</v>
      </c>
      <c r="P623" s="28">
        <v>20</v>
      </c>
      <c r="Q623" s="13" t="s">
        <v>54</v>
      </c>
      <c r="R623" s="13" t="s">
        <v>28</v>
      </c>
      <c r="S623" s="13"/>
      <c r="T623" s="13"/>
      <c r="U623" s="13" t="s">
        <v>1199</v>
      </c>
      <c r="V623" s="13" t="s">
        <v>1199</v>
      </c>
      <c r="W623" s="59">
        <f t="shared" si="9"/>
        <v>4.6963785270670352E-5</v>
      </c>
      <c r="AC623" s="56"/>
    </row>
    <row r="624" spans="1:29">
      <c r="A624" s="13" t="s">
        <v>737</v>
      </c>
      <c r="B624" s="13" t="s">
        <v>471</v>
      </c>
      <c r="C624" s="139">
        <v>46254</v>
      </c>
      <c r="D624" s="139" t="s">
        <v>441</v>
      </c>
      <c r="E624" s="28">
        <v>0.98002374000000003</v>
      </c>
      <c r="F624" s="13"/>
      <c r="G624" s="18">
        <v>3000000</v>
      </c>
      <c r="H624" s="18">
        <v>2940071.22</v>
      </c>
      <c r="I624" s="18">
        <v>3000000</v>
      </c>
      <c r="J624" s="18">
        <v>2940071.22</v>
      </c>
      <c r="K624" s="15">
        <v>913749</v>
      </c>
      <c r="L624" s="13" t="s">
        <v>102</v>
      </c>
      <c r="M624" s="13" t="s">
        <v>103</v>
      </c>
      <c r="N624" s="139" t="s">
        <v>783</v>
      </c>
      <c r="O624" s="139" t="s">
        <v>783</v>
      </c>
      <c r="P624" s="28">
        <v>24</v>
      </c>
      <c r="Q624" s="13" t="s">
        <v>54</v>
      </c>
      <c r="R624" s="13" t="s">
        <v>28</v>
      </c>
      <c r="S624" s="13"/>
      <c r="T624" s="13"/>
      <c r="U624" s="13" t="s">
        <v>2067</v>
      </c>
      <c r="V624" s="13" t="s">
        <v>2067</v>
      </c>
      <c r="W624" s="59">
        <f t="shared" si="9"/>
        <v>5.6168914496486887E-5</v>
      </c>
      <c r="AB624" s="52"/>
      <c r="AC624" s="56"/>
    </row>
    <row r="625" spans="1:23">
      <c r="A625" s="13" t="s">
        <v>737</v>
      </c>
      <c r="B625" s="13" t="s">
        <v>471</v>
      </c>
      <c r="C625" s="139">
        <v>46254</v>
      </c>
      <c r="D625" s="139" t="s">
        <v>441</v>
      </c>
      <c r="E625" s="28">
        <v>0.98002374000000003</v>
      </c>
      <c r="F625" s="13"/>
      <c r="G625" s="18">
        <v>3000000</v>
      </c>
      <c r="H625" s="18">
        <v>2940071.22</v>
      </c>
      <c r="I625" s="18">
        <v>3000000</v>
      </c>
      <c r="J625" s="18">
        <v>2940071.22</v>
      </c>
      <c r="K625" s="15">
        <v>913751</v>
      </c>
      <c r="L625" s="13" t="s">
        <v>102</v>
      </c>
      <c r="M625" s="13" t="s">
        <v>103</v>
      </c>
      <c r="N625" s="139" t="s">
        <v>783</v>
      </c>
      <c r="O625" s="139" t="s">
        <v>783</v>
      </c>
      <c r="P625" s="28">
        <v>24</v>
      </c>
      <c r="Q625" s="13" t="s">
        <v>54</v>
      </c>
      <c r="R625" s="13" t="s">
        <v>28</v>
      </c>
      <c r="S625" s="13"/>
      <c r="T625" s="13"/>
      <c r="U625" s="13" t="s">
        <v>2068</v>
      </c>
      <c r="V625" s="13" t="s">
        <v>2068</v>
      </c>
      <c r="W625" s="59">
        <f t="shared" si="9"/>
        <v>5.6168914496486887E-5</v>
      </c>
    </row>
    <row r="626" spans="1:23">
      <c r="A626" s="13" t="s">
        <v>737</v>
      </c>
      <c r="B626" s="13" t="s">
        <v>471</v>
      </c>
      <c r="C626" s="139">
        <v>46254</v>
      </c>
      <c r="D626" s="139" t="s">
        <v>441</v>
      </c>
      <c r="E626" s="28">
        <v>0.98002374000000003</v>
      </c>
      <c r="F626" s="13"/>
      <c r="G626" s="18">
        <v>3000000</v>
      </c>
      <c r="H626" s="18">
        <v>2940071.22</v>
      </c>
      <c r="I626" s="18">
        <v>3000000</v>
      </c>
      <c r="J626" s="18">
        <v>2940071.22</v>
      </c>
      <c r="K626" s="15">
        <v>913753</v>
      </c>
      <c r="L626" s="13" t="s">
        <v>102</v>
      </c>
      <c r="M626" s="13" t="s">
        <v>103</v>
      </c>
      <c r="N626" s="139" t="s">
        <v>783</v>
      </c>
      <c r="O626" s="139" t="s">
        <v>783</v>
      </c>
      <c r="P626" s="28">
        <v>24</v>
      </c>
      <c r="Q626" s="13" t="s">
        <v>54</v>
      </c>
      <c r="R626" s="13" t="s">
        <v>28</v>
      </c>
      <c r="S626" s="13"/>
      <c r="T626" s="13"/>
      <c r="U626" s="13" t="s">
        <v>2069</v>
      </c>
      <c r="V626" s="13" t="s">
        <v>2069</v>
      </c>
      <c r="W626" s="59">
        <f t="shared" si="9"/>
        <v>5.6168914496486887E-5</v>
      </c>
    </row>
    <row r="627" spans="1:23">
      <c r="A627" s="13" t="s">
        <v>737</v>
      </c>
      <c r="B627" s="13" t="s">
        <v>471</v>
      </c>
      <c r="C627" s="139">
        <v>46254</v>
      </c>
      <c r="D627" s="139" t="s">
        <v>441</v>
      </c>
      <c r="E627" s="28">
        <v>0.98002374000000003</v>
      </c>
      <c r="F627" s="13"/>
      <c r="G627" s="18">
        <v>3000000</v>
      </c>
      <c r="H627" s="18">
        <v>2940071.22</v>
      </c>
      <c r="I627" s="18">
        <v>3000000</v>
      </c>
      <c r="J627" s="18">
        <v>2940071.22</v>
      </c>
      <c r="K627" s="15">
        <v>913742</v>
      </c>
      <c r="L627" s="13" t="s">
        <v>102</v>
      </c>
      <c r="M627" s="13" t="s">
        <v>103</v>
      </c>
      <c r="N627" s="139" t="s">
        <v>783</v>
      </c>
      <c r="O627" s="139" t="s">
        <v>783</v>
      </c>
      <c r="P627" s="28">
        <v>24</v>
      </c>
      <c r="Q627" s="13" t="s">
        <v>54</v>
      </c>
      <c r="R627" s="13" t="s">
        <v>28</v>
      </c>
      <c r="S627" s="13"/>
      <c r="T627" s="13"/>
      <c r="U627" s="13" t="s">
        <v>2071</v>
      </c>
      <c r="V627" s="13" t="s">
        <v>2071</v>
      </c>
      <c r="W627" s="59">
        <f t="shared" si="9"/>
        <v>5.6168914496486887E-5</v>
      </c>
    </row>
    <row r="628" spans="1:23">
      <c r="A628" s="13" t="s">
        <v>737</v>
      </c>
      <c r="B628" s="13" t="s">
        <v>471</v>
      </c>
      <c r="C628" s="139">
        <v>46254</v>
      </c>
      <c r="D628" s="139" t="s">
        <v>441</v>
      </c>
      <c r="E628" s="28">
        <v>0.98002374000000003</v>
      </c>
      <c r="F628" s="13"/>
      <c r="G628" s="18">
        <v>3000000</v>
      </c>
      <c r="H628" s="18">
        <v>2940071.22</v>
      </c>
      <c r="I628" s="18">
        <v>3000000</v>
      </c>
      <c r="J628" s="18">
        <v>2940071.22</v>
      </c>
      <c r="K628" s="15">
        <v>913752</v>
      </c>
      <c r="L628" s="13" t="s">
        <v>102</v>
      </c>
      <c r="M628" s="13" t="s">
        <v>103</v>
      </c>
      <c r="N628" s="139" t="s">
        <v>783</v>
      </c>
      <c r="O628" s="139" t="s">
        <v>783</v>
      </c>
      <c r="P628" s="28">
        <v>24</v>
      </c>
      <c r="Q628" s="13" t="s">
        <v>54</v>
      </c>
      <c r="R628" s="13" t="s">
        <v>28</v>
      </c>
      <c r="S628" s="13"/>
      <c r="T628" s="13"/>
      <c r="U628" s="13" t="s">
        <v>2072</v>
      </c>
      <c r="V628" s="13" t="s">
        <v>2072</v>
      </c>
      <c r="W628" s="59">
        <f t="shared" si="9"/>
        <v>5.6168914496486887E-5</v>
      </c>
    </row>
    <row r="629" spans="1:23">
      <c r="A629" s="13" t="s">
        <v>737</v>
      </c>
      <c r="B629" s="13" t="s">
        <v>471</v>
      </c>
      <c r="C629" s="139">
        <v>46254</v>
      </c>
      <c r="D629" s="139" t="s">
        <v>441</v>
      </c>
      <c r="E629" s="28">
        <v>0.98002374000000003</v>
      </c>
      <c r="F629" s="13"/>
      <c r="G629" s="18">
        <v>3000000</v>
      </c>
      <c r="H629" s="18">
        <v>2940071.22</v>
      </c>
      <c r="I629" s="18">
        <v>3000000</v>
      </c>
      <c r="J629" s="18">
        <v>2940071.22</v>
      </c>
      <c r="K629" s="15">
        <v>913746</v>
      </c>
      <c r="L629" s="13" t="s">
        <v>102</v>
      </c>
      <c r="M629" s="13" t="s">
        <v>103</v>
      </c>
      <c r="N629" s="139" t="s">
        <v>783</v>
      </c>
      <c r="O629" s="139" t="s">
        <v>783</v>
      </c>
      <c r="P629" s="28">
        <v>24</v>
      </c>
      <c r="Q629" s="13" t="s">
        <v>54</v>
      </c>
      <c r="R629" s="13" t="s">
        <v>28</v>
      </c>
      <c r="S629" s="13"/>
      <c r="T629" s="13"/>
      <c r="U629" s="13" t="s">
        <v>2073</v>
      </c>
      <c r="V629" s="13" t="s">
        <v>2073</v>
      </c>
      <c r="W629" s="59">
        <f t="shared" si="9"/>
        <v>5.6168914496486887E-5</v>
      </c>
    </row>
    <row r="630" spans="1:23">
      <c r="A630" s="13" t="s">
        <v>737</v>
      </c>
      <c r="B630" s="13" t="s">
        <v>471</v>
      </c>
      <c r="C630" s="139">
        <v>46254</v>
      </c>
      <c r="D630" s="139" t="s">
        <v>441</v>
      </c>
      <c r="E630" s="28">
        <v>0.98002374000000003</v>
      </c>
      <c r="F630" s="13"/>
      <c r="G630" s="18">
        <v>3000000</v>
      </c>
      <c r="H630" s="18">
        <v>2940071.22</v>
      </c>
      <c r="I630" s="18">
        <v>3000000</v>
      </c>
      <c r="J630" s="18">
        <v>2940071.22</v>
      </c>
      <c r="K630" s="15">
        <v>913743</v>
      </c>
      <c r="L630" s="13" t="s">
        <v>102</v>
      </c>
      <c r="M630" s="13" t="s">
        <v>103</v>
      </c>
      <c r="N630" s="139" t="s">
        <v>783</v>
      </c>
      <c r="O630" s="139" t="s">
        <v>783</v>
      </c>
      <c r="P630" s="28">
        <v>24</v>
      </c>
      <c r="Q630" s="13" t="s">
        <v>54</v>
      </c>
      <c r="R630" s="13" t="s">
        <v>28</v>
      </c>
      <c r="S630" s="13"/>
      <c r="T630" s="13"/>
      <c r="U630" s="13" t="s">
        <v>2074</v>
      </c>
      <c r="V630" s="13" t="s">
        <v>2074</v>
      </c>
      <c r="W630" s="59">
        <f t="shared" si="9"/>
        <v>5.6168914496486887E-5</v>
      </c>
    </row>
    <row r="631" spans="1:23">
      <c r="A631" s="13" t="s">
        <v>737</v>
      </c>
      <c r="B631" s="13" t="s">
        <v>471</v>
      </c>
      <c r="C631" s="139">
        <v>46254</v>
      </c>
      <c r="D631" s="139" t="s">
        <v>441</v>
      </c>
      <c r="E631" s="28">
        <v>0.98002374000000003</v>
      </c>
      <c r="F631" s="13"/>
      <c r="G631" s="18">
        <v>3000000</v>
      </c>
      <c r="H631" s="18">
        <v>2940071.22</v>
      </c>
      <c r="I631" s="18">
        <v>3000000</v>
      </c>
      <c r="J631" s="18">
        <v>2940071.22</v>
      </c>
      <c r="K631" s="15">
        <v>913744</v>
      </c>
      <c r="L631" s="13" t="s">
        <v>102</v>
      </c>
      <c r="M631" s="13" t="s">
        <v>103</v>
      </c>
      <c r="N631" s="139" t="s">
        <v>783</v>
      </c>
      <c r="O631" s="139" t="s">
        <v>783</v>
      </c>
      <c r="P631" s="28">
        <v>24</v>
      </c>
      <c r="Q631" s="13" t="s">
        <v>54</v>
      </c>
      <c r="R631" s="13" t="s">
        <v>28</v>
      </c>
      <c r="S631" s="13"/>
      <c r="T631" s="13"/>
      <c r="U631" s="13" t="s">
        <v>2075</v>
      </c>
      <c r="V631" s="13" t="s">
        <v>2075</v>
      </c>
      <c r="W631" s="59">
        <f t="shared" si="9"/>
        <v>5.6168914496486887E-5</v>
      </c>
    </row>
    <row r="632" spans="1:23">
      <c r="A632" s="13" t="s">
        <v>737</v>
      </c>
      <c r="B632" s="13" t="s">
        <v>471</v>
      </c>
      <c r="C632" s="139">
        <v>46254</v>
      </c>
      <c r="D632" s="139" t="s">
        <v>441</v>
      </c>
      <c r="E632" s="28">
        <v>0.98002374000000003</v>
      </c>
      <c r="F632" s="13"/>
      <c r="G632" s="18">
        <v>3000000</v>
      </c>
      <c r="H632" s="18">
        <v>2940071.22</v>
      </c>
      <c r="I632" s="18">
        <v>3000000</v>
      </c>
      <c r="J632" s="18">
        <v>2940071.22</v>
      </c>
      <c r="K632" s="15">
        <v>913748</v>
      </c>
      <c r="L632" s="13" t="s">
        <v>102</v>
      </c>
      <c r="M632" s="13" t="s">
        <v>103</v>
      </c>
      <c r="N632" s="139" t="s">
        <v>783</v>
      </c>
      <c r="O632" s="139" t="s">
        <v>783</v>
      </c>
      <c r="P632" s="28">
        <v>24</v>
      </c>
      <c r="Q632" s="13" t="s">
        <v>54</v>
      </c>
      <c r="R632" s="13" t="s">
        <v>28</v>
      </c>
      <c r="S632" s="13"/>
      <c r="T632" s="13"/>
      <c r="U632" s="13" t="s">
        <v>2076</v>
      </c>
      <c r="V632" s="13" t="s">
        <v>2076</v>
      </c>
      <c r="W632" s="59">
        <f t="shared" si="9"/>
        <v>5.6168914496486887E-5</v>
      </c>
    </row>
    <row r="633" spans="1:23">
      <c r="A633" s="13" t="s">
        <v>737</v>
      </c>
      <c r="B633" s="13" t="s">
        <v>471</v>
      </c>
      <c r="C633" s="139">
        <v>46254</v>
      </c>
      <c r="D633" s="139" t="s">
        <v>441</v>
      </c>
      <c r="E633" s="28">
        <v>0.98002374000000003</v>
      </c>
      <c r="F633" s="13"/>
      <c r="G633" s="18">
        <v>3000000</v>
      </c>
      <c r="H633" s="18">
        <v>2940071.22</v>
      </c>
      <c r="I633" s="18">
        <v>3000000</v>
      </c>
      <c r="J633" s="18">
        <v>2940071.22</v>
      </c>
      <c r="K633" s="15">
        <v>913747</v>
      </c>
      <c r="L633" s="13" t="s">
        <v>102</v>
      </c>
      <c r="M633" s="13" t="s">
        <v>103</v>
      </c>
      <c r="N633" s="139" t="s">
        <v>783</v>
      </c>
      <c r="O633" s="139" t="s">
        <v>783</v>
      </c>
      <c r="P633" s="28">
        <v>24</v>
      </c>
      <c r="Q633" s="13" t="s">
        <v>54</v>
      </c>
      <c r="R633" s="13" t="s">
        <v>28</v>
      </c>
      <c r="S633" s="13"/>
      <c r="T633" s="13"/>
      <c r="U633" s="13" t="s">
        <v>2077</v>
      </c>
      <c r="V633" s="13" t="s">
        <v>2077</v>
      </c>
      <c r="W633" s="59">
        <f t="shared" si="9"/>
        <v>5.6168914496486887E-5</v>
      </c>
    </row>
    <row r="634" spans="1:23">
      <c r="A634" s="13" t="s">
        <v>737</v>
      </c>
      <c r="B634" s="13" t="s">
        <v>471</v>
      </c>
      <c r="C634" s="139">
        <v>46254</v>
      </c>
      <c r="D634" s="139" t="s">
        <v>441</v>
      </c>
      <c r="E634" s="28">
        <v>0.98002374000000003</v>
      </c>
      <c r="F634" s="13"/>
      <c r="G634" s="18">
        <v>3000000</v>
      </c>
      <c r="H634" s="18">
        <v>2940071.22</v>
      </c>
      <c r="I634" s="18">
        <v>3000000</v>
      </c>
      <c r="J634" s="18">
        <v>2940071.22</v>
      </c>
      <c r="K634" s="15">
        <v>913745</v>
      </c>
      <c r="L634" s="13" t="s">
        <v>102</v>
      </c>
      <c r="M634" s="13" t="s">
        <v>103</v>
      </c>
      <c r="N634" s="139" t="s">
        <v>783</v>
      </c>
      <c r="O634" s="139" t="s">
        <v>783</v>
      </c>
      <c r="P634" s="28">
        <v>24</v>
      </c>
      <c r="Q634" s="13" t="s">
        <v>54</v>
      </c>
      <c r="R634" s="13" t="s">
        <v>28</v>
      </c>
      <c r="S634" s="13"/>
      <c r="T634" s="13"/>
      <c r="U634" s="13" t="s">
        <v>2078</v>
      </c>
      <c r="V634" s="13" t="s">
        <v>2078</v>
      </c>
      <c r="W634" s="59">
        <f t="shared" si="9"/>
        <v>5.6168914496486887E-5</v>
      </c>
    </row>
    <row r="635" spans="1:23">
      <c r="A635" s="13" t="s">
        <v>737</v>
      </c>
      <c r="B635" s="13" t="s">
        <v>471</v>
      </c>
      <c r="C635" s="139">
        <v>46254</v>
      </c>
      <c r="D635" s="139" t="s">
        <v>441</v>
      </c>
      <c r="E635" s="28">
        <v>0.98002374000000003</v>
      </c>
      <c r="F635" s="13"/>
      <c r="G635" s="18">
        <v>3000000</v>
      </c>
      <c r="H635" s="18">
        <v>2940071.22</v>
      </c>
      <c r="I635" s="18">
        <v>3000000</v>
      </c>
      <c r="J635" s="18">
        <v>2940071.22</v>
      </c>
      <c r="K635" s="15">
        <v>913741</v>
      </c>
      <c r="L635" s="13" t="s">
        <v>102</v>
      </c>
      <c r="M635" s="13" t="s">
        <v>103</v>
      </c>
      <c r="N635" s="139" t="s">
        <v>783</v>
      </c>
      <c r="O635" s="139" t="s">
        <v>783</v>
      </c>
      <c r="P635" s="28">
        <v>24</v>
      </c>
      <c r="Q635" s="13" t="s">
        <v>54</v>
      </c>
      <c r="R635" s="13" t="s">
        <v>28</v>
      </c>
      <c r="S635" s="13"/>
      <c r="T635" s="13"/>
      <c r="U635" s="13" t="s">
        <v>2079</v>
      </c>
      <c r="V635" s="13" t="s">
        <v>2079</v>
      </c>
      <c r="W635" s="59">
        <f t="shared" si="9"/>
        <v>5.6168914496486887E-5</v>
      </c>
    </row>
    <row r="636" spans="1:23">
      <c r="A636" s="13" t="s">
        <v>737</v>
      </c>
      <c r="B636" s="13" t="s">
        <v>471</v>
      </c>
      <c r="C636" s="139">
        <v>46254</v>
      </c>
      <c r="D636" s="139" t="s">
        <v>441</v>
      </c>
      <c r="E636" s="28">
        <v>0.98002374000000003</v>
      </c>
      <c r="F636" s="13"/>
      <c r="G636" s="18">
        <v>3000000</v>
      </c>
      <c r="H636" s="18">
        <v>2940071.22</v>
      </c>
      <c r="I636" s="18">
        <v>3000000</v>
      </c>
      <c r="J636" s="18">
        <v>2940071.22</v>
      </c>
      <c r="K636" s="15">
        <v>913750</v>
      </c>
      <c r="L636" s="13" t="s">
        <v>102</v>
      </c>
      <c r="M636" s="13" t="s">
        <v>103</v>
      </c>
      <c r="N636" s="139" t="s">
        <v>783</v>
      </c>
      <c r="O636" s="139" t="s">
        <v>783</v>
      </c>
      <c r="P636" s="28">
        <v>24</v>
      </c>
      <c r="Q636" s="13" t="s">
        <v>54</v>
      </c>
      <c r="R636" s="13" t="s">
        <v>28</v>
      </c>
      <c r="S636" s="13"/>
      <c r="T636" s="13"/>
      <c r="U636" s="13" t="s">
        <v>2080</v>
      </c>
      <c r="V636" s="13" t="s">
        <v>2080</v>
      </c>
      <c r="W636" s="59">
        <f t="shared" si="9"/>
        <v>5.6168914496486887E-5</v>
      </c>
    </row>
    <row r="637" spans="1:23">
      <c r="A637" s="13" t="s">
        <v>737</v>
      </c>
      <c r="B637" s="13" t="s">
        <v>471</v>
      </c>
      <c r="C637" s="139">
        <v>46254</v>
      </c>
      <c r="D637" s="139" t="s">
        <v>441</v>
      </c>
      <c r="E637" s="28">
        <v>0.98002374000000003</v>
      </c>
      <c r="F637" s="13"/>
      <c r="G637" s="18">
        <v>2893973.29</v>
      </c>
      <c r="H637" s="18">
        <v>2836162.53</v>
      </c>
      <c r="I637" s="18">
        <v>2893973.29</v>
      </c>
      <c r="J637" s="18">
        <v>2836162.53</v>
      </c>
      <c r="K637" s="15">
        <v>913757</v>
      </c>
      <c r="L637" s="13" t="s">
        <v>102</v>
      </c>
      <c r="M637" s="13" t="s">
        <v>103</v>
      </c>
      <c r="N637" s="139" t="s">
        <v>783</v>
      </c>
      <c r="O637" s="139" t="s">
        <v>783</v>
      </c>
      <c r="P637" s="28">
        <v>24</v>
      </c>
      <c r="Q637" s="13" t="s">
        <v>54</v>
      </c>
      <c r="R637" s="13" t="s">
        <v>28</v>
      </c>
      <c r="S637" s="13"/>
      <c r="T637" s="13"/>
      <c r="U637" s="13" t="s">
        <v>2082</v>
      </c>
      <c r="V637" s="13" t="s">
        <v>2082</v>
      </c>
      <c r="W637" s="59">
        <f t="shared" si="9"/>
        <v>5.4183779481950746E-5</v>
      </c>
    </row>
    <row r="638" spans="1:23">
      <c r="A638" s="13" t="s">
        <v>737</v>
      </c>
      <c r="B638" s="13" t="s">
        <v>471</v>
      </c>
      <c r="C638" s="139">
        <v>46254</v>
      </c>
      <c r="D638" s="139" t="s">
        <v>441</v>
      </c>
      <c r="E638" s="28">
        <v>0.98002374000000003</v>
      </c>
      <c r="F638" s="13"/>
      <c r="G638" s="18">
        <v>3000000</v>
      </c>
      <c r="H638" s="18">
        <v>2940071.22</v>
      </c>
      <c r="I638" s="18">
        <v>3000000</v>
      </c>
      <c r="J638" s="18">
        <v>2940071.22</v>
      </c>
      <c r="K638" s="15">
        <v>913755</v>
      </c>
      <c r="L638" s="13" t="s">
        <v>102</v>
      </c>
      <c r="M638" s="13" t="s">
        <v>103</v>
      </c>
      <c r="N638" s="139" t="s">
        <v>783</v>
      </c>
      <c r="O638" s="139" t="s">
        <v>783</v>
      </c>
      <c r="P638" s="28">
        <v>24</v>
      </c>
      <c r="Q638" s="13" t="s">
        <v>54</v>
      </c>
      <c r="R638" s="13" t="s">
        <v>28</v>
      </c>
      <c r="S638" s="13"/>
      <c r="T638" s="13"/>
      <c r="U638" s="13" t="s">
        <v>2083</v>
      </c>
      <c r="V638" s="13" t="s">
        <v>2083</v>
      </c>
      <c r="W638" s="59">
        <f t="shared" si="9"/>
        <v>5.6168914496486887E-5</v>
      </c>
    </row>
    <row r="639" spans="1:23">
      <c r="A639" s="13" t="s">
        <v>737</v>
      </c>
      <c r="B639" s="13" t="s">
        <v>471</v>
      </c>
      <c r="C639" s="139">
        <v>46254</v>
      </c>
      <c r="D639" s="139" t="s">
        <v>441</v>
      </c>
      <c r="E639" s="28">
        <v>0.98002374000000003</v>
      </c>
      <c r="F639" s="13"/>
      <c r="G639" s="18">
        <v>3000000</v>
      </c>
      <c r="H639" s="18">
        <v>2940071.22</v>
      </c>
      <c r="I639" s="18">
        <v>3000000</v>
      </c>
      <c r="J639" s="18">
        <v>2940071.22</v>
      </c>
      <c r="K639" s="15">
        <v>913756</v>
      </c>
      <c r="L639" s="13" t="s">
        <v>102</v>
      </c>
      <c r="M639" s="13" t="s">
        <v>103</v>
      </c>
      <c r="N639" s="139" t="s">
        <v>783</v>
      </c>
      <c r="O639" s="139" t="s">
        <v>783</v>
      </c>
      <c r="P639" s="28">
        <v>24</v>
      </c>
      <c r="Q639" s="13" t="s">
        <v>54</v>
      </c>
      <c r="R639" s="13" t="s">
        <v>28</v>
      </c>
      <c r="S639" s="13"/>
      <c r="T639" s="13"/>
      <c r="U639" s="13" t="s">
        <v>2084</v>
      </c>
      <c r="V639" s="13" t="s">
        <v>2084</v>
      </c>
      <c r="W639" s="59">
        <f t="shared" si="9"/>
        <v>5.6168914496486887E-5</v>
      </c>
    </row>
    <row r="640" spans="1:23">
      <c r="A640" s="13" t="s">
        <v>737</v>
      </c>
      <c r="B640" s="13" t="s">
        <v>471</v>
      </c>
      <c r="C640" s="139">
        <v>46254</v>
      </c>
      <c r="D640" s="139" t="s">
        <v>441</v>
      </c>
      <c r="E640" s="28">
        <v>0.98002374000000003</v>
      </c>
      <c r="F640" s="13"/>
      <c r="G640" s="18">
        <v>3000000</v>
      </c>
      <c r="H640" s="18">
        <v>2940071.22</v>
      </c>
      <c r="I640" s="18">
        <v>3000000</v>
      </c>
      <c r="J640" s="18">
        <v>2940071.22</v>
      </c>
      <c r="K640" s="15">
        <v>913754</v>
      </c>
      <c r="L640" s="13" t="s">
        <v>102</v>
      </c>
      <c r="M640" s="13" t="s">
        <v>103</v>
      </c>
      <c r="N640" s="139" t="s">
        <v>783</v>
      </c>
      <c r="O640" s="139" t="s">
        <v>783</v>
      </c>
      <c r="P640" s="28">
        <v>24</v>
      </c>
      <c r="Q640" s="13" t="s">
        <v>54</v>
      </c>
      <c r="R640" s="13" t="s">
        <v>28</v>
      </c>
      <c r="S640" s="13"/>
      <c r="T640" s="13"/>
      <c r="U640" s="13" t="s">
        <v>2085</v>
      </c>
      <c r="V640" s="13" t="s">
        <v>2085</v>
      </c>
      <c r="W640" s="59">
        <f t="shared" si="9"/>
        <v>5.6168914496486887E-5</v>
      </c>
    </row>
    <row r="641" spans="1:29">
      <c r="A641" s="13" t="s">
        <v>970</v>
      </c>
      <c r="B641" s="13" t="s">
        <v>471</v>
      </c>
      <c r="C641" s="139">
        <v>46254</v>
      </c>
      <c r="D641" s="139" t="s">
        <v>441</v>
      </c>
      <c r="E641" s="28">
        <v>0.97677159999999996</v>
      </c>
      <c r="F641" s="13"/>
      <c r="G641" s="18">
        <v>5000000</v>
      </c>
      <c r="H641" s="18">
        <v>4883858</v>
      </c>
      <c r="I641" s="18">
        <v>5000000</v>
      </c>
      <c r="J641" s="18">
        <v>4883858</v>
      </c>
      <c r="K641" s="15">
        <v>29175486</v>
      </c>
      <c r="L641" s="13" t="s">
        <v>102</v>
      </c>
      <c r="M641" s="13" t="s">
        <v>103</v>
      </c>
      <c r="N641" s="139" t="s">
        <v>359</v>
      </c>
      <c r="O641" s="139" t="s">
        <v>359</v>
      </c>
      <c r="P641" s="28">
        <v>28</v>
      </c>
      <c r="Q641" s="13" t="s">
        <v>54</v>
      </c>
      <c r="R641" s="13" t="s">
        <v>28</v>
      </c>
      <c r="S641" s="13"/>
      <c r="T641" s="13"/>
      <c r="U641" s="13" t="s">
        <v>955</v>
      </c>
      <c r="V641" s="13" t="s">
        <v>955</v>
      </c>
      <c r="W641" s="59">
        <f t="shared" si="9"/>
        <v>9.3304203159739587E-5</v>
      </c>
    </row>
    <row r="642" spans="1:29">
      <c r="A642" s="13" t="s">
        <v>970</v>
      </c>
      <c r="B642" s="13" t="s">
        <v>471</v>
      </c>
      <c r="C642" s="139">
        <v>46254</v>
      </c>
      <c r="D642" s="139" t="s">
        <v>441</v>
      </c>
      <c r="E642" s="28">
        <v>0.97677159999999996</v>
      </c>
      <c r="F642" s="13"/>
      <c r="G642" s="18">
        <v>5000000</v>
      </c>
      <c r="H642" s="18">
        <v>4883858</v>
      </c>
      <c r="I642" s="18">
        <v>5000000</v>
      </c>
      <c r="J642" s="18">
        <v>4883858</v>
      </c>
      <c r="K642" s="15">
        <v>29175484</v>
      </c>
      <c r="L642" s="13" t="s">
        <v>102</v>
      </c>
      <c r="M642" s="13" t="s">
        <v>103</v>
      </c>
      <c r="N642" s="139" t="s">
        <v>359</v>
      </c>
      <c r="O642" s="139" t="s">
        <v>359</v>
      </c>
      <c r="P642" s="28">
        <v>28</v>
      </c>
      <c r="Q642" s="13" t="s">
        <v>54</v>
      </c>
      <c r="R642" s="13" t="s">
        <v>28</v>
      </c>
      <c r="S642" s="13"/>
      <c r="T642" s="13"/>
      <c r="U642" s="13" t="s">
        <v>963</v>
      </c>
      <c r="V642" s="13" t="s">
        <v>963</v>
      </c>
      <c r="W642" s="59">
        <f t="shared" si="9"/>
        <v>9.3304203159739587E-5</v>
      </c>
    </row>
    <row r="643" spans="1:29">
      <c r="A643" s="13" t="s">
        <v>472</v>
      </c>
      <c r="B643" s="13" t="s">
        <v>471</v>
      </c>
      <c r="C643" s="139">
        <v>46254</v>
      </c>
      <c r="D643" s="139" t="s">
        <v>441</v>
      </c>
      <c r="E643" s="28">
        <v>0.97515372</v>
      </c>
      <c r="F643" s="13"/>
      <c r="G643" s="18">
        <v>10000000</v>
      </c>
      <c r="H643" s="18">
        <v>9751537.2400000002</v>
      </c>
      <c r="I643" s="18">
        <v>10000000</v>
      </c>
      <c r="J643" s="18">
        <v>9751537.2400000002</v>
      </c>
      <c r="K643" s="15">
        <v>560</v>
      </c>
      <c r="L643" s="13" t="s">
        <v>102</v>
      </c>
      <c r="M643" s="13" t="s">
        <v>103</v>
      </c>
      <c r="N643" s="139" t="s">
        <v>398</v>
      </c>
      <c r="O643" s="139" t="s">
        <v>398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1181</v>
      </c>
      <c r="V643" s="13" t="s">
        <v>1181</v>
      </c>
      <c r="W643" s="59">
        <f t="shared" si="9"/>
        <v>1.8629931741683035E-4</v>
      </c>
    </row>
    <row r="644" spans="1:29">
      <c r="A644" s="13" t="s">
        <v>472</v>
      </c>
      <c r="B644" s="13" t="s">
        <v>471</v>
      </c>
      <c r="C644" s="139">
        <v>46254</v>
      </c>
      <c r="D644" s="139" t="s">
        <v>441</v>
      </c>
      <c r="E644" s="28">
        <v>0.97515362999999999</v>
      </c>
      <c r="F644" s="13"/>
      <c r="G644" s="18">
        <v>10000000</v>
      </c>
      <c r="H644" s="18">
        <v>9751536.3399999999</v>
      </c>
      <c r="I644" s="18">
        <v>10000000</v>
      </c>
      <c r="J644" s="18">
        <v>9751536.3399999999</v>
      </c>
      <c r="K644" s="15">
        <v>501</v>
      </c>
      <c r="L644" s="13" t="s">
        <v>102</v>
      </c>
      <c r="M644" s="13" t="s">
        <v>103</v>
      </c>
      <c r="N644" s="139" t="s">
        <v>363</v>
      </c>
      <c r="O644" s="139" t="s">
        <v>363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1050</v>
      </c>
      <c r="V644" s="13" t="s">
        <v>1050</v>
      </c>
      <c r="W644" s="59">
        <f t="shared" si="9"/>
        <v>1.8629930022268123E-4</v>
      </c>
    </row>
    <row r="645" spans="1:29">
      <c r="A645" s="13" t="s">
        <v>472</v>
      </c>
      <c r="B645" s="13" t="s">
        <v>471</v>
      </c>
      <c r="C645" s="139">
        <v>46254</v>
      </c>
      <c r="D645" s="139" t="s">
        <v>441</v>
      </c>
      <c r="E645" s="28">
        <v>0.97515366999999997</v>
      </c>
      <c r="F645" s="13"/>
      <c r="G645" s="18">
        <v>10000000</v>
      </c>
      <c r="H645" s="18">
        <v>9751536.7300000004</v>
      </c>
      <c r="I645" s="18">
        <v>10000000</v>
      </c>
      <c r="J645" s="18">
        <v>9751536.7300000004</v>
      </c>
      <c r="K645" s="15">
        <v>472</v>
      </c>
      <c r="L645" s="13" t="s">
        <v>102</v>
      </c>
      <c r="M645" s="13" t="s">
        <v>103</v>
      </c>
      <c r="N645" s="139" t="s">
        <v>349</v>
      </c>
      <c r="O645" s="139" t="s">
        <v>349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1012</v>
      </c>
      <c r="V645" s="13" t="s">
        <v>1012</v>
      </c>
      <c r="W645" s="59">
        <f t="shared" ref="W645:W708" si="10">+J645/$W$2</f>
        <v>1.8629930767347918E-4</v>
      </c>
    </row>
    <row r="646" spans="1:29">
      <c r="A646" s="13" t="s">
        <v>481</v>
      </c>
      <c r="B646" s="13" t="s">
        <v>471</v>
      </c>
      <c r="C646" s="139">
        <v>46254</v>
      </c>
      <c r="D646" s="139" t="s">
        <v>441</v>
      </c>
      <c r="E646" s="28">
        <v>0.96873509000000002</v>
      </c>
      <c r="F646" s="13"/>
      <c r="G646" s="18">
        <v>40400000</v>
      </c>
      <c r="H646" s="18">
        <v>39136897.469999999</v>
      </c>
      <c r="I646" s="18">
        <v>40400000</v>
      </c>
      <c r="J646" s="18">
        <v>39136897.469999999</v>
      </c>
      <c r="K646" s="15">
        <v>151343</v>
      </c>
      <c r="L646" s="13" t="s">
        <v>102</v>
      </c>
      <c r="M646" s="13" t="s">
        <v>103</v>
      </c>
      <c r="N646" s="139" t="s">
        <v>381</v>
      </c>
      <c r="O646" s="139" t="s">
        <v>381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1573</v>
      </c>
      <c r="V646" s="13" t="s">
        <v>1573</v>
      </c>
      <c r="W646" s="59">
        <f t="shared" si="10"/>
        <v>7.4769516897968337E-4</v>
      </c>
    </row>
    <row r="647" spans="1:29">
      <c r="A647" s="13" t="s">
        <v>491</v>
      </c>
      <c r="B647" s="13" t="s">
        <v>471</v>
      </c>
      <c r="C647" s="139">
        <v>46254</v>
      </c>
      <c r="D647" s="139" t="s">
        <v>441</v>
      </c>
      <c r="E647" s="28">
        <v>0.97113212999999998</v>
      </c>
      <c r="F647" s="13"/>
      <c r="G647" s="18">
        <v>1500000</v>
      </c>
      <c r="H647" s="18">
        <v>1456698.19</v>
      </c>
      <c r="I647" s="18">
        <v>1500000</v>
      </c>
      <c r="J647" s="18">
        <v>1456698.19</v>
      </c>
      <c r="K647" s="15">
        <v>2</v>
      </c>
      <c r="L647" s="13" t="s">
        <v>102</v>
      </c>
      <c r="M647" s="13" t="s">
        <v>103</v>
      </c>
      <c r="N647" s="139" t="s">
        <v>399</v>
      </c>
      <c r="O647" s="139" t="s">
        <v>399</v>
      </c>
      <c r="P647" s="28">
        <v>35</v>
      </c>
      <c r="Q647" s="13" t="s">
        <v>54</v>
      </c>
      <c r="R647" s="13" t="s">
        <v>28</v>
      </c>
      <c r="S647" s="13"/>
      <c r="T647" s="13"/>
      <c r="U647" s="13" t="s">
        <v>824</v>
      </c>
      <c r="V647" s="13" t="s">
        <v>824</v>
      </c>
      <c r="W647" s="59">
        <f t="shared" si="10"/>
        <v>2.7829651038622529E-5</v>
      </c>
    </row>
    <row r="648" spans="1:29">
      <c r="A648" s="13" t="s">
        <v>147</v>
      </c>
      <c r="B648" s="13" t="s">
        <v>471</v>
      </c>
      <c r="C648" s="139">
        <v>46254</v>
      </c>
      <c r="D648" s="139" t="s">
        <v>441</v>
      </c>
      <c r="E648" s="28">
        <v>0.97113214000000003</v>
      </c>
      <c r="F648" s="13"/>
      <c r="G648" s="18">
        <v>15000000</v>
      </c>
      <c r="H648" s="18">
        <v>14566982.1</v>
      </c>
      <c r="I648" s="18">
        <v>15000000</v>
      </c>
      <c r="J648" s="18">
        <v>14566982.1</v>
      </c>
      <c r="K648" s="15">
        <v>4266</v>
      </c>
      <c r="L648" s="13" t="s">
        <v>102</v>
      </c>
      <c r="M648" s="13" t="s">
        <v>103</v>
      </c>
      <c r="N648" s="139" t="s">
        <v>485</v>
      </c>
      <c r="O648" s="139" t="s">
        <v>485</v>
      </c>
      <c r="P648" s="28">
        <v>35</v>
      </c>
      <c r="Q648" s="13" t="s">
        <v>54</v>
      </c>
      <c r="R648" s="13" t="s">
        <v>28</v>
      </c>
      <c r="S648" s="13"/>
      <c r="T648" s="13"/>
      <c r="U648" s="13" t="s">
        <v>1518</v>
      </c>
      <c r="V648" s="13" t="s">
        <v>1518</v>
      </c>
      <c r="W648" s="59">
        <f t="shared" si="10"/>
        <v>2.7829651420714733E-4</v>
      </c>
    </row>
    <row r="649" spans="1:29">
      <c r="A649" s="13" t="s">
        <v>1389</v>
      </c>
      <c r="B649" s="13" t="s">
        <v>471</v>
      </c>
      <c r="C649" s="139">
        <v>46254</v>
      </c>
      <c r="D649" s="139" t="s">
        <v>441</v>
      </c>
      <c r="E649" s="28">
        <v>0.97273679999999996</v>
      </c>
      <c r="F649" s="13"/>
      <c r="G649" s="18">
        <v>2200000</v>
      </c>
      <c r="H649" s="18">
        <v>2140020.96</v>
      </c>
      <c r="I649" s="18">
        <v>2200000</v>
      </c>
      <c r="J649" s="18">
        <v>2140020.96</v>
      </c>
      <c r="K649" s="15">
        <v>6191</v>
      </c>
      <c r="L649" s="13" t="s">
        <v>102</v>
      </c>
      <c r="M649" s="13" t="s">
        <v>103</v>
      </c>
      <c r="N649" s="139" t="s">
        <v>351</v>
      </c>
      <c r="O649" s="139" t="s">
        <v>351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1384</v>
      </c>
      <c r="V649" s="13" t="s">
        <v>1384</v>
      </c>
      <c r="W649" s="59">
        <f t="shared" si="10"/>
        <v>4.0884266171936397E-5</v>
      </c>
    </row>
    <row r="650" spans="1:29">
      <c r="A650" s="13" t="s">
        <v>432</v>
      </c>
      <c r="B650" s="13" t="s">
        <v>471</v>
      </c>
      <c r="C650" s="139">
        <v>46254</v>
      </c>
      <c r="D650" s="139" t="s">
        <v>441</v>
      </c>
      <c r="E650" s="28">
        <v>0.97033183999999995</v>
      </c>
      <c r="F650" s="13"/>
      <c r="G650" s="18">
        <v>2304789</v>
      </c>
      <c r="H650" s="18">
        <v>2236410.16</v>
      </c>
      <c r="I650" s="18">
        <v>2304789</v>
      </c>
      <c r="J650" s="18">
        <v>2236410.16</v>
      </c>
      <c r="K650" s="15">
        <v>2768</v>
      </c>
      <c r="L650" s="13" t="s">
        <v>102</v>
      </c>
      <c r="M650" s="13" t="s">
        <v>103</v>
      </c>
      <c r="N650" s="139" t="s">
        <v>170</v>
      </c>
      <c r="O650" s="139" t="s">
        <v>170</v>
      </c>
      <c r="P650" s="28">
        <v>36</v>
      </c>
      <c r="Q650" s="13" t="s">
        <v>54</v>
      </c>
      <c r="R650" s="13" t="s">
        <v>28</v>
      </c>
      <c r="S650" s="13"/>
      <c r="T650" s="13"/>
      <c r="U650" s="13" t="s">
        <v>1645</v>
      </c>
      <c r="V650" s="13" t="s">
        <v>1645</v>
      </c>
      <c r="W650" s="59">
        <f t="shared" si="10"/>
        <v>4.2725744261431383E-5</v>
      </c>
    </row>
    <row r="651" spans="1:29">
      <c r="A651" s="13" t="s">
        <v>432</v>
      </c>
      <c r="B651" s="13" t="s">
        <v>471</v>
      </c>
      <c r="C651" s="139">
        <v>46254</v>
      </c>
      <c r="D651" s="139" t="s">
        <v>441</v>
      </c>
      <c r="E651" s="28">
        <v>0.97033183999999995</v>
      </c>
      <c r="F651" s="13"/>
      <c r="G651" s="18">
        <v>2304789</v>
      </c>
      <c r="H651" s="18">
        <v>2236410.16</v>
      </c>
      <c r="I651" s="18">
        <v>2304789</v>
      </c>
      <c r="J651" s="18">
        <v>2236410.16</v>
      </c>
      <c r="K651" s="15">
        <v>2769</v>
      </c>
      <c r="L651" s="13" t="s">
        <v>102</v>
      </c>
      <c r="M651" s="13" t="s">
        <v>103</v>
      </c>
      <c r="N651" s="139" t="s">
        <v>170</v>
      </c>
      <c r="O651" s="139" t="s">
        <v>170</v>
      </c>
      <c r="P651" s="28">
        <v>36</v>
      </c>
      <c r="Q651" s="13" t="s">
        <v>54</v>
      </c>
      <c r="R651" s="13" t="s">
        <v>28</v>
      </c>
      <c r="S651" s="13"/>
      <c r="T651" s="13"/>
      <c r="U651" s="13" t="s">
        <v>1646</v>
      </c>
      <c r="V651" s="13" t="s">
        <v>1646</v>
      </c>
      <c r="W651" s="59">
        <f t="shared" si="10"/>
        <v>4.2725744261431383E-5</v>
      </c>
    </row>
    <row r="652" spans="1:29">
      <c r="A652" s="13" t="s">
        <v>472</v>
      </c>
      <c r="B652" s="13" t="s">
        <v>471</v>
      </c>
      <c r="C652" s="139">
        <v>46254</v>
      </c>
      <c r="D652" s="139" t="s">
        <v>441</v>
      </c>
      <c r="E652" s="28">
        <v>0.97273686000000004</v>
      </c>
      <c r="F652" s="13"/>
      <c r="G652" s="18">
        <v>10000000</v>
      </c>
      <c r="H652" s="18">
        <v>9727368.5700000003</v>
      </c>
      <c r="I652" s="18">
        <v>10000000</v>
      </c>
      <c r="J652" s="18">
        <v>9727368.5700000003</v>
      </c>
      <c r="K652" s="15">
        <v>664</v>
      </c>
      <c r="L652" s="13" t="s">
        <v>102</v>
      </c>
      <c r="M652" s="13" t="s">
        <v>103</v>
      </c>
      <c r="N652" s="139" t="s">
        <v>383</v>
      </c>
      <c r="O652" s="139" t="s">
        <v>383</v>
      </c>
      <c r="P652" s="28">
        <v>33</v>
      </c>
      <c r="Q652" s="13" t="s">
        <v>54</v>
      </c>
      <c r="R652" s="13" t="s">
        <v>28</v>
      </c>
      <c r="S652" s="13"/>
      <c r="T652" s="13"/>
      <c r="U652" s="13" t="s">
        <v>1682</v>
      </c>
      <c r="V652" s="13" t="s">
        <v>1682</v>
      </c>
      <c r="W652" s="59">
        <f t="shared" si="10"/>
        <v>1.8583758439842961E-4</v>
      </c>
    </row>
    <row r="653" spans="1:29">
      <c r="A653" s="13" t="s">
        <v>472</v>
      </c>
      <c r="B653" s="13" t="s">
        <v>471</v>
      </c>
      <c r="C653" s="139">
        <v>46254</v>
      </c>
      <c r="D653" s="139" t="s">
        <v>441</v>
      </c>
      <c r="E653" s="28">
        <v>0.97515364000000004</v>
      </c>
      <c r="F653" s="13"/>
      <c r="G653" s="18">
        <v>10000000</v>
      </c>
      <c r="H653" s="18">
        <v>9751536.3599999994</v>
      </c>
      <c r="I653" s="18">
        <v>10000000</v>
      </c>
      <c r="J653" s="18">
        <v>9751536.3599999994</v>
      </c>
      <c r="K653" s="15">
        <v>669</v>
      </c>
      <c r="L653" s="13" t="s">
        <v>102</v>
      </c>
      <c r="M653" s="13" t="s">
        <v>103</v>
      </c>
      <c r="N653" s="139" t="s">
        <v>354</v>
      </c>
      <c r="O653" s="139" t="s">
        <v>354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1696</v>
      </c>
      <c r="V653" s="13" t="s">
        <v>1696</v>
      </c>
      <c r="W653" s="59">
        <f t="shared" si="10"/>
        <v>1.862993006047734E-4</v>
      </c>
    </row>
    <row r="654" spans="1:29">
      <c r="A654" s="13" t="s">
        <v>323</v>
      </c>
      <c r="B654" s="13" t="s">
        <v>471</v>
      </c>
      <c r="C654" s="139">
        <v>46254</v>
      </c>
      <c r="D654" s="139" t="s">
        <v>441</v>
      </c>
      <c r="E654" s="28">
        <v>0.97839505999999998</v>
      </c>
      <c r="F654" s="13"/>
      <c r="G654" s="18">
        <v>10000000</v>
      </c>
      <c r="H654" s="18">
        <v>9783950.6199999992</v>
      </c>
      <c r="I654" s="18">
        <v>10000000</v>
      </c>
      <c r="J654" s="18">
        <v>9783950.6199999992</v>
      </c>
      <c r="K654" s="15">
        <v>68035369</v>
      </c>
      <c r="L654" s="13" t="s">
        <v>102</v>
      </c>
      <c r="M654" s="13" t="s">
        <v>103</v>
      </c>
      <c r="N654" s="139" t="s">
        <v>494</v>
      </c>
      <c r="O654" s="139" t="s">
        <v>494</v>
      </c>
      <c r="P654" s="28">
        <v>26</v>
      </c>
      <c r="Q654" s="13" t="s">
        <v>54</v>
      </c>
      <c r="R654" s="13" t="s">
        <v>28</v>
      </c>
      <c r="S654" s="13"/>
      <c r="T654" s="13"/>
      <c r="U654" s="13" t="s">
        <v>2006</v>
      </c>
      <c r="V654" s="13" t="s">
        <v>2006</v>
      </c>
      <c r="W654" s="59">
        <f t="shared" si="10"/>
        <v>1.8691856240565146E-4</v>
      </c>
    </row>
    <row r="655" spans="1:29">
      <c r="A655" s="13" t="s">
        <v>323</v>
      </c>
      <c r="B655" s="13" t="s">
        <v>471</v>
      </c>
      <c r="C655" s="139">
        <v>46254</v>
      </c>
      <c r="D655" s="139" t="s">
        <v>441</v>
      </c>
      <c r="E655" s="28">
        <v>0.97839505999999998</v>
      </c>
      <c r="F655" s="13"/>
      <c r="G655" s="18">
        <v>10000000</v>
      </c>
      <c r="H655" s="18">
        <v>9783950.6199999992</v>
      </c>
      <c r="I655" s="18">
        <v>10000000</v>
      </c>
      <c r="J655" s="18">
        <v>9783950.6199999992</v>
      </c>
      <c r="K655" s="15">
        <v>68035335</v>
      </c>
      <c r="L655" s="13" t="s">
        <v>102</v>
      </c>
      <c r="M655" s="13" t="s">
        <v>103</v>
      </c>
      <c r="N655" s="139" t="s">
        <v>494</v>
      </c>
      <c r="O655" s="139" t="s">
        <v>494</v>
      </c>
      <c r="P655" s="28">
        <v>26</v>
      </c>
      <c r="Q655" s="13" t="s">
        <v>54</v>
      </c>
      <c r="R655" s="13" t="s">
        <v>28</v>
      </c>
      <c r="S655" s="13"/>
      <c r="T655" s="13"/>
      <c r="U655" s="13" t="s">
        <v>2007</v>
      </c>
      <c r="V655" s="13" t="s">
        <v>2007</v>
      </c>
      <c r="W655" s="59">
        <f t="shared" si="10"/>
        <v>1.8691856240565146E-4</v>
      </c>
    </row>
    <row r="656" spans="1:29">
      <c r="A656" s="13" t="s">
        <v>323</v>
      </c>
      <c r="B656" s="13" t="s">
        <v>471</v>
      </c>
      <c r="C656" s="139">
        <v>46254</v>
      </c>
      <c r="D656" s="139" t="s">
        <v>441</v>
      </c>
      <c r="E656" s="28">
        <v>0.97839505999999998</v>
      </c>
      <c r="F656" s="13"/>
      <c r="G656" s="18">
        <v>10000000</v>
      </c>
      <c r="H656" s="18">
        <v>9783950.6199999992</v>
      </c>
      <c r="I656" s="18">
        <v>10000000</v>
      </c>
      <c r="J656" s="18">
        <v>9783950.6199999992</v>
      </c>
      <c r="K656" s="15">
        <v>68035337</v>
      </c>
      <c r="L656" s="13" t="s">
        <v>102</v>
      </c>
      <c r="M656" s="13" t="s">
        <v>103</v>
      </c>
      <c r="N656" s="139" t="s">
        <v>494</v>
      </c>
      <c r="O656" s="139" t="s">
        <v>494</v>
      </c>
      <c r="P656" s="28">
        <v>26</v>
      </c>
      <c r="Q656" s="13" t="s">
        <v>54</v>
      </c>
      <c r="R656" s="13" t="s">
        <v>28</v>
      </c>
      <c r="S656" s="13"/>
      <c r="T656" s="13"/>
      <c r="U656" s="13" t="s">
        <v>2008</v>
      </c>
      <c r="V656" s="13" t="s">
        <v>2008</v>
      </c>
      <c r="W656" s="59">
        <f t="shared" si="10"/>
        <v>1.8691856240565146E-4</v>
      </c>
      <c r="AC656" s="56"/>
    </row>
    <row r="657" spans="1:29">
      <c r="A657" s="13" t="s">
        <v>323</v>
      </c>
      <c r="B657" s="13" t="s">
        <v>471</v>
      </c>
      <c r="C657" s="139">
        <v>46254</v>
      </c>
      <c r="D657" s="139" t="s">
        <v>441</v>
      </c>
      <c r="E657" s="28">
        <v>0.97596196000000002</v>
      </c>
      <c r="F657" s="13"/>
      <c r="G657" s="18">
        <v>10000000</v>
      </c>
      <c r="H657" s="18">
        <v>9759619.6099999994</v>
      </c>
      <c r="I657" s="18">
        <v>10000000</v>
      </c>
      <c r="J657" s="18">
        <v>9759619.6099999994</v>
      </c>
      <c r="K657" s="15">
        <v>2149</v>
      </c>
      <c r="L657" s="13" t="s">
        <v>102</v>
      </c>
      <c r="M657" s="13" t="s">
        <v>103</v>
      </c>
      <c r="N657" s="139" t="s">
        <v>374</v>
      </c>
      <c r="O657" s="139" t="s">
        <v>374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888</v>
      </c>
      <c r="V657" s="13" t="s">
        <v>888</v>
      </c>
      <c r="W657" s="59">
        <f t="shared" si="10"/>
        <v>1.8645372794483755E-4</v>
      </c>
    </row>
    <row r="658" spans="1:29">
      <c r="A658" s="13" t="s">
        <v>323</v>
      </c>
      <c r="B658" s="13" t="s">
        <v>471</v>
      </c>
      <c r="C658" s="139">
        <v>46254</v>
      </c>
      <c r="D658" s="139" t="s">
        <v>441</v>
      </c>
      <c r="E658" s="28">
        <v>0.97596196000000002</v>
      </c>
      <c r="F658" s="13"/>
      <c r="G658" s="18">
        <v>10000000</v>
      </c>
      <c r="H658" s="18">
        <v>9759619.6099999994</v>
      </c>
      <c r="I658" s="18">
        <v>10000000</v>
      </c>
      <c r="J658" s="18">
        <v>9759619.6099999994</v>
      </c>
      <c r="K658" s="15">
        <v>2150</v>
      </c>
      <c r="L658" s="13" t="s">
        <v>102</v>
      </c>
      <c r="M658" s="13" t="s">
        <v>103</v>
      </c>
      <c r="N658" s="139" t="s">
        <v>374</v>
      </c>
      <c r="O658" s="139" t="s">
        <v>374</v>
      </c>
      <c r="P658" s="28">
        <v>29</v>
      </c>
      <c r="Q658" s="13" t="s">
        <v>54</v>
      </c>
      <c r="R658" s="13" t="s">
        <v>28</v>
      </c>
      <c r="S658" s="13"/>
      <c r="T658" s="13"/>
      <c r="U658" s="13" t="s">
        <v>896</v>
      </c>
      <c r="V658" s="13" t="s">
        <v>896</v>
      </c>
      <c r="W658" s="59">
        <f t="shared" si="10"/>
        <v>1.8645372794483755E-4</v>
      </c>
    </row>
    <row r="659" spans="1:29">
      <c r="A659" s="13" t="s">
        <v>478</v>
      </c>
      <c r="B659" s="13" t="s">
        <v>471</v>
      </c>
      <c r="C659" s="139">
        <v>46254</v>
      </c>
      <c r="D659" s="139" t="s">
        <v>441</v>
      </c>
      <c r="E659" s="28">
        <v>0.97113214999999997</v>
      </c>
      <c r="F659" s="13"/>
      <c r="G659" s="18">
        <v>25000000</v>
      </c>
      <c r="H659" s="18">
        <v>24278303.719999999</v>
      </c>
      <c r="I659" s="18">
        <v>25000000</v>
      </c>
      <c r="J659" s="18">
        <v>24278303.719999999</v>
      </c>
      <c r="K659" s="15">
        <v>1307</v>
      </c>
      <c r="L659" s="13" t="s">
        <v>102</v>
      </c>
      <c r="M659" s="13" t="s">
        <v>103</v>
      </c>
      <c r="N659" s="139" t="s">
        <v>397</v>
      </c>
      <c r="O659" s="139" t="s">
        <v>397</v>
      </c>
      <c r="P659" s="28">
        <v>35</v>
      </c>
      <c r="Q659" s="13" t="s">
        <v>54</v>
      </c>
      <c r="R659" s="13" t="s">
        <v>28</v>
      </c>
      <c r="S659" s="13"/>
      <c r="T659" s="13"/>
      <c r="U659" s="13" t="s">
        <v>695</v>
      </c>
      <c r="V659" s="13" t="s">
        <v>695</v>
      </c>
      <c r="W659" s="59">
        <f t="shared" si="10"/>
        <v>4.6382752788159308E-4</v>
      </c>
      <c r="AC659" s="56"/>
    </row>
    <row r="660" spans="1:29">
      <c r="A660" s="13" t="s">
        <v>1657</v>
      </c>
      <c r="B660" s="13" t="s">
        <v>471</v>
      </c>
      <c r="C660" s="139">
        <v>46254</v>
      </c>
      <c r="D660" s="139" t="s">
        <v>441</v>
      </c>
      <c r="E660" s="28">
        <v>0.97515368999999996</v>
      </c>
      <c r="F660" s="13"/>
      <c r="G660" s="18">
        <v>2700000</v>
      </c>
      <c r="H660" s="18">
        <v>2632914.96</v>
      </c>
      <c r="I660" s="18">
        <v>2700000</v>
      </c>
      <c r="J660" s="18">
        <v>2632914.96</v>
      </c>
      <c r="K660" s="15">
        <v>6272</v>
      </c>
      <c r="L660" s="13" t="s">
        <v>102</v>
      </c>
      <c r="M660" s="13" t="s">
        <v>103</v>
      </c>
      <c r="N660" s="139" t="s">
        <v>170</v>
      </c>
      <c r="O660" s="139" t="s">
        <v>170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1629</v>
      </c>
      <c r="V660" s="13" t="s">
        <v>1629</v>
      </c>
      <c r="W660" s="59">
        <f t="shared" si="10"/>
        <v>5.0300813891427157E-5</v>
      </c>
      <c r="AC660" s="56"/>
    </row>
    <row r="661" spans="1:29">
      <c r="A661" s="13" t="s">
        <v>360</v>
      </c>
      <c r="B661" s="13" t="s">
        <v>471</v>
      </c>
      <c r="C661" s="139">
        <v>46254</v>
      </c>
      <c r="D661" s="139" t="s">
        <v>441</v>
      </c>
      <c r="E661" s="28">
        <v>0.97515364000000004</v>
      </c>
      <c r="F661" s="13"/>
      <c r="G661" s="18">
        <v>13500000</v>
      </c>
      <c r="H661" s="18">
        <v>13164574.130000001</v>
      </c>
      <c r="I661" s="18">
        <v>13500000</v>
      </c>
      <c r="J661" s="18">
        <v>13164574.130000001</v>
      </c>
      <c r="K661" s="15">
        <v>32806</v>
      </c>
      <c r="L661" s="13" t="s">
        <v>102</v>
      </c>
      <c r="M661" s="13" t="s">
        <v>103</v>
      </c>
      <c r="N661" s="139" t="s">
        <v>429</v>
      </c>
      <c r="O661" s="139" t="s">
        <v>429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991</v>
      </c>
      <c r="V661" s="13" t="s">
        <v>991</v>
      </c>
      <c r="W661" s="59">
        <f t="shared" si="10"/>
        <v>2.51504056657047E-4</v>
      </c>
    </row>
    <row r="662" spans="1:29">
      <c r="A662" s="13" t="s">
        <v>1656</v>
      </c>
      <c r="B662" s="13" t="s">
        <v>471</v>
      </c>
      <c r="C662" s="139">
        <v>46254</v>
      </c>
      <c r="D662" s="139" t="s">
        <v>441</v>
      </c>
      <c r="E662" s="28">
        <v>0.97515368000000002</v>
      </c>
      <c r="F662" s="13"/>
      <c r="G662" s="18">
        <v>14731164.33</v>
      </c>
      <c r="H662" s="18">
        <v>14365149.18</v>
      </c>
      <c r="I662" s="18">
        <v>14731164.33</v>
      </c>
      <c r="J662" s="18">
        <v>14365149.18</v>
      </c>
      <c r="K662" s="15">
        <v>29493306</v>
      </c>
      <c r="L662" s="13" t="s">
        <v>102</v>
      </c>
      <c r="M662" s="13" t="s">
        <v>103</v>
      </c>
      <c r="N662" s="139" t="s">
        <v>170</v>
      </c>
      <c r="O662" s="139" t="s">
        <v>170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1635</v>
      </c>
      <c r="V662" s="13" t="s">
        <v>1635</v>
      </c>
      <c r="W662" s="59">
        <f t="shared" si="10"/>
        <v>2.7444057495338453E-4</v>
      </c>
    </row>
    <row r="663" spans="1:29">
      <c r="A663" s="13" t="s">
        <v>2488</v>
      </c>
      <c r="B663" s="13" t="s">
        <v>471</v>
      </c>
      <c r="C663" s="139">
        <v>46254</v>
      </c>
      <c r="D663" s="139" t="s">
        <v>441</v>
      </c>
      <c r="E663" s="28">
        <v>0.97515375999999998</v>
      </c>
      <c r="F663" s="13"/>
      <c r="G663" s="18">
        <v>2870567.11</v>
      </c>
      <c r="H663" s="18">
        <v>2799244.32</v>
      </c>
      <c r="I663" s="18">
        <v>2870567.11</v>
      </c>
      <c r="J663" s="18">
        <v>2799244.32</v>
      </c>
      <c r="K663" s="15">
        <v>96</v>
      </c>
      <c r="L663" s="13" t="s">
        <v>102</v>
      </c>
      <c r="M663" s="13" t="s">
        <v>103</v>
      </c>
      <c r="N663" s="139" t="s">
        <v>441</v>
      </c>
      <c r="O663" s="139" t="s">
        <v>441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2457</v>
      </c>
      <c r="V663" s="13" t="s">
        <v>2457</v>
      </c>
      <c r="W663" s="59">
        <f t="shared" si="10"/>
        <v>5.3478471472149087E-5</v>
      </c>
    </row>
    <row r="664" spans="1:29">
      <c r="A664" s="13" t="s">
        <v>581</v>
      </c>
      <c r="B664" s="13" t="s">
        <v>471</v>
      </c>
      <c r="C664" s="139">
        <v>46255</v>
      </c>
      <c r="D664" s="139" t="s">
        <v>441</v>
      </c>
      <c r="E664" s="28">
        <v>0.97855239999999999</v>
      </c>
      <c r="F664" s="13"/>
      <c r="G664" s="18">
        <v>966441.68</v>
      </c>
      <c r="H664" s="18">
        <v>945713.82</v>
      </c>
      <c r="I664" s="18">
        <v>966441.68</v>
      </c>
      <c r="J664" s="18">
        <v>945713.82</v>
      </c>
      <c r="K664" s="15">
        <v>3531</v>
      </c>
      <c r="L664" s="13" t="s">
        <v>102</v>
      </c>
      <c r="M664" s="13" t="s">
        <v>103</v>
      </c>
      <c r="N664" s="139" t="s">
        <v>172</v>
      </c>
      <c r="O664" s="139" t="s">
        <v>172</v>
      </c>
      <c r="P664" s="28">
        <v>25</v>
      </c>
      <c r="Q664" s="13" t="s">
        <v>54</v>
      </c>
      <c r="R664" s="13" t="s">
        <v>28</v>
      </c>
      <c r="S664" s="13"/>
      <c r="T664" s="13"/>
      <c r="U664" s="13" t="s">
        <v>1812</v>
      </c>
      <c r="V664" s="13" t="s">
        <v>1812</v>
      </c>
      <c r="W664" s="59">
        <f t="shared" si="10"/>
        <v>1.8067493852657754E-5</v>
      </c>
    </row>
    <row r="665" spans="1:29">
      <c r="A665" s="13" t="s">
        <v>581</v>
      </c>
      <c r="B665" s="13" t="s">
        <v>471</v>
      </c>
      <c r="C665" s="139">
        <v>46255</v>
      </c>
      <c r="D665" s="139" t="s">
        <v>441</v>
      </c>
      <c r="E665" s="28">
        <v>0.97855238</v>
      </c>
      <c r="F665" s="13"/>
      <c r="G665" s="18">
        <v>639790.28</v>
      </c>
      <c r="H665" s="18">
        <v>626068.30000000005</v>
      </c>
      <c r="I665" s="18">
        <v>639790.28</v>
      </c>
      <c r="J665" s="18">
        <v>626068.30000000005</v>
      </c>
      <c r="K665" s="15">
        <v>3533</v>
      </c>
      <c r="L665" s="13" t="s">
        <v>102</v>
      </c>
      <c r="M665" s="13" t="s">
        <v>103</v>
      </c>
      <c r="N665" s="139" t="s">
        <v>172</v>
      </c>
      <c r="O665" s="139" t="s">
        <v>172</v>
      </c>
      <c r="P665" s="28">
        <v>25</v>
      </c>
      <c r="Q665" s="13" t="s">
        <v>54</v>
      </c>
      <c r="R665" s="13" t="s">
        <v>28</v>
      </c>
      <c r="S665" s="13"/>
      <c r="T665" s="13"/>
      <c r="U665" s="13" t="s">
        <v>1813</v>
      </c>
      <c r="V665" s="13" t="s">
        <v>1813</v>
      </c>
      <c r="W665" s="59">
        <f t="shared" si="10"/>
        <v>1.1960790804129194E-5</v>
      </c>
    </row>
    <row r="666" spans="1:29">
      <c r="A666" s="13" t="s">
        <v>1075</v>
      </c>
      <c r="B666" s="13" t="s">
        <v>471</v>
      </c>
      <c r="C666" s="139">
        <v>46255</v>
      </c>
      <c r="D666" s="139" t="s">
        <v>441</v>
      </c>
      <c r="E666" s="28">
        <v>0.96940404000000002</v>
      </c>
      <c r="F666" s="13"/>
      <c r="G666" s="18">
        <v>3345657.98</v>
      </c>
      <c r="H666" s="18">
        <v>3243294.37</v>
      </c>
      <c r="I666" s="18">
        <v>3345657.98</v>
      </c>
      <c r="J666" s="18">
        <v>3243294.37</v>
      </c>
      <c r="K666" s="15">
        <v>232</v>
      </c>
      <c r="L666" s="13" t="s">
        <v>102</v>
      </c>
      <c r="M666" s="13" t="s">
        <v>103</v>
      </c>
      <c r="N666" s="139" t="s">
        <v>170</v>
      </c>
      <c r="O666" s="139" t="s">
        <v>170</v>
      </c>
      <c r="P666" s="28">
        <v>36</v>
      </c>
      <c r="Q666" s="13" t="s">
        <v>54</v>
      </c>
      <c r="R666" s="13" t="s">
        <v>28</v>
      </c>
      <c r="S666" s="13"/>
      <c r="T666" s="13"/>
      <c r="U666" s="13" t="s">
        <v>1642</v>
      </c>
      <c r="V666" s="13" t="s">
        <v>1642</v>
      </c>
      <c r="W666" s="59">
        <f t="shared" si="10"/>
        <v>6.19618745682859E-5</v>
      </c>
    </row>
    <row r="667" spans="1:29">
      <c r="A667" s="13" t="s">
        <v>1269</v>
      </c>
      <c r="B667" s="13" t="s">
        <v>471</v>
      </c>
      <c r="C667" s="139">
        <v>46255</v>
      </c>
      <c r="D667" s="139" t="s">
        <v>441</v>
      </c>
      <c r="E667" s="28">
        <v>0.97188209999999997</v>
      </c>
      <c r="F667" s="13"/>
      <c r="G667" s="18">
        <v>1698044.02</v>
      </c>
      <c r="H667" s="18">
        <v>1650298.59</v>
      </c>
      <c r="I667" s="18">
        <v>1698044.02</v>
      </c>
      <c r="J667" s="18">
        <v>1650298.59</v>
      </c>
      <c r="K667" s="15">
        <v>67243116</v>
      </c>
      <c r="L667" s="13" t="s">
        <v>102</v>
      </c>
      <c r="M667" s="13" t="s">
        <v>103</v>
      </c>
      <c r="N667" s="139" t="s">
        <v>319</v>
      </c>
      <c r="O667" s="139" t="s">
        <v>319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1245</v>
      </c>
      <c r="V667" s="13" t="s">
        <v>1245</v>
      </c>
      <c r="W667" s="59">
        <f t="shared" si="10"/>
        <v>3.1528311207162823E-5</v>
      </c>
    </row>
    <row r="668" spans="1:29">
      <c r="A668" s="13" t="s">
        <v>1467</v>
      </c>
      <c r="B668" s="13" t="s">
        <v>471</v>
      </c>
      <c r="C668" s="139">
        <v>46255</v>
      </c>
      <c r="D668" s="139" t="s">
        <v>441</v>
      </c>
      <c r="E668" s="28">
        <v>0.97271085999999995</v>
      </c>
      <c r="F668" s="13"/>
      <c r="G668" s="18">
        <v>1000000</v>
      </c>
      <c r="H668" s="18">
        <v>972710.86</v>
      </c>
      <c r="I668" s="18">
        <v>1000000</v>
      </c>
      <c r="J668" s="18">
        <v>972710.86</v>
      </c>
      <c r="K668" s="15">
        <v>67277718</v>
      </c>
      <c r="L668" s="13" t="s">
        <v>102</v>
      </c>
      <c r="M668" s="13" t="s">
        <v>103</v>
      </c>
      <c r="N668" s="139" t="s">
        <v>373</v>
      </c>
      <c r="O668" s="139" t="s">
        <v>373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1475</v>
      </c>
      <c r="V668" s="13" t="s">
        <v>1475</v>
      </c>
      <c r="W668" s="59">
        <f t="shared" si="10"/>
        <v>1.8583261777292668E-5</v>
      </c>
    </row>
    <row r="669" spans="1:29">
      <c r="A669" s="13" t="s">
        <v>1433</v>
      </c>
      <c r="B669" s="13" t="s">
        <v>471</v>
      </c>
      <c r="C669" s="139">
        <v>46255</v>
      </c>
      <c r="D669" s="139" t="s">
        <v>441</v>
      </c>
      <c r="E669" s="28">
        <v>0.97271088000000006</v>
      </c>
      <c r="F669" s="13"/>
      <c r="G669" s="18">
        <v>3090647.25</v>
      </c>
      <c r="H669" s="18">
        <v>3006306.2</v>
      </c>
      <c r="I669" s="18">
        <v>3090647.25</v>
      </c>
      <c r="J669" s="18">
        <v>3006306.2</v>
      </c>
      <c r="K669" s="15">
        <v>13647457</v>
      </c>
      <c r="L669" s="13" t="s">
        <v>102</v>
      </c>
      <c r="M669" s="13" t="s">
        <v>103</v>
      </c>
      <c r="N669" s="139" t="s">
        <v>373</v>
      </c>
      <c r="O669" s="139" t="s">
        <v>373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1437</v>
      </c>
      <c r="V669" s="13" t="s">
        <v>1437</v>
      </c>
      <c r="W669" s="59">
        <f t="shared" si="10"/>
        <v>5.7434307968246566E-5</v>
      </c>
    </row>
    <row r="670" spans="1:29">
      <c r="A670" s="13" t="s">
        <v>472</v>
      </c>
      <c r="B670" s="13" t="s">
        <v>471</v>
      </c>
      <c r="C670" s="139">
        <v>46255</v>
      </c>
      <c r="D670" s="139" t="s">
        <v>441</v>
      </c>
      <c r="E670" s="28">
        <v>0.97437267000000005</v>
      </c>
      <c r="F670" s="13"/>
      <c r="G670" s="18">
        <v>10000000</v>
      </c>
      <c r="H670" s="18">
        <v>9743726.7300000004</v>
      </c>
      <c r="I670" s="18">
        <v>10000000</v>
      </c>
      <c r="J670" s="18">
        <v>9743726.7300000004</v>
      </c>
      <c r="K670" s="15">
        <v>576</v>
      </c>
      <c r="L670" s="13" t="s">
        <v>102</v>
      </c>
      <c r="M670" s="13" t="s">
        <v>103</v>
      </c>
      <c r="N670" s="139" t="s">
        <v>174</v>
      </c>
      <c r="O670" s="139" t="s">
        <v>174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1317</v>
      </c>
      <c r="V670" s="13" t="s">
        <v>1317</v>
      </c>
      <c r="W670" s="59">
        <f t="shared" si="10"/>
        <v>1.8615010066814087E-4</v>
      </c>
    </row>
    <row r="671" spans="1:29">
      <c r="A671" s="13" t="s">
        <v>481</v>
      </c>
      <c r="B671" s="13" t="s">
        <v>471</v>
      </c>
      <c r="C671" s="139">
        <v>46255</v>
      </c>
      <c r="D671" s="139" t="s">
        <v>441</v>
      </c>
      <c r="E671" s="28">
        <v>0.96775918000000005</v>
      </c>
      <c r="F671" s="13"/>
      <c r="G671" s="18">
        <v>40400000</v>
      </c>
      <c r="H671" s="18">
        <v>39097470.670000002</v>
      </c>
      <c r="I671" s="18">
        <v>40400000</v>
      </c>
      <c r="J671" s="18">
        <v>39097470.670000002</v>
      </c>
      <c r="K671" s="15">
        <v>151347</v>
      </c>
      <c r="L671" s="13" t="s">
        <v>102</v>
      </c>
      <c r="M671" s="13" t="s">
        <v>103</v>
      </c>
      <c r="N671" s="139" t="s">
        <v>381</v>
      </c>
      <c r="O671" s="139" t="s">
        <v>381</v>
      </c>
      <c r="P671" s="28">
        <v>38</v>
      </c>
      <c r="Q671" s="13" t="s">
        <v>54</v>
      </c>
      <c r="R671" s="13" t="s">
        <v>28</v>
      </c>
      <c r="S671" s="13"/>
      <c r="T671" s="13"/>
      <c r="U671" s="13" t="s">
        <v>1574</v>
      </c>
      <c r="V671" s="13" t="s">
        <v>1574</v>
      </c>
      <c r="W671" s="59">
        <f t="shared" si="10"/>
        <v>7.4694193533588404E-4</v>
      </c>
    </row>
    <row r="672" spans="1:29">
      <c r="A672" s="13" t="s">
        <v>1389</v>
      </c>
      <c r="B672" s="13" t="s">
        <v>471</v>
      </c>
      <c r="C672" s="139">
        <v>46255</v>
      </c>
      <c r="D672" s="139" t="s">
        <v>441</v>
      </c>
      <c r="E672" s="28">
        <v>0.97188204</v>
      </c>
      <c r="F672" s="13"/>
      <c r="G672" s="18">
        <v>2200000</v>
      </c>
      <c r="H672" s="18">
        <v>2138140.48</v>
      </c>
      <c r="I672" s="18">
        <v>2200000</v>
      </c>
      <c r="J672" s="18">
        <v>2138140.48</v>
      </c>
      <c r="K672" s="15">
        <v>6192</v>
      </c>
      <c r="L672" s="13" t="s">
        <v>102</v>
      </c>
      <c r="M672" s="13" t="s">
        <v>103</v>
      </c>
      <c r="N672" s="139" t="s">
        <v>351</v>
      </c>
      <c r="O672" s="139" t="s">
        <v>351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1385</v>
      </c>
      <c r="V672" s="13" t="s">
        <v>1385</v>
      </c>
      <c r="W672" s="59">
        <f t="shared" si="10"/>
        <v>4.0848340334625437E-5</v>
      </c>
    </row>
    <row r="673" spans="1:29">
      <c r="A673" s="13" t="s">
        <v>472</v>
      </c>
      <c r="B673" s="13" t="s">
        <v>471</v>
      </c>
      <c r="C673" s="139">
        <v>46255</v>
      </c>
      <c r="D673" s="139" t="s">
        <v>441</v>
      </c>
      <c r="E673" s="28">
        <v>0.97437277</v>
      </c>
      <c r="F673" s="13"/>
      <c r="G673" s="18">
        <v>10000000</v>
      </c>
      <c r="H673" s="18">
        <v>9743727.7200000007</v>
      </c>
      <c r="I673" s="18">
        <v>10000000</v>
      </c>
      <c r="J673" s="18">
        <v>9743727.7200000007</v>
      </c>
      <c r="K673" s="15">
        <v>609</v>
      </c>
      <c r="L673" s="13" t="s">
        <v>102</v>
      </c>
      <c r="M673" s="13" t="s">
        <v>103</v>
      </c>
      <c r="N673" s="139" t="s">
        <v>343</v>
      </c>
      <c r="O673" s="139" t="s">
        <v>343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1501</v>
      </c>
      <c r="V673" s="13" t="s">
        <v>1501</v>
      </c>
      <c r="W673" s="59">
        <f t="shared" si="10"/>
        <v>1.8615011958170494E-4</v>
      </c>
    </row>
    <row r="674" spans="1:29">
      <c r="A674" s="13" t="s">
        <v>472</v>
      </c>
      <c r="B674" s="13" t="s">
        <v>471</v>
      </c>
      <c r="C674" s="139">
        <v>46255</v>
      </c>
      <c r="D674" s="139" t="s">
        <v>441</v>
      </c>
      <c r="E674" s="28">
        <v>0.97437267999999999</v>
      </c>
      <c r="F674" s="13"/>
      <c r="G674" s="18">
        <v>10000000</v>
      </c>
      <c r="H674" s="18">
        <v>9743726.8200000003</v>
      </c>
      <c r="I674" s="18">
        <v>10000000</v>
      </c>
      <c r="J674" s="18">
        <v>9743726.8200000003</v>
      </c>
      <c r="K674" s="15">
        <v>677</v>
      </c>
      <c r="L674" s="13" t="s">
        <v>102</v>
      </c>
      <c r="M674" s="13" t="s">
        <v>103</v>
      </c>
      <c r="N674" s="139" t="s">
        <v>484</v>
      </c>
      <c r="O674" s="139" t="s">
        <v>484</v>
      </c>
      <c r="P674" s="28">
        <v>30</v>
      </c>
      <c r="Q674" s="13" t="s">
        <v>54</v>
      </c>
      <c r="R674" s="13" t="s">
        <v>28</v>
      </c>
      <c r="S674" s="13"/>
      <c r="T674" s="13"/>
      <c r="U674" s="13" t="s">
        <v>1703</v>
      </c>
      <c r="V674" s="13" t="s">
        <v>1703</v>
      </c>
      <c r="W674" s="59">
        <f t="shared" si="10"/>
        <v>1.8615010238755579E-4</v>
      </c>
    </row>
    <row r="675" spans="1:29">
      <c r="A675" s="13" t="s">
        <v>149</v>
      </c>
      <c r="B675" s="13" t="s">
        <v>471</v>
      </c>
      <c r="C675" s="139">
        <v>46255</v>
      </c>
      <c r="D675" s="139" t="s">
        <v>441</v>
      </c>
      <c r="E675" s="28">
        <v>0.97687623000000001</v>
      </c>
      <c r="F675" s="13"/>
      <c r="G675" s="18">
        <v>200000000</v>
      </c>
      <c r="H675" s="18">
        <v>195375246.90000001</v>
      </c>
      <c r="I675" s="18">
        <v>200000000</v>
      </c>
      <c r="J675" s="18">
        <v>195375246.90000001</v>
      </c>
      <c r="K675" s="15">
        <v>90003874</v>
      </c>
      <c r="L675" s="13" t="s">
        <v>102</v>
      </c>
      <c r="M675" s="13" t="s">
        <v>103</v>
      </c>
      <c r="N675" s="139" t="s">
        <v>439</v>
      </c>
      <c r="O675" s="139" t="s">
        <v>439</v>
      </c>
      <c r="P675" s="28">
        <v>27</v>
      </c>
      <c r="Q675" s="13" t="s">
        <v>54</v>
      </c>
      <c r="R675" s="13" t="s">
        <v>28</v>
      </c>
      <c r="S675" s="13"/>
      <c r="T675" s="13"/>
      <c r="U675" s="13" t="s">
        <v>1755</v>
      </c>
      <c r="V675" s="13" t="s">
        <v>1755</v>
      </c>
      <c r="W675" s="59">
        <f t="shared" si="10"/>
        <v>3.7325679266559109E-3</v>
      </c>
    </row>
    <row r="676" spans="1:29">
      <c r="A676" s="13" t="s">
        <v>323</v>
      </c>
      <c r="B676" s="13" t="s">
        <v>471</v>
      </c>
      <c r="C676" s="139">
        <v>46255</v>
      </c>
      <c r="D676" s="139" t="s">
        <v>441</v>
      </c>
      <c r="E676" s="28">
        <v>0.97687619999999997</v>
      </c>
      <c r="F676" s="13"/>
      <c r="G676" s="18">
        <v>7250000</v>
      </c>
      <c r="H676" s="18">
        <v>7082352.4199999999</v>
      </c>
      <c r="I676" s="18">
        <v>7250000</v>
      </c>
      <c r="J676" s="18">
        <v>7082352.4199999999</v>
      </c>
      <c r="K676" s="15">
        <v>1088</v>
      </c>
      <c r="L676" s="13" t="s">
        <v>102</v>
      </c>
      <c r="M676" s="13" t="s">
        <v>103</v>
      </c>
      <c r="N676" s="139" t="s">
        <v>457</v>
      </c>
      <c r="O676" s="139" t="s">
        <v>457</v>
      </c>
      <c r="P676" s="28">
        <v>27</v>
      </c>
      <c r="Q676" s="13" t="s">
        <v>54</v>
      </c>
      <c r="R676" s="13" t="s">
        <v>28</v>
      </c>
      <c r="S676" s="13"/>
      <c r="T676" s="13"/>
      <c r="U676" s="13" t="s">
        <v>1726</v>
      </c>
      <c r="V676" s="13" t="s">
        <v>1726</v>
      </c>
      <c r="W676" s="59">
        <f t="shared" si="10"/>
        <v>1.3530558198959785E-4</v>
      </c>
    </row>
    <row r="677" spans="1:29">
      <c r="A677" s="13" t="s">
        <v>323</v>
      </c>
      <c r="B677" s="13" t="s">
        <v>471</v>
      </c>
      <c r="C677" s="139">
        <v>46255</v>
      </c>
      <c r="D677" s="139" t="s">
        <v>441</v>
      </c>
      <c r="E677" s="28">
        <v>0.97687619999999997</v>
      </c>
      <c r="F677" s="13"/>
      <c r="G677" s="18">
        <v>7250000</v>
      </c>
      <c r="H677" s="18">
        <v>7082352.4199999999</v>
      </c>
      <c r="I677" s="18">
        <v>7250000</v>
      </c>
      <c r="J677" s="18">
        <v>7082352.4199999999</v>
      </c>
      <c r="K677" s="15">
        <v>1087</v>
      </c>
      <c r="L677" s="13" t="s">
        <v>102</v>
      </c>
      <c r="M677" s="13" t="s">
        <v>103</v>
      </c>
      <c r="N677" s="139" t="s">
        <v>457</v>
      </c>
      <c r="O677" s="139" t="s">
        <v>457</v>
      </c>
      <c r="P677" s="28">
        <v>27</v>
      </c>
      <c r="Q677" s="13" t="s">
        <v>54</v>
      </c>
      <c r="R677" s="13" t="s">
        <v>28</v>
      </c>
      <c r="S677" s="13"/>
      <c r="T677" s="13"/>
      <c r="U677" s="13" t="s">
        <v>1727</v>
      </c>
      <c r="V677" s="13" t="s">
        <v>1727</v>
      </c>
      <c r="W677" s="59">
        <f t="shared" si="10"/>
        <v>1.3530558198959785E-4</v>
      </c>
    </row>
    <row r="678" spans="1:29">
      <c r="A678" s="13" t="s">
        <v>323</v>
      </c>
      <c r="B678" s="13" t="s">
        <v>471</v>
      </c>
      <c r="C678" s="139">
        <v>46255</v>
      </c>
      <c r="D678" s="139" t="s">
        <v>441</v>
      </c>
      <c r="E678" s="28">
        <v>0.97687619999999997</v>
      </c>
      <c r="F678" s="13"/>
      <c r="G678" s="18">
        <v>7250000</v>
      </c>
      <c r="H678" s="18">
        <v>7082352.4199999999</v>
      </c>
      <c r="I678" s="18">
        <v>7250000</v>
      </c>
      <c r="J678" s="18">
        <v>7082352.4199999999</v>
      </c>
      <c r="K678" s="15">
        <v>1086</v>
      </c>
      <c r="L678" s="13" t="s">
        <v>102</v>
      </c>
      <c r="M678" s="13" t="s">
        <v>103</v>
      </c>
      <c r="N678" s="139" t="s">
        <v>457</v>
      </c>
      <c r="O678" s="139" t="s">
        <v>457</v>
      </c>
      <c r="P678" s="28">
        <v>27</v>
      </c>
      <c r="Q678" s="13" t="s">
        <v>54</v>
      </c>
      <c r="R678" s="13" t="s">
        <v>28</v>
      </c>
      <c r="S678" s="13"/>
      <c r="T678" s="13"/>
      <c r="U678" s="13" t="s">
        <v>1728</v>
      </c>
      <c r="V678" s="13" t="s">
        <v>1728</v>
      </c>
      <c r="W678" s="59">
        <f t="shared" si="10"/>
        <v>1.3530558198959785E-4</v>
      </c>
    </row>
    <row r="679" spans="1:29">
      <c r="A679" s="13" t="s">
        <v>323</v>
      </c>
      <c r="B679" s="13" t="s">
        <v>471</v>
      </c>
      <c r="C679" s="139">
        <v>46255</v>
      </c>
      <c r="D679" s="139" t="s">
        <v>441</v>
      </c>
      <c r="E679" s="28">
        <v>0.97687619999999997</v>
      </c>
      <c r="F679" s="13"/>
      <c r="G679" s="18">
        <v>7250000</v>
      </c>
      <c r="H679" s="18">
        <v>7082352.4199999999</v>
      </c>
      <c r="I679" s="18">
        <v>7250000</v>
      </c>
      <c r="J679" s="18">
        <v>7082352.4199999999</v>
      </c>
      <c r="K679" s="15">
        <v>1084</v>
      </c>
      <c r="L679" s="13" t="s">
        <v>102</v>
      </c>
      <c r="M679" s="13" t="s">
        <v>103</v>
      </c>
      <c r="N679" s="139" t="s">
        <v>457</v>
      </c>
      <c r="O679" s="139" t="s">
        <v>457</v>
      </c>
      <c r="P679" s="28">
        <v>27</v>
      </c>
      <c r="Q679" s="13" t="s">
        <v>54</v>
      </c>
      <c r="R679" s="13" t="s">
        <v>28</v>
      </c>
      <c r="S679" s="13"/>
      <c r="T679" s="13"/>
      <c r="U679" s="13" t="s">
        <v>1729</v>
      </c>
      <c r="V679" s="13" t="s">
        <v>1729</v>
      </c>
      <c r="W679" s="59">
        <f t="shared" si="10"/>
        <v>1.3530558198959785E-4</v>
      </c>
    </row>
    <row r="680" spans="1:29">
      <c r="A680" s="13" t="s">
        <v>323</v>
      </c>
      <c r="B680" s="13" t="s">
        <v>471</v>
      </c>
      <c r="C680" s="139">
        <v>46255</v>
      </c>
      <c r="D680" s="139" t="s">
        <v>441</v>
      </c>
      <c r="E680" s="28">
        <v>0.97771361000000001</v>
      </c>
      <c r="F680" s="13"/>
      <c r="G680" s="18">
        <v>10000000</v>
      </c>
      <c r="H680" s="18">
        <v>9777136.0899999999</v>
      </c>
      <c r="I680" s="18">
        <v>10000000</v>
      </c>
      <c r="J680" s="18">
        <v>9777136.0899999999</v>
      </c>
      <c r="K680" s="15">
        <v>68035371</v>
      </c>
      <c r="L680" s="13" t="s">
        <v>102</v>
      </c>
      <c r="M680" s="13" t="s">
        <v>103</v>
      </c>
      <c r="N680" s="139" t="s">
        <v>494</v>
      </c>
      <c r="O680" s="139" t="s">
        <v>494</v>
      </c>
      <c r="P680" s="28">
        <v>26</v>
      </c>
      <c r="Q680" s="13" t="s">
        <v>54</v>
      </c>
      <c r="R680" s="13" t="s">
        <v>28</v>
      </c>
      <c r="S680" s="13"/>
      <c r="T680" s="13"/>
      <c r="U680" s="13" t="s">
        <v>2005</v>
      </c>
      <c r="V680" s="13" t="s">
        <v>2005</v>
      </c>
      <c r="W680" s="59">
        <f t="shared" si="10"/>
        <v>1.8678837346658769E-4</v>
      </c>
    </row>
    <row r="681" spans="1:29">
      <c r="A681" s="13" t="s">
        <v>323</v>
      </c>
      <c r="B681" s="13" t="s">
        <v>471</v>
      </c>
      <c r="C681" s="139">
        <v>46255</v>
      </c>
      <c r="D681" s="139" t="s">
        <v>441</v>
      </c>
      <c r="E681" s="28">
        <v>0.97520574999999998</v>
      </c>
      <c r="F681" s="13"/>
      <c r="G681" s="18">
        <v>10000000</v>
      </c>
      <c r="H681" s="18">
        <v>9752057.4499999993</v>
      </c>
      <c r="I681" s="18">
        <v>10000000</v>
      </c>
      <c r="J681" s="18">
        <v>9752057.4499999993</v>
      </c>
      <c r="K681" s="15">
        <v>2151</v>
      </c>
      <c r="L681" s="13" t="s">
        <v>102</v>
      </c>
      <c r="M681" s="13" t="s">
        <v>103</v>
      </c>
      <c r="N681" s="139" t="s">
        <v>374</v>
      </c>
      <c r="O681" s="139" t="s">
        <v>374</v>
      </c>
      <c r="P681" s="28">
        <v>29</v>
      </c>
      <c r="Q681" s="13" t="s">
        <v>54</v>
      </c>
      <c r="R681" s="13" t="s">
        <v>28</v>
      </c>
      <c r="S681" s="13"/>
      <c r="T681" s="13"/>
      <c r="U681" s="13" t="s">
        <v>887</v>
      </c>
      <c r="V681" s="13" t="s">
        <v>887</v>
      </c>
      <c r="W681" s="59">
        <f t="shared" si="10"/>
        <v>1.8630925582608092E-4</v>
      </c>
    </row>
    <row r="682" spans="1:29">
      <c r="A682" s="13" t="s">
        <v>478</v>
      </c>
      <c r="B682" s="13" t="s">
        <v>471</v>
      </c>
      <c r="C682" s="139">
        <v>46255</v>
      </c>
      <c r="D682" s="139" t="s">
        <v>441</v>
      </c>
      <c r="E682" s="28">
        <v>0.97022865999999997</v>
      </c>
      <c r="F682" s="13"/>
      <c r="G682" s="18">
        <v>16600000</v>
      </c>
      <c r="H682" s="18">
        <v>16105795.68</v>
      </c>
      <c r="I682" s="18">
        <v>16600000</v>
      </c>
      <c r="J682" s="18">
        <v>16105795.68</v>
      </c>
      <c r="K682" s="15">
        <v>29088026</v>
      </c>
      <c r="L682" s="13" t="s">
        <v>102</v>
      </c>
      <c r="M682" s="13" t="s">
        <v>103</v>
      </c>
      <c r="N682" s="139" t="s">
        <v>151</v>
      </c>
      <c r="O682" s="139" t="s">
        <v>151</v>
      </c>
      <c r="P682" s="28">
        <v>35</v>
      </c>
      <c r="Q682" s="13" t="s">
        <v>54</v>
      </c>
      <c r="R682" s="13" t="s">
        <v>28</v>
      </c>
      <c r="S682" s="13"/>
      <c r="T682" s="13"/>
      <c r="U682" s="13" t="s">
        <v>548</v>
      </c>
      <c r="V682" s="13" t="s">
        <v>548</v>
      </c>
      <c r="W682" s="59">
        <f t="shared" si="10"/>
        <v>3.0769494775973751E-4</v>
      </c>
    </row>
    <row r="683" spans="1:29">
      <c r="A683" s="13" t="s">
        <v>193</v>
      </c>
      <c r="B683" s="13" t="s">
        <v>471</v>
      </c>
      <c r="C683" s="139">
        <v>46255</v>
      </c>
      <c r="D683" s="139" t="s">
        <v>441</v>
      </c>
      <c r="E683" s="28">
        <v>0.97022867000000002</v>
      </c>
      <c r="F683" s="13"/>
      <c r="G683" s="18">
        <v>283000000</v>
      </c>
      <c r="H683" s="18">
        <v>274574712.31</v>
      </c>
      <c r="I683" s="18">
        <v>283000000</v>
      </c>
      <c r="J683" s="18">
        <v>274574712.31</v>
      </c>
      <c r="K683" s="15">
        <v>70390734</v>
      </c>
      <c r="L683" s="13" t="s">
        <v>102</v>
      </c>
      <c r="M683" s="13" t="s">
        <v>103</v>
      </c>
      <c r="N683" s="139" t="s">
        <v>402</v>
      </c>
      <c r="O683" s="139" t="s">
        <v>402</v>
      </c>
      <c r="P683" s="28">
        <v>35</v>
      </c>
      <c r="Q683" s="13" t="s">
        <v>54</v>
      </c>
      <c r="R683" s="13" t="s">
        <v>28</v>
      </c>
      <c r="S683" s="13"/>
      <c r="T683" s="13"/>
      <c r="U683" s="13" t="s">
        <v>1871</v>
      </c>
      <c r="V683" s="13" t="s">
        <v>1871</v>
      </c>
      <c r="W683" s="59">
        <f t="shared" si="10"/>
        <v>5.2456428380799136E-3</v>
      </c>
    </row>
    <row r="684" spans="1:29">
      <c r="A684" s="13" t="s">
        <v>1612</v>
      </c>
      <c r="B684" s="13" t="s">
        <v>471</v>
      </c>
      <c r="C684" s="139">
        <v>46255</v>
      </c>
      <c r="D684" s="139" t="s">
        <v>441</v>
      </c>
      <c r="E684" s="28">
        <v>0.97437278999999999</v>
      </c>
      <c r="F684" s="13"/>
      <c r="G684" s="18">
        <v>1606134</v>
      </c>
      <c r="H684" s="18">
        <v>1564973.27</v>
      </c>
      <c r="I684" s="18">
        <v>1606134</v>
      </c>
      <c r="J684" s="18">
        <v>1564973.27</v>
      </c>
      <c r="K684" s="15">
        <v>67237064</v>
      </c>
      <c r="L684" s="13" t="s">
        <v>102</v>
      </c>
      <c r="M684" s="13" t="s">
        <v>103</v>
      </c>
      <c r="N684" s="139" t="s">
        <v>389</v>
      </c>
      <c r="O684" s="139" t="s">
        <v>389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1614</v>
      </c>
      <c r="V684" s="13" t="s">
        <v>1614</v>
      </c>
      <c r="W684" s="59">
        <f t="shared" si="10"/>
        <v>2.9898204231908872E-5</v>
      </c>
    </row>
    <row r="685" spans="1:29">
      <c r="A685" s="13" t="s">
        <v>2115</v>
      </c>
      <c r="B685" s="13" t="s">
        <v>471</v>
      </c>
      <c r="C685" s="139">
        <v>46255</v>
      </c>
      <c r="D685" s="139" t="s">
        <v>441</v>
      </c>
      <c r="E685" s="28">
        <v>0.97437273999999996</v>
      </c>
      <c r="F685" s="13"/>
      <c r="G685" s="18">
        <v>1070000</v>
      </c>
      <c r="H685" s="18">
        <v>1042578.83</v>
      </c>
      <c r="I685" s="18">
        <v>1070000</v>
      </c>
      <c r="J685" s="18">
        <v>1042578.83</v>
      </c>
      <c r="K685" s="15">
        <v>1246</v>
      </c>
      <c r="L685" s="13" t="s">
        <v>102</v>
      </c>
      <c r="M685" s="13" t="s">
        <v>103</v>
      </c>
      <c r="N685" s="139" t="s">
        <v>783</v>
      </c>
      <c r="O685" s="139" t="s">
        <v>783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2104</v>
      </c>
      <c r="V685" s="13" t="s">
        <v>2104</v>
      </c>
      <c r="W685" s="59">
        <f t="shared" si="10"/>
        <v>1.9918062106712275E-5</v>
      </c>
    </row>
    <row r="686" spans="1:29">
      <c r="A686" s="13" t="s">
        <v>698</v>
      </c>
      <c r="B686" s="13" t="s">
        <v>471</v>
      </c>
      <c r="C686" s="139">
        <v>46258</v>
      </c>
      <c r="D686" s="139" t="s">
        <v>441</v>
      </c>
      <c r="E686" s="28">
        <v>0.97294417</v>
      </c>
      <c r="F686" s="13"/>
      <c r="G686" s="18">
        <v>11923076.92</v>
      </c>
      <c r="H686" s="18">
        <v>11600488.220000001</v>
      </c>
      <c r="I686" s="18">
        <v>11923076.92</v>
      </c>
      <c r="J686" s="18">
        <v>11600488.220000001</v>
      </c>
      <c r="K686" s="15">
        <v>90021985</v>
      </c>
      <c r="L686" s="13" t="s">
        <v>102</v>
      </c>
      <c r="M686" s="13" t="s">
        <v>103</v>
      </c>
      <c r="N686" s="139" t="s">
        <v>341</v>
      </c>
      <c r="O686" s="139" t="s">
        <v>341</v>
      </c>
      <c r="P686" s="28">
        <v>29</v>
      </c>
      <c r="Q686" s="13" t="s">
        <v>54</v>
      </c>
      <c r="R686" s="13" t="s">
        <v>28</v>
      </c>
      <c r="S686" s="13"/>
      <c r="T686" s="13"/>
      <c r="U686" s="13" t="s">
        <v>930</v>
      </c>
      <c r="V686" s="13" t="s">
        <v>930</v>
      </c>
      <c r="W686" s="59">
        <f t="shared" si="10"/>
        <v>2.216228050920084E-4</v>
      </c>
      <c r="AC686" s="56"/>
    </row>
    <row r="687" spans="1:29">
      <c r="A687" s="13" t="s">
        <v>1388</v>
      </c>
      <c r="B687" s="13" t="s">
        <v>471</v>
      </c>
      <c r="C687" s="139">
        <v>46258</v>
      </c>
      <c r="D687" s="139" t="s">
        <v>441</v>
      </c>
      <c r="E687" s="28">
        <v>0.97294420000000004</v>
      </c>
      <c r="F687" s="13"/>
      <c r="G687" s="18">
        <v>200000000</v>
      </c>
      <c r="H687" s="18">
        <v>194588840.22</v>
      </c>
      <c r="I687" s="18">
        <v>200000000</v>
      </c>
      <c r="J687" s="18">
        <v>194588840.22</v>
      </c>
      <c r="K687" s="15">
        <v>90003855</v>
      </c>
      <c r="L687" s="13" t="s">
        <v>102</v>
      </c>
      <c r="M687" s="13" t="s">
        <v>103</v>
      </c>
      <c r="N687" s="139" t="s">
        <v>484</v>
      </c>
      <c r="O687" s="139" t="s">
        <v>484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1710</v>
      </c>
      <c r="V687" s="13" t="s">
        <v>1710</v>
      </c>
      <c r="W687" s="59">
        <f t="shared" si="10"/>
        <v>3.7175439336084273E-3</v>
      </c>
      <c r="AC687" s="56"/>
    </row>
    <row r="688" spans="1:29">
      <c r="A688" s="13" t="s">
        <v>1108</v>
      </c>
      <c r="B688" s="13" t="s">
        <v>471</v>
      </c>
      <c r="C688" s="139">
        <v>46258</v>
      </c>
      <c r="D688" s="139" t="s">
        <v>441</v>
      </c>
      <c r="E688" s="28">
        <v>0.96932691000000004</v>
      </c>
      <c r="F688" s="13"/>
      <c r="G688" s="18">
        <v>1035000000</v>
      </c>
      <c r="H688" s="18">
        <v>1003253351.54</v>
      </c>
      <c r="I688" s="18">
        <v>1035000000</v>
      </c>
      <c r="J688" s="18">
        <v>1003253351.54</v>
      </c>
      <c r="K688" s="15">
        <v>157492</v>
      </c>
      <c r="L688" s="13" t="s">
        <v>102</v>
      </c>
      <c r="M688" s="13" t="s">
        <v>103</v>
      </c>
      <c r="N688" s="139" t="s">
        <v>441</v>
      </c>
      <c r="O688" s="139" t="s">
        <v>441</v>
      </c>
      <c r="P688" s="28">
        <v>33</v>
      </c>
      <c r="Q688" s="13" t="s">
        <v>54</v>
      </c>
      <c r="R688" s="13" t="s">
        <v>28</v>
      </c>
      <c r="S688" s="13"/>
      <c r="T688" s="13"/>
      <c r="U688" s="13" t="s">
        <v>2483</v>
      </c>
      <c r="V688" s="13" t="s">
        <v>2483</v>
      </c>
      <c r="W688" s="59">
        <f t="shared" si="10"/>
        <v>1.9166764171435327E-2</v>
      </c>
    </row>
    <row r="689" spans="1:23">
      <c r="A689" s="13" t="s">
        <v>583</v>
      </c>
      <c r="B689" s="13" t="s">
        <v>471</v>
      </c>
      <c r="C689" s="139">
        <v>46258</v>
      </c>
      <c r="D689" s="139" t="s">
        <v>441</v>
      </c>
      <c r="E689" s="28">
        <v>0.96306073000000003</v>
      </c>
      <c r="F689" s="13"/>
      <c r="G689" s="18">
        <v>7551944</v>
      </c>
      <c r="H689" s="18">
        <v>7272980.6600000001</v>
      </c>
      <c r="I689" s="18">
        <v>7551944</v>
      </c>
      <c r="J689" s="18">
        <v>7272980.6600000001</v>
      </c>
      <c r="K689" s="15">
        <v>1825</v>
      </c>
      <c r="L689" s="13" t="s">
        <v>102</v>
      </c>
      <c r="M689" s="13" t="s">
        <v>103</v>
      </c>
      <c r="N689" s="139" t="s">
        <v>346</v>
      </c>
      <c r="O689" s="139" t="s">
        <v>346</v>
      </c>
      <c r="P689" s="28">
        <v>40</v>
      </c>
      <c r="Q689" s="13" t="s">
        <v>54</v>
      </c>
      <c r="R689" s="13" t="s">
        <v>28</v>
      </c>
      <c r="S689" s="13"/>
      <c r="T689" s="13"/>
      <c r="U689" s="13" t="s">
        <v>574</v>
      </c>
      <c r="V689" s="13" t="s">
        <v>574</v>
      </c>
      <c r="W689" s="59">
        <f t="shared" si="10"/>
        <v>1.3894746020000928E-4</v>
      </c>
    </row>
    <row r="690" spans="1:23">
      <c r="A690" s="13" t="s">
        <v>583</v>
      </c>
      <c r="B690" s="13" t="s">
        <v>471</v>
      </c>
      <c r="C690" s="139">
        <v>46258</v>
      </c>
      <c r="D690" s="139" t="s">
        <v>441</v>
      </c>
      <c r="E690" s="28">
        <v>0.96306073000000003</v>
      </c>
      <c r="F690" s="13"/>
      <c r="G690" s="18">
        <v>7551944</v>
      </c>
      <c r="H690" s="18">
        <v>7272980.6600000001</v>
      </c>
      <c r="I690" s="18">
        <v>7551944</v>
      </c>
      <c r="J690" s="18">
        <v>7272980.6600000001</v>
      </c>
      <c r="K690" s="15">
        <v>1826</v>
      </c>
      <c r="L690" s="13" t="s">
        <v>102</v>
      </c>
      <c r="M690" s="13" t="s">
        <v>103</v>
      </c>
      <c r="N690" s="139" t="s">
        <v>346</v>
      </c>
      <c r="O690" s="139" t="s">
        <v>346</v>
      </c>
      <c r="P690" s="28">
        <v>40</v>
      </c>
      <c r="Q690" s="13" t="s">
        <v>54</v>
      </c>
      <c r="R690" s="13" t="s">
        <v>28</v>
      </c>
      <c r="S690" s="13"/>
      <c r="T690" s="13"/>
      <c r="U690" s="13" t="s">
        <v>576</v>
      </c>
      <c r="V690" s="13" t="s">
        <v>576</v>
      </c>
      <c r="W690" s="59">
        <f t="shared" si="10"/>
        <v>1.3894746020000928E-4</v>
      </c>
    </row>
    <row r="691" spans="1:23">
      <c r="A691" s="13" t="s">
        <v>653</v>
      </c>
      <c r="B691" s="13" t="s">
        <v>471</v>
      </c>
      <c r="C691" s="139">
        <v>46258</v>
      </c>
      <c r="D691" s="139" t="s">
        <v>441</v>
      </c>
      <c r="E691" s="28">
        <v>0.96932682999999997</v>
      </c>
      <c r="F691" s="13"/>
      <c r="G691" s="18">
        <v>5600000</v>
      </c>
      <c r="H691" s="18">
        <v>5428230.2599999998</v>
      </c>
      <c r="I691" s="18">
        <v>5600000</v>
      </c>
      <c r="J691" s="18">
        <v>5428230.2599999998</v>
      </c>
      <c r="K691" s="15">
        <v>3501251</v>
      </c>
      <c r="L691" s="13" t="s">
        <v>102</v>
      </c>
      <c r="M691" s="13" t="s">
        <v>103</v>
      </c>
      <c r="N691" s="139" t="s">
        <v>355</v>
      </c>
      <c r="O691" s="139" t="s">
        <v>355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845</v>
      </c>
      <c r="V691" s="13" t="s">
        <v>845</v>
      </c>
      <c r="W691" s="59">
        <f t="shared" si="10"/>
        <v>1.0370422296817108E-4</v>
      </c>
    </row>
    <row r="692" spans="1:23">
      <c r="A692" s="13" t="s">
        <v>739</v>
      </c>
      <c r="B692" s="13" t="s">
        <v>471</v>
      </c>
      <c r="C692" s="139">
        <v>46258</v>
      </c>
      <c r="D692" s="139" t="s">
        <v>441</v>
      </c>
      <c r="E692" s="28">
        <v>0.96932693999999997</v>
      </c>
      <c r="F692" s="13"/>
      <c r="G692" s="18">
        <v>175000000</v>
      </c>
      <c r="H692" s="18">
        <v>169632214.55000001</v>
      </c>
      <c r="I692" s="18">
        <v>175000000</v>
      </c>
      <c r="J692" s="18">
        <v>169632214.55000001</v>
      </c>
      <c r="K692" s="15">
        <v>70389145</v>
      </c>
      <c r="L692" s="13" t="s">
        <v>102</v>
      </c>
      <c r="M692" s="13" t="s">
        <v>103</v>
      </c>
      <c r="N692" s="139" t="s">
        <v>431</v>
      </c>
      <c r="O692" s="139" t="s">
        <v>431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1936</v>
      </c>
      <c r="V692" s="13" t="s">
        <v>1936</v>
      </c>
      <c r="W692" s="59">
        <f t="shared" si="10"/>
        <v>3.2407573293100939E-3</v>
      </c>
    </row>
    <row r="693" spans="1:23">
      <c r="A693" s="13" t="s">
        <v>821</v>
      </c>
      <c r="B693" s="13" t="s">
        <v>471</v>
      </c>
      <c r="C693" s="139">
        <v>46258</v>
      </c>
      <c r="D693" s="139" t="s">
        <v>441</v>
      </c>
      <c r="E693" s="28">
        <v>0.96484272000000004</v>
      </c>
      <c r="F693" s="13"/>
      <c r="G693" s="18">
        <v>7865231.25</v>
      </c>
      <c r="H693" s="18">
        <v>7588711.1100000003</v>
      </c>
      <c r="I693" s="18">
        <v>7865231.25</v>
      </c>
      <c r="J693" s="18">
        <v>7588711.1100000003</v>
      </c>
      <c r="K693" s="15">
        <v>90000558</v>
      </c>
      <c r="L693" s="13" t="s">
        <v>102</v>
      </c>
      <c r="M693" s="13" t="s">
        <v>103</v>
      </c>
      <c r="N693" s="139" t="s">
        <v>327</v>
      </c>
      <c r="O693" s="139" t="s">
        <v>327</v>
      </c>
      <c r="P693" s="28">
        <v>38</v>
      </c>
      <c r="Q693" s="13" t="s">
        <v>54</v>
      </c>
      <c r="R693" s="13" t="s">
        <v>28</v>
      </c>
      <c r="S693" s="13"/>
      <c r="T693" s="13"/>
      <c r="U693" s="13" t="s">
        <v>816</v>
      </c>
      <c r="V693" s="13" t="s">
        <v>816</v>
      </c>
      <c r="W693" s="59">
        <f t="shared" si="10"/>
        <v>1.4497936736244439E-4</v>
      </c>
    </row>
    <row r="694" spans="1:23">
      <c r="A694" s="13" t="s">
        <v>737</v>
      </c>
      <c r="B694" s="13" t="s">
        <v>471</v>
      </c>
      <c r="C694" s="139">
        <v>46258</v>
      </c>
      <c r="D694" s="139" t="s">
        <v>441</v>
      </c>
      <c r="E694" s="28">
        <v>0.97750413999999997</v>
      </c>
      <c r="F694" s="13"/>
      <c r="G694" s="18">
        <v>6875000</v>
      </c>
      <c r="H694" s="18">
        <v>6720340.9699999997</v>
      </c>
      <c r="I694" s="18">
        <v>6875000</v>
      </c>
      <c r="J694" s="18">
        <v>6720340.9699999997</v>
      </c>
      <c r="K694" s="15">
        <v>50454431</v>
      </c>
      <c r="L694" s="13" t="s">
        <v>102</v>
      </c>
      <c r="M694" s="13" t="s">
        <v>103</v>
      </c>
      <c r="N694" s="139" t="s">
        <v>382</v>
      </c>
      <c r="O694" s="139" t="s">
        <v>382</v>
      </c>
      <c r="P694" s="28">
        <v>24</v>
      </c>
      <c r="Q694" s="13" t="s">
        <v>54</v>
      </c>
      <c r="R694" s="13" t="s">
        <v>28</v>
      </c>
      <c r="S694" s="13"/>
      <c r="T694" s="13"/>
      <c r="U694" s="13" t="s">
        <v>2351</v>
      </c>
      <c r="V694" s="13" t="s">
        <v>2351</v>
      </c>
      <c r="W694" s="59">
        <f t="shared" si="10"/>
        <v>1.2838949436441466E-4</v>
      </c>
    </row>
    <row r="695" spans="1:23">
      <c r="A695" s="13" t="s">
        <v>472</v>
      </c>
      <c r="B695" s="13" t="s">
        <v>471</v>
      </c>
      <c r="C695" s="139">
        <v>46258</v>
      </c>
      <c r="D695" s="139" t="s">
        <v>441</v>
      </c>
      <c r="E695" s="28">
        <v>0.97203729999999999</v>
      </c>
      <c r="F695" s="13"/>
      <c r="G695" s="18">
        <v>7500000</v>
      </c>
      <c r="H695" s="18">
        <v>7290279.7400000002</v>
      </c>
      <c r="I695" s="18">
        <v>7500000</v>
      </c>
      <c r="J695" s="18">
        <v>7290279.7400000002</v>
      </c>
      <c r="K695" s="15">
        <v>510</v>
      </c>
      <c r="L695" s="13" t="s">
        <v>102</v>
      </c>
      <c r="M695" s="13" t="s">
        <v>103</v>
      </c>
      <c r="N695" s="139" t="s">
        <v>369</v>
      </c>
      <c r="O695" s="139" t="s">
        <v>369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1071</v>
      </c>
      <c r="V695" s="13" t="s">
        <v>1071</v>
      </c>
      <c r="W695" s="59">
        <f t="shared" si="10"/>
        <v>1.3927795237951094E-4</v>
      </c>
    </row>
    <row r="696" spans="1:23">
      <c r="A696" s="13" t="s">
        <v>1389</v>
      </c>
      <c r="B696" s="13" t="s">
        <v>471</v>
      </c>
      <c r="C696" s="139">
        <v>46258</v>
      </c>
      <c r="D696" s="139" t="s">
        <v>441</v>
      </c>
      <c r="E696" s="28">
        <v>0.96932684999999996</v>
      </c>
      <c r="F696" s="13"/>
      <c r="G696" s="18">
        <v>2200000</v>
      </c>
      <c r="H696" s="18">
        <v>2132519.08</v>
      </c>
      <c r="I696" s="18">
        <v>2200000</v>
      </c>
      <c r="J696" s="18">
        <v>2132519.08</v>
      </c>
      <c r="K696" s="15">
        <v>6193</v>
      </c>
      <c r="L696" s="13" t="s">
        <v>102</v>
      </c>
      <c r="M696" s="13" t="s">
        <v>103</v>
      </c>
      <c r="N696" s="139" t="s">
        <v>351</v>
      </c>
      <c r="O696" s="139" t="s">
        <v>351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1372</v>
      </c>
      <c r="V696" s="13" t="s">
        <v>1372</v>
      </c>
      <c r="W696" s="59">
        <f t="shared" si="10"/>
        <v>4.0740945679080142E-5</v>
      </c>
    </row>
    <row r="697" spans="1:23">
      <c r="A697" s="13" t="s">
        <v>323</v>
      </c>
      <c r="B697" s="13" t="s">
        <v>471</v>
      </c>
      <c r="C697" s="139">
        <v>46258</v>
      </c>
      <c r="D697" s="139" t="s">
        <v>441</v>
      </c>
      <c r="E697" s="28">
        <v>0.97658875999999994</v>
      </c>
      <c r="F697" s="13"/>
      <c r="G697" s="18">
        <v>10000000</v>
      </c>
      <c r="H697" s="18">
        <v>9765887.5899999999</v>
      </c>
      <c r="I697" s="18">
        <v>10000000</v>
      </c>
      <c r="J697" s="18">
        <v>9765887.5899999999</v>
      </c>
      <c r="K697" s="15">
        <v>186</v>
      </c>
      <c r="L697" s="13" t="s">
        <v>102</v>
      </c>
      <c r="M697" s="13" t="s">
        <v>103</v>
      </c>
      <c r="N697" s="139" t="s">
        <v>382</v>
      </c>
      <c r="O697" s="139" t="s">
        <v>382</v>
      </c>
      <c r="P697" s="28">
        <v>25</v>
      </c>
      <c r="Q697" s="13" t="s">
        <v>54</v>
      </c>
      <c r="R697" s="13" t="s">
        <v>28</v>
      </c>
      <c r="S697" s="13"/>
      <c r="T697" s="13"/>
      <c r="U697" s="13" t="s">
        <v>2343</v>
      </c>
      <c r="V697" s="13" t="s">
        <v>2343</v>
      </c>
      <c r="W697" s="59">
        <f t="shared" si="10"/>
        <v>1.8657347525921918E-4</v>
      </c>
    </row>
    <row r="698" spans="1:23">
      <c r="A698" s="13" t="s">
        <v>1862</v>
      </c>
      <c r="B698" s="13" t="s">
        <v>471</v>
      </c>
      <c r="C698" s="139">
        <v>46258</v>
      </c>
      <c r="D698" s="139" t="s">
        <v>441</v>
      </c>
      <c r="E698" s="28">
        <v>0.97430775000000003</v>
      </c>
      <c r="F698" s="13"/>
      <c r="G698" s="18">
        <v>30000000</v>
      </c>
      <c r="H698" s="18">
        <v>29229232.449999999</v>
      </c>
      <c r="I698" s="18">
        <v>30000000</v>
      </c>
      <c r="J698" s="18">
        <v>29229232.449999999</v>
      </c>
      <c r="K698" s="15">
        <v>496</v>
      </c>
      <c r="L698" s="13" t="s">
        <v>102</v>
      </c>
      <c r="M698" s="13" t="s">
        <v>103</v>
      </c>
      <c r="N698" s="139" t="s">
        <v>493</v>
      </c>
      <c r="O698" s="139" t="s">
        <v>493</v>
      </c>
      <c r="P698" s="28">
        <v>27.5</v>
      </c>
      <c r="Q698" s="13" t="s">
        <v>54</v>
      </c>
      <c r="R698" s="13" t="s">
        <v>28</v>
      </c>
      <c r="S698" s="13"/>
      <c r="T698" s="13"/>
      <c r="U698" s="13" t="s">
        <v>1969</v>
      </c>
      <c r="V698" s="13" t="s">
        <v>1969</v>
      </c>
      <c r="W698" s="59">
        <f t="shared" si="10"/>
        <v>5.5841309119103238E-4</v>
      </c>
    </row>
    <row r="699" spans="1:23">
      <c r="A699" s="13" t="s">
        <v>473</v>
      </c>
      <c r="B699" s="13" t="s">
        <v>471</v>
      </c>
      <c r="C699" s="139">
        <v>46258</v>
      </c>
      <c r="D699" s="139" t="s">
        <v>441</v>
      </c>
      <c r="E699" s="28">
        <v>0.96484276000000002</v>
      </c>
      <c r="F699" s="13"/>
      <c r="G699" s="18">
        <v>50000000</v>
      </c>
      <c r="H699" s="18">
        <v>48242138.240000002</v>
      </c>
      <c r="I699" s="18">
        <v>50000000</v>
      </c>
      <c r="J699" s="18">
        <v>48242138.240000002</v>
      </c>
      <c r="K699" s="15">
        <v>67105677</v>
      </c>
      <c r="L699" s="13" t="s">
        <v>102</v>
      </c>
      <c r="M699" s="13" t="s">
        <v>103</v>
      </c>
      <c r="N699" s="139" t="s">
        <v>370</v>
      </c>
      <c r="O699" s="139" t="s">
        <v>370</v>
      </c>
      <c r="P699" s="28">
        <v>38</v>
      </c>
      <c r="Q699" s="13" t="s">
        <v>54</v>
      </c>
      <c r="R699" s="13" t="s">
        <v>28</v>
      </c>
      <c r="S699" s="13"/>
      <c r="T699" s="13"/>
      <c r="U699" s="13" t="s">
        <v>1130</v>
      </c>
      <c r="V699" s="13" t="s">
        <v>1130</v>
      </c>
      <c r="W699" s="59">
        <f t="shared" si="10"/>
        <v>9.2164724429031361E-4</v>
      </c>
    </row>
    <row r="700" spans="1:23">
      <c r="A700" s="13" t="s">
        <v>242</v>
      </c>
      <c r="B700" s="13" t="s">
        <v>471</v>
      </c>
      <c r="C700" s="139">
        <v>46258</v>
      </c>
      <c r="D700" s="139" t="s">
        <v>441</v>
      </c>
      <c r="E700" s="28">
        <v>0.96932684000000002</v>
      </c>
      <c r="F700" s="13"/>
      <c r="G700" s="18">
        <v>2500000</v>
      </c>
      <c r="H700" s="18">
        <v>2423317.09</v>
      </c>
      <c r="I700" s="18">
        <v>2500000</v>
      </c>
      <c r="J700" s="18">
        <v>2423317.09</v>
      </c>
      <c r="K700" s="15">
        <v>1197</v>
      </c>
      <c r="L700" s="13" t="s">
        <v>102</v>
      </c>
      <c r="M700" s="13" t="s">
        <v>103</v>
      </c>
      <c r="N700" s="139" t="s">
        <v>162</v>
      </c>
      <c r="O700" s="139" t="s">
        <v>162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1088</v>
      </c>
      <c r="V700" s="13" t="s">
        <v>1088</v>
      </c>
      <c r="W700" s="59">
        <f t="shared" si="10"/>
        <v>4.6296528295013684E-5</v>
      </c>
    </row>
    <row r="701" spans="1:23">
      <c r="A701" s="13" t="s">
        <v>323</v>
      </c>
      <c r="B701" s="13" t="s">
        <v>471</v>
      </c>
      <c r="C701" s="139">
        <v>46258</v>
      </c>
      <c r="D701" s="139" t="s">
        <v>441</v>
      </c>
      <c r="E701" s="28">
        <v>0.97294418999999999</v>
      </c>
      <c r="F701" s="13"/>
      <c r="G701" s="18">
        <v>10000000</v>
      </c>
      <c r="H701" s="18">
        <v>9729441.8699999992</v>
      </c>
      <c r="I701" s="18">
        <v>10000000</v>
      </c>
      <c r="J701" s="18">
        <v>9729441.8699999992</v>
      </c>
      <c r="K701" s="15">
        <v>2152</v>
      </c>
      <c r="L701" s="13" t="s">
        <v>102</v>
      </c>
      <c r="M701" s="13" t="s">
        <v>103</v>
      </c>
      <c r="N701" s="139" t="s">
        <v>374</v>
      </c>
      <c r="O701" s="139" t="s">
        <v>374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893</v>
      </c>
      <c r="V701" s="13" t="s">
        <v>893</v>
      </c>
      <c r="W701" s="59">
        <f t="shared" si="10"/>
        <v>1.8587719398667133E-4</v>
      </c>
    </row>
    <row r="702" spans="1:23">
      <c r="A702" s="13" t="s">
        <v>323</v>
      </c>
      <c r="B702" s="13" t="s">
        <v>471</v>
      </c>
      <c r="C702" s="139">
        <v>46258</v>
      </c>
      <c r="D702" s="139" t="s">
        <v>441</v>
      </c>
      <c r="E702" s="28">
        <v>0.97294415999999995</v>
      </c>
      <c r="F702" s="13"/>
      <c r="G702" s="18">
        <v>10000000</v>
      </c>
      <c r="H702" s="18">
        <v>9729441.5800000001</v>
      </c>
      <c r="I702" s="18">
        <v>10000000</v>
      </c>
      <c r="J702" s="18">
        <v>9729441.5800000001</v>
      </c>
      <c r="K702" s="15">
        <v>66412292</v>
      </c>
      <c r="L702" s="13" t="s">
        <v>102</v>
      </c>
      <c r="M702" s="13" t="s">
        <v>103</v>
      </c>
      <c r="N702" s="139" t="s">
        <v>327</v>
      </c>
      <c r="O702" s="139" t="s">
        <v>327</v>
      </c>
      <c r="P702" s="28">
        <v>29</v>
      </c>
      <c r="Q702" s="13" t="s">
        <v>54</v>
      </c>
      <c r="R702" s="13" t="s">
        <v>28</v>
      </c>
      <c r="S702" s="13"/>
      <c r="T702" s="13"/>
      <c r="U702" s="13" t="s">
        <v>795</v>
      </c>
      <c r="V702" s="13" t="s">
        <v>795</v>
      </c>
      <c r="W702" s="59">
        <f t="shared" si="10"/>
        <v>1.8587718844633439E-4</v>
      </c>
    </row>
    <row r="703" spans="1:23">
      <c r="A703" s="13" t="s">
        <v>141</v>
      </c>
      <c r="B703" s="13" t="s">
        <v>471</v>
      </c>
      <c r="C703" s="139">
        <v>46258</v>
      </c>
      <c r="D703" s="139" t="s">
        <v>441</v>
      </c>
      <c r="E703" s="28">
        <v>0.96752824999999998</v>
      </c>
      <c r="F703" s="13"/>
      <c r="G703" s="18">
        <v>100000000</v>
      </c>
      <c r="H703" s="18">
        <v>96752824.780000001</v>
      </c>
      <c r="I703" s="18">
        <v>100000000</v>
      </c>
      <c r="J703" s="18">
        <v>96752824.780000001</v>
      </c>
      <c r="K703" s="15">
        <v>7413</v>
      </c>
      <c r="L703" s="13" t="s">
        <v>102</v>
      </c>
      <c r="M703" s="13" t="s">
        <v>103</v>
      </c>
      <c r="N703" s="139" t="s">
        <v>362</v>
      </c>
      <c r="O703" s="139" t="s">
        <v>362</v>
      </c>
      <c r="P703" s="28">
        <v>35</v>
      </c>
      <c r="Q703" s="13" t="s">
        <v>54</v>
      </c>
      <c r="R703" s="13" t="s">
        <v>28</v>
      </c>
      <c r="S703" s="13"/>
      <c r="T703" s="13"/>
      <c r="U703" s="13" t="s">
        <v>1106</v>
      </c>
      <c r="V703" s="13" t="s">
        <v>1106</v>
      </c>
      <c r="W703" s="59">
        <f t="shared" si="10"/>
        <v>1.8484249991608697E-3</v>
      </c>
    </row>
    <row r="704" spans="1:23">
      <c r="A704" s="13" t="s">
        <v>138</v>
      </c>
      <c r="B704" s="13" t="s">
        <v>471</v>
      </c>
      <c r="C704" s="139">
        <v>46258</v>
      </c>
      <c r="D704" s="139" t="s">
        <v>441</v>
      </c>
      <c r="E704" s="28">
        <v>0.96842676999999999</v>
      </c>
      <c r="F704" s="13"/>
      <c r="G704" s="18">
        <v>100000000</v>
      </c>
      <c r="H704" s="18">
        <v>96842676.969999999</v>
      </c>
      <c r="I704" s="18">
        <v>100000000</v>
      </c>
      <c r="J704" s="18">
        <v>96842676.969999999</v>
      </c>
      <c r="K704" s="15">
        <v>768</v>
      </c>
      <c r="L704" s="13" t="s">
        <v>102</v>
      </c>
      <c r="M704" s="13" t="s">
        <v>103</v>
      </c>
      <c r="N704" s="139" t="s">
        <v>441</v>
      </c>
      <c r="O704" s="139" t="s">
        <v>441</v>
      </c>
      <c r="P704" s="28">
        <v>34</v>
      </c>
      <c r="Q704" s="13" t="s">
        <v>54</v>
      </c>
      <c r="R704" s="13" t="s">
        <v>28</v>
      </c>
      <c r="S704" s="13"/>
      <c r="T704" s="13"/>
      <c r="U704" s="13" t="s">
        <v>2450</v>
      </c>
      <c r="V704" s="13" t="s">
        <v>2450</v>
      </c>
      <c r="W704" s="59">
        <f t="shared" si="10"/>
        <v>1.8501415902227121E-3</v>
      </c>
    </row>
    <row r="705" spans="1:29">
      <c r="A705" s="13" t="s">
        <v>910</v>
      </c>
      <c r="B705" s="13" t="s">
        <v>471</v>
      </c>
      <c r="C705" s="139">
        <v>46258</v>
      </c>
      <c r="D705" s="139" t="s">
        <v>441</v>
      </c>
      <c r="E705" s="28">
        <v>0.96932684999999996</v>
      </c>
      <c r="F705" s="13"/>
      <c r="G705" s="18">
        <v>10000000</v>
      </c>
      <c r="H705" s="18">
        <v>9693268.5500000007</v>
      </c>
      <c r="I705" s="18">
        <v>10000000</v>
      </c>
      <c r="J705" s="18">
        <v>9693268.5500000007</v>
      </c>
      <c r="K705" s="15">
        <v>3221</v>
      </c>
      <c r="L705" s="13" t="s">
        <v>102</v>
      </c>
      <c r="M705" s="13" t="s">
        <v>103</v>
      </c>
      <c r="N705" s="139" t="s">
        <v>351</v>
      </c>
      <c r="O705" s="139" t="s">
        <v>351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1356</v>
      </c>
      <c r="V705" s="13" t="s">
        <v>1356</v>
      </c>
      <c r="W705" s="59">
        <f t="shared" si="10"/>
        <v>1.8518611680993068E-4</v>
      </c>
    </row>
    <row r="706" spans="1:29">
      <c r="A706" s="13" t="s">
        <v>1666</v>
      </c>
      <c r="B706" s="13" t="s">
        <v>471</v>
      </c>
      <c r="C706" s="139">
        <v>46258</v>
      </c>
      <c r="D706" s="139" t="s">
        <v>441</v>
      </c>
      <c r="E706" s="28">
        <v>0.96663151999999997</v>
      </c>
      <c r="F706" s="13"/>
      <c r="G706" s="18">
        <v>15000000</v>
      </c>
      <c r="H706" s="18">
        <v>14499472.800000001</v>
      </c>
      <c r="I706" s="18">
        <v>15000000</v>
      </c>
      <c r="J706" s="18">
        <v>14499472.800000001</v>
      </c>
      <c r="K706" s="15">
        <v>29515959</v>
      </c>
      <c r="L706" s="13" t="s">
        <v>102</v>
      </c>
      <c r="M706" s="13" t="s">
        <v>103</v>
      </c>
      <c r="N706" s="139" t="s">
        <v>477</v>
      </c>
      <c r="O706" s="139" t="s">
        <v>477</v>
      </c>
      <c r="P706" s="28">
        <v>36</v>
      </c>
      <c r="Q706" s="13" t="s">
        <v>54</v>
      </c>
      <c r="R706" s="13" t="s">
        <v>28</v>
      </c>
      <c r="S706" s="13"/>
      <c r="T706" s="13"/>
      <c r="U706" s="13" t="s">
        <v>1664</v>
      </c>
      <c r="V706" s="13" t="s">
        <v>1664</v>
      </c>
      <c r="W706" s="59">
        <f t="shared" si="10"/>
        <v>2.7700677534857039E-4</v>
      </c>
    </row>
    <row r="707" spans="1:29">
      <c r="A707" s="13" t="s">
        <v>2488</v>
      </c>
      <c r="B707" s="13" t="s">
        <v>471</v>
      </c>
      <c r="C707" s="139">
        <v>46258</v>
      </c>
      <c r="D707" s="139" t="s">
        <v>441</v>
      </c>
      <c r="E707" s="28">
        <v>0.97203740000000005</v>
      </c>
      <c r="F707" s="13"/>
      <c r="G707" s="18">
        <v>2870567.11</v>
      </c>
      <c r="H707" s="18">
        <v>2790298.59</v>
      </c>
      <c r="I707" s="18">
        <v>2870567.11</v>
      </c>
      <c r="J707" s="18">
        <v>2790298.59</v>
      </c>
      <c r="K707" s="15">
        <v>97</v>
      </c>
      <c r="L707" s="13" t="s">
        <v>102</v>
      </c>
      <c r="M707" s="13" t="s">
        <v>103</v>
      </c>
      <c r="N707" s="139" t="s">
        <v>441</v>
      </c>
      <c r="O707" s="139" t="s">
        <v>441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2452</v>
      </c>
      <c r="V707" s="13" t="s">
        <v>2452</v>
      </c>
      <c r="W707" s="59">
        <f t="shared" si="10"/>
        <v>5.3307566787915399E-5</v>
      </c>
    </row>
    <row r="708" spans="1:29">
      <c r="A708" s="13" t="s">
        <v>698</v>
      </c>
      <c r="B708" s="13" t="s">
        <v>471</v>
      </c>
      <c r="C708" s="139">
        <v>46259</v>
      </c>
      <c r="D708" s="139" t="s">
        <v>441</v>
      </c>
      <c r="E708" s="28">
        <v>0.97219270999999996</v>
      </c>
      <c r="F708" s="13"/>
      <c r="G708" s="18">
        <v>40000000</v>
      </c>
      <c r="H708" s="18">
        <v>38887708.299999997</v>
      </c>
      <c r="I708" s="18">
        <v>40000000</v>
      </c>
      <c r="J708" s="18">
        <v>38887708.299999997</v>
      </c>
      <c r="K708" s="15">
        <v>80939847</v>
      </c>
      <c r="L708" s="13" t="s">
        <v>102</v>
      </c>
      <c r="M708" s="13" t="s">
        <v>103</v>
      </c>
      <c r="N708" s="139" t="s">
        <v>341</v>
      </c>
      <c r="O708" s="139" t="s">
        <v>341</v>
      </c>
      <c r="P708" s="28">
        <v>29</v>
      </c>
      <c r="Q708" s="13" t="s">
        <v>54</v>
      </c>
      <c r="R708" s="13" t="s">
        <v>28</v>
      </c>
      <c r="S708" s="13"/>
      <c r="T708" s="13"/>
      <c r="U708" s="13" t="s">
        <v>932</v>
      </c>
      <c r="V708" s="13" t="s">
        <v>932</v>
      </c>
      <c r="W708" s="59">
        <f t="shared" si="10"/>
        <v>7.429345070310994E-4</v>
      </c>
    </row>
    <row r="709" spans="1:29">
      <c r="A709" s="13" t="s">
        <v>698</v>
      </c>
      <c r="B709" s="13" t="s">
        <v>471</v>
      </c>
      <c r="C709" s="139">
        <v>46259</v>
      </c>
      <c r="D709" s="139" t="s">
        <v>441</v>
      </c>
      <c r="E709" s="28">
        <v>0.97687619999999997</v>
      </c>
      <c r="F709" s="13"/>
      <c r="G709" s="18">
        <v>10000000</v>
      </c>
      <c r="H709" s="18">
        <v>9768762.0399999991</v>
      </c>
      <c r="I709" s="18">
        <v>10000000</v>
      </c>
      <c r="J709" s="18">
        <v>9768762.0399999991</v>
      </c>
      <c r="K709" s="15">
        <v>4533</v>
      </c>
      <c r="L709" s="13" t="s">
        <v>102</v>
      </c>
      <c r="M709" s="13" t="s">
        <v>103</v>
      </c>
      <c r="N709" s="139" t="s">
        <v>382</v>
      </c>
      <c r="O709" s="139" t="s">
        <v>382</v>
      </c>
      <c r="P709" s="28">
        <v>24</v>
      </c>
      <c r="Q709" s="13" t="s">
        <v>54</v>
      </c>
      <c r="R709" s="13" t="s">
        <v>28</v>
      </c>
      <c r="S709" s="13"/>
      <c r="T709" s="13"/>
      <c r="U709" s="13" t="s">
        <v>2337</v>
      </c>
      <c r="V709" s="13" t="s">
        <v>2337</v>
      </c>
      <c r="W709" s="59">
        <f t="shared" ref="W709:W772" si="11">+J709/$W$2</f>
        <v>1.8662839050588941E-4</v>
      </c>
    </row>
    <row r="710" spans="1:29">
      <c r="A710" s="13" t="s">
        <v>1107</v>
      </c>
      <c r="B710" s="13" t="s">
        <v>471</v>
      </c>
      <c r="C710" s="139">
        <v>46259</v>
      </c>
      <c r="D710" s="139" t="s">
        <v>441</v>
      </c>
      <c r="E710" s="28">
        <v>0.96847802999999999</v>
      </c>
      <c r="F710" s="13"/>
      <c r="G710" s="18">
        <v>2000000</v>
      </c>
      <c r="H710" s="18">
        <v>1936956.06</v>
      </c>
      <c r="I710" s="18">
        <v>2000000</v>
      </c>
      <c r="J710" s="18">
        <v>1936956.06</v>
      </c>
      <c r="K710" s="15">
        <v>437</v>
      </c>
      <c r="L710" s="13" t="s">
        <v>102</v>
      </c>
      <c r="M710" s="13" t="s">
        <v>103</v>
      </c>
      <c r="N710" s="139" t="s">
        <v>484</v>
      </c>
      <c r="O710" s="139" t="s">
        <v>484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1706</v>
      </c>
      <c r="V710" s="13" t="s">
        <v>1706</v>
      </c>
      <c r="W710" s="59">
        <f t="shared" si="11"/>
        <v>3.7004790420550464E-5</v>
      </c>
      <c r="AC710" s="56"/>
    </row>
    <row r="711" spans="1:29">
      <c r="A711" s="13" t="s">
        <v>1268</v>
      </c>
      <c r="B711" s="13" t="s">
        <v>471</v>
      </c>
      <c r="C711" s="139">
        <v>46259</v>
      </c>
      <c r="D711" s="139" t="s">
        <v>441</v>
      </c>
      <c r="E711" s="28">
        <v>0.96847813999999999</v>
      </c>
      <c r="F711" s="13"/>
      <c r="G711" s="18">
        <v>3000000</v>
      </c>
      <c r="H711" s="18">
        <v>2905434.42</v>
      </c>
      <c r="I711" s="18">
        <v>3000000</v>
      </c>
      <c r="J711" s="18">
        <v>2905434.42</v>
      </c>
      <c r="K711" s="15">
        <v>90015796</v>
      </c>
      <c r="L711" s="13" t="s">
        <v>102</v>
      </c>
      <c r="M711" s="13" t="s">
        <v>103</v>
      </c>
      <c r="N711" s="139" t="s">
        <v>319</v>
      </c>
      <c r="O711" s="139" t="s">
        <v>319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1238</v>
      </c>
      <c r="V711" s="13" t="s">
        <v>1238</v>
      </c>
      <c r="W711" s="59">
        <f t="shared" si="11"/>
        <v>5.5507191935347047E-5</v>
      </c>
    </row>
    <row r="712" spans="1:29">
      <c r="A712" s="13" t="s">
        <v>1467</v>
      </c>
      <c r="B712" s="13" t="s">
        <v>471</v>
      </c>
      <c r="C712" s="139">
        <v>46259</v>
      </c>
      <c r="D712" s="139" t="s">
        <v>441</v>
      </c>
      <c r="E712" s="28">
        <v>0.96940408</v>
      </c>
      <c r="F712" s="13"/>
      <c r="G712" s="18">
        <v>1000000</v>
      </c>
      <c r="H712" s="18">
        <v>969404.08</v>
      </c>
      <c r="I712" s="18">
        <v>1000000</v>
      </c>
      <c r="J712" s="18">
        <v>969404.08</v>
      </c>
      <c r="K712" s="15">
        <v>67277769</v>
      </c>
      <c r="L712" s="13" t="s">
        <v>102</v>
      </c>
      <c r="M712" s="13" t="s">
        <v>103</v>
      </c>
      <c r="N712" s="139" t="s">
        <v>373</v>
      </c>
      <c r="O712" s="139" t="s">
        <v>373</v>
      </c>
      <c r="P712" s="28">
        <v>32</v>
      </c>
      <c r="Q712" s="13" t="s">
        <v>54</v>
      </c>
      <c r="R712" s="13" t="s">
        <v>28</v>
      </c>
      <c r="S712" s="13"/>
      <c r="T712" s="13"/>
      <c r="U712" s="13" t="s">
        <v>1471</v>
      </c>
      <c r="V712" s="13" t="s">
        <v>1471</v>
      </c>
      <c r="W712" s="59">
        <f t="shared" si="11"/>
        <v>1.8520087034512561E-5</v>
      </c>
      <c r="AC712" s="56"/>
    </row>
    <row r="713" spans="1:29">
      <c r="A713" s="13" t="s">
        <v>699</v>
      </c>
      <c r="B713" s="13" t="s">
        <v>471</v>
      </c>
      <c r="C713" s="139">
        <v>46259</v>
      </c>
      <c r="D713" s="139" t="s">
        <v>441</v>
      </c>
      <c r="E713" s="28">
        <v>0.96847804000000004</v>
      </c>
      <c r="F713" s="13"/>
      <c r="G713" s="18">
        <v>10000000</v>
      </c>
      <c r="H713" s="18">
        <v>9684780.4100000001</v>
      </c>
      <c r="I713" s="18">
        <v>10000000</v>
      </c>
      <c r="J713" s="18">
        <v>9684780.4100000001</v>
      </c>
      <c r="K713" s="15">
        <v>29692617</v>
      </c>
      <c r="L713" s="13" t="s">
        <v>102</v>
      </c>
      <c r="M713" s="13" t="s">
        <v>103</v>
      </c>
      <c r="N713" s="139" t="s">
        <v>392</v>
      </c>
      <c r="O713" s="139" t="s">
        <v>392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2305</v>
      </c>
      <c r="V713" s="13" t="s">
        <v>2305</v>
      </c>
      <c r="W713" s="59">
        <f t="shared" si="11"/>
        <v>1.8502395420425945E-4</v>
      </c>
      <c r="AC713" s="56"/>
    </row>
    <row r="714" spans="1:29">
      <c r="A714" s="13" t="s">
        <v>1018</v>
      </c>
      <c r="B714" s="13" t="s">
        <v>471</v>
      </c>
      <c r="C714" s="139">
        <v>46259</v>
      </c>
      <c r="D714" s="139" t="s">
        <v>441</v>
      </c>
      <c r="E714" s="28">
        <v>0.96847810000000001</v>
      </c>
      <c r="F714" s="13"/>
      <c r="G714" s="18">
        <v>4486536.05</v>
      </c>
      <c r="H714" s="18">
        <v>4345111.8899999997</v>
      </c>
      <c r="I714" s="18">
        <v>4486536.05</v>
      </c>
      <c r="J714" s="18">
        <v>4345111.8899999997</v>
      </c>
      <c r="K714" s="15">
        <v>14051794</v>
      </c>
      <c r="L714" s="13" t="s">
        <v>102</v>
      </c>
      <c r="M714" s="13" t="s">
        <v>103</v>
      </c>
      <c r="N714" s="139" t="s">
        <v>493</v>
      </c>
      <c r="O714" s="139" t="s">
        <v>493</v>
      </c>
      <c r="P714" s="28">
        <v>33</v>
      </c>
      <c r="Q714" s="13" t="s">
        <v>54</v>
      </c>
      <c r="R714" s="13" t="s">
        <v>28</v>
      </c>
      <c r="S714" s="13"/>
      <c r="T714" s="13"/>
      <c r="U714" s="13" t="s">
        <v>1959</v>
      </c>
      <c r="V714" s="13" t="s">
        <v>1959</v>
      </c>
      <c r="W714" s="59">
        <f t="shared" si="11"/>
        <v>8.3011668753751658E-5</v>
      </c>
    </row>
    <row r="715" spans="1:29">
      <c r="A715" s="13" t="s">
        <v>197</v>
      </c>
      <c r="B715" s="13" t="s">
        <v>471</v>
      </c>
      <c r="C715" s="139">
        <v>46259</v>
      </c>
      <c r="D715" s="139" t="s">
        <v>441</v>
      </c>
      <c r="E715" s="28">
        <v>0.98065563</v>
      </c>
      <c r="F715" s="13"/>
      <c r="G715" s="18">
        <v>2500000</v>
      </c>
      <c r="H715" s="18">
        <v>2451639.08</v>
      </c>
      <c r="I715" s="18">
        <v>2500000</v>
      </c>
      <c r="J715" s="18">
        <v>2451639.08</v>
      </c>
      <c r="K715" s="15">
        <v>6136</v>
      </c>
      <c r="L715" s="13" t="s">
        <v>102</v>
      </c>
      <c r="M715" s="13" t="s">
        <v>103</v>
      </c>
      <c r="N715" s="139" t="s">
        <v>319</v>
      </c>
      <c r="O715" s="139" t="s">
        <v>319</v>
      </c>
      <c r="P715" s="28">
        <v>20</v>
      </c>
      <c r="Q715" s="13" t="s">
        <v>54</v>
      </c>
      <c r="R715" s="13" t="s">
        <v>28</v>
      </c>
      <c r="S715" s="13"/>
      <c r="T715" s="13"/>
      <c r="U715" s="13" t="s">
        <v>1201</v>
      </c>
      <c r="V715" s="13" t="s">
        <v>1201</v>
      </c>
      <c r="W715" s="59">
        <f t="shared" si="11"/>
        <v>4.6837608872878181E-5</v>
      </c>
    </row>
    <row r="716" spans="1:29">
      <c r="A716" s="13" t="s">
        <v>737</v>
      </c>
      <c r="B716" s="13" t="s">
        <v>471</v>
      </c>
      <c r="C716" s="139">
        <v>46259</v>
      </c>
      <c r="D716" s="139" t="s">
        <v>441</v>
      </c>
      <c r="E716" s="28">
        <v>0.97687617999999998</v>
      </c>
      <c r="F716" s="13"/>
      <c r="G716" s="18">
        <v>34261895.340000004</v>
      </c>
      <c r="H716" s="18">
        <v>33469629.43</v>
      </c>
      <c r="I716" s="18">
        <v>34261895.340000004</v>
      </c>
      <c r="J716" s="18">
        <v>33469629.43</v>
      </c>
      <c r="K716" s="15">
        <v>76337349</v>
      </c>
      <c r="L716" s="13" t="s">
        <v>102</v>
      </c>
      <c r="M716" s="13" t="s">
        <v>103</v>
      </c>
      <c r="N716" s="139" t="s">
        <v>783</v>
      </c>
      <c r="O716" s="139" t="s">
        <v>783</v>
      </c>
      <c r="P716" s="28">
        <v>24</v>
      </c>
      <c r="Q716" s="13" t="s">
        <v>54</v>
      </c>
      <c r="R716" s="13" t="s">
        <v>28</v>
      </c>
      <c r="S716" s="13"/>
      <c r="T716" s="13"/>
      <c r="U716" s="13" t="s">
        <v>2088</v>
      </c>
      <c r="V716" s="13" t="s">
        <v>2088</v>
      </c>
      <c r="W716" s="59">
        <f t="shared" si="11"/>
        <v>6.394242224114459E-4</v>
      </c>
    </row>
    <row r="717" spans="1:29">
      <c r="A717" s="13" t="s">
        <v>737</v>
      </c>
      <c r="B717" s="13" t="s">
        <v>471</v>
      </c>
      <c r="C717" s="139">
        <v>46259</v>
      </c>
      <c r="D717" s="139" t="s">
        <v>441</v>
      </c>
      <c r="E717" s="28">
        <v>0.97687619999999997</v>
      </c>
      <c r="F717" s="13"/>
      <c r="G717" s="18">
        <v>3000000</v>
      </c>
      <c r="H717" s="18">
        <v>2930628.61</v>
      </c>
      <c r="I717" s="18">
        <v>3000000</v>
      </c>
      <c r="J717" s="18">
        <v>2930628.61</v>
      </c>
      <c r="K717" s="15">
        <v>16821010</v>
      </c>
      <c r="L717" s="13" t="s">
        <v>102</v>
      </c>
      <c r="M717" s="13" t="s">
        <v>103</v>
      </c>
      <c r="N717" s="139" t="s">
        <v>382</v>
      </c>
      <c r="O717" s="139" t="s">
        <v>382</v>
      </c>
      <c r="P717" s="28">
        <v>24</v>
      </c>
      <c r="Q717" s="13" t="s">
        <v>54</v>
      </c>
      <c r="R717" s="13" t="s">
        <v>28</v>
      </c>
      <c r="S717" s="13"/>
      <c r="T717" s="13"/>
      <c r="U717" s="13" t="s">
        <v>2369</v>
      </c>
      <c r="V717" s="13" t="s">
        <v>2369</v>
      </c>
      <c r="W717" s="59">
        <f t="shared" si="11"/>
        <v>5.5988517113557608E-5</v>
      </c>
    </row>
    <row r="718" spans="1:29">
      <c r="A718" s="13" t="s">
        <v>737</v>
      </c>
      <c r="B718" s="13" t="s">
        <v>471</v>
      </c>
      <c r="C718" s="139">
        <v>46259</v>
      </c>
      <c r="D718" s="139" t="s">
        <v>441</v>
      </c>
      <c r="E718" s="28">
        <v>0.97687619999999997</v>
      </c>
      <c r="F718" s="13"/>
      <c r="G718" s="18">
        <v>6875000</v>
      </c>
      <c r="H718" s="18">
        <v>6716023.9000000004</v>
      </c>
      <c r="I718" s="18">
        <v>6875000</v>
      </c>
      <c r="J718" s="18">
        <v>6716023.9000000004</v>
      </c>
      <c r="K718" s="15">
        <v>50454432</v>
      </c>
      <c r="L718" s="13" t="s">
        <v>102</v>
      </c>
      <c r="M718" s="13" t="s">
        <v>103</v>
      </c>
      <c r="N718" s="139" t="s">
        <v>382</v>
      </c>
      <c r="O718" s="139" t="s">
        <v>382</v>
      </c>
      <c r="P718" s="28">
        <v>24</v>
      </c>
      <c r="Q718" s="13" t="s">
        <v>54</v>
      </c>
      <c r="R718" s="13" t="s">
        <v>28</v>
      </c>
      <c r="S718" s="13"/>
      <c r="T718" s="13"/>
      <c r="U718" s="13" t="s">
        <v>2348</v>
      </c>
      <c r="V718" s="13" t="s">
        <v>2348</v>
      </c>
      <c r="W718" s="59">
        <f t="shared" si="11"/>
        <v>1.2830701842503746E-4</v>
      </c>
    </row>
    <row r="719" spans="1:29">
      <c r="A719" s="13" t="s">
        <v>147</v>
      </c>
      <c r="B719" s="13" t="s">
        <v>471</v>
      </c>
      <c r="C719" s="139">
        <v>46259</v>
      </c>
      <c r="D719" s="139" t="s">
        <v>441</v>
      </c>
      <c r="E719" s="28">
        <v>0.96663149000000004</v>
      </c>
      <c r="F719" s="13"/>
      <c r="G719" s="18">
        <v>15000000</v>
      </c>
      <c r="H719" s="18">
        <v>14499472.41</v>
      </c>
      <c r="I719" s="18">
        <v>15000000</v>
      </c>
      <c r="J719" s="18">
        <v>14499472.41</v>
      </c>
      <c r="K719" s="15">
        <v>4267</v>
      </c>
      <c r="L719" s="13" t="s">
        <v>102</v>
      </c>
      <c r="M719" s="13" t="s">
        <v>103</v>
      </c>
      <c r="N719" s="139" t="s">
        <v>485</v>
      </c>
      <c r="O719" s="139" t="s">
        <v>485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1519</v>
      </c>
      <c r="V719" s="13" t="s">
        <v>1519</v>
      </c>
      <c r="W719" s="59">
        <f t="shared" si="11"/>
        <v>2.7700676789777244E-4</v>
      </c>
    </row>
    <row r="720" spans="1:29">
      <c r="A720" s="13" t="s">
        <v>1389</v>
      </c>
      <c r="B720" s="13" t="s">
        <v>471</v>
      </c>
      <c r="C720" s="139">
        <v>46259</v>
      </c>
      <c r="D720" s="139" t="s">
        <v>441</v>
      </c>
      <c r="E720" s="28">
        <v>0.96847806000000003</v>
      </c>
      <c r="F720" s="13"/>
      <c r="G720" s="18">
        <v>2200000</v>
      </c>
      <c r="H720" s="18">
        <v>2130651.7400000002</v>
      </c>
      <c r="I720" s="18">
        <v>2200000</v>
      </c>
      <c r="J720" s="18">
        <v>2130651.7400000002</v>
      </c>
      <c r="K720" s="15">
        <v>6194</v>
      </c>
      <c r="L720" s="13" t="s">
        <v>102</v>
      </c>
      <c r="M720" s="13" t="s">
        <v>103</v>
      </c>
      <c r="N720" s="139" t="s">
        <v>351</v>
      </c>
      <c r="O720" s="139" t="s">
        <v>351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1386</v>
      </c>
      <c r="V720" s="13" t="s">
        <v>1386</v>
      </c>
      <c r="W720" s="59">
        <f t="shared" si="11"/>
        <v>4.0705270876346666E-5</v>
      </c>
    </row>
    <row r="721" spans="1:23">
      <c r="A721" s="13" t="s">
        <v>310</v>
      </c>
      <c r="B721" s="13" t="s">
        <v>471</v>
      </c>
      <c r="C721" s="139">
        <v>46259</v>
      </c>
      <c r="D721" s="139" t="s">
        <v>441</v>
      </c>
      <c r="E721" s="28">
        <v>0.96847808000000002</v>
      </c>
      <c r="F721" s="13"/>
      <c r="G721" s="18">
        <v>50000000</v>
      </c>
      <c r="H721" s="18">
        <v>48423904.240000002</v>
      </c>
      <c r="I721" s="18">
        <v>50000000</v>
      </c>
      <c r="J721" s="18">
        <v>48423904.240000002</v>
      </c>
      <c r="K721" s="15">
        <v>29007567</v>
      </c>
      <c r="L721" s="13" t="s">
        <v>102</v>
      </c>
      <c r="M721" s="13" t="s">
        <v>103</v>
      </c>
      <c r="N721" s="139" t="s">
        <v>154</v>
      </c>
      <c r="O721" s="139" t="s">
        <v>154</v>
      </c>
      <c r="P721" s="28">
        <v>33</v>
      </c>
      <c r="Q721" s="13" t="s">
        <v>54</v>
      </c>
      <c r="R721" s="13" t="s">
        <v>28</v>
      </c>
      <c r="S721" s="13"/>
      <c r="T721" s="13"/>
      <c r="U721" s="13" t="s">
        <v>504</v>
      </c>
      <c r="V721" s="13" t="s">
        <v>504</v>
      </c>
      <c r="W721" s="59">
        <f t="shared" si="11"/>
        <v>9.2511981286039343E-4</v>
      </c>
    </row>
    <row r="722" spans="1:23">
      <c r="A722" s="13" t="s">
        <v>215</v>
      </c>
      <c r="B722" s="13" t="s">
        <v>471</v>
      </c>
      <c r="C722" s="139">
        <v>46259</v>
      </c>
      <c r="D722" s="139" t="s">
        <v>441</v>
      </c>
      <c r="E722" s="28">
        <v>0.96387462999999995</v>
      </c>
      <c r="F722" s="13"/>
      <c r="G722" s="18">
        <v>15000000</v>
      </c>
      <c r="H722" s="18">
        <v>14458119.460000001</v>
      </c>
      <c r="I722" s="18">
        <v>15000000</v>
      </c>
      <c r="J722" s="18">
        <v>14458119.460000001</v>
      </c>
      <c r="K722" s="15">
        <v>16806006</v>
      </c>
      <c r="L722" s="13" t="s">
        <v>102</v>
      </c>
      <c r="M722" s="13" t="s">
        <v>103</v>
      </c>
      <c r="N722" s="139" t="s">
        <v>439</v>
      </c>
      <c r="O722" s="139" t="s">
        <v>439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1751</v>
      </c>
      <c r="V722" s="13" t="s">
        <v>1751</v>
      </c>
      <c r="W722" s="59">
        <f t="shared" si="11"/>
        <v>2.7621673590911622E-4</v>
      </c>
    </row>
    <row r="723" spans="1:23">
      <c r="A723" s="13" t="s">
        <v>511</v>
      </c>
      <c r="B723" s="13" t="s">
        <v>471</v>
      </c>
      <c r="C723" s="139">
        <v>46259</v>
      </c>
      <c r="D723" s="139" t="s">
        <v>441</v>
      </c>
      <c r="E723" s="28">
        <v>0.96663140000000003</v>
      </c>
      <c r="F723" s="13"/>
      <c r="G723" s="18">
        <v>50000000</v>
      </c>
      <c r="H723" s="18">
        <v>48331570.060000002</v>
      </c>
      <c r="I723" s="18">
        <v>50000000</v>
      </c>
      <c r="J723" s="18">
        <v>48331570.060000002</v>
      </c>
      <c r="K723" s="15">
        <v>2992</v>
      </c>
      <c r="L723" s="13" t="s">
        <v>102</v>
      </c>
      <c r="M723" s="13" t="s">
        <v>103</v>
      </c>
      <c r="N723" s="139" t="s">
        <v>402</v>
      </c>
      <c r="O723" s="139" t="s">
        <v>402</v>
      </c>
      <c r="P723" s="28">
        <v>35</v>
      </c>
      <c r="Q723" s="13" t="s">
        <v>54</v>
      </c>
      <c r="R723" s="13" t="s">
        <v>28</v>
      </c>
      <c r="S723" s="13"/>
      <c r="T723" s="13"/>
      <c r="U723" s="13" t="s">
        <v>1882</v>
      </c>
      <c r="V723" s="13" t="s">
        <v>1882</v>
      </c>
      <c r="W723" s="59">
        <f t="shared" si="11"/>
        <v>9.2335580434718364E-4</v>
      </c>
    </row>
    <row r="724" spans="1:23">
      <c r="A724" s="13" t="s">
        <v>347</v>
      </c>
      <c r="B724" s="13" t="s">
        <v>471</v>
      </c>
      <c r="C724" s="139">
        <v>46259</v>
      </c>
      <c r="D724" s="139" t="s">
        <v>441</v>
      </c>
      <c r="E724" s="28">
        <v>0.96663136000000005</v>
      </c>
      <c r="F724" s="13"/>
      <c r="G724" s="18">
        <v>10000000</v>
      </c>
      <c r="H724" s="18">
        <v>9666313.5899999999</v>
      </c>
      <c r="I724" s="18">
        <v>10000000</v>
      </c>
      <c r="J724" s="18">
        <v>9666313.5899999999</v>
      </c>
      <c r="K724" s="15">
        <v>161</v>
      </c>
      <c r="L724" s="13" t="s">
        <v>102</v>
      </c>
      <c r="M724" s="13" t="s">
        <v>103</v>
      </c>
      <c r="N724" s="139" t="s">
        <v>399</v>
      </c>
      <c r="O724" s="139" t="s">
        <v>399</v>
      </c>
      <c r="P724" s="28">
        <v>35</v>
      </c>
      <c r="Q724" s="13" t="s">
        <v>54</v>
      </c>
      <c r="R724" s="13" t="s">
        <v>28</v>
      </c>
      <c r="S724" s="13"/>
      <c r="T724" s="13"/>
      <c r="U724" s="13" t="s">
        <v>831</v>
      </c>
      <c r="V724" s="13" t="s">
        <v>831</v>
      </c>
      <c r="W724" s="59">
        <f t="shared" si="11"/>
        <v>1.8467115280729123E-4</v>
      </c>
    </row>
    <row r="725" spans="1:23">
      <c r="A725" s="13" t="s">
        <v>323</v>
      </c>
      <c r="B725" s="13" t="s">
        <v>471</v>
      </c>
      <c r="C725" s="139">
        <v>46259</v>
      </c>
      <c r="D725" s="139" t="s">
        <v>441</v>
      </c>
      <c r="E725" s="28">
        <v>0.97499743000000005</v>
      </c>
      <c r="F725" s="13"/>
      <c r="G725" s="18">
        <v>40000000</v>
      </c>
      <c r="H725" s="18">
        <v>38999897.310000002</v>
      </c>
      <c r="I725" s="18">
        <v>40000000</v>
      </c>
      <c r="J725" s="18">
        <v>38999897.310000002</v>
      </c>
      <c r="K725" s="15">
        <v>1479</v>
      </c>
      <c r="L725" s="13" t="s">
        <v>102</v>
      </c>
      <c r="M725" s="13" t="s">
        <v>103</v>
      </c>
      <c r="N725" s="139" t="s">
        <v>494</v>
      </c>
      <c r="O725" s="139" t="s">
        <v>494</v>
      </c>
      <c r="P725" s="28">
        <v>26</v>
      </c>
      <c r="Q725" s="13" t="s">
        <v>54</v>
      </c>
      <c r="R725" s="13" t="s">
        <v>28</v>
      </c>
      <c r="S725" s="13"/>
      <c r="T725" s="13"/>
      <c r="U725" s="13" t="s">
        <v>2012</v>
      </c>
      <c r="V725" s="13" t="s">
        <v>2012</v>
      </c>
      <c r="W725" s="59">
        <f t="shared" si="11"/>
        <v>7.4507783433122381E-4</v>
      </c>
    </row>
    <row r="726" spans="1:23">
      <c r="A726" s="13" t="s">
        <v>323</v>
      </c>
      <c r="B726" s="13" t="s">
        <v>471</v>
      </c>
      <c r="C726" s="139">
        <v>46259</v>
      </c>
      <c r="D726" s="139" t="s">
        <v>441</v>
      </c>
      <c r="E726" s="28">
        <v>0.97219264000000005</v>
      </c>
      <c r="F726" s="13"/>
      <c r="G726" s="18">
        <v>10000000</v>
      </c>
      <c r="H726" s="18">
        <v>9721926.3800000008</v>
      </c>
      <c r="I726" s="18">
        <v>10000000</v>
      </c>
      <c r="J726" s="18">
        <v>9721926.3800000008</v>
      </c>
      <c r="K726" s="15">
        <v>2153</v>
      </c>
      <c r="L726" s="13" t="s">
        <v>102</v>
      </c>
      <c r="M726" s="13" t="s">
        <v>103</v>
      </c>
      <c r="N726" s="139" t="s">
        <v>374</v>
      </c>
      <c r="O726" s="139" t="s">
        <v>374</v>
      </c>
      <c r="P726" s="28">
        <v>29</v>
      </c>
      <c r="Q726" s="13" t="s">
        <v>54</v>
      </c>
      <c r="R726" s="13" t="s">
        <v>28</v>
      </c>
      <c r="S726" s="13"/>
      <c r="T726" s="13"/>
      <c r="U726" s="13" t="s">
        <v>891</v>
      </c>
      <c r="V726" s="13" t="s">
        <v>891</v>
      </c>
      <c r="W726" s="59">
        <f t="shared" si="11"/>
        <v>1.8573361348007083E-4</v>
      </c>
    </row>
    <row r="727" spans="1:23">
      <c r="A727" s="13" t="s">
        <v>323</v>
      </c>
      <c r="B727" s="13" t="s">
        <v>471</v>
      </c>
      <c r="C727" s="139">
        <v>46259</v>
      </c>
      <c r="D727" s="139" t="s">
        <v>441</v>
      </c>
      <c r="E727" s="28">
        <v>0.97219266000000004</v>
      </c>
      <c r="F727" s="13"/>
      <c r="G727" s="18">
        <v>5500000</v>
      </c>
      <c r="H727" s="18">
        <v>5347059.62</v>
      </c>
      <c r="I727" s="18">
        <v>5500000</v>
      </c>
      <c r="J727" s="18">
        <v>5347059.62</v>
      </c>
      <c r="K727" s="15">
        <v>66554072</v>
      </c>
      <c r="L727" s="13" t="s">
        <v>102</v>
      </c>
      <c r="M727" s="13" t="s">
        <v>103</v>
      </c>
      <c r="N727" s="139" t="s">
        <v>160</v>
      </c>
      <c r="O727" s="139" t="s">
        <v>160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899</v>
      </c>
      <c r="V727" s="13" t="s">
        <v>899</v>
      </c>
      <c r="W727" s="59">
        <f t="shared" si="11"/>
        <v>1.0215348953465067E-4</v>
      </c>
    </row>
    <row r="728" spans="1:23">
      <c r="A728" s="13" t="s">
        <v>323</v>
      </c>
      <c r="B728" s="13" t="s">
        <v>471</v>
      </c>
      <c r="C728" s="139">
        <v>46259</v>
      </c>
      <c r="D728" s="139" t="s">
        <v>441</v>
      </c>
      <c r="E728" s="28">
        <v>0.97219264999999999</v>
      </c>
      <c r="F728" s="13"/>
      <c r="G728" s="18">
        <v>12500000</v>
      </c>
      <c r="H728" s="18">
        <v>12152408.15</v>
      </c>
      <c r="I728" s="18">
        <v>12500000</v>
      </c>
      <c r="J728" s="18">
        <v>12152408.15</v>
      </c>
      <c r="K728" s="15">
        <v>4956</v>
      </c>
      <c r="L728" s="13" t="s">
        <v>102</v>
      </c>
      <c r="M728" s="13" t="s">
        <v>103</v>
      </c>
      <c r="N728" s="139" t="s">
        <v>355</v>
      </c>
      <c r="O728" s="139" t="s">
        <v>355</v>
      </c>
      <c r="P728" s="28">
        <v>29</v>
      </c>
      <c r="Q728" s="13" t="s">
        <v>54</v>
      </c>
      <c r="R728" s="13" t="s">
        <v>28</v>
      </c>
      <c r="S728" s="13"/>
      <c r="T728" s="13"/>
      <c r="U728" s="13" t="s">
        <v>839</v>
      </c>
      <c r="V728" s="13" t="s">
        <v>839</v>
      </c>
      <c r="W728" s="59">
        <f t="shared" si="11"/>
        <v>2.321670201933953E-4</v>
      </c>
    </row>
    <row r="729" spans="1:23">
      <c r="A729" s="13" t="s">
        <v>323</v>
      </c>
      <c r="B729" s="13" t="s">
        <v>471</v>
      </c>
      <c r="C729" s="139">
        <v>46259</v>
      </c>
      <c r="D729" s="139" t="s">
        <v>441</v>
      </c>
      <c r="E729" s="28">
        <v>0.97219268999999997</v>
      </c>
      <c r="F729" s="13"/>
      <c r="G729" s="18">
        <v>10000000</v>
      </c>
      <c r="H729" s="18">
        <v>9721926.8699999992</v>
      </c>
      <c r="I729" s="18">
        <v>10000000</v>
      </c>
      <c r="J729" s="18">
        <v>9721926.8699999992</v>
      </c>
      <c r="K729" s="15">
        <v>66412351</v>
      </c>
      <c r="L729" s="13" t="s">
        <v>102</v>
      </c>
      <c r="M729" s="13" t="s">
        <v>103</v>
      </c>
      <c r="N729" s="139" t="s">
        <v>327</v>
      </c>
      <c r="O729" s="139" t="s">
        <v>327</v>
      </c>
      <c r="P729" s="28">
        <v>29</v>
      </c>
      <c r="Q729" s="13" t="s">
        <v>54</v>
      </c>
      <c r="R729" s="13" t="s">
        <v>28</v>
      </c>
      <c r="S729" s="13"/>
      <c r="T729" s="13"/>
      <c r="U729" s="13" t="s">
        <v>802</v>
      </c>
      <c r="V729" s="13" t="s">
        <v>802</v>
      </c>
      <c r="W729" s="59">
        <f t="shared" si="11"/>
        <v>1.8573362284132977E-4</v>
      </c>
    </row>
    <row r="730" spans="1:23">
      <c r="A730" s="13" t="s">
        <v>2113</v>
      </c>
      <c r="B730" s="13" t="s">
        <v>471</v>
      </c>
      <c r="C730" s="139">
        <v>46259</v>
      </c>
      <c r="D730" s="139" t="s">
        <v>441</v>
      </c>
      <c r="E730" s="28">
        <v>0.97126135999999996</v>
      </c>
      <c r="F730" s="13"/>
      <c r="G730" s="18">
        <v>2200000</v>
      </c>
      <c r="H730" s="18">
        <v>2136775</v>
      </c>
      <c r="I730" s="18">
        <v>2200000</v>
      </c>
      <c r="J730" s="18">
        <v>2136775</v>
      </c>
      <c r="K730" s="15">
        <v>9792</v>
      </c>
      <c r="L730" s="13" t="s">
        <v>102</v>
      </c>
      <c r="M730" s="13" t="s">
        <v>103</v>
      </c>
      <c r="N730" s="139" t="s">
        <v>783</v>
      </c>
      <c r="O730" s="139" t="s">
        <v>783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2101</v>
      </c>
      <c r="V730" s="13" t="s">
        <v>2101</v>
      </c>
      <c r="W730" s="59">
        <f t="shared" si="11"/>
        <v>4.0822253371546139E-5</v>
      </c>
    </row>
    <row r="731" spans="1:23">
      <c r="A731" s="13" t="s">
        <v>581</v>
      </c>
      <c r="B731" s="13" t="s">
        <v>471</v>
      </c>
      <c r="C731" s="139">
        <v>46259</v>
      </c>
      <c r="D731" s="139" t="s">
        <v>441</v>
      </c>
      <c r="E731" s="28">
        <v>0.97312577</v>
      </c>
      <c r="F731" s="13"/>
      <c r="G731" s="18">
        <v>10000000</v>
      </c>
      <c r="H731" s="18">
        <v>9731257.6999999993</v>
      </c>
      <c r="I731" s="18">
        <v>10000000</v>
      </c>
      <c r="J731" s="18">
        <v>9731257.6999999993</v>
      </c>
      <c r="K731" s="15">
        <v>360532</v>
      </c>
      <c r="L731" s="13" t="s">
        <v>102</v>
      </c>
      <c r="M731" s="13" t="s">
        <v>103</v>
      </c>
      <c r="N731" s="139" t="s">
        <v>348</v>
      </c>
      <c r="O731" s="139" t="s">
        <v>348</v>
      </c>
      <c r="P731" s="28">
        <v>28</v>
      </c>
      <c r="Q731" s="13" t="s">
        <v>54</v>
      </c>
      <c r="R731" s="13" t="s">
        <v>28</v>
      </c>
      <c r="S731" s="13"/>
      <c r="T731" s="13"/>
      <c r="U731" s="13" t="s">
        <v>723</v>
      </c>
      <c r="V731" s="13" t="s">
        <v>723</v>
      </c>
      <c r="W731" s="59">
        <f t="shared" si="11"/>
        <v>1.8591188471093554E-4</v>
      </c>
    </row>
    <row r="732" spans="1:23">
      <c r="A732" s="13" t="s">
        <v>1666</v>
      </c>
      <c r="B732" s="13" t="s">
        <v>471</v>
      </c>
      <c r="C732" s="139">
        <v>46259</v>
      </c>
      <c r="D732" s="139" t="s">
        <v>441</v>
      </c>
      <c r="E732" s="28">
        <v>0.96571077000000005</v>
      </c>
      <c r="F732" s="13"/>
      <c r="G732" s="18">
        <v>15000000</v>
      </c>
      <c r="H732" s="18">
        <v>14485661.6</v>
      </c>
      <c r="I732" s="18">
        <v>15000000</v>
      </c>
      <c r="J732" s="18">
        <v>14485661.6</v>
      </c>
      <c r="K732" s="15">
        <v>29515957</v>
      </c>
      <c r="L732" s="13" t="s">
        <v>102</v>
      </c>
      <c r="M732" s="13" t="s">
        <v>103</v>
      </c>
      <c r="N732" s="139" t="s">
        <v>477</v>
      </c>
      <c r="O732" s="139" t="s">
        <v>477</v>
      </c>
      <c r="P732" s="28">
        <v>36</v>
      </c>
      <c r="Q732" s="13" t="s">
        <v>54</v>
      </c>
      <c r="R732" s="13" t="s">
        <v>28</v>
      </c>
      <c r="S732" s="13"/>
      <c r="T732" s="13"/>
      <c r="U732" s="13" t="s">
        <v>1665</v>
      </c>
      <c r="V732" s="13" t="s">
        <v>1665</v>
      </c>
      <c r="W732" s="59">
        <f t="shared" si="11"/>
        <v>2.7674291775674854E-4</v>
      </c>
    </row>
    <row r="733" spans="1:23">
      <c r="A733" s="13" t="s">
        <v>1597</v>
      </c>
      <c r="B733" s="13" t="s">
        <v>471</v>
      </c>
      <c r="C733" s="139">
        <v>46259</v>
      </c>
      <c r="D733" s="139" t="s">
        <v>441</v>
      </c>
      <c r="E733" s="28">
        <v>0.97033190000000002</v>
      </c>
      <c r="F733" s="13"/>
      <c r="G733" s="18">
        <v>11957120</v>
      </c>
      <c r="H733" s="18">
        <v>11602374.93</v>
      </c>
      <c r="I733" s="18">
        <v>11957120</v>
      </c>
      <c r="J733" s="18">
        <v>11602374.93</v>
      </c>
      <c r="K733" s="15">
        <v>99486215</v>
      </c>
      <c r="L733" s="13" t="s">
        <v>102</v>
      </c>
      <c r="M733" s="13" t="s">
        <v>103</v>
      </c>
      <c r="N733" s="139" t="s">
        <v>494</v>
      </c>
      <c r="O733" s="139" t="s">
        <v>494</v>
      </c>
      <c r="P733" s="28">
        <v>31</v>
      </c>
      <c r="Q733" s="13" t="s">
        <v>54</v>
      </c>
      <c r="R733" s="13" t="s">
        <v>28</v>
      </c>
      <c r="S733" s="13"/>
      <c r="T733" s="13"/>
      <c r="U733" s="13" t="s">
        <v>2031</v>
      </c>
      <c r="V733" s="13" t="s">
        <v>2031</v>
      </c>
      <c r="W733" s="59">
        <f t="shared" si="11"/>
        <v>2.2165884995104063E-4</v>
      </c>
    </row>
    <row r="734" spans="1:23">
      <c r="A734" s="13" t="s">
        <v>1590</v>
      </c>
      <c r="B734" s="13" t="s">
        <v>471</v>
      </c>
      <c r="C734" s="139">
        <v>46259</v>
      </c>
      <c r="D734" s="139" t="s">
        <v>441</v>
      </c>
      <c r="E734" s="28">
        <v>0.97126142999999998</v>
      </c>
      <c r="F734" s="13"/>
      <c r="G734" s="18">
        <v>3533450.77</v>
      </c>
      <c r="H734" s="18">
        <v>3431904.44</v>
      </c>
      <c r="I734" s="18">
        <v>3533450.77</v>
      </c>
      <c r="J734" s="18">
        <v>3431904.44</v>
      </c>
      <c r="K734" s="15">
        <v>9755703</v>
      </c>
      <c r="L734" s="13" t="s">
        <v>102</v>
      </c>
      <c r="M734" s="13" t="s">
        <v>103</v>
      </c>
      <c r="N734" s="139" t="s">
        <v>389</v>
      </c>
      <c r="O734" s="139" t="s">
        <v>389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1593</v>
      </c>
      <c r="V734" s="13" t="s">
        <v>1593</v>
      </c>
      <c r="W734" s="59">
        <f t="shared" si="11"/>
        <v>6.5565196427613649E-5</v>
      </c>
    </row>
    <row r="735" spans="1:23">
      <c r="A735" s="13" t="s">
        <v>2248</v>
      </c>
      <c r="B735" s="13" t="s">
        <v>471</v>
      </c>
      <c r="C735" s="139">
        <v>46259</v>
      </c>
      <c r="D735" s="139" t="s">
        <v>441</v>
      </c>
      <c r="E735" s="28">
        <v>0.9712615</v>
      </c>
      <c r="F735" s="13"/>
      <c r="G735" s="18">
        <v>5519685.5800000001</v>
      </c>
      <c r="H735" s="18">
        <v>5361058.09</v>
      </c>
      <c r="I735" s="18">
        <v>5519685.5800000001</v>
      </c>
      <c r="J735" s="18">
        <v>5361058.09</v>
      </c>
      <c r="K735" s="15">
        <v>9910339</v>
      </c>
      <c r="L735" s="13" t="s">
        <v>102</v>
      </c>
      <c r="M735" s="13" t="s">
        <v>103</v>
      </c>
      <c r="N735" s="139" t="s">
        <v>388</v>
      </c>
      <c r="O735" s="139" t="s">
        <v>388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2249</v>
      </c>
      <c r="V735" s="13" t="s">
        <v>2249</v>
      </c>
      <c r="W735" s="59">
        <f t="shared" si="11"/>
        <v>1.024209248468169E-4</v>
      </c>
    </row>
    <row r="736" spans="1:23">
      <c r="A736" s="13" t="s">
        <v>698</v>
      </c>
      <c r="B736" s="13" t="s">
        <v>471</v>
      </c>
      <c r="C736" s="139">
        <v>46260</v>
      </c>
      <c r="D736" s="139" t="s">
        <v>441</v>
      </c>
      <c r="E736" s="28">
        <v>0.97239989000000004</v>
      </c>
      <c r="F736" s="13"/>
      <c r="G736" s="18">
        <v>16545572.09</v>
      </c>
      <c r="H736" s="18">
        <v>16088912.539999999</v>
      </c>
      <c r="I736" s="18">
        <v>16545572.09</v>
      </c>
      <c r="J736" s="18">
        <v>16088912.539999999</v>
      </c>
      <c r="K736" s="15">
        <v>7610</v>
      </c>
      <c r="L736" s="13" t="s">
        <v>102</v>
      </c>
      <c r="M736" s="13" t="s">
        <v>103</v>
      </c>
      <c r="N736" s="139" t="s">
        <v>343</v>
      </c>
      <c r="O736" s="139" t="s">
        <v>343</v>
      </c>
      <c r="P736" s="28">
        <v>28</v>
      </c>
      <c r="Q736" s="13" t="s">
        <v>54</v>
      </c>
      <c r="R736" s="13" t="s">
        <v>28</v>
      </c>
      <c r="S736" s="13"/>
      <c r="T736" s="13"/>
      <c r="U736" s="13" t="s">
        <v>1496</v>
      </c>
      <c r="V736" s="13" t="s">
        <v>1496</v>
      </c>
      <c r="W736" s="59">
        <f t="shared" si="11"/>
        <v>3.0737240195178521E-4</v>
      </c>
    </row>
    <row r="737" spans="1:29">
      <c r="A737" s="13" t="s">
        <v>698</v>
      </c>
      <c r="B737" s="13" t="s">
        <v>471</v>
      </c>
      <c r="C737" s="139">
        <v>46260</v>
      </c>
      <c r="D737" s="139" t="s">
        <v>441</v>
      </c>
      <c r="E737" s="28">
        <v>0.97624907000000005</v>
      </c>
      <c r="F737" s="13"/>
      <c r="G737" s="18">
        <v>10000000</v>
      </c>
      <c r="H737" s="18">
        <v>9762490.7300000004</v>
      </c>
      <c r="I737" s="18">
        <v>10000000</v>
      </c>
      <c r="J737" s="18">
        <v>9762490.7300000004</v>
      </c>
      <c r="K737" s="15">
        <v>4534</v>
      </c>
      <c r="L737" s="13" t="s">
        <v>102</v>
      </c>
      <c r="M737" s="13" t="s">
        <v>103</v>
      </c>
      <c r="N737" s="139" t="s">
        <v>382</v>
      </c>
      <c r="O737" s="139" t="s">
        <v>382</v>
      </c>
      <c r="P737" s="28">
        <v>24</v>
      </c>
      <c r="Q737" s="13" t="s">
        <v>54</v>
      </c>
      <c r="R737" s="13" t="s">
        <v>28</v>
      </c>
      <c r="S737" s="13"/>
      <c r="T737" s="13"/>
      <c r="U737" s="13" t="s">
        <v>2338</v>
      </c>
      <c r="V737" s="13" t="s">
        <v>2338</v>
      </c>
      <c r="W737" s="59">
        <f t="shared" si="11"/>
        <v>1.8650857957315601E-4</v>
      </c>
    </row>
    <row r="738" spans="1:29">
      <c r="A738" s="13" t="s">
        <v>1388</v>
      </c>
      <c r="B738" s="13" t="s">
        <v>471</v>
      </c>
      <c r="C738" s="139">
        <v>46260</v>
      </c>
      <c r="D738" s="139" t="s">
        <v>441</v>
      </c>
      <c r="E738" s="28">
        <v>0.97144238000000005</v>
      </c>
      <c r="F738" s="13"/>
      <c r="G738" s="18">
        <v>200000000</v>
      </c>
      <c r="H738" s="18">
        <v>194288475.53999999</v>
      </c>
      <c r="I738" s="18">
        <v>200000000</v>
      </c>
      <c r="J738" s="18">
        <v>194288475.53999999</v>
      </c>
      <c r="K738" s="15">
        <v>90003856</v>
      </c>
      <c r="L738" s="13" t="s">
        <v>102</v>
      </c>
      <c r="M738" s="13" t="s">
        <v>103</v>
      </c>
      <c r="N738" s="139" t="s">
        <v>484</v>
      </c>
      <c r="O738" s="139" t="s">
        <v>484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1713</v>
      </c>
      <c r="V738" s="13" t="s">
        <v>1713</v>
      </c>
      <c r="W738" s="59">
        <f t="shared" si="11"/>
        <v>3.7118055834916282E-3</v>
      </c>
    </row>
    <row r="739" spans="1:29">
      <c r="A739" s="13" t="s">
        <v>1154</v>
      </c>
      <c r="B739" s="13" t="s">
        <v>471</v>
      </c>
      <c r="C739" s="139">
        <v>46260</v>
      </c>
      <c r="D739" s="139" t="s">
        <v>441</v>
      </c>
      <c r="E739" s="28">
        <v>0.96763078000000002</v>
      </c>
      <c r="F739" s="13"/>
      <c r="G739" s="18">
        <v>3900000</v>
      </c>
      <c r="H739" s="18">
        <v>3773760.03</v>
      </c>
      <c r="I739" s="18">
        <v>3900000</v>
      </c>
      <c r="J739" s="18">
        <v>3773760.03</v>
      </c>
      <c r="K739" s="15">
        <v>285</v>
      </c>
      <c r="L739" s="13" t="s">
        <v>102</v>
      </c>
      <c r="M739" s="13" t="s">
        <v>103</v>
      </c>
      <c r="N739" s="139" t="s">
        <v>458</v>
      </c>
      <c r="O739" s="139" t="s">
        <v>458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1157</v>
      </c>
      <c r="V739" s="13" t="s">
        <v>1157</v>
      </c>
      <c r="W739" s="59">
        <f t="shared" si="11"/>
        <v>7.2096214205086417E-5</v>
      </c>
    </row>
    <row r="740" spans="1:29">
      <c r="A740" s="13" t="s">
        <v>1467</v>
      </c>
      <c r="B740" s="13" t="s">
        <v>471</v>
      </c>
      <c r="C740" s="139">
        <v>46260</v>
      </c>
      <c r="D740" s="139" t="s">
        <v>441</v>
      </c>
      <c r="E740" s="28">
        <v>0.96858087000000004</v>
      </c>
      <c r="F740" s="13"/>
      <c r="G740" s="18">
        <v>1000000</v>
      </c>
      <c r="H740" s="18">
        <v>968580.87</v>
      </c>
      <c r="I740" s="18">
        <v>1000000</v>
      </c>
      <c r="J740" s="18">
        <v>968580.87</v>
      </c>
      <c r="K740" s="15">
        <v>67381469</v>
      </c>
      <c r="L740" s="13" t="s">
        <v>102</v>
      </c>
      <c r="M740" s="13" t="s">
        <v>103</v>
      </c>
      <c r="N740" s="139" t="s">
        <v>373</v>
      </c>
      <c r="O740" s="139" t="s">
        <v>373</v>
      </c>
      <c r="P740" s="28">
        <v>32</v>
      </c>
      <c r="Q740" s="13" t="s">
        <v>54</v>
      </c>
      <c r="R740" s="13" t="s">
        <v>28</v>
      </c>
      <c r="S740" s="13"/>
      <c r="T740" s="13"/>
      <c r="U740" s="13" t="s">
        <v>1472</v>
      </c>
      <c r="V740" s="13" t="s">
        <v>1472</v>
      </c>
      <c r="W740" s="59">
        <f t="shared" si="11"/>
        <v>1.8504359928383939E-5</v>
      </c>
    </row>
    <row r="741" spans="1:29">
      <c r="A741" s="13" t="s">
        <v>1467</v>
      </c>
      <c r="B741" s="13" t="s">
        <v>471</v>
      </c>
      <c r="C741" s="139">
        <v>46260</v>
      </c>
      <c r="D741" s="139" t="s">
        <v>441</v>
      </c>
      <c r="E741" s="28">
        <v>0.96858087000000004</v>
      </c>
      <c r="F741" s="13"/>
      <c r="G741" s="18">
        <v>1000000</v>
      </c>
      <c r="H741" s="18">
        <v>968580.87</v>
      </c>
      <c r="I741" s="18">
        <v>1000000</v>
      </c>
      <c r="J741" s="18">
        <v>968580.87</v>
      </c>
      <c r="K741" s="15">
        <v>67277847</v>
      </c>
      <c r="L741" s="13" t="s">
        <v>102</v>
      </c>
      <c r="M741" s="13" t="s">
        <v>103</v>
      </c>
      <c r="N741" s="139" t="s">
        <v>373</v>
      </c>
      <c r="O741" s="139" t="s">
        <v>373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1476</v>
      </c>
      <c r="V741" s="13" t="s">
        <v>1476</v>
      </c>
      <c r="W741" s="59">
        <f t="shared" si="11"/>
        <v>1.8504359928383939E-5</v>
      </c>
    </row>
    <row r="742" spans="1:29">
      <c r="A742" s="13" t="s">
        <v>208</v>
      </c>
      <c r="B742" s="13" t="s">
        <v>471</v>
      </c>
      <c r="C742" s="139">
        <v>46260</v>
      </c>
      <c r="D742" s="139" t="s">
        <v>441</v>
      </c>
      <c r="E742" s="28">
        <v>0.97624904999999995</v>
      </c>
      <c r="F742" s="13"/>
      <c r="G742" s="18">
        <v>169949.7</v>
      </c>
      <c r="H742" s="18">
        <v>165913.23000000001</v>
      </c>
      <c r="I742" s="18">
        <v>169949.7</v>
      </c>
      <c r="J742" s="18">
        <v>165913.23000000001</v>
      </c>
      <c r="K742" s="15">
        <v>612232</v>
      </c>
      <c r="L742" s="13" t="s">
        <v>102</v>
      </c>
      <c r="M742" s="13" t="s">
        <v>103</v>
      </c>
      <c r="N742" s="139" t="s">
        <v>319</v>
      </c>
      <c r="O742" s="139" t="s">
        <v>319</v>
      </c>
      <c r="P742" s="28">
        <v>24</v>
      </c>
      <c r="Q742" s="13" t="s">
        <v>54</v>
      </c>
      <c r="R742" s="13" t="s">
        <v>28</v>
      </c>
      <c r="S742" s="13"/>
      <c r="T742" s="13"/>
      <c r="U742" s="13" t="s">
        <v>1209</v>
      </c>
      <c r="V742" s="13" t="s">
        <v>1209</v>
      </c>
      <c r="W742" s="59">
        <f t="shared" si="11"/>
        <v>3.1697075792966551E-6</v>
      </c>
    </row>
    <row r="743" spans="1:29">
      <c r="A743" s="13" t="s">
        <v>208</v>
      </c>
      <c r="B743" s="13" t="s">
        <v>471</v>
      </c>
      <c r="C743" s="139">
        <v>46260</v>
      </c>
      <c r="D743" s="139" t="s">
        <v>441</v>
      </c>
      <c r="E743" s="28">
        <v>0.97624904999999995</v>
      </c>
      <c r="F743" s="13"/>
      <c r="G743" s="18">
        <v>169949.7</v>
      </c>
      <c r="H743" s="18">
        <v>165913.23000000001</v>
      </c>
      <c r="I743" s="18">
        <v>169949.7</v>
      </c>
      <c r="J743" s="18">
        <v>165913.23000000001</v>
      </c>
      <c r="K743" s="15">
        <v>612239</v>
      </c>
      <c r="L743" s="13" t="s">
        <v>102</v>
      </c>
      <c r="M743" s="13" t="s">
        <v>103</v>
      </c>
      <c r="N743" s="139" t="s">
        <v>319</v>
      </c>
      <c r="O743" s="139" t="s">
        <v>319</v>
      </c>
      <c r="P743" s="28">
        <v>24</v>
      </c>
      <c r="Q743" s="13" t="s">
        <v>54</v>
      </c>
      <c r="R743" s="13" t="s">
        <v>28</v>
      </c>
      <c r="S743" s="13"/>
      <c r="T743" s="13"/>
      <c r="U743" s="13" t="s">
        <v>1213</v>
      </c>
      <c r="V743" s="13" t="s">
        <v>1213</v>
      </c>
      <c r="W743" s="59">
        <f t="shared" si="11"/>
        <v>3.1697075792966551E-6</v>
      </c>
    </row>
    <row r="744" spans="1:29">
      <c r="A744" s="13" t="s">
        <v>208</v>
      </c>
      <c r="B744" s="13" t="s">
        <v>471</v>
      </c>
      <c r="C744" s="139">
        <v>46260</v>
      </c>
      <c r="D744" s="139" t="s">
        <v>441</v>
      </c>
      <c r="E744" s="28">
        <v>0.97624911999999997</v>
      </c>
      <c r="F744" s="13"/>
      <c r="G744" s="18">
        <v>2382065.5699999998</v>
      </c>
      <c r="H744" s="18">
        <v>2325489.42</v>
      </c>
      <c r="I744" s="18">
        <v>2382065.5699999998</v>
      </c>
      <c r="J744" s="18">
        <v>2325489.42</v>
      </c>
      <c r="K744" s="15">
        <v>612234</v>
      </c>
      <c r="L744" s="13" t="s">
        <v>102</v>
      </c>
      <c r="M744" s="13" t="s">
        <v>103</v>
      </c>
      <c r="N744" s="139" t="s">
        <v>319</v>
      </c>
      <c r="O744" s="139" t="s">
        <v>319</v>
      </c>
      <c r="P744" s="28">
        <v>24</v>
      </c>
      <c r="Q744" s="13" t="s">
        <v>54</v>
      </c>
      <c r="R744" s="13" t="s">
        <v>28</v>
      </c>
      <c r="S744" s="13"/>
      <c r="T744" s="13"/>
      <c r="U744" s="13" t="s">
        <v>1225</v>
      </c>
      <c r="V744" s="13" t="s">
        <v>1225</v>
      </c>
      <c r="W744" s="59">
        <f t="shared" si="11"/>
        <v>4.4427568796943932E-5</v>
      </c>
    </row>
    <row r="745" spans="1:29">
      <c r="A745" s="13" t="s">
        <v>698</v>
      </c>
      <c r="B745" s="13" t="s">
        <v>471</v>
      </c>
      <c r="C745" s="139">
        <v>46260</v>
      </c>
      <c r="D745" s="139" t="s">
        <v>441</v>
      </c>
      <c r="E745" s="28">
        <v>0.97048663000000002</v>
      </c>
      <c r="F745" s="13"/>
      <c r="G745" s="18">
        <v>1040000</v>
      </c>
      <c r="H745" s="18">
        <v>1009306.09</v>
      </c>
      <c r="I745" s="18">
        <v>1040000</v>
      </c>
      <c r="J745" s="18">
        <v>1009306.09</v>
      </c>
      <c r="K745" s="15">
        <v>10601549</v>
      </c>
      <c r="L745" s="13" t="s">
        <v>102</v>
      </c>
      <c r="M745" s="13" t="s">
        <v>103</v>
      </c>
      <c r="N745" s="139" t="s">
        <v>341</v>
      </c>
      <c r="O745" s="139" t="s">
        <v>341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913</v>
      </c>
      <c r="V745" s="13" t="s">
        <v>913</v>
      </c>
      <c r="W745" s="59">
        <f t="shared" si="11"/>
        <v>1.9282399380105321E-5</v>
      </c>
    </row>
    <row r="746" spans="1:29">
      <c r="A746" s="13" t="s">
        <v>655</v>
      </c>
      <c r="B746" s="13" t="s">
        <v>471</v>
      </c>
      <c r="C746" s="139">
        <v>46260</v>
      </c>
      <c r="D746" s="139" t="s">
        <v>441</v>
      </c>
      <c r="E746" s="28">
        <v>0.96290830000000005</v>
      </c>
      <c r="F746" s="13"/>
      <c r="G746" s="18">
        <v>4500000</v>
      </c>
      <c r="H746" s="18">
        <v>4333087.3499999996</v>
      </c>
      <c r="I746" s="18">
        <v>4500000</v>
      </c>
      <c r="J746" s="18">
        <v>4333087.3499999996</v>
      </c>
      <c r="K746" s="15">
        <v>555</v>
      </c>
      <c r="L746" s="13" t="s">
        <v>102</v>
      </c>
      <c r="M746" s="13" t="s">
        <v>103</v>
      </c>
      <c r="N746" s="139" t="s">
        <v>327</v>
      </c>
      <c r="O746" s="139" t="s">
        <v>327</v>
      </c>
      <c r="P746" s="28">
        <v>38</v>
      </c>
      <c r="Q746" s="13" t="s">
        <v>54</v>
      </c>
      <c r="R746" s="13" t="s">
        <v>28</v>
      </c>
      <c r="S746" s="13"/>
      <c r="T746" s="13"/>
      <c r="U746" s="13" t="s">
        <v>808</v>
      </c>
      <c r="V746" s="13" t="s">
        <v>808</v>
      </c>
      <c r="W746" s="59">
        <f t="shared" si="11"/>
        <v>8.2781944604715701E-5</v>
      </c>
    </row>
    <row r="747" spans="1:29">
      <c r="A747" s="13" t="s">
        <v>657</v>
      </c>
      <c r="B747" s="13" t="s">
        <v>471</v>
      </c>
      <c r="C747" s="139">
        <v>46260</v>
      </c>
      <c r="D747" s="139" t="s">
        <v>441</v>
      </c>
      <c r="E747" s="28">
        <v>0.96290825000000002</v>
      </c>
      <c r="F747" s="13"/>
      <c r="G747" s="18">
        <v>2398145.2000000002</v>
      </c>
      <c r="H747" s="18">
        <v>2309193.81</v>
      </c>
      <c r="I747" s="18">
        <v>2398145.2000000002</v>
      </c>
      <c r="J747" s="18">
        <v>2309193.81</v>
      </c>
      <c r="K747" s="15">
        <v>13270645</v>
      </c>
      <c r="L747" s="13" t="s">
        <v>102</v>
      </c>
      <c r="M747" s="13" t="s">
        <v>103</v>
      </c>
      <c r="N747" s="139" t="s">
        <v>355</v>
      </c>
      <c r="O747" s="139" t="s">
        <v>355</v>
      </c>
      <c r="P747" s="28">
        <v>38</v>
      </c>
      <c r="Q747" s="13" t="s">
        <v>54</v>
      </c>
      <c r="R747" s="13" t="s">
        <v>28</v>
      </c>
      <c r="S747" s="13"/>
      <c r="T747" s="13"/>
      <c r="U747" s="13" t="s">
        <v>848</v>
      </c>
      <c r="V747" s="13" t="s">
        <v>848</v>
      </c>
      <c r="W747" s="59">
        <f t="shared" si="11"/>
        <v>4.4116247520598082E-5</v>
      </c>
      <c r="AC747" s="56"/>
    </row>
    <row r="748" spans="1:29">
      <c r="A748" s="13" t="s">
        <v>197</v>
      </c>
      <c r="B748" s="13" t="s">
        <v>471</v>
      </c>
      <c r="C748" s="139">
        <v>46260</v>
      </c>
      <c r="D748" s="139" t="s">
        <v>441</v>
      </c>
      <c r="E748" s="28">
        <v>0.98012895</v>
      </c>
      <c r="F748" s="13"/>
      <c r="G748" s="18">
        <v>2500000</v>
      </c>
      <c r="H748" s="18">
        <v>2450322.37</v>
      </c>
      <c r="I748" s="18">
        <v>2500000</v>
      </c>
      <c r="J748" s="18">
        <v>2450322.37</v>
      </c>
      <c r="K748" s="15">
        <v>6137</v>
      </c>
      <c r="L748" s="13" t="s">
        <v>102</v>
      </c>
      <c r="M748" s="13" t="s">
        <v>103</v>
      </c>
      <c r="N748" s="139" t="s">
        <v>319</v>
      </c>
      <c r="O748" s="139" t="s">
        <v>319</v>
      </c>
      <c r="P748" s="28">
        <v>20</v>
      </c>
      <c r="Q748" s="13" t="s">
        <v>54</v>
      </c>
      <c r="R748" s="13" t="s">
        <v>28</v>
      </c>
      <c r="S748" s="13"/>
      <c r="T748" s="13"/>
      <c r="U748" s="13" t="s">
        <v>1202</v>
      </c>
      <c r="V748" s="13" t="s">
        <v>1202</v>
      </c>
      <c r="W748" s="59">
        <f t="shared" si="11"/>
        <v>4.6812453641636305E-5</v>
      </c>
    </row>
    <row r="749" spans="1:29">
      <c r="A749" s="13" t="s">
        <v>970</v>
      </c>
      <c r="B749" s="13" t="s">
        <v>471</v>
      </c>
      <c r="C749" s="139">
        <v>46260</v>
      </c>
      <c r="D749" s="139" t="s">
        <v>441</v>
      </c>
      <c r="E749" s="28">
        <v>0.97239989999999998</v>
      </c>
      <c r="F749" s="13"/>
      <c r="G749" s="18">
        <v>5000000</v>
      </c>
      <c r="H749" s="18">
        <v>4861999.49</v>
      </c>
      <c r="I749" s="18">
        <v>5000000</v>
      </c>
      <c r="J749" s="18">
        <v>4861999.49</v>
      </c>
      <c r="K749" s="15">
        <v>29175487</v>
      </c>
      <c r="L749" s="13" t="s">
        <v>102</v>
      </c>
      <c r="M749" s="13" t="s">
        <v>103</v>
      </c>
      <c r="N749" s="139" t="s">
        <v>359</v>
      </c>
      <c r="O749" s="139" t="s">
        <v>359</v>
      </c>
      <c r="P749" s="28">
        <v>28</v>
      </c>
      <c r="Q749" s="13" t="s">
        <v>54</v>
      </c>
      <c r="R749" s="13" t="s">
        <v>28</v>
      </c>
      <c r="S749" s="13"/>
      <c r="T749" s="13"/>
      <c r="U749" s="13" t="s">
        <v>959</v>
      </c>
      <c r="V749" s="13" t="s">
        <v>959</v>
      </c>
      <c r="W749" s="59">
        <f t="shared" si="11"/>
        <v>9.2886604847542716E-5</v>
      </c>
    </row>
    <row r="750" spans="1:29">
      <c r="A750" s="13" t="s">
        <v>472</v>
      </c>
      <c r="B750" s="13" t="s">
        <v>471</v>
      </c>
      <c r="C750" s="139">
        <v>46260</v>
      </c>
      <c r="D750" s="139" t="s">
        <v>441</v>
      </c>
      <c r="E750" s="28">
        <v>0.97048663000000002</v>
      </c>
      <c r="F750" s="13"/>
      <c r="G750" s="18">
        <v>10000000</v>
      </c>
      <c r="H750" s="18">
        <v>9704866.2599999998</v>
      </c>
      <c r="I750" s="18">
        <v>10000000</v>
      </c>
      <c r="J750" s="18">
        <v>9704866.2599999998</v>
      </c>
      <c r="K750" s="15">
        <v>568</v>
      </c>
      <c r="L750" s="13" t="s">
        <v>102</v>
      </c>
      <c r="M750" s="13" t="s">
        <v>103</v>
      </c>
      <c r="N750" s="139" t="s">
        <v>368</v>
      </c>
      <c r="O750" s="139" t="s">
        <v>368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1285</v>
      </c>
      <c r="V750" s="13" t="s">
        <v>1285</v>
      </c>
      <c r="W750" s="59">
        <f t="shared" si="11"/>
        <v>1.8540768653821265E-4</v>
      </c>
    </row>
    <row r="751" spans="1:29">
      <c r="A751" s="13" t="s">
        <v>472</v>
      </c>
      <c r="B751" s="13" t="s">
        <v>471</v>
      </c>
      <c r="C751" s="139">
        <v>46260</v>
      </c>
      <c r="D751" s="139" t="s">
        <v>441</v>
      </c>
      <c r="E751" s="28">
        <v>0.97048661999999997</v>
      </c>
      <c r="F751" s="13"/>
      <c r="G751" s="18">
        <v>10000000</v>
      </c>
      <c r="H751" s="18">
        <v>9704866.2300000004</v>
      </c>
      <c r="I751" s="18">
        <v>10000000</v>
      </c>
      <c r="J751" s="18">
        <v>9704866.2300000004</v>
      </c>
      <c r="K751" s="15">
        <v>502</v>
      </c>
      <c r="L751" s="13" t="s">
        <v>102</v>
      </c>
      <c r="M751" s="13" t="s">
        <v>103</v>
      </c>
      <c r="N751" s="139" t="s">
        <v>363</v>
      </c>
      <c r="O751" s="139" t="s">
        <v>363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1053</v>
      </c>
      <c r="V751" s="13" t="s">
        <v>1053</v>
      </c>
      <c r="W751" s="59">
        <f t="shared" si="11"/>
        <v>1.8540768596507436E-4</v>
      </c>
    </row>
    <row r="752" spans="1:29">
      <c r="A752" s="13" t="s">
        <v>472</v>
      </c>
      <c r="B752" s="13" t="s">
        <v>471</v>
      </c>
      <c r="C752" s="139">
        <v>46260</v>
      </c>
      <c r="D752" s="139" t="s">
        <v>441</v>
      </c>
      <c r="E752" s="28">
        <v>0.97048667</v>
      </c>
      <c r="F752" s="13"/>
      <c r="G752" s="18">
        <v>10000000</v>
      </c>
      <c r="H752" s="18">
        <v>9704866.6699999999</v>
      </c>
      <c r="I752" s="18">
        <v>10000000</v>
      </c>
      <c r="J752" s="18">
        <v>9704866.6699999999</v>
      </c>
      <c r="K752" s="15">
        <v>473</v>
      </c>
      <c r="L752" s="13" t="s">
        <v>102</v>
      </c>
      <c r="M752" s="13" t="s">
        <v>103</v>
      </c>
      <c r="N752" s="139" t="s">
        <v>349</v>
      </c>
      <c r="O752" s="139" t="s">
        <v>349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1010</v>
      </c>
      <c r="V752" s="13" t="s">
        <v>1010</v>
      </c>
      <c r="W752" s="59">
        <f t="shared" si="11"/>
        <v>1.8540769437110281E-4</v>
      </c>
    </row>
    <row r="753" spans="1:29">
      <c r="A753" s="13" t="s">
        <v>1389</v>
      </c>
      <c r="B753" s="13" t="s">
        <v>471</v>
      </c>
      <c r="C753" s="139">
        <v>46260</v>
      </c>
      <c r="D753" s="139" t="s">
        <v>441</v>
      </c>
      <c r="E753" s="28">
        <v>0.96763089999999996</v>
      </c>
      <c r="F753" s="13"/>
      <c r="G753" s="18">
        <v>2200000</v>
      </c>
      <c r="H753" s="18">
        <v>2128787.98</v>
      </c>
      <c r="I753" s="18">
        <v>2200000</v>
      </c>
      <c r="J753" s="18">
        <v>2128787.98</v>
      </c>
      <c r="K753" s="15">
        <v>6195</v>
      </c>
      <c r="L753" s="13" t="s">
        <v>102</v>
      </c>
      <c r="M753" s="13" t="s">
        <v>103</v>
      </c>
      <c r="N753" s="139" t="s">
        <v>351</v>
      </c>
      <c r="O753" s="139" t="s">
        <v>351</v>
      </c>
      <c r="P753" s="28">
        <v>33</v>
      </c>
      <c r="Q753" s="13" t="s">
        <v>54</v>
      </c>
      <c r="R753" s="13" t="s">
        <v>28</v>
      </c>
      <c r="S753" s="13"/>
      <c r="T753" s="13"/>
      <c r="U753" s="13" t="s">
        <v>1374</v>
      </c>
      <c r="V753" s="13" t="s">
        <v>1374</v>
      </c>
      <c r="W753" s="59">
        <f t="shared" si="11"/>
        <v>4.0669664468117552E-5</v>
      </c>
    </row>
    <row r="754" spans="1:29">
      <c r="A754" s="13" t="s">
        <v>472</v>
      </c>
      <c r="B754" s="13" t="s">
        <v>471</v>
      </c>
      <c r="C754" s="139">
        <v>46260</v>
      </c>
      <c r="D754" s="139" t="s">
        <v>441</v>
      </c>
      <c r="E754" s="28">
        <v>0.97048665000000001</v>
      </c>
      <c r="F754" s="13"/>
      <c r="G754" s="18">
        <v>10000000</v>
      </c>
      <c r="H754" s="18">
        <v>9704866.4900000002</v>
      </c>
      <c r="I754" s="18">
        <v>10000000</v>
      </c>
      <c r="J754" s="18">
        <v>9704866.4900000002</v>
      </c>
      <c r="K754" s="15">
        <v>670</v>
      </c>
      <c r="L754" s="13" t="s">
        <v>102</v>
      </c>
      <c r="M754" s="13" t="s">
        <v>103</v>
      </c>
      <c r="N754" s="139" t="s">
        <v>354</v>
      </c>
      <c r="O754" s="139" t="s">
        <v>354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1697</v>
      </c>
      <c r="V754" s="13" t="s">
        <v>1697</v>
      </c>
      <c r="W754" s="59">
        <f t="shared" si="11"/>
        <v>1.8540769093227299E-4</v>
      </c>
    </row>
    <row r="755" spans="1:29">
      <c r="A755" s="13" t="s">
        <v>215</v>
      </c>
      <c r="B755" s="13" t="s">
        <v>471</v>
      </c>
      <c r="C755" s="139">
        <v>46260</v>
      </c>
      <c r="D755" s="139" t="s">
        <v>441</v>
      </c>
      <c r="E755" s="28">
        <v>0.96290827000000001</v>
      </c>
      <c r="F755" s="13"/>
      <c r="G755" s="18">
        <v>15000000</v>
      </c>
      <c r="H755" s="18">
        <v>14443624.07</v>
      </c>
      <c r="I755" s="18">
        <v>15000000</v>
      </c>
      <c r="J755" s="18">
        <v>14443624.07</v>
      </c>
      <c r="K755" s="15">
        <v>16806010</v>
      </c>
      <c r="L755" s="13" t="s">
        <v>102</v>
      </c>
      <c r="M755" s="13" t="s">
        <v>103</v>
      </c>
      <c r="N755" s="139" t="s">
        <v>460</v>
      </c>
      <c r="O755" s="139" t="s">
        <v>460</v>
      </c>
      <c r="P755" s="28">
        <v>38</v>
      </c>
      <c r="Q755" s="13" t="s">
        <v>54</v>
      </c>
      <c r="R755" s="13" t="s">
        <v>28</v>
      </c>
      <c r="S755" s="13"/>
      <c r="T755" s="13"/>
      <c r="U755" s="13" t="s">
        <v>1761</v>
      </c>
      <c r="V755" s="13" t="s">
        <v>1761</v>
      </c>
      <c r="W755" s="59">
        <f t="shared" si="11"/>
        <v>2.7593980713406998E-4</v>
      </c>
    </row>
    <row r="756" spans="1:29">
      <c r="A756" s="13" t="s">
        <v>1862</v>
      </c>
      <c r="B756" s="13" t="s">
        <v>471</v>
      </c>
      <c r="C756" s="139">
        <v>46260</v>
      </c>
      <c r="D756" s="139" t="s">
        <v>441</v>
      </c>
      <c r="E756" s="28">
        <v>0.97287933000000004</v>
      </c>
      <c r="F756" s="13"/>
      <c r="G756" s="18">
        <v>30000000</v>
      </c>
      <c r="H756" s="18">
        <v>29186379.829999998</v>
      </c>
      <c r="I756" s="18">
        <v>30000000</v>
      </c>
      <c r="J756" s="18">
        <v>29186379.829999998</v>
      </c>
      <c r="K756" s="15">
        <v>487</v>
      </c>
      <c r="L756" s="13" t="s">
        <v>102</v>
      </c>
      <c r="M756" s="13" t="s">
        <v>103</v>
      </c>
      <c r="N756" s="139" t="s">
        <v>493</v>
      </c>
      <c r="O756" s="139" t="s">
        <v>493</v>
      </c>
      <c r="P756" s="28">
        <v>27.5</v>
      </c>
      <c r="Q756" s="13" t="s">
        <v>54</v>
      </c>
      <c r="R756" s="13" t="s">
        <v>28</v>
      </c>
      <c r="S756" s="13"/>
      <c r="T756" s="13"/>
      <c r="U756" s="13" t="s">
        <v>1968</v>
      </c>
      <c r="V756" s="13" t="s">
        <v>1968</v>
      </c>
      <c r="W756" s="59">
        <f t="shared" si="11"/>
        <v>5.5759440859165965E-4</v>
      </c>
    </row>
    <row r="757" spans="1:29">
      <c r="A757" s="13" t="s">
        <v>242</v>
      </c>
      <c r="B757" s="13" t="s">
        <v>471</v>
      </c>
      <c r="C757" s="139">
        <v>46260</v>
      </c>
      <c r="D757" s="139" t="s">
        <v>441</v>
      </c>
      <c r="E757" s="28">
        <v>0.96763087000000003</v>
      </c>
      <c r="F757" s="13"/>
      <c r="G757" s="18">
        <v>2500000</v>
      </c>
      <c r="H757" s="18">
        <v>2419077.17</v>
      </c>
      <c r="I757" s="18">
        <v>2500000</v>
      </c>
      <c r="J757" s="18">
        <v>2419077.17</v>
      </c>
      <c r="K757" s="15">
        <v>1198</v>
      </c>
      <c r="L757" s="13" t="s">
        <v>102</v>
      </c>
      <c r="M757" s="13" t="s">
        <v>103</v>
      </c>
      <c r="N757" s="139" t="s">
        <v>162</v>
      </c>
      <c r="O757" s="139" t="s">
        <v>162</v>
      </c>
      <c r="P757" s="28">
        <v>33</v>
      </c>
      <c r="Q757" s="13" t="s">
        <v>54</v>
      </c>
      <c r="R757" s="13" t="s">
        <v>28</v>
      </c>
      <c r="S757" s="13"/>
      <c r="T757" s="13"/>
      <c r="U757" s="13" t="s">
        <v>1090</v>
      </c>
      <c r="V757" s="13" t="s">
        <v>1090</v>
      </c>
      <c r="W757" s="59">
        <f t="shared" si="11"/>
        <v>4.6215526276310227E-5</v>
      </c>
      <c r="AC757" s="56"/>
    </row>
    <row r="758" spans="1:29">
      <c r="A758" s="13" t="s">
        <v>323</v>
      </c>
      <c r="B758" s="13" t="s">
        <v>471</v>
      </c>
      <c r="C758" s="139">
        <v>46260</v>
      </c>
      <c r="D758" s="139" t="s">
        <v>441</v>
      </c>
      <c r="E758" s="28">
        <v>0.97144233000000002</v>
      </c>
      <c r="F758" s="13"/>
      <c r="G758" s="18">
        <v>10000000</v>
      </c>
      <c r="H758" s="18">
        <v>9714423.3000000007</v>
      </c>
      <c r="I758" s="18">
        <v>10000000</v>
      </c>
      <c r="J758" s="18">
        <v>9714423.3000000007</v>
      </c>
      <c r="K758" s="15">
        <v>2154</v>
      </c>
      <c r="L758" s="13" t="s">
        <v>102</v>
      </c>
      <c r="M758" s="13" t="s">
        <v>103</v>
      </c>
      <c r="N758" s="139" t="s">
        <v>374</v>
      </c>
      <c r="O758" s="139" t="s">
        <v>374</v>
      </c>
      <c r="P758" s="28">
        <v>29</v>
      </c>
      <c r="Q758" s="13" t="s">
        <v>54</v>
      </c>
      <c r="R758" s="13" t="s">
        <v>28</v>
      </c>
      <c r="S758" s="13"/>
      <c r="T758" s="13"/>
      <c r="U758" s="13" t="s">
        <v>894</v>
      </c>
      <c r="V758" s="13" t="s">
        <v>894</v>
      </c>
      <c r="W758" s="59">
        <f t="shared" si="11"/>
        <v>1.8559027006168237E-4</v>
      </c>
    </row>
    <row r="759" spans="1:29">
      <c r="A759" s="13" t="s">
        <v>323</v>
      </c>
      <c r="B759" s="13" t="s">
        <v>471</v>
      </c>
      <c r="C759" s="139">
        <v>46260</v>
      </c>
      <c r="D759" s="139" t="s">
        <v>441</v>
      </c>
      <c r="E759" s="28">
        <v>0.97432067</v>
      </c>
      <c r="F759" s="13"/>
      <c r="G759" s="18">
        <v>100000000</v>
      </c>
      <c r="H759" s="18">
        <v>97432067.379999995</v>
      </c>
      <c r="I759" s="18">
        <v>100000000</v>
      </c>
      <c r="J759" s="18">
        <v>97432067.379999995</v>
      </c>
      <c r="K759" s="15">
        <v>2830</v>
      </c>
      <c r="L759" s="13" t="s">
        <v>102</v>
      </c>
      <c r="M759" s="13" t="s">
        <v>103</v>
      </c>
      <c r="N759" s="139" t="s">
        <v>373</v>
      </c>
      <c r="O759" s="139" t="s">
        <v>373</v>
      </c>
      <c r="P759" s="28">
        <v>26</v>
      </c>
      <c r="Q759" s="13" t="s">
        <v>54</v>
      </c>
      <c r="R759" s="13" t="s">
        <v>28</v>
      </c>
      <c r="S759" s="13"/>
      <c r="T759" s="13"/>
      <c r="U759" s="13" t="s">
        <v>1400</v>
      </c>
      <c r="V759" s="13" t="s">
        <v>1400</v>
      </c>
      <c r="W759" s="59">
        <f t="shared" si="11"/>
        <v>1.8614016642369529E-3</v>
      </c>
    </row>
    <row r="760" spans="1:29">
      <c r="A760" s="13" t="s">
        <v>323</v>
      </c>
      <c r="B760" s="13" t="s">
        <v>471</v>
      </c>
      <c r="C760" s="139">
        <v>46260</v>
      </c>
      <c r="D760" s="139" t="s">
        <v>441</v>
      </c>
      <c r="E760" s="28">
        <v>0.97144229999999998</v>
      </c>
      <c r="F760" s="13"/>
      <c r="G760" s="18">
        <v>10000000</v>
      </c>
      <c r="H760" s="18">
        <v>9714422.9700000007</v>
      </c>
      <c r="I760" s="18">
        <v>10000000</v>
      </c>
      <c r="J760" s="18">
        <v>9714422.9700000007</v>
      </c>
      <c r="K760" s="15">
        <v>66412396</v>
      </c>
      <c r="L760" s="13" t="s">
        <v>102</v>
      </c>
      <c r="M760" s="13" t="s">
        <v>103</v>
      </c>
      <c r="N760" s="139" t="s">
        <v>327</v>
      </c>
      <c r="O760" s="139" t="s">
        <v>327</v>
      </c>
      <c r="P760" s="28">
        <v>29</v>
      </c>
      <c r="Q760" s="13" t="s">
        <v>54</v>
      </c>
      <c r="R760" s="13" t="s">
        <v>28</v>
      </c>
      <c r="S760" s="13"/>
      <c r="T760" s="13"/>
      <c r="U760" s="13" t="s">
        <v>796</v>
      </c>
      <c r="V760" s="13" t="s">
        <v>796</v>
      </c>
      <c r="W760" s="59">
        <f t="shared" si="11"/>
        <v>1.8559026375716101E-4</v>
      </c>
    </row>
    <row r="761" spans="1:29">
      <c r="A761" s="13" t="s">
        <v>1065</v>
      </c>
      <c r="B761" s="13" t="s">
        <v>471</v>
      </c>
      <c r="C761" s="139">
        <v>46260</v>
      </c>
      <c r="D761" s="139" t="s">
        <v>441</v>
      </c>
      <c r="E761" s="28">
        <v>0.96196937000000005</v>
      </c>
      <c r="F761" s="13"/>
      <c r="G761" s="18">
        <v>10800428.970000001</v>
      </c>
      <c r="H761" s="18">
        <v>10389681.859999999</v>
      </c>
      <c r="I761" s="18">
        <v>10800428.970000001</v>
      </c>
      <c r="J761" s="18">
        <v>10389681.859999999</v>
      </c>
      <c r="K761" s="15">
        <v>53243195</v>
      </c>
      <c r="L761" s="13" t="s">
        <v>102</v>
      </c>
      <c r="M761" s="13" t="s">
        <v>103</v>
      </c>
      <c r="N761" s="139" t="s">
        <v>427</v>
      </c>
      <c r="O761" s="139" t="s">
        <v>427</v>
      </c>
      <c r="P761" s="28">
        <v>39</v>
      </c>
      <c r="Q761" s="13" t="s">
        <v>54</v>
      </c>
      <c r="R761" s="13" t="s">
        <v>28</v>
      </c>
      <c r="S761" s="13"/>
      <c r="T761" s="13"/>
      <c r="U761" s="13" t="s">
        <v>1060</v>
      </c>
      <c r="V761" s="13" t="s">
        <v>1060</v>
      </c>
      <c r="W761" s="59">
        <f t="shared" si="11"/>
        <v>1.9849082160670951E-4</v>
      </c>
    </row>
    <row r="762" spans="1:29">
      <c r="A762" s="13" t="s">
        <v>193</v>
      </c>
      <c r="B762" s="13" t="s">
        <v>471</v>
      </c>
      <c r="C762" s="139">
        <v>46260</v>
      </c>
      <c r="D762" s="139" t="s">
        <v>441</v>
      </c>
      <c r="E762" s="28">
        <v>0.96763089999999996</v>
      </c>
      <c r="F762" s="13"/>
      <c r="G762" s="18">
        <v>226000000</v>
      </c>
      <c r="H762" s="18">
        <v>218684582.61000001</v>
      </c>
      <c r="I762" s="18">
        <v>226000000</v>
      </c>
      <c r="J762" s="18">
        <v>218684582.61000001</v>
      </c>
      <c r="K762" s="15">
        <v>70390784</v>
      </c>
      <c r="L762" s="13" t="s">
        <v>102</v>
      </c>
      <c r="M762" s="13" t="s">
        <v>103</v>
      </c>
      <c r="N762" s="139" t="s">
        <v>509</v>
      </c>
      <c r="O762" s="139" t="s">
        <v>509</v>
      </c>
      <c r="P762" s="28">
        <v>33</v>
      </c>
      <c r="Q762" s="13" t="s">
        <v>54</v>
      </c>
      <c r="R762" s="13" t="s">
        <v>28</v>
      </c>
      <c r="S762" s="13"/>
      <c r="T762" s="13"/>
      <c r="U762" s="13" t="s">
        <v>2037</v>
      </c>
      <c r="V762" s="13" t="s">
        <v>2037</v>
      </c>
      <c r="W762" s="59">
        <f t="shared" si="11"/>
        <v>4.177883698450343E-3</v>
      </c>
    </row>
    <row r="763" spans="1:29">
      <c r="A763" s="13" t="s">
        <v>1657</v>
      </c>
      <c r="B763" s="13" t="s">
        <v>471</v>
      </c>
      <c r="C763" s="139">
        <v>46260</v>
      </c>
      <c r="D763" s="139" t="s">
        <v>441</v>
      </c>
      <c r="E763" s="28">
        <v>0.97048670000000004</v>
      </c>
      <c r="F763" s="13"/>
      <c r="G763" s="18">
        <v>2700000</v>
      </c>
      <c r="H763" s="18">
        <v>2620314.08</v>
      </c>
      <c r="I763" s="18">
        <v>2700000</v>
      </c>
      <c r="J763" s="18">
        <v>2620314.08</v>
      </c>
      <c r="K763" s="15">
        <v>6273</v>
      </c>
      <c r="L763" s="13" t="s">
        <v>102</v>
      </c>
      <c r="M763" s="13" t="s">
        <v>103</v>
      </c>
      <c r="N763" s="139" t="s">
        <v>170</v>
      </c>
      <c r="O763" s="139" t="s">
        <v>170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1631</v>
      </c>
      <c r="V763" s="13" t="s">
        <v>1631</v>
      </c>
      <c r="W763" s="59">
        <f t="shared" si="11"/>
        <v>5.0060078991372422E-5</v>
      </c>
    </row>
    <row r="764" spans="1:29">
      <c r="A764" s="13" t="s">
        <v>581</v>
      </c>
      <c r="B764" s="13" t="s">
        <v>471</v>
      </c>
      <c r="C764" s="139">
        <v>46260</v>
      </c>
      <c r="D764" s="139" t="s">
        <v>441</v>
      </c>
      <c r="E764" s="28">
        <v>0.97239984999999995</v>
      </c>
      <c r="F764" s="13"/>
      <c r="G764" s="18">
        <v>10000000</v>
      </c>
      <c r="H764" s="18">
        <v>9723998.4600000009</v>
      </c>
      <c r="I764" s="18">
        <v>10000000</v>
      </c>
      <c r="J764" s="18">
        <v>9723998.4600000009</v>
      </c>
      <c r="K764" s="15">
        <v>360558</v>
      </c>
      <c r="L764" s="13" t="s">
        <v>102</v>
      </c>
      <c r="M764" s="13" t="s">
        <v>103</v>
      </c>
      <c r="N764" s="139" t="s">
        <v>348</v>
      </c>
      <c r="O764" s="139" t="s">
        <v>348</v>
      </c>
      <c r="P764" s="28">
        <v>28</v>
      </c>
      <c r="Q764" s="13" t="s">
        <v>54</v>
      </c>
      <c r="R764" s="13" t="s">
        <v>28</v>
      </c>
      <c r="S764" s="13"/>
      <c r="T764" s="13"/>
      <c r="U764" s="13" t="s">
        <v>725</v>
      </c>
      <c r="V764" s="13" t="s">
        <v>725</v>
      </c>
      <c r="W764" s="59">
        <f t="shared" si="11"/>
        <v>1.8577319976068816E-4</v>
      </c>
    </row>
    <row r="765" spans="1:29">
      <c r="A765" s="13" t="s">
        <v>661</v>
      </c>
      <c r="B765" s="13" t="s">
        <v>471</v>
      </c>
      <c r="C765" s="139">
        <v>46260</v>
      </c>
      <c r="D765" s="139" t="s">
        <v>441</v>
      </c>
      <c r="E765" s="28">
        <v>0.96858084</v>
      </c>
      <c r="F765" s="13"/>
      <c r="G765" s="18">
        <v>15000000</v>
      </c>
      <c r="H765" s="18">
        <v>14528712.59</v>
      </c>
      <c r="I765" s="18">
        <v>15000000</v>
      </c>
      <c r="J765" s="18">
        <v>14528712.59</v>
      </c>
      <c r="K765" s="15">
        <v>177</v>
      </c>
      <c r="L765" s="13" t="s">
        <v>102</v>
      </c>
      <c r="M765" s="13" t="s">
        <v>103</v>
      </c>
      <c r="N765" s="139" t="s">
        <v>358</v>
      </c>
      <c r="O765" s="139" t="s">
        <v>358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603</v>
      </c>
      <c r="V765" s="13" t="s">
        <v>603</v>
      </c>
      <c r="W765" s="59">
        <f t="shared" si="11"/>
        <v>2.7756539013763841E-4</v>
      </c>
      <c r="AC765" s="56"/>
    </row>
    <row r="766" spans="1:29">
      <c r="A766" s="13" t="s">
        <v>1939</v>
      </c>
      <c r="B766" s="13" t="s">
        <v>471</v>
      </c>
      <c r="C766" s="139">
        <v>46260</v>
      </c>
      <c r="D766" s="139" t="s">
        <v>441</v>
      </c>
      <c r="E766" s="28">
        <v>0.96763080999999995</v>
      </c>
      <c r="F766" s="13"/>
      <c r="G766" s="18">
        <v>10000000</v>
      </c>
      <c r="H766" s="18">
        <v>9676308.0600000005</v>
      </c>
      <c r="I766" s="18">
        <v>10000000</v>
      </c>
      <c r="J766" s="18">
        <v>9676308.0600000005</v>
      </c>
      <c r="K766" s="15">
        <v>5743953</v>
      </c>
      <c r="L766" s="13" t="s">
        <v>102</v>
      </c>
      <c r="M766" s="13" t="s">
        <v>103</v>
      </c>
      <c r="N766" s="139" t="s">
        <v>431</v>
      </c>
      <c r="O766" s="139" t="s">
        <v>431</v>
      </c>
      <c r="P766" s="28">
        <v>33</v>
      </c>
      <c r="Q766" s="13" t="s">
        <v>54</v>
      </c>
      <c r="R766" s="13" t="s">
        <v>28</v>
      </c>
      <c r="S766" s="13"/>
      <c r="T766" s="13"/>
      <c r="U766" s="13" t="s">
        <v>1927</v>
      </c>
      <c r="V766" s="13" t="s">
        <v>1927</v>
      </c>
      <c r="W766" s="59">
        <f t="shared" si="11"/>
        <v>1.8486209326038262E-4</v>
      </c>
    </row>
    <row r="767" spans="1:29">
      <c r="A767" s="13" t="s">
        <v>2117</v>
      </c>
      <c r="B767" s="13" t="s">
        <v>471</v>
      </c>
      <c r="C767" s="139">
        <v>46260</v>
      </c>
      <c r="D767" s="139" t="s">
        <v>441</v>
      </c>
      <c r="E767" s="28">
        <v>0.97048679999999998</v>
      </c>
      <c r="F767" s="13"/>
      <c r="G767" s="18">
        <v>2219157.79</v>
      </c>
      <c r="H767" s="18">
        <v>2153663.33</v>
      </c>
      <c r="I767" s="18">
        <v>2219157.79</v>
      </c>
      <c r="J767" s="18">
        <v>2153663.33</v>
      </c>
      <c r="K767" s="15">
        <v>149</v>
      </c>
      <c r="L767" s="13" t="s">
        <v>102</v>
      </c>
      <c r="M767" s="13" t="s">
        <v>103</v>
      </c>
      <c r="N767" s="139" t="s">
        <v>783</v>
      </c>
      <c r="O767" s="139" t="s">
        <v>783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2108</v>
      </c>
      <c r="V767" s="13" t="s">
        <v>2108</v>
      </c>
      <c r="W767" s="59">
        <f t="shared" si="11"/>
        <v>4.1144898332425162E-5</v>
      </c>
    </row>
    <row r="768" spans="1:29">
      <c r="A768" s="13" t="s">
        <v>2117</v>
      </c>
      <c r="B768" s="13" t="s">
        <v>471</v>
      </c>
      <c r="C768" s="139">
        <v>46260</v>
      </c>
      <c r="D768" s="139" t="s">
        <v>441</v>
      </c>
      <c r="E768" s="28">
        <v>0.97048679999999998</v>
      </c>
      <c r="F768" s="13"/>
      <c r="G768" s="18">
        <v>2219157.79</v>
      </c>
      <c r="H768" s="18">
        <v>2153663.33</v>
      </c>
      <c r="I768" s="18">
        <v>2219157.79</v>
      </c>
      <c r="J768" s="18">
        <v>2153663.33</v>
      </c>
      <c r="K768" s="15">
        <v>150</v>
      </c>
      <c r="L768" s="13" t="s">
        <v>102</v>
      </c>
      <c r="M768" s="13" t="s">
        <v>103</v>
      </c>
      <c r="N768" s="139" t="s">
        <v>783</v>
      </c>
      <c r="O768" s="139" t="s">
        <v>783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2109</v>
      </c>
      <c r="V768" s="13" t="s">
        <v>2109</v>
      </c>
      <c r="W768" s="59">
        <f t="shared" si="11"/>
        <v>4.1144898332425162E-5</v>
      </c>
      <c r="AC768" s="56"/>
    </row>
    <row r="769" spans="1:29">
      <c r="A769" s="13" t="s">
        <v>2118</v>
      </c>
      <c r="B769" s="13" t="s">
        <v>471</v>
      </c>
      <c r="C769" s="139">
        <v>46260</v>
      </c>
      <c r="D769" s="139" t="s">
        <v>441</v>
      </c>
      <c r="E769" s="28">
        <v>0.97048679999999998</v>
      </c>
      <c r="F769" s="13"/>
      <c r="G769" s="18">
        <v>5300000</v>
      </c>
      <c r="H769" s="18">
        <v>5143580.0199999996</v>
      </c>
      <c r="I769" s="18">
        <v>5300000</v>
      </c>
      <c r="J769" s="18">
        <v>5143580.0199999996</v>
      </c>
      <c r="K769" s="15">
        <v>21</v>
      </c>
      <c r="L769" s="13" t="s">
        <v>102</v>
      </c>
      <c r="M769" s="13" t="s">
        <v>103</v>
      </c>
      <c r="N769" s="139" t="s">
        <v>783</v>
      </c>
      <c r="O769" s="139" t="s">
        <v>783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2111</v>
      </c>
      <c r="V769" s="13" t="s">
        <v>2111</v>
      </c>
      <c r="W769" s="59">
        <f t="shared" si="11"/>
        <v>9.8266091101431978E-5</v>
      </c>
    </row>
    <row r="770" spans="1:29">
      <c r="A770" s="13" t="s">
        <v>2234</v>
      </c>
      <c r="B770" s="13" t="s">
        <v>471</v>
      </c>
      <c r="C770" s="139">
        <v>46260</v>
      </c>
      <c r="D770" s="139" t="s">
        <v>441</v>
      </c>
      <c r="E770" s="28">
        <v>0.97048681999999997</v>
      </c>
      <c r="F770" s="13"/>
      <c r="G770" s="18">
        <v>830000</v>
      </c>
      <c r="H770" s="18">
        <v>805504.06</v>
      </c>
      <c r="I770" s="18">
        <v>830000</v>
      </c>
      <c r="J770" s="18">
        <v>805504.06</v>
      </c>
      <c r="K770" s="15">
        <v>62</v>
      </c>
      <c r="L770" s="13" t="s">
        <v>102</v>
      </c>
      <c r="M770" s="13" t="s">
        <v>103</v>
      </c>
      <c r="N770" s="139" t="s">
        <v>441</v>
      </c>
      <c r="O770" s="139" t="s">
        <v>441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2469</v>
      </c>
      <c r="V770" s="13" t="s">
        <v>2469</v>
      </c>
      <c r="W770" s="59">
        <f t="shared" si="11"/>
        <v>1.5388841047433211E-5</v>
      </c>
    </row>
    <row r="771" spans="1:29">
      <c r="A771" s="13" t="s">
        <v>2238</v>
      </c>
      <c r="B771" s="13" t="s">
        <v>471</v>
      </c>
      <c r="C771" s="139">
        <v>46260</v>
      </c>
      <c r="D771" s="139" t="s">
        <v>441</v>
      </c>
      <c r="E771" s="28">
        <v>0.97048670000000004</v>
      </c>
      <c r="F771" s="13"/>
      <c r="G771" s="18">
        <v>969231</v>
      </c>
      <c r="H771" s="18">
        <v>940625.8</v>
      </c>
      <c r="I771" s="18">
        <v>969231</v>
      </c>
      <c r="J771" s="18">
        <v>940625.8</v>
      </c>
      <c r="K771" s="15">
        <v>1400</v>
      </c>
      <c r="L771" s="13" t="s">
        <v>102</v>
      </c>
      <c r="M771" s="13" t="s">
        <v>103</v>
      </c>
      <c r="N771" s="139" t="s">
        <v>388</v>
      </c>
      <c r="O771" s="139" t="s">
        <v>388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2239</v>
      </c>
      <c r="V771" s="13" t="s">
        <v>2239</v>
      </c>
      <c r="W771" s="59">
        <f t="shared" si="11"/>
        <v>1.7970289214078825E-5</v>
      </c>
    </row>
    <row r="772" spans="1:29">
      <c r="A772" s="13" t="s">
        <v>2238</v>
      </c>
      <c r="B772" s="13" t="s">
        <v>471</v>
      </c>
      <c r="C772" s="139">
        <v>46260</v>
      </c>
      <c r="D772" s="139" t="s">
        <v>441</v>
      </c>
      <c r="E772" s="28">
        <v>0.97048670000000004</v>
      </c>
      <c r="F772" s="13"/>
      <c r="G772" s="18">
        <v>969231</v>
      </c>
      <c r="H772" s="18">
        <v>940625.8</v>
      </c>
      <c r="I772" s="18">
        <v>969231</v>
      </c>
      <c r="J772" s="18">
        <v>940625.8</v>
      </c>
      <c r="K772" s="15">
        <v>1401</v>
      </c>
      <c r="L772" s="13" t="s">
        <v>102</v>
      </c>
      <c r="M772" s="13" t="s">
        <v>103</v>
      </c>
      <c r="N772" s="139" t="s">
        <v>388</v>
      </c>
      <c r="O772" s="139" t="s">
        <v>388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2240</v>
      </c>
      <c r="V772" s="13" t="s">
        <v>2240</v>
      </c>
      <c r="W772" s="59">
        <f t="shared" si="11"/>
        <v>1.7970289214078825E-5</v>
      </c>
    </row>
    <row r="773" spans="1:29">
      <c r="A773" s="13" t="s">
        <v>698</v>
      </c>
      <c r="B773" s="13" t="s">
        <v>471</v>
      </c>
      <c r="C773" s="139">
        <v>46261</v>
      </c>
      <c r="D773" s="139" t="s">
        <v>441</v>
      </c>
      <c r="E773" s="28">
        <v>0.97562296000000004</v>
      </c>
      <c r="F773" s="13"/>
      <c r="G773" s="18">
        <v>10000000</v>
      </c>
      <c r="H773" s="18">
        <v>9756229.5700000003</v>
      </c>
      <c r="I773" s="18">
        <v>10000000</v>
      </c>
      <c r="J773" s="18">
        <v>9756229.5700000003</v>
      </c>
      <c r="K773" s="15">
        <v>4535</v>
      </c>
      <c r="L773" s="13" t="s">
        <v>102</v>
      </c>
      <c r="M773" s="13" t="s">
        <v>103</v>
      </c>
      <c r="N773" s="139" t="s">
        <v>382</v>
      </c>
      <c r="O773" s="139" t="s">
        <v>382</v>
      </c>
      <c r="P773" s="28">
        <v>24</v>
      </c>
      <c r="Q773" s="13" t="s">
        <v>54</v>
      </c>
      <c r="R773" s="13" t="s">
        <v>28</v>
      </c>
      <c r="S773" s="13"/>
      <c r="T773" s="13"/>
      <c r="U773" s="13" t="s">
        <v>2339</v>
      </c>
      <c r="V773" s="13" t="s">
        <v>2339</v>
      </c>
      <c r="W773" s="59">
        <f t="shared" ref="W773:W836" si="12">+J773/$W$2</f>
        <v>1.8638896255221567E-4</v>
      </c>
      <c r="AC773" s="56"/>
    </row>
    <row r="774" spans="1:29">
      <c r="A774" s="13" t="s">
        <v>1388</v>
      </c>
      <c r="B774" s="13" t="s">
        <v>471</v>
      </c>
      <c r="C774" s="139">
        <v>46261</v>
      </c>
      <c r="D774" s="139" t="s">
        <v>441</v>
      </c>
      <c r="E774" s="28">
        <v>0.97069311999999996</v>
      </c>
      <c r="F774" s="13"/>
      <c r="G774" s="18">
        <v>200000000</v>
      </c>
      <c r="H774" s="18">
        <v>194138624.75999999</v>
      </c>
      <c r="I774" s="18">
        <v>200000000</v>
      </c>
      <c r="J774" s="18">
        <v>194138624.75999999</v>
      </c>
      <c r="K774" s="15">
        <v>90003857</v>
      </c>
      <c r="L774" s="13" t="s">
        <v>102</v>
      </c>
      <c r="M774" s="13" t="s">
        <v>103</v>
      </c>
      <c r="N774" s="139" t="s">
        <v>484</v>
      </c>
      <c r="O774" s="139" t="s">
        <v>484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1711</v>
      </c>
      <c r="V774" s="13" t="s">
        <v>1711</v>
      </c>
      <c r="W774" s="59">
        <f t="shared" si="12"/>
        <v>3.7089427427577726E-3</v>
      </c>
    </row>
    <row r="775" spans="1:29">
      <c r="A775" s="13" t="s">
        <v>581</v>
      </c>
      <c r="B775" s="13" t="s">
        <v>471</v>
      </c>
      <c r="C775" s="139">
        <v>46261</v>
      </c>
      <c r="D775" s="139" t="s">
        <v>441</v>
      </c>
      <c r="E775" s="28">
        <v>0.97463285</v>
      </c>
      <c r="F775" s="13"/>
      <c r="G775" s="18">
        <v>456527.78</v>
      </c>
      <c r="H775" s="18">
        <v>444946.97</v>
      </c>
      <c r="I775" s="18">
        <v>456527.78</v>
      </c>
      <c r="J775" s="18">
        <v>444946.97</v>
      </c>
      <c r="K775" s="15">
        <v>11341119</v>
      </c>
      <c r="L775" s="13" t="s">
        <v>102</v>
      </c>
      <c r="M775" s="13" t="s">
        <v>103</v>
      </c>
      <c r="N775" s="139" t="s">
        <v>172</v>
      </c>
      <c r="O775" s="139" t="s">
        <v>172</v>
      </c>
      <c r="P775" s="28">
        <v>25</v>
      </c>
      <c r="Q775" s="13" t="s">
        <v>54</v>
      </c>
      <c r="R775" s="13" t="s">
        <v>28</v>
      </c>
      <c r="S775" s="13"/>
      <c r="T775" s="13"/>
      <c r="U775" s="13" t="s">
        <v>1802</v>
      </c>
      <c r="V775" s="13" t="s">
        <v>1802</v>
      </c>
      <c r="W775" s="59">
        <f t="shared" si="12"/>
        <v>8.5005384030802198E-6</v>
      </c>
    </row>
    <row r="776" spans="1:29">
      <c r="A776" s="13" t="s">
        <v>1107</v>
      </c>
      <c r="B776" s="13" t="s">
        <v>471</v>
      </c>
      <c r="C776" s="139">
        <v>46261</v>
      </c>
      <c r="D776" s="139" t="s">
        <v>441</v>
      </c>
      <c r="E776" s="28">
        <v>0.96678507000000002</v>
      </c>
      <c r="F776" s="13"/>
      <c r="G776" s="18">
        <v>2000000</v>
      </c>
      <c r="H776" s="18">
        <v>1933570.14</v>
      </c>
      <c r="I776" s="18">
        <v>2000000</v>
      </c>
      <c r="J776" s="18">
        <v>1933570.14</v>
      </c>
      <c r="K776" s="15">
        <v>438</v>
      </c>
      <c r="L776" s="13" t="s">
        <v>102</v>
      </c>
      <c r="M776" s="13" t="s">
        <v>103</v>
      </c>
      <c r="N776" s="139" t="s">
        <v>484</v>
      </c>
      <c r="O776" s="139" t="s">
        <v>484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1707</v>
      </c>
      <c r="V776" s="13" t="s">
        <v>1707</v>
      </c>
      <c r="W776" s="59">
        <f t="shared" si="12"/>
        <v>3.6940103738922409E-5</v>
      </c>
    </row>
    <row r="777" spans="1:29">
      <c r="A777" s="13" t="s">
        <v>698</v>
      </c>
      <c r="B777" s="13" t="s">
        <v>471</v>
      </c>
      <c r="C777" s="139">
        <v>46261</v>
      </c>
      <c r="D777" s="139" t="s">
        <v>441</v>
      </c>
      <c r="E777" s="28">
        <v>0.97069307999999999</v>
      </c>
      <c r="F777" s="13"/>
      <c r="G777" s="18">
        <v>40000000</v>
      </c>
      <c r="H777" s="18">
        <v>38827723.299999997</v>
      </c>
      <c r="I777" s="18">
        <v>40000000</v>
      </c>
      <c r="J777" s="18">
        <v>38827723.299999997</v>
      </c>
      <c r="K777" s="15">
        <v>80939846</v>
      </c>
      <c r="L777" s="13" t="s">
        <v>102</v>
      </c>
      <c r="M777" s="13" t="s">
        <v>103</v>
      </c>
      <c r="N777" s="139" t="s">
        <v>341</v>
      </c>
      <c r="O777" s="139" t="s">
        <v>341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929</v>
      </c>
      <c r="V777" s="13" t="s">
        <v>929</v>
      </c>
      <c r="W777" s="59">
        <f t="shared" si="12"/>
        <v>7.4178851699073858E-4</v>
      </c>
    </row>
    <row r="778" spans="1:29">
      <c r="A778" s="13" t="s">
        <v>970</v>
      </c>
      <c r="B778" s="13" t="s">
        <v>471</v>
      </c>
      <c r="C778" s="139">
        <v>46261</v>
      </c>
      <c r="D778" s="139" t="s">
        <v>441</v>
      </c>
      <c r="E778" s="28">
        <v>0.97167504999999998</v>
      </c>
      <c r="F778" s="13"/>
      <c r="G778" s="18">
        <v>5000000</v>
      </c>
      <c r="H778" s="18">
        <v>4858375.24</v>
      </c>
      <c r="I778" s="18">
        <v>5000000</v>
      </c>
      <c r="J778" s="18">
        <v>4858375.24</v>
      </c>
      <c r="K778" s="15">
        <v>29175496</v>
      </c>
      <c r="L778" s="13" t="s">
        <v>102</v>
      </c>
      <c r="M778" s="13" t="s">
        <v>103</v>
      </c>
      <c r="N778" s="139" t="s">
        <v>359</v>
      </c>
      <c r="O778" s="139" t="s">
        <v>359</v>
      </c>
      <c r="P778" s="28">
        <v>28</v>
      </c>
      <c r="Q778" s="13" t="s">
        <v>54</v>
      </c>
      <c r="R778" s="13" t="s">
        <v>28</v>
      </c>
      <c r="S778" s="13"/>
      <c r="T778" s="13"/>
      <c r="U778" s="13" t="s">
        <v>960</v>
      </c>
      <c r="V778" s="13" t="s">
        <v>960</v>
      </c>
      <c r="W778" s="59">
        <f t="shared" si="12"/>
        <v>9.2817364964175583E-5</v>
      </c>
    </row>
    <row r="779" spans="1:29">
      <c r="A779" s="13" t="s">
        <v>472</v>
      </c>
      <c r="B779" s="13" t="s">
        <v>471</v>
      </c>
      <c r="C779" s="139">
        <v>46261</v>
      </c>
      <c r="D779" s="139" t="s">
        <v>441</v>
      </c>
      <c r="E779" s="28">
        <v>0.96971309999999999</v>
      </c>
      <c r="F779" s="13"/>
      <c r="G779" s="18">
        <v>8750000</v>
      </c>
      <c r="H779" s="18">
        <v>8484989.5999999996</v>
      </c>
      <c r="I779" s="18">
        <v>8750000</v>
      </c>
      <c r="J779" s="18">
        <v>8484989.5999999996</v>
      </c>
      <c r="K779" s="15">
        <v>634</v>
      </c>
      <c r="L779" s="13" t="s">
        <v>102</v>
      </c>
      <c r="M779" s="13" t="s">
        <v>103</v>
      </c>
      <c r="N779" s="139" t="s">
        <v>381</v>
      </c>
      <c r="O779" s="139" t="s">
        <v>381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1579</v>
      </c>
      <c r="V779" s="13" t="s">
        <v>1579</v>
      </c>
      <c r="W779" s="59">
        <f t="shared" si="12"/>
        <v>1.6210241850739263E-4</v>
      </c>
      <c r="AC779" s="56"/>
    </row>
    <row r="780" spans="1:29">
      <c r="A780" s="13" t="s">
        <v>472</v>
      </c>
      <c r="B780" s="13" t="s">
        <v>471</v>
      </c>
      <c r="C780" s="139">
        <v>46261</v>
      </c>
      <c r="D780" s="139" t="s">
        <v>441</v>
      </c>
      <c r="E780" s="28">
        <v>0.96971311000000004</v>
      </c>
      <c r="F780" s="13"/>
      <c r="G780" s="18">
        <v>10000000</v>
      </c>
      <c r="H780" s="18">
        <v>9697131.1199999992</v>
      </c>
      <c r="I780" s="18">
        <v>10000000</v>
      </c>
      <c r="J780" s="18">
        <v>9697131.1199999992</v>
      </c>
      <c r="K780" s="15">
        <v>636</v>
      </c>
      <c r="L780" s="13" t="s">
        <v>102</v>
      </c>
      <c r="M780" s="13" t="s">
        <v>103</v>
      </c>
      <c r="N780" s="139" t="s">
        <v>389</v>
      </c>
      <c r="O780" s="139" t="s">
        <v>389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1611</v>
      </c>
      <c r="V780" s="13" t="s">
        <v>1611</v>
      </c>
      <c r="W780" s="59">
        <f t="shared" si="12"/>
        <v>1.852599097039908E-4</v>
      </c>
    </row>
    <row r="781" spans="1:29">
      <c r="A781" s="13" t="s">
        <v>472</v>
      </c>
      <c r="B781" s="13" t="s">
        <v>471</v>
      </c>
      <c r="C781" s="139">
        <v>46261</v>
      </c>
      <c r="D781" s="139" t="s">
        <v>441</v>
      </c>
      <c r="E781" s="28">
        <v>0.96971311000000004</v>
      </c>
      <c r="F781" s="13"/>
      <c r="G781" s="18">
        <v>5000000</v>
      </c>
      <c r="H781" s="18">
        <v>4848565.5599999996</v>
      </c>
      <c r="I781" s="18">
        <v>5000000</v>
      </c>
      <c r="J781" s="18">
        <v>4848565.5599999996</v>
      </c>
      <c r="K781" s="15">
        <v>641</v>
      </c>
      <c r="L781" s="13" t="s">
        <v>102</v>
      </c>
      <c r="M781" s="13" t="s">
        <v>103</v>
      </c>
      <c r="N781" s="139" t="s">
        <v>389</v>
      </c>
      <c r="O781" s="139" t="s">
        <v>389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1605</v>
      </c>
      <c r="V781" s="13" t="s">
        <v>1605</v>
      </c>
      <c r="W781" s="59">
        <f t="shared" si="12"/>
        <v>9.2629954851995402E-5</v>
      </c>
    </row>
    <row r="782" spans="1:29">
      <c r="A782" s="13" t="s">
        <v>472</v>
      </c>
      <c r="B782" s="13" t="s">
        <v>471</v>
      </c>
      <c r="C782" s="139">
        <v>46261</v>
      </c>
      <c r="D782" s="139" t="s">
        <v>441</v>
      </c>
      <c r="E782" s="28">
        <v>0.96971308000000001</v>
      </c>
      <c r="F782" s="13"/>
      <c r="G782" s="18">
        <v>5000000</v>
      </c>
      <c r="H782" s="18">
        <v>4848565.38</v>
      </c>
      <c r="I782" s="18">
        <v>5000000</v>
      </c>
      <c r="J782" s="18">
        <v>4848565.38</v>
      </c>
      <c r="K782" s="15">
        <v>681</v>
      </c>
      <c r="L782" s="13" t="s">
        <v>102</v>
      </c>
      <c r="M782" s="13" t="s">
        <v>103</v>
      </c>
      <c r="N782" s="139" t="s">
        <v>439</v>
      </c>
      <c r="O782" s="139" t="s">
        <v>439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1750</v>
      </c>
      <c r="V782" s="13" t="s">
        <v>1750</v>
      </c>
      <c r="W782" s="59">
        <f t="shared" si="12"/>
        <v>9.2629951413165574E-5</v>
      </c>
    </row>
    <row r="783" spans="1:29">
      <c r="A783" s="13" t="s">
        <v>147</v>
      </c>
      <c r="B783" s="13" t="s">
        <v>471</v>
      </c>
      <c r="C783" s="139">
        <v>46261</v>
      </c>
      <c r="D783" s="139" t="s">
        <v>441</v>
      </c>
      <c r="E783" s="28">
        <v>0.96484276999999996</v>
      </c>
      <c r="F783" s="13"/>
      <c r="G783" s="18">
        <v>15000000</v>
      </c>
      <c r="H783" s="18">
        <v>14472641.59</v>
      </c>
      <c r="I783" s="18">
        <v>15000000</v>
      </c>
      <c r="J783" s="18">
        <v>14472641.59</v>
      </c>
      <c r="K783" s="15">
        <v>4268</v>
      </c>
      <c r="L783" s="13" t="s">
        <v>102</v>
      </c>
      <c r="M783" s="13" t="s">
        <v>103</v>
      </c>
      <c r="N783" s="139" t="s">
        <v>485</v>
      </c>
      <c r="O783" s="139" t="s">
        <v>485</v>
      </c>
      <c r="P783" s="28">
        <v>35</v>
      </c>
      <c r="Q783" s="13" t="s">
        <v>54</v>
      </c>
      <c r="R783" s="13" t="s">
        <v>28</v>
      </c>
      <c r="S783" s="13"/>
      <c r="T783" s="13"/>
      <c r="U783" s="13" t="s">
        <v>1520</v>
      </c>
      <c r="V783" s="13" t="s">
        <v>1520</v>
      </c>
      <c r="W783" s="59">
        <f t="shared" si="12"/>
        <v>2.7649417554143806E-4</v>
      </c>
    </row>
    <row r="784" spans="1:29">
      <c r="A784" s="13" t="s">
        <v>1389</v>
      </c>
      <c r="B784" s="13" t="s">
        <v>471</v>
      </c>
      <c r="C784" s="139">
        <v>46261</v>
      </c>
      <c r="D784" s="139" t="s">
        <v>441</v>
      </c>
      <c r="E784" s="28">
        <v>0.96678507000000002</v>
      </c>
      <c r="F784" s="13"/>
      <c r="G784" s="18">
        <v>2200000</v>
      </c>
      <c r="H784" s="18">
        <v>2126927.16</v>
      </c>
      <c r="I784" s="18">
        <v>2200000</v>
      </c>
      <c r="J784" s="18">
        <v>2126927.16</v>
      </c>
      <c r="K784" s="15">
        <v>6196</v>
      </c>
      <c r="L784" s="13" t="s">
        <v>102</v>
      </c>
      <c r="M784" s="13" t="s">
        <v>103</v>
      </c>
      <c r="N784" s="139" t="s">
        <v>351</v>
      </c>
      <c r="O784" s="139" t="s">
        <v>351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1375</v>
      </c>
      <c r="V784" s="13" t="s">
        <v>1375</v>
      </c>
      <c r="W784" s="59">
        <f t="shared" si="12"/>
        <v>4.0634114227442315E-5</v>
      </c>
    </row>
    <row r="785" spans="1:29">
      <c r="A785" s="13" t="s">
        <v>149</v>
      </c>
      <c r="B785" s="13" t="s">
        <v>471</v>
      </c>
      <c r="C785" s="139">
        <v>46261</v>
      </c>
      <c r="D785" s="139" t="s">
        <v>441</v>
      </c>
      <c r="E785" s="28">
        <v>0.97463295000000005</v>
      </c>
      <c r="F785" s="13"/>
      <c r="G785" s="18">
        <v>50000000</v>
      </c>
      <c r="H785" s="18">
        <v>48731647.479999997</v>
      </c>
      <c r="I785" s="18">
        <v>50000000</v>
      </c>
      <c r="J785" s="18">
        <v>48731647.479999997</v>
      </c>
      <c r="K785" s="15">
        <v>4901</v>
      </c>
      <c r="L785" s="13" t="s">
        <v>102</v>
      </c>
      <c r="M785" s="13" t="s">
        <v>103</v>
      </c>
      <c r="N785" s="139" t="s">
        <v>457</v>
      </c>
      <c r="O785" s="139" t="s">
        <v>457</v>
      </c>
      <c r="P785" s="28">
        <v>25</v>
      </c>
      <c r="Q785" s="13" t="s">
        <v>54</v>
      </c>
      <c r="R785" s="13" t="s">
        <v>28</v>
      </c>
      <c r="S785" s="13"/>
      <c r="T785" s="13"/>
      <c r="U785" s="13" t="s">
        <v>1740</v>
      </c>
      <c r="V785" s="13" t="s">
        <v>1740</v>
      </c>
      <c r="W785" s="59">
        <f t="shared" si="12"/>
        <v>9.3099912748952399E-4</v>
      </c>
    </row>
    <row r="786" spans="1:29">
      <c r="A786" s="13" t="s">
        <v>323</v>
      </c>
      <c r="B786" s="13" t="s">
        <v>471</v>
      </c>
      <c r="C786" s="139">
        <v>46261</v>
      </c>
      <c r="D786" s="139" t="s">
        <v>441</v>
      </c>
      <c r="E786" s="28">
        <v>0.97364490000000004</v>
      </c>
      <c r="F786" s="13"/>
      <c r="G786" s="18">
        <v>10000000</v>
      </c>
      <c r="H786" s="18">
        <v>9736449.0500000007</v>
      </c>
      <c r="I786" s="18">
        <v>10000000</v>
      </c>
      <c r="J786" s="18">
        <v>9736449.0500000007</v>
      </c>
      <c r="K786" s="15">
        <v>68035340</v>
      </c>
      <c r="L786" s="13" t="s">
        <v>102</v>
      </c>
      <c r="M786" s="13" t="s">
        <v>103</v>
      </c>
      <c r="N786" s="139" t="s">
        <v>494</v>
      </c>
      <c r="O786" s="139" t="s">
        <v>494</v>
      </c>
      <c r="P786" s="28">
        <v>26</v>
      </c>
      <c r="Q786" s="13" t="s">
        <v>54</v>
      </c>
      <c r="R786" s="13" t="s">
        <v>28</v>
      </c>
      <c r="S786" s="13"/>
      <c r="T786" s="13"/>
      <c r="U786" s="13" t="s">
        <v>2011</v>
      </c>
      <c r="V786" s="13" t="s">
        <v>2011</v>
      </c>
      <c r="W786" s="59">
        <f t="shared" si="12"/>
        <v>1.8601106342888216E-4</v>
      </c>
    </row>
    <row r="787" spans="1:29">
      <c r="A787" s="13" t="s">
        <v>323</v>
      </c>
      <c r="B787" s="13" t="s">
        <v>471</v>
      </c>
      <c r="C787" s="139">
        <v>46261</v>
      </c>
      <c r="D787" s="139" t="s">
        <v>441</v>
      </c>
      <c r="E787" s="28">
        <v>0.97069309999999998</v>
      </c>
      <c r="F787" s="13"/>
      <c r="G787" s="18">
        <v>10000000</v>
      </c>
      <c r="H787" s="18">
        <v>9706930.9700000007</v>
      </c>
      <c r="I787" s="18">
        <v>10000000</v>
      </c>
      <c r="J787" s="18">
        <v>9706930.9700000007</v>
      </c>
      <c r="K787" s="15">
        <v>2155</v>
      </c>
      <c r="L787" s="13" t="s">
        <v>102</v>
      </c>
      <c r="M787" s="13" t="s">
        <v>103</v>
      </c>
      <c r="N787" s="139" t="s">
        <v>374</v>
      </c>
      <c r="O787" s="139" t="s">
        <v>374</v>
      </c>
      <c r="P787" s="28">
        <v>29</v>
      </c>
      <c r="Q787" s="13" t="s">
        <v>54</v>
      </c>
      <c r="R787" s="13" t="s">
        <v>28</v>
      </c>
      <c r="S787" s="13"/>
      <c r="T787" s="13"/>
      <c r="U787" s="13" t="s">
        <v>892</v>
      </c>
      <c r="V787" s="13" t="s">
        <v>892</v>
      </c>
      <c r="W787" s="59">
        <f t="shared" si="12"/>
        <v>1.8544713201785313E-4</v>
      </c>
    </row>
    <row r="788" spans="1:29">
      <c r="A788" s="13" t="s">
        <v>323</v>
      </c>
      <c r="B788" s="13" t="s">
        <v>471</v>
      </c>
      <c r="C788" s="139">
        <v>46261</v>
      </c>
      <c r="D788" s="139" t="s">
        <v>441</v>
      </c>
      <c r="E788" s="28">
        <v>0.97069307000000005</v>
      </c>
      <c r="F788" s="13"/>
      <c r="G788" s="18">
        <v>10000000</v>
      </c>
      <c r="H788" s="18">
        <v>9706930.6600000001</v>
      </c>
      <c r="I788" s="18">
        <v>10000000</v>
      </c>
      <c r="J788" s="18">
        <v>9706930.6600000001</v>
      </c>
      <c r="K788" s="15">
        <v>66412433</v>
      </c>
      <c r="L788" s="13" t="s">
        <v>102</v>
      </c>
      <c r="M788" s="13" t="s">
        <v>103</v>
      </c>
      <c r="N788" s="139" t="s">
        <v>327</v>
      </c>
      <c r="O788" s="139" t="s">
        <v>327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797</v>
      </c>
      <c r="V788" s="13" t="s">
        <v>797</v>
      </c>
      <c r="W788" s="59">
        <f t="shared" si="12"/>
        <v>1.8544712609542397E-4</v>
      </c>
    </row>
    <row r="789" spans="1:29">
      <c r="A789" s="13" t="s">
        <v>478</v>
      </c>
      <c r="B789" s="13" t="s">
        <v>471</v>
      </c>
      <c r="C789" s="139">
        <v>46261</v>
      </c>
      <c r="D789" s="139" t="s">
        <v>441</v>
      </c>
      <c r="E789" s="28">
        <v>0.96678498999999996</v>
      </c>
      <c r="F789" s="13"/>
      <c r="G789" s="18">
        <v>12500000</v>
      </c>
      <c r="H789" s="18">
        <v>12084812.439999999</v>
      </c>
      <c r="I789" s="18">
        <v>12500000</v>
      </c>
      <c r="J789" s="18">
        <v>12084812.439999999</v>
      </c>
      <c r="K789" s="15">
        <v>1355</v>
      </c>
      <c r="L789" s="13" t="s">
        <v>102</v>
      </c>
      <c r="M789" s="13" t="s">
        <v>103</v>
      </c>
      <c r="N789" s="139" t="s">
        <v>428</v>
      </c>
      <c r="O789" s="139" t="s">
        <v>428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1113</v>
      </c>
      <c r="V789" s="13" t="s">
        <v>1113</v>
      </c>
      <c r="W789" s="59">
        <f t="shared" si="12"/>
        <v>2.3087563050545456E-4</v>
      </c>
    </row>
    <row r="790" spans="1:29">
      <c r="A790" s="13" t="s">
        <v>1588</v>
      </c>
      <c r="B790" s="13" t="s">
        <v>471</v>
      </c>
      <c r="C790" s="139">
        <v>46261</v>
      </c>
      <c r="D790" s="139" t="s">
        <v>441</v>
      </c>
      <c r="E790" s="28">
        <v>0.96971311000000004</v>
      </c>
      <c r="F790" s="13"/>
      <c r="G790" s="18">
        <v>1770042.53</v>
      </c>
      <c r="H790" s="18">
        <v>1716433.44</v>
      </c>
      <c r="I790" s="18">
        <v>1770042.53</v>
      </c>
      <c r="J790" s="18">
        <v>1716433.44</v>
      </c>
      <c r="K790" s="15">
        <v>250</v>
      </c>
      <c r="L790" s="13" t="s">
        <v>102</v>
      </c>
      <c r="M790" s="13" t="s">
        <v>103</v>
      </c>
      <c r="N790" s="139" t="s">
        <v>389</v>
      </c>
      <c r="O790" s="139" t="s">
        <v>389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1589</v>
      </c>
      <c r="V790" s="13" t="s">
        <v>1589</v>
      </c>
      <c r="W790" s="59">
        <f t="shared" si="12"/>
        <v>3.2791791734307325E-5</v>
      </c>
    </row>
    <row r="791" spans="1:29">
      <c r="A791" s="13" t="s">
        <v>1939</v>
      </c>
      <c r="B791" s="13" t="s">
        <v>471</v>
      </c>
      <c r="C791" s="139">
        <v>46261</v>
      </c>
      <c r="D791" s="139" t="s">
        <v>441</v>
      </c>
      <c r="E791" s="28">
        <v>0.96678516999999997</v>
      </c>
      <c r="F791" s="13"/>
      <c r="G791" s="18">
        <v>10000000</v>
      </c>
      <c r="H791" s="18">
        <v>9667851.75</v>
      </c>
      <c r="I791" s="18">
        <v>10000000</v>
      </c>
      <c r="J791" s="18">
        <v>9667851.75</v>
      </c>
      <c r="K791" s="15">
        <v>5743951</v>
      </c>
      <c r="L791" s="13" t="s">
        <v>102</v>
      </c>
      <c r="M791" s="13" t="s">
        <v>103</v>
      </c>
      <c r="N791" s="139" t="s">
        <v>431</v>
      </c>
      <c r="O791" s="139" t="s">
        <v>431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1928</v>
      </c>
      <c r="V791" s="13" t="s">
        <v>1928</v>
      </c>
      <c r="W791" s="59">
        <f t="shared" si="12"/>
        <v>1.8470053875445272E-4</v>
      </c>
    </row>
    <row r="792" spans="1:29">
      <c r="A792" s="13" t="s">
        <v>2238</v>
      </c>
      <c r="B792" s="13" t="s">
        <v>471</v>
      </c>
      <c r="C792" s="139">
        <v>46261</v>
      </c>
      <c r="D792" s="139" t="s">
        <v>441</v>
      </c>
      <c r="E792" s="28">
        <v>0.96971313000000003</v>
      </c>
      <c r="F792" s="13"/>
      <c r="G792" s="18">
        <v>969231.48</v>
      </c>
      <c r="H792" s="18">
        <v>939876.49</v>
      </c>
      <c r="I792" s="18">
        <v>969231.48</v>
      </c>
      <c r="J792" s="18">
        <v>939876.49</v>
      </c>
      <c r="K792" s="15">
        <v>1402</v>
      </c>
      <c r="L792" s="13" t="s">
        <v>102</v>
      </c>
      <c r="M792" s="13" t="s">
        <v>103</v>
      </c>
      <c r="N792" s="139" t="s">
        <v>388</v>
      </c>
      <c r="O792" s="139" t="s">
        <v>388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2241</v>
      </c>
      <c r="V792" s="13" t="s">
        <v>2241</v>
      </c>
      <c r="W792" s="59">
        <f t="shared" si="12"/>
        <v>1.7955973938640917E-5</v>
      </c>
    </row>
    <row r="793" spans="1:29">
      <c r="A793" s="13" t="s">
        <v>2331</v>
      </c>
      <c r="B793" s="13" t="s">
        <v>471</v>
      </c>
      <c r="C793" s="139">
        <v>46261</v>
      </c>
      <c r="D793" s="139" t="s">
        <v>441</v>
      </c>
      <c r="E793" s="28">
        <v>0.96678511</v>
      </c>
      <c r="F793" s="13"/>
      <c r="G793" s="18">
        <v>6690591.5999999996</v>
      </c>
      <c r="H793" s="18">
        <v>6468364.3700000001</v>
      </c>
      <c r="I793" s="18">
        <v>6690591.5999999996</v>
      </c>
      <c r="J793" s="18">
        <v>6468364.3700000001</v>
      </c>
      <c r="K793" s="15">
        <v>80217409</v>
      </c>
      <c r="L793" s="13" t="s">
        <v>102</v>
      </c>
      <c r="M793" s="13" t="s">
        <v>103</v>
      </c>
      <c r="N793" s="139" t="s">
        <v>392</v>
      </c>
      <c r="O793" s="139" t="s">
        <v>392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2273</v>
      </c>
      <c r="V793" s="13" t="s">
        <v>2273</v>
      </c>
      <c r="W793" s="59">
        <f t="shared" si="12"/>
        <v>1.2357557965233653E-4</v>
      </c>
    </row>
    <row r="794" spans="1:29">
      <c r="A794" s="13" t="s">
        <v>2488</v>
      </c>
      <c r="B794" s="13" t="s">
        <v>471</v>
      </c>
      <c r="C794" s="139">
        <v>46261</v>
      </c>
      <c r="D794" s="139" t="s">
        <v>441</v>
      </c>
      <c r="E794" s="28">
        <v>0.96971324000000003</v>
      </c>
      <c r="F794" s="13"/>
      <c r="G794" s="18">
        <v>2870567.11</v>
      </c>
      <c r="H794" s="18">
        <v>2783626.93</v>
      </c>
      <c r="I794" s="18">
        <v>2870567.11</v>
      </c>
      <c r="J794" s="18">
        <v>2783626.93</v>
      </c>
      <c r="K794" s="15">
        <v>98</v>
      </c>
      <c r="L794" s="13" t="s">
        <v>102</v>
      </c>
      <c r="M794" s="13" t="s">
        <v>103</v>
      </c>
      <c r="N794" s="139" t="s">
        <v>441</v>
      </c>
      <c r="O794" s="139" t="s">
        <v>441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2453</v>
      </c>
      <c r="V794" s="13" t="s">
        <v>2453</v>
      </c>
      <c r="W794" s="59">
        <f t="shared" si="12"/>
        <v>5.3180107324504978E-5</v>
      </c>
    </row>
    <row r="795" spans="1:29">
      <c r="A795" s="13" t="s">
        <v>698</v>
      </c>
      <c r="B795" s="13" t="s">
        <v>471</v>
      </c>
      <c r="C795" s="139">
        <v>46262</v>
      </c>
      <c r="D795" s="139" t="s">
        <v>441</v>
      </c>
      <c r="E795" s="28">
        <v>0.97499743000000005</v>
      </c>
      <c r="F795" s="13"/>
      <c r="G795" s="18">
        <v>10000000</v>
      </c>
      <c r="H795" s="18">
        <v>9749974.3300000001</v>
      </c>
      <c r="I795" s="18">
        <v>10000000</v>
      </c>
      <c r="J795" s="18">
        <v>9749974.3300000001</v>
      </c>
      <c r="K795" s="15">
        <v>4536</v>
      </c>
      <c r="L795" s="13" t="s">
        <v>102</v>
      </c>
      <c r="M795" s="13" t="s">
        <v>103</v>
      </c>
      <c r="N795" s="139" t="s">
        <v>382</v>
      </c>
      <c r="O795" s="139" t="s">
        <v>382</v>
      </c>
      <c r="P795" s="28">
        <v>24</v>
      </c>
      <c r="Q795" s="13" t="s">
        <v>54</v>
      </c>
      <c r="R795" s="13" t="s">
        <v>28</v>
      </c>
      <c r="S795" s="13"/>
      <c r="T795" s="13"/>
      <c r="U795" s="13" t="s">
        <v>2334</v>
      </c>
      <c r="V795" s="13" t="s">
        <v>2334</v>
      </c>
      <c r="W795" s="59">
        <f t="shared" si="12"/>
        <v>1.8626945863056744E-4</v>
      </c>
    </row>
    <row r="796" spans="1:29">
      <c r="A796" s="13" t="s">
        <v>1388</v>
      </c>
      <c r="B796" s="13" t="s">
        <v>471</v>
      </c>
      <c r="C796" s="139">
        <v>46262</v>
      </c>
      <c r="D796" s="139" t="s">
        <v>441</v>
      </c>
      <c r="E796" s="28">
        <v>0.96994502000000005</v>
      </c>
      <c r="F796" s="13"/>
      <c r="G796" s="18">
        <v>200000000</v>
      </c>
      <c r="H796" s="18">
        <v>193989004.66</v>
      </c>
      <c r="I796" s="18">
        <v>200000000</v>
      </c>
      <c r="J796" s="18">
        <v>193989004.66</v>
      </c>
      <c r="K796" s="15">
        <v>90003858</v>
      </c>
      <c r="L796" s="13" t="s">
        <v>102</v>
      </c>
      <c r="M796" s="13" t="s">
        <v>103</v>
      </c>
      <c r="N796" s="139" t="s">
        <v>484</v>
      </c>
      <c r="O796" s="139" t="s">
        <v>484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1712</v>
      </c>
      <c r="V796" s="13" t="s">
        <v>1712</v>
      </c>
      <c r="W796" s="59">
        <f t="shared" si="12"/>
        <v>3.7060843090753887E-3</v>
      </c>
    </row>
    <row r="797" spans="1:29">
      <c r="A797" s="13" t="s">
        <v>698</v>
      </c>
      <c r="B797" s="13" t="s">
        <v>471</v>
      </c>
      <c r="C797" s="139">
        <v>46262</v>
      </c>
      <c r="D797" s="139" t="s">
        <v>441</v>
      </c>
      <c r="E797" s="28">
        <v>0.96994499999999995</v>
      </c>
      <c r="F797" s="13"/>
      <c r="G797" s="18">
        <v>40000000</v>
      </c>
      <c r="H797" s="18">
        <v>38797800.130000003</v>
      </c>
      <c r="I797" s="18">
        <v>40000000</v>
      </c>
      <c r="J797" s="18">
        <v>38797800.130000003</v>
      </c>
      <c r="K797" s="15">
        <v>80939845</v>
      </c>
      <c r="L797" s="13" t="s">
        <v>102</v>
      </c>
      <c r="M797" s="13" t="s">
        <v>103</v>
      </c>
      <c r="N797" s="139" t="s">
        <v>341</v>
      </c>
      <c r="O797" s="139" t="s">
        <v>341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928</v>
      </c>
      <c r="V797" s="13" t="s">
        <v>928</v>
      </c>
      <c r="W797" s="59">
        <f t="shared" si="12"/>
        <v>7.4121684649318051E-4</v>
      </c>
    </row>
    <row r="798" spans="1:29">
      <c r="A798" s="13" t="s">
        <v>472</v>
      </c>
      <c r="B798" s="13" t="s">
        <v>471</v>
      </c>
      <c r="C798" s="139">
        <v>46262</v>
      </c>
      <c r="D798" s="139" t="s">
        <v>441</v>
      </c>
      <c r="E798" s="28">
        <v>0.96894089999999999</v>
      </c>
      <c r="F798" s="13"/>
      <c r="G798" s="18">
        <v>10000000</v>
      </c>
      <c r="H798" s="18">
        <v>9689409.0399999991</v>
      </c>
      <c r="I798" s="18">
        <v>10000000</v>
      </c>
      <c r="J798" s="18">
        <v>9689409.0399999991</v>
      </c>
      <c r="K798" s="15">
        <v>700</v>
      </c>
      <c r="L798" s="13" t="s">
        <v>102</v>
      </c>
      <c r="M798" s="13" t="s">
        <v>103</v>
      </c>
      <c r="N798" s="139" t="s">
        <v>460</v>
      </c>
      <c r="O798" s="139" t="s">
        <v>460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1763</v>
      </c>
      <c r="V798" s="13" t="s">
        <v>1763</v>
      </c>
      <c r="W798" s="59">
        <f t="shared" si="12"/>
        <v>1.8511238237597761E-4</v>
      </c>
      <c r="AC798" s="56"/>
    </row>
    <row r="799" spans="1:29">
      <c r="A799" s="13" t="s">
        <v>472</v>
      </c>
      <c r="B799" s="13" t="s">
        <v>471</v>
      </c>
      <c r="C799" s="139">
        <v>46262</v>
      </c>
      <c r="D799" s="139" t="s">
        <v>441</v>
      </c>
      <c r="E799" s="28">
        <v>0.96894082000000004</v>
      </c>
      <c r="F799" s="13"/>
      <c r="G799" s="18">
        <v>10000000</v>
      </c>
      <c r="H799" s="18">
        <v>9689408.2300000004</v>
      </c>
      <c r="I799" s="18">
        <v>10000000</v>
      </c>
      <c r="J799" s="18">
        <v>9689408.2300000004</v>
      </c>
      <c r="K799" s="15">
        <v>577</v>
      </c>
      <c r="L799" s="13" t="s">
        <v>102</v>
      </c>
      <c r="M799" s="13" t="s">
        <v>103</v>
      </c>
      <c r="N799" s="139" t="s">
        <v>174</v>
      </c>
      <c r="O799" s="139" t="s">
        <v>174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1314</v>
      </c>
      <c r="V799" s="13" t="s">
        <v>1314</v>
      </c>
      <c r="W799" s="59">
        <f t="shared" si="12"/>
        <v>1.8511236690124341E-4</v>
      </c>
    </row>
    <row r="800" spans="1:29">
      <c r="A800" s="13" t="s">
        <v>475</v>
      </c>
      <c r="B800" s="13" t="s">
        <v>471</v>
      </c>
      <c r="C800" s="139">
        <v>46262</v>
      </c>
      <c r="D800" s="139" t="s">
        <v>441</v>
      </c>
      <c r="E800" s="28">
        <v>0.96693878</v>
      </c>
      <c r="F800" s="13"/>
      <c r="G800" s="18">
        <v>65000000</v>
      </c>
      <c r="H800" s="18">
        <v>62851020.869999997</v>
      </c>
      <c r="I800" s="18">
        <v>65000000</v>
      </c>
      <c r="J800" s="18">
        <v>62851020.869999997</v>
      </c>
      <c r="K800" s="15">
        <v>335</v>
      </c>
      <c r="L800" s="13" t="s">
        <v>102</v>
      </c>
      <c r="M800" s="13" t="s">
        <v>103</v>
      </c>
      <c r="N800" s="139" t="s">
        <v>439</v>
      </c>
      <c r="O800" s="139" t="s">
        <v>439</v>
      </c>
      <c r="P800" s="28">
        <v>32</v>
      </c>
      <c r="Q800" s="13" t="s">
        <v>54</v>
      </c>
      <c r="R800" s="13" t="s">
        <v>28</v>
      </c>
      <c r="S800" s="13"/>
      <c r="T800" s="13"/>
      <c r="U800" s="13" t="s">
        <v>1754</v>
      </c>
      <c r="V800" s="13" t="s">
        <v>1754</v>
      </c>
      <c r="W800" s="59">
        <f t="shared" si="12"/>
        <v>1.2007442517885476E-3</v>
      </c>
    </row>
    <row r="801" spans="1:29">
      <c r="A801" s="13" t="s">
        <v>1389</v>
      </c>
      <c r="B801" s="13" t="s">
        <v>471</v>
      </c>
      <c r="C801" s="139">
        <v>46262</v>
      </c>
      <c r="D801" s="139" t="s">
        <v>441</v>
      </c>
      <c r="E801" s="28">
        <v>0.96594073000000003</v>
      </c>
      <c r="F801" s="13"/>
      <c r="G801" s="18">
        <v>2200000</v>
      </c>
      <c r="H801" s="18">
        <v>2125069.6</v>
      </c>
      <c r="I801" s="18">
        <v>2200000</v>
      </c>
      <c r="J801" s="18">
        <v>2125069.6</v>
      </c>
      <c r="K801" s="15">
        <v>6197</v>
      </c>
      <c r="L801" s="13" t="s">
        <v>102</v>
      </c>
      <c r="M801" s="13" t="s">
        <v>103</v>
      </c>
      <c r="N801" s="139" t="s">
        <v>351</v>
      </c>
      <c r="O801" s="139" t="s">
        <v>351</v>
      </c>
      <c r="P801" s="28">
        <v>33</v>
      </c>
      <c r="Q801" s="13" t="s">
        <v>54</v>
      </c>
      <c r="R801" s="13" t="s">
        <v>28</v>
      </c>
      <c r="S801" s="13"/>
      <c r="T801" s="13"/>
      <c r="U801" s="13" t="s">
        <v>1376</v>
      </c>
      <c r="V801" s="13" t="s">
        <v>1376</v>
      </c>
      <c r="W801" s="59">
        <f t="shared" si="12"/>
        <v>4.0598626267796187E-5</v>
      </c>
    </row>
    <row r="802" spans="1:29">
      <c r="A802" s="13" t="s">
        <v>472</v>
      </c>
      <c r="B802" s="13" t="s">
        <v>471</v>
      </c>
      <c r="C802" s="139">
        <v>46262</v>
      </c>
      <c r="D802" s="139" t="s">
        <v>441</v>
      </c>
      <c r="E802" s="28">
        <v>0.96894093000000003</v>
      </c>
      <c r="F802" s="13"/>
      <c r="G802" s="18">
        <v>10000000</v>
      </c>
      <c r="H802" s="18">
        <v>9689409.3000000007</v>
      </c>
      <c r="I802" s="18">
        <v>10000000</v>
      </c>
      <c r="J802" s="18">
        <v>9689409.3000000007</v>
      </c>
      <c r="K802" s="15">
        <v>610</v>
      </c>
      <c r="L802" s="13" t="s">
        <v>102</v>
      </c>
      <c r="M802" s="13" t="s">
        <v>103</v>
      </c>
      <c r="N802" s="139" t="s">
        <v>343</v>
      </c>
      <c r="O802" s="139" t="s">
        <v>343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1500</v>
      </c>
      <c r="V802" s="13" t="s">
        <v>1500</v>
      </c>
      <c r="W802" s="59">
        <f t="shared" si="12"/>
        <v>1.8511238734317628E-4</v>
      </c>
    </row>
    <row r="803" spans="1:29">
      <c r="A803" s="13" t="s">
        <v>323</v>
      </c>
      <c r="B803" s="13" t="s">
        <v>471</v>
      </c>
      <c r="C803" s="139">
        <v>46262</v>
      </c>
      <c r="D803" s="139" t="s">
        <v>441</v>
      </c>
      <c r="E803" s="28">
        <v>0.96994502000000005</v>
      </c>
      <c r="F803" s="13"/>
      <c r="G803" s="18">
        <v>10000000</v>
      </c>
      <c r="H803" s="18">
        <v>9699450.1799999997</v>
      </c>
      <c r="I803" s="18">
        <v>10000000</v>
      </c>
      <c r="J803" s="18">
        <v>9699450.1799999997</v>
      </c>
      <c r="K803" s="15">
        <v>2156</v>
      </c>
      <c r="L803" s="13" t="s">
        <v>102</v>
      </c>
      <c r="M803" s="13" t="s">
        <v>103</v>
      </c>
      <c r="N803" s="139" t="s">
        <v>374</v>
      </c>
      <c r="O803" s="139" t="s">
        <v>374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895</v>
      </c>
      <c r="V803" s="13" t="s">
        <v>895</v>
      </c>
      <c r="W803" s="59">
        <f t="shared" si="12"/>
        <v>1.853042144412251E-4</v>
      </c>
    </row>
    <row r="804" spans="1:29">
      <c r="A804" s="13" t="s">
        <v>323</v>
      </c>
      <c r="B804" s="13" t="s">
        <v>471</v>
      </c>
      <c r="C804" s="139">
        <v>46262</v>
      </c>
      <c r="D804" s="139" t="s">
        <v>441</v>
      </c>
      <c r="E804" s="28">
        <v>0.96994506999999996</v>
      </c>
      <c r="F804" s="13"/>
      <c r="G804" s="18">
        <v>10000000</v>
      </c>
      <c r="H804" s="18">
        <v>9699450.6999999993</v>
      </c>
      <c r="I804" s="18">
        <v>10000000</v>
      </c>
      <c r="J804" s="18">
        <v>9699450.6999999993</v>
      </c>
      <c r="K804" s="15">
        <v>66412455</v>
      </c>
      <c r="L804" s="13" t="s">
        <v>102</v>
      </c>
      <c r="M804" s="13" t="s">
        <v>103</v>
      </c>
      <c r="N804" s="139" t="s">
        <v>327</v>
      </c>
      <c r="O804" s="139" t="s">
        <v>327</v>
      </c>
      <c r="P804" s="28">
        <v>29</v>
      </c>
      <c r="Q804" s="13" t="s">
        <v>54</v>
      </c>
      <c r="R804" s="13" t="s">
        <v>28</v>
      </c>
      <c r="S804" s="13"/>
      <c r="T804" s="13"/>
      <c r="U804" s="13" t="s">
        <v>799</v>
      </c>
      <c r="V804" s="13" t="s">
        <v>799</v>
      </c>
      <c r="W804" s="59">
        <f t="shared" si="12"/>
        <v>1.8530422437562237E-4</v>
      </c>
    </row>
    <row r="805" spans="1:29">
      <c r="A805" s="13" t="s">
        <v>478</v>
      </c>
      <c r="B805" s="13" t="s">
        <v>471</v>
      </c>
      <c r="C805" s="139">
        <v>46262</v>
      </c>
      <c r="D805" s="139" t="s">
        <v>441</v>
      </c>
      <c r="E805" s="28">
        <v>0.96395094999999997</v>
      </c>
      <c r="F805" s="13"/>
      <c r="G805" s="18">
        <v>16600000</v>
      </c>
      <c r="H805" s="18">
        <v>16001585.710000001</v>
      </c>
      <c r="I805" s="18">
        <v>16600000</v>
      </c>
      <c r="J805" s="18">
        <v>16001585.710000001</v>
      </c>
      <c r="K805" s="15">
        <v>29088025</v>
      </c>
      <c r="L805" s="13" t="s">
        <v>102</v>
      </c>
      <c r="M805" s="13" t="s">
        <v>103</v>
      </c>
      <c r="N805" s="139" t="s">
        <v>151</v>
      </c>
      <c r="O805" s="139" t="s">
        <v>151</v>
      </c>
      <c r="P805" s="28">
        <v>35</v>
      </c>
      <c r="Q805" s="13" t="s">
        <v>54</v>
      </c>
      <c r="R805" s="13" t="s">
        <v>28</v>
      </c>
      <c r="S805" s="13"/>
      <c r="T805" s="13"/>
      <c r="U805" s="13" t="s">
        <v>550</v>
      </c>
      <c r="V805" s="13" t="s">
        <v>550</v>
      </c>
      <c r="W805" s="59">
        <f t="shared" si="12"/>
        <v>3.0570405690825286E-4</v>
      </c>
      <c r="AC805" s="56"/>
    </row>
    <row r="806" spans="1:29">
      <c r="A806" s="13" t="s">
        <v>581</v>
      </c>
      <c r="B806" s="13" t="s">
        <v>471</v>
      </c>
      <c r="C806" s="139">
        <v>46262</v>
      </c>
      <c r="D806" s="139" t="s">
        <v>441</v>
      </c>
      <c r="E806" s="28">
        <v>0.97095131999999995</v>
      </c>
      <c r="F806" s="13"/>
      <c r="G806" s="18">
        <v>10000000</v>
      </c>
      <c r="H806" s="18">
        <v>9709513.1899999995</v>
      </c>
      <c r="I806" s="18">
        <v>10000000</v>
      </c>
      <c r="J806" s="18">
        <v>9709513.1899999995</v>
      </c>
      <c r="K806" s="15">
        <v>360559</v>
      </c>
      <c r="L806" s="13" t="s">
        <v>102</v>
      </c>
      <c r="M806" s="13" t="s">
        <v>103</v>
      </c>
      <c r="N806" s="139" t="s">
        <v>348</v>
      </c>
      <c r="O806" s="139" t="s">
        <v>348</v>
      </c>
      <c r="P806" s="28">
        <v>28</v>
      </c>
      <c r="Q806" s="13" t="s">
        <v>54</v>
      </c>
      <c r="R806" s="13" t="s">
        <v>28</v>
      </c>
      <c r="S806" s="13"/>
      <c r="T806" s="13"/>
      <c r="U806" s="13" t="s">
        <v>728</v>
      </c>
      <c r="V806" s="13" t="s">
        <v>728</v>
      </c>
      <c r="W806" s="59">
        <f t="shared" si="12"/>
        <v>1.8549646432429673E-4</v>
      </c>
    </row>
    <row r="807" spans="1:29">
      <c r="A807" s="13" t="s">
        <v>661</v>
      </c>
      <c r="B807" s="13" t="s">
        <v>471</v>
      </c>
      <c r="C807" s="139">
        <v>46262</v>
      </c>
      <c r="D807" s="139" t="s">
        <v>441</v>
      </c>
      <c r="E807" s="28">
        <v>0.96693868999999999</v>
      </c>
      <c r="F807" s="13"/>
      <c r="G807" s="18">
        <v>15000000</v>
      </c>
      <c r="H807" s="18">
        <v>14504080.42</v>
      </c>
      <c r="I807" s="18">
        <v>15000000</v>
      </c>
      <c r="J807" s="18">
        <v>14504080.42</v>
      </c>
      <c r="K807" s="15">
        <v>178</v>
      </c>
      <c r="L807" s="13" t="s">
        <v>102</v>
      </c>
      <c r="M807" s="13" t="s">
        <v>103</v>
      </c>
      <c r="N807" s="139" t="s">
        <v>358</v>
      </c>
      <c r="O807" s="139" t="s">
        <v>358</v>
      </c>
      <c r="P807" s="28">
        <v>32</v>
      </c>
      <c r="Q807" s="13" t="s">
        <v>54</v>
      </c>
      <c r="R807" s="13" t="s">
        <v>28</v>
      </c>
      <c r="S807" s="13"/>
      <c r="T807" s="13"/>
      <c r="U807" s="13" t="s">
        <v>601</v>
      </c>
      <c r="V807" s="13" t="s">
        <v>601</v>
      </c>
      <c r="W807" s="59">
        <f t="shared" si="12"/>
        <v>2.7709480213242914E-4</v>
      </c>
    </row>
    <row r="808" spans="1:29">
      <c r="A808" s="13" t="s">
        <v>1939</v>
      </c>
      <c r="B808" s="13" t="s">
        <v>471</v>
      </c>
      <c r="C808" s="139">
        <v>46262</v>
      </c>
      <c r="D808" s="139" t="s">
        <v>441</v>
      </c>
      <c r="E808" s="28">
        <v>0.96594080999999998</v>
      </c>
      <c r="F808" s="13"/>
      <c r="G808" s="18">
        <v>9000000</v>
      </c>
      <c r="H808" s="18">
        <v>8693467.2599999998</v>
      </c>
      <c r="I808" s="18">
        <v>9000000</v>
      </c>
      <c r="J808" s="18">
        <v>8693467.2599999998</v>
      </c>
      <c r="K808" s="15">
        <v>5743952</v>
      </c>
      <c r="L808" s="13" t="s">
        <v>102</v>
      </c>
      <c r="M808" s="13" t="s">
        <v>103</v>
      </c>
      <c r="N808" s="139" t="s">
        <v>431</v>
      </c>
      <c r="O808" s="139" t="s">
        <v>431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1929</v>
      </c>
      <c r="V808" s="13" t="s">
        <v>1929</v>
      </c>
      <c r="W808" s="59">
        <f t="shared" si="12"/>
        <v>1.6608530292846037E-4</v>
      </c>
    </row>
    <row r="809" spans="1:29">
      <c r="A809" s="13" t="s">
        <v>2116</v>
      </c>
      <c r="B809" s="13" t="s">
        <v>471</v>
      </c>
      <c r="C809" s="139">
        <v>46262</v>
      </c>
      <c r="D809" s="139" t="s">
        <v>441</v>
      </c>
      <c r="E809" s="28">
        <v>0.96894089999999999</v>
      </c>
      <c r="F809" s="13"/>
      <c r="G809" s="18">
        <v>5628483</v>
      </c>
      <c r="H809" s="18">
        <v>5453667.3600000003</v>
      </c>
      <c r="I809" s="18">
        <v>5628483</v>
      </c>
      <c r="J809" s="18">
        <v>5453667.3600000003</v>
      </c>
      <c r="K809" s="15">
        <v>68199745</v>
      </c>
      <c r="L809" s="13" t="s">
        <v>102</v>
      </c>
      <c r="M809" s="13" t="s">
        <v>103</v>
      </c>
      <c r="N809" s="139" t="s">
        <v>783</v>
      </c>
      <c r="O809" s="139" t="s">
        <v>783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2107</v>
      </c>
      <c r="V809" s="13" t="s">
        <v>2107</v>
      </c>
      <c r="W809" s="59">
        <f t="shared" si="12"/>
        <v>1.0419018884723526E-4</v>
      </c>
    </row>
    <row r="810" spans="1:29">
      <c r="A810" s="13" t="s">
        <v>698</v>
      </c>
      <c r="B810" s="13" t="s">
        <v>471</v>
      </c>
      <c r="C810" s="139">
        <v>46265</v>
      </c>
      <c r="D810" s="139" t="s">
        <v>441</v>
      </c>
      <c r="E810" s="28">
        <v>0.97312586999999995</v>
      </c>
      <c r="F810" s="13"/>
      <c r="G810" s="18">
        <v>10000000</v>
      </c>
      <c r="H810" s="18">
        <v>9731258.75</v>
      </c>
      <c r="I810" s="18">
        <v>10000000</v>
      </c>
      <c r="J810" s="18">
        <v>9731258.75</v>
      </c>
      <c r="K810" s="15">
        <v>4537</v>
      </c>
      <c r="L810" s="13" t="s">
        <v>102</v>
      </c>
      <c r="M810" s="13" t="s">
        <v>103</v>
      </c>
      <c r="N810" s="139" t="s">
        <v>382</v>
      </c>
      <c r="O810" s="139" t="s">
        <v>382</v>
      </c>
      <c r="P810" s="28">
        <v>24</v>
      </c>
      <c r="Q810" s="13" t="s">
        <v>54</v>
      </c>
      <c r="R810" s="13" t="s">
        <v>28</v>
      </c>
      <c r="S810" s="13"/>
      <c r="T810" s="13"/>
      <c r="U810" s="13" t="s">
        <v>2342</v>
      </c>
      <c r="V810" s="13" t="s">
        <v>2342</v>
      </c>
      <c r="W810" s="59">
        <f t="shared" si="12"/>
        <v>1.8591190477077621E-4</v>
      </c>
    </row>
    <row r="811" spans="1:29">
      <c r="A811" s="13" t="s">
        <v>653</v>
      </c>
      <c r="B811" s="13" t="s">
        <v>471</v>
      </c>
      <c r="C811" s="139">
        <v>46265</v>
      </c>
      <c r="D811" s="139" t="s">
        <v>441</v>
      </c>
      <c r="E811" s="28">
        <v>0.96663142000000002</v>
      </c>
      <c r="F811" s="13"/>
      <c r="G811" s="18">
        <v>5000000</v>
      </c>
      <c r="H811" s="18">
        <v>4833157.09</v>
      </c>
      <c r="I811" s="18">
        <v>5000000</v>
      </c>
      <c r="J811" s="18">
        <v>4833157.09</v>
      </c>
      <c r="K811" s="15">
        <v>3495447</v>
      </c>
      <c r="L811" s="13" t="s">
        <v>102</v>
      </c>
      <c r="M811" s="13" t="s">
        <v>103</v>
      </c>
      <c r="N811" s="139" t="s">
        <v>358</v>
      </c>
      <c r="O811" s="139" t="s">
        <v>358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623</v>
      </c>
      <c r="V811" s="13" t="s">
        <v>623</v>
      </c>
      <c r="W811" s="59">
        <f t="shared" si="12"/>
        <v>9.2335582039505611E-5</v>
      </c>
    </row>
    <row r="812" spans="1:29">
      <c r="A812" s="13" t="s">
        <v>653</v>
      </c>
      <c r="B812" s="13" t="s">
        <v>471</v>
      </c>
      <c r="C812" s="139">
        <v>46265</v>
      </c>
      <c r="D812" s="139" t="s">
        <v>441</v>
      </c>
      <c r="E812" s="28">
        <v>0.96341663</v>
      </c>
      <c r="F812" s="13"/>
      <c r="G812" s="18">
        <v>5600000</v>
      </c>
      <c r="H812" s="18">
        <v>5395133.1399999997</v>
      </c>
      <c r="I812" s="18">
        <v>5600000</v>
      </c>
      <c r="J812" s="18">
        <v>5395133.1399999997</v>
      </c>
      <c r="K812" s="15">
        <v>3501252</v>
      </c>
      <c r="L812" s="13" t="s">
        <v>102</v>
      </c>
      <c r="M812" s="13" t="s">
        <v>103</v>
      </c>
      <c r="N812" s="139" t="s">
        <v>355</v>
      </c>
      <c r="O812" s="139" t="s">
        <v>355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843</v>
      </c>
      <c r="V812" s="13" t="s">
        <v>843</v>
      </c>
      <c r="W812" s="59">
        <f t="shared" si="12"/>
        <v>1.0307191539320017E-4</v>
      </c>
    </row>
    <row r="813" spans="1:29">
      <c r="A813" s="13" t="s">
        <v>472</v>
      </c>
      <c r="B813" s="13" t="s">
        <v>471</v>
      </c>
      <c r="C813" s="139">
        <v>46265</v>
      </c>
      <c r="D813" s="139" t="s">
        <v>441</v>
      </c>
      <c r="E813" s="28">
        <v>0.96663138000000004</v>
      </c>
      <c r="F813" s="13"/>
      <c r="G813" s="18">
        <v>7500000</v>
      </c>
      <c r="H813" s="18">
        <v>7249735.3600000003</v>
      </c>
      <c r="I813" s="18">
        <v>7500000</v>
      </c>
      <c r="J813" s="18">
        <v>7249735.3600000003</v>
      </c>
      <c r="K813" s="15">
        <v>511</v>
      </c>
      <c r="L813" s="13" t="s">
        <v>102</v>
      </c>
      <c r="M813" s="13" t="s">
        <v>103</v>
      </c>
      <c r="N813" s="139" t="s">
        <v>369</v>
      </c>
      <c r="O813" s="139" t="s">
        <v>369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1073</v>
      </c>
      <c r="V813" s="13" t="s">
        <v>1073</v>
      </c>
      <c r="W813" s="59">
        <f t="shared" si="12"/>
        <v>1.3850336780549063E-4</v>
      </c>
      <c r="AC813" s="56"/>
    </row>
    <row r="814" spans="1:29">
      <c r="A814" s="13" t="s">
        <v>1389</v>
      </c>
      <c r="B814" s="13" t="s">
        <v>471</v>
      </c>
      <c r="C814" s="139">
        <v>46265</v>
      </c>
      <c r="D814" s="139" t="s">
        <v>441</v>
      </c>
      <c r="E814" s="28">
        <v>0.96341664999999999</v>
      </c>
      <c r="F814" s="13"/>
      <c r="G814" s="18">
        <v>2200000</v>
      </c>
      <c r="H814" s="18">
        <v>2119516.64</v>
      </c>
      <c r="I814" s="18">
        <v>2200000</v>
      </c>
      <c r="J814" s="18">
        <v>2119516.64</v>
      </c>
      <c r="K814" s="15">
        <v>6198</v>
      </c>
      <c r="L814" s="13" t="s">
        <v>102</v>
      </c>
      <c r="M814" s="13" t="s">
        <v>103</v>
      </c>
      <c r="N814" s="139" t="s">
        <v>351</v>
      </c>
      <c r="O814" s="139" t="s">
        <v>351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1377</v>
      </c>
      <c r="V814" s="13" t="s">
        <v>1377</v>
      </c>
      <c r="W814" s="59">
        <f t="shared" si="12"/>
        <v>4.0492539131770143E-5</v>
      </c>
    </row>
    <row r="815" spans="1:29">
      <c r="A815" s="13" t="s">
        <v>472</v>
      </c>
      <c r="B815" s="13" t="s">
        <v>471</v>
      </c>
      <c r="C815" s="139">
        <v>46265</v>
      </c>
      <c r="D815" s="139" t="s">
        <v>441</v>
      </c>
      <c r="E815" s="28">
        <v>0.96663136999999999</v>
      </c>
      <c r="F815" s="13"/>
      <c r="G815" s="18">
        <v>10000000</v>
      </c>
      <c r="H815" s="18">
        <v>9666313.7200000007</v>
      </c>
      <c r="I815" s="18">
        <v>10000000</v>
      </c>
      <c r="J815" s="18">
        <v>9666313.7200000007</v>
      </c>
      <c r="K815" s="15">
        <v>671</v>
      </c>
      <c r="L815" s="13" t="s">
        <v>102</v>
      </c>
      <c r="M815" s="13" t="s">
        <v>103</v>
      </c>
      <c r="N815" s="139" t="s">
        <v>354</v>
      </c>
      <c r="O815" s="139" t="s">
        <v>354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1698</v>
      </c>
      <c r="V815" s="13" t="s">
        <v>1698</v>
      </c>
      <c r="W815" s="59">
        <f t="shared" si="12"/>
        <v>1.8467115529089057E-4</v>
      </c>
    </row>
    <row r="816" spans="1:29">
      <c r="A816" s="13" t="s">
        <v>347</v>
      </c>
      <c r="B816" s="13" t="s">
        <v>471</v>
      </c>
      <c r="C816" s="139">
        <v>46265</v>
      </c>
      <c r="D816" s="139" t="s">
        <v>441</v>
      </c>
      <c r="E816" s="28">
        <v>0.96128526000000003</v>
      </c>
      <c r="F816" s="13"/>
      <c r="G816" s="18">
        <v>10000000</v>
      </c>
      <c r="H816" s="18">
        <v>9612852.5800000001</v>
      </c>
      <c r="I816" s="18">
        <v>10000000</v>
      </c>
      <c r="J816" s="18">
        <v>9612852.5800000001</v>
      </c>
      <c r="K816" s="15">
        <v>255</v>
      </c>
      <c r="L816" s="13" t="s">
        <v>102</v>
      </c>
      <c r="M816" s="13" t="s">
        <v>103</v>
      </c>
      <c r="N816" s="139" t="s">
        <v>341</v>
      </c>
      <c r="O816" s="139" t="s">
        <v>341</v>
      </c>
      <c r="P816" s="28">
        <v>35</v>
      </c>
      <c r="Q816" s="13" t="s">
        <v>54</v>
      </c>
      <c r="R816" s="13" t="s">
        <v>28</v>
      </c>
      <c r="S816" s="13"/>
      <c r="T816" s="13"/>
      <c r="U816" s="13" t="s">
        <v>948</v>
      </c>
      <c r="V816" s="13" t="s">
        <v>948</v>
      </c>
      <c r="W816" s="59">
        <f t="shared" si="12"/>
        <v>1.8364980105255863E-4</v>
      </c>
    </row>
    <row r="817" spans="1:29">
      <c r="A817" s="13" t="s">
        <v>149</v>
      </c>
      <c r="B817" s="13" t="s">
        <v>471</v>
      </c>
      <c r="C817" s="139">
        <v>46265</v>
      </c>
      <c r="D817" s="139" t="s">
        <v>441</v>
      </c>
      <c r="E817" s="28">
        <v>0.96986782000000005</v>
      </c>
      <c r="F817" s="13"/>
      <c r="G817" s="18">
        <v>200000000</v>
      </c>
      <c r="H817" s="18">
        <v>193973564.22</v>
      </c>
      <c r="I817" s="18">
        <v>200000000</v>
      </c>
      <c r="J817" s="18">
        <v>193973564.22</v>
      </c>
      <c r="K817" s="15">
        <v>90003876</v>
      </c>
      <c r="L817" s="13" t="s">
        <v>102</v>
      </c>
      <c r="M817" s="13" t="s">
        <v>103</v>
      </c>
      <c r="N817" s="139" t="s">
        <v>439</v>
      </c>
      <c r="O817" s="139" t="s">
        <v>439</v>
      </c>
      <c r="P817" s="28">
        <v>27</v>
      </c>
      <c r="Q817" s="13" t="s">
        <v>54</v>
      </c>
      <c r="R817" s="13" t="s">
        <v>28</v>
      </c>
      <c r="S817" s="13"/>
      <c r="T817" s="13"/>
      <c r="U817" s="13" t="s">
        <v>1756</v>
      </c>
      <c r="V817" s="13" t="s">
        <v>1756</v>
      </c>
      <c r="W817" s="59">
        <f t="shared" si="12"/>
        <v>3.7057893254885121E-3</v>
      </c>
      <c r="AC817" s="56"/>
    </row>
    <row r="818" spans="1:29">
      <c r="A818" s="13" t="s">
        <v>323</v>
      </c>
      <c r="B818" s="13" t="s">
        <v>471</v>
      </c>
      <c r="C818" s="139">
        <v>46265</v>
      </c>
      <c r="D818" s="139" t="s">
        <v>441</v>
      </c>
      <c r="E818" s="28">
        <v>0.97095144</v>
      </c>
      <c r="F818" s="13"/>
      <c r="G818" s="18">
        <v>10000000</v>
      </c>
      <c r="H818" s="18">
        <v>9709514.4100000001</v>
      </c>
      <c r="I818" s="18">
        <v>10000000</v>
      </c>
      <c r="J818" s="18">
        <v>9709514.4100000001</v>
      </c>
      <c r="K818" s="15">
        <v>68035342</v>
      </c>
      <c r="L818" s="13" t="s">
        <v>102</v>
      </c>
      <c r="M818" s="13" t="s">
        <v>103</v>
      </c>
      <c r="N818" s="139" t="s">
        <v>494</v>
      </c>
      <c r="O818" s="139" t="s">
        <v>494</v>
      </c>
      <c r="P818" s="28">
        <v>26</v>
      </c>
      <c r="Q818" s="13" t="s">
        <v>54</v>
      </c>
      <c r="R818" s="13" t="s">
        <v>28</v>
      </c>
      <c r="S818" s="13"/>
      <c r="T818" s="13"/>
      <c r="U818" s="13" t="s">
        <v>2010</v>
      </c>
      <c r="V818" s="13" t="s">
        <v>2010</v>
      </c>
      <c r="W818" s="59">
        <f t="shared" si="12"/>
        <v>1.8549648763192114E-4</v>
      </c>
    </row>
    <row r="819" spans="1:29">
      <c r="A819" s="13" t="s">
        <v>323</v>
      </c>
      <c r="B819" s="13" t="s">
        <v>471</v>
      </c>
      <c r="C819" s="139">
        <v>46265</v>
      </c>
      <c r="D819" s="139" t="s">
        <v>441</v>
      </c>
      <c r="E819" s="28">
        <v>0.96770776999999997</v>
      </c>
      <c r="F819" s="13"/>
      <c r="G819" s="18">
        <v>10000000</v>
      </c>
      <c r="H819" s="18">
        <v>9677077.6899999995</v>
      </c>
      <c r="I819" s="18">
        <v>10000000</v>
      </c>
      <c r="J819" s="18">
        <v>9677077.6899999995</v>
      </c>
      <c r="K819" s="15">
        <v>2157</v>
      </c>
      <c r="L819" s="13" t="s">
        <v>102</v>
      </c>
      <c r="M819" s="13" t="s">
        <v>103</v>
      </c>
      <c r="N819" s="139" t="s">
        <v>374</v>
      </c>
      <c r="O819" s="139" t="s">
        <v>374</v>
      </c>
      <c r="P819" s="28">
        <v>29</v>
      </c>
      <c r="Q819" s="13" t="s">
        <v>54</v>
      </c>
      <c r="R819" s="13" t="s">
        <v>28</v>
      </c>
      <c r="S819" s="13"/>
      <c r="T819" s="13"/>
      <c r="U819" s="13" t="s">
        <v>890</v>
      </c>
      <c r="V819" s="13" t="s">
        <v>890</v>
      </c>
      <c r="W819" s="59">
        <f t="shared" si="12"/>
        <v>1.8487679674149892E-4</v>
      </c>
    </row>
    <row r="820" spans="1:29">
      <c r="A820" s="13" t="s">
        <v>323</v>
      </c>
      <c r="B820" s="13" t="s">
        <v>471</v>
      </c>
      <c r="C820" s="139">
        <v>46265</v>
      </c>
      <c r="D820" s="139" t="s">
        <v>441</v>
      </c>
      <c r="E820" s="28">
        <v>0.97095136999999998</v>
      </c>
      <c r="F820" s="13"/>
      <c r="G820" s="18">
        <v>27000000</v>
      </c>
      <c r="H820" s="18">
        <v>26215687</v>
      </c>
      <c r="I820" s="18">
        <v>27000000</v>
      </c>
      <c r="J820" s="18">
        <v>26215687</v>
      </c>
      <c r="K820" s="15">
        <v>1416</v>
      </c>
      <c r="L820" s="13" t="s">
        <v>102</v>
      </c>
      <c r="M820" s="13" t="s">
        <v>103</v>
      </c>
      <c r="N820" s="139" t="s">
        <v>373</v>
      </c>
      <c r="O820" s="139" t="s">
        <v>373</v>
      </c>
      <c r="P820" s="28">
        <v>26</v>
      </c>
      <c r="Q820" s="13" t="s">
        <v>54</v>
      </c>
      <c r="R820" s="13" t="s">
        <v>28</v>
      </c>
      <c r="S820" s="13"/>
      <c r="T820" s="13"/>
      <c r="U820" s="13" t="s">
        <v>1407</v>
      </c>
      <c r="V820" s="13" t="s">
        <v>1407</v>
      </c>
      <c r="W820" s="59">
        <f t="shared" si="12"/>
        <v>5.0084048017369552E-4</v>
      </c>
      <c r="AC820" s="56"/>
    </row>
    <row r="821" spans="1:29">
      <c r="A821" s="13" t="s">
        <v>323</v>
      </c>
      <c r="B821" s="13" t="s">
        <v>471</v>
      </c>
      <c r="C821" s="139">
        <v>46265</v>
      </c>
      <c r="D821" s="139" t="s">
        <v>441</v>
      </c>
      <c r="E821" s="28">
        <v>0.96770774000000004</v>
      </c>
      <c r="F821" s="13"/>
      <c r="G821" s="18">
        <v>10000000</v>
      </c>
      <c r="H821" s="18">
        <v>9677077.3599999994</v>
      </c>
      <c r="I821" s="18">
        <v>10000000</v>
      </c>
      <c r="J821" s="18">
        <v>9677077.3599999994</v>
      </c>
      <c r="K821" s="15">
        <v>66412480</v>
      </c>
      <c r="L821" s="13" t="s">
        <v>102</v>
      </c>
      <c r="M821" s="13" t="s">
        <v>103</v>
      </c>
      <c r="N821" s="139" t="s">
        <v>327</v>
      </c>
      <c r="O821" s="139" t="s">
        <v>327</v>
      </c>
      <c r="P821" s="28">
        <v>29</v>
      </c>
      <c r="Q821" s="13" t="s">
        <v>54</v>
      </c>
      <c r="R821" s="13" t="s">
        <v>28</v>
      </c>
      <c r="S821" s="13"/>
      <c r="T821" s="13"/>
      <c r="U821" s="13" t="s">
        <v>800</v>
      </c>
      <c r="V821" s="13" t="s">
        <v>800</v>
      </c>
      <c r="W821" s="59">
        <f t="shared" si="12"/>
        <v>1.8487679043697756E-4</v>
      </c>
    </row>
    <row r="822" spans="1:29">
      <c r="A822" s="13" t="s">
        <v>1612</v>
      </c>
      <c r="B822" s="13" t="s">
        <v>471</v>
      </c>
      <c r="C822" s="139">
        <v>46265</v>
      </c>
      <c r="D822" s="139" t="s">
        <v>441</v>
      </c>
      <c r="E822" s="28">
        <v>0.96663138999999998</v>
      </c>
      <c r="F822" s="13"/>
      <c r="G822" s="18">
        <v>1606134</v>
      </c>
      <c r="H822" s="18">
        <v>1552539.54</v>
      </c>
      <c r="I822" s="18">
        <v>1606134</v>
      </c>
      <c r="J822" s="18">
        <v>1552539.54</v>
      </c>
      <c r="K822" s="15">
        <v>67237112</v>
      </c>
      <c r="L822" s="13" t="s">
        <v>102</v>
      </c>
      <c r="M822" s="13" t="s">
        <v>103</v>
      </c>
      <c r="N822" s="139" t="s">
        <v>389</v>
      </c>
      <c r="O822" s="139" t="s">
        <v>389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1613</v>
      </c>
      <c r="V822" s="13" t="s">
        <v>1613</v>
      </c>
      <c r="W822" s="59">
        <f t="shared" si="12"/>
        <v>2.9660662667442143E-5</v>
      </c>
    </row>
    <row r="823" spans="1:29">
      <c r="A823" s="13" t="s">
        <v>163</v>
      </c>
      <c r="B823" s="13" t="s">
        <v>471</v>
      </c>
      <c r="C823" s="139">
        <v>46265</v>
      </c>
      <c r="D823" s="139" t="s">
        <v>441</v>
      </c>
      <c r="E823" s="28">
        <v>0.96878651999999998</v>
      </c>
      <c r="F823" s="13"/>
      <c r="G823" s="18">
        <v>35000000</v>
      </c>
      <c r="H823" s="18">
        <v>33907528.280000001</v>
      </c>
      <c r="I823" s="18">
        <v>35000000</v>
      </c>
      <c r="J823" s="18">
        <v>33907528.280000001</v>
      </c>
      <c r="K823" s="15">
        <v>3329632</v>
      </c>
      <c r="L823" s="13" t="s">
        <v>102</v>
      </c>
      <c r="M823" s="13" t="s">
        <v>103</v>
      </c>
      <c r="N823" s="139" t="s">
        <v>341</v>
      </c>
      <c r="O823" s="139" t="s">
        <v>341</v>
      </c>
      <c r="P823" s="28">
        <v>28</v>
      </c>
      <c r="Q823" s="13" t="s">
        <v>54</v>
      </c>
      <c r="R823" s="13" t="s">
        <v>28</v>
      </c>
      <c r="S823" s="13"/>
      <c r="T823" s="13"/>
      <c r="U823" s="13" t="s">
        <v>936</v>
      </c>
      <c r="V823" s="13" t="s">
        <v>936</v>
      </c>
      <c r="W823" s="59">
        <f t="shared" si="12"/>
        <v>6.4779010922957545E-4</v>
      </c>
    </row>
    <row r="824" spans="1:29">
      <c r="A824" s="13" t="s">
        <v>1657</v>
      </c>
      <c r="B824" s="13" t="s">
        <v>471</v>
      </c>
      <c r="C824" s="139">
        <v>46265</v>
      </c>
      <c r="D824" s="139" t="s">
        <v>441</v>
      </c>
      <c r="E824" s="28">
        <v>0.96663142999999996</v>
      </c>
      <c r="F824" s="13"/>
      <c r="G824" s="18">
        <v>2700000</v>
      </c>
      <c r="H824" s="18">
        <v>2609904.86</v>
      </c>
      <c r="I824" s="18">
        <v>2700000</v>
      </c>
      <c r="J824" s="18">
        <v>2609904.86</v>
      </c>
      <c r="K824" s="15">
        <v>6274</v>
      </c>
      <c r="L824" s="13" t="s">
        <v>102</v>
      </c>
      <c r="M824" s="13" t="s">
        <v>103</v>
      </c>
      <c r="N824" s="139" t="s">
        <v>170</v>
      </c>
      <c r="O824" s="139" t="s">
        <v>170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1633</v>
      </c>
      <c r="V824" s="13" t="s">
        <v>1633</v>
      </c>
      <c r="W824" s="59">
        <f t="shared" si="12"/>
        <v>4.9861214901217788E-5</v>
      </c>
    </row>
    <row r="825" spans="1:29">
      <c r="A825" s="13" t="s">
        <v>910</v>
      </c>
      <c r="B825" s="13" t="s">
        <v>471</v>
      </c>
      <c r="C825" s="139">
        <v>46265</v>
      </c>
      <c r="D825" s="139" t="s">
        <v>441</v>
      </c>
      <c r="E825" s="28">
        <v>0.96341666000000004</v>
      </c>
      <c r="F825" s="13"/>
      <c r="G825" s="18">
        <v>10000000</v>
      </c>
      <c r="H825" s="18">
        <v>9634166.5500000007</v>
      </c>
      <c r="I825" s="18">
        <v>10000000</v>
      </c>
      <c r="J825" s="18">
        <v>9634166.5500000007</v>
      </c>
      <c r="K825" s="15">
        <v>3222</v>
      </c>
      <c r="L825" s="13" t="s">
        <v>102</v>
      </c>
      <c r="M825" s="13" t="s">
        <v>103</v>
      </c>
      <c r="N825" s="139" t="s">
        <v>351</v>
      </c>
      <c r="O825" s="139" t="s">
        <v>351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1357</v>
      </c>
      <c r="V825" s="13" t="s">
        <v>1357</v>
      </c>
      <c r="W825" s="59">
        <f t="shared" si="12"/>
        <v>1.8405699614033977E-4</v>
      </c>
    </row>
    <row r="826" spans="1:29">
      <c r="A826" s="13" t="s">
        <v>2488</v>
      </c>
      <c r="B826" s="13" t="s">
        <v>471</v>
      </c>
      <c r="C826" s="139">
        <v>46265</v>
      </c>
      <c r="D826" s="139" t="s">
        <v>441</v>
      </c>
      <c r="E826" s="28">
        <v>0.96663149000000004</v>
      </c>
      <c r="F826" s="13"/>
      <c r="G826" s="18">
        <v>2870567.11</v>
      </c>
      <c r="H826" s="18">
        <v>2774780.57</v>
      </c>
      <c r="I826" s="18">
        <v>2870567.11</v>
      </c>
      <c r="J826" s="18">
        <v>2774780.57</v>
      </c>
      <c r="K826" s="15">
        <v>99</v>
      </c>
      <c r="L826" s="13" t="s">
        <v>102</v>
      </c>
      <c r="M826" s="13" t="s">
        <v>103</v>
      </c>
      <c r="N826" s="139" t="s">
        <v>441</v>
      </c>
      <c r="O826" s="139" t="s">
        <v>441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2458</v>
      </c>
      <c r="V826" s="13" t="s">
        <v>2458</v>
      </c>
      <c r="W826" s="59">
        <f t="shared" si="12"/>
        <v>5.3011101065382738E-5</v>
      </c>
    </row>
    <row r="827" spans="1:29">
      <c r="A827" s="13" t="s">
        <v>698</v>
      </c>
      <c r="B827" s="13" t="s">
        <v>471</v>
      </c>
      <c r="C827" s="139">
        <v>46266</v>
      </c>
      <c r="D827" s="139" t="s">
        <v>441</v>
      </c>
      <c r="E827" s="28">
        <v>0.97250354999999999</v>
      </c>
      <c r="F827" s="13"/>
      <c r="G827" s="18">
        <v>10000000</v>
      </c>
      <c r="H827" s="18">
        <v>9725035.4800000004</v>
      </c>
      <c r="I827" s="18">
        <v>10000000</v>
      </c>
      <c r="J827" s="18">
        <v>9725035.4800000004</v>
      </c>
      <c r="K827" s="15">
        <v>4538</v>
      </c>
      <c r="L827" s="13" t="s">
        <v>102</v>
      </c>
      <c r="M827" s="13" t="s">
        <v>103</v>
      </c>
      <c r="N827" s="139" t="s">
        <v>382</v>
      </c>
      <c r="O827" s="139" t="s">
        <v>382</v>
      </c>
      <c r="P827" s="28">
        <v>24</v>
      </c>
      <c r="Q827" s="13" t="s">
        <v>54</v>
      </c>
      <c r="R827" s="13" t="s">
        <v>28</v>
      </c>
      <c r="S827" s="13"/>
      <c r="T827" s="13"/>
      <c r="U827" s="13" t="s">
        <v>2341</v>
      </c>
      <c r="V827" s="13" t="s">
        <v>2341</v>
      </c>
      <c r="W827" s="59">
        <f t="shared" si="12"/>
        <v>1.8579301162351477E-4</v>
      </c>
    </row>
    <row r="828" spans="1:29">
      <c r="A828" s="13" t="s">
        <v>580</v>
      </c>
      <c r="B828" s="13" t="s">
        <v>471</v>
      </c>
      <c r="C828" s="139">
        <v>46266</v>
      </c>
      <c r="D828" s="139" t="s">
        <v>441</v>
      </c>
      <c r="E828" s="28">
        <v>0.96586402999999998</v>
      </c>
      <c r="F828" s="13"/>
      <c r="G828" s="18">
        <v>25000000</v>
      </c>
      <c r="H828" s="18">
        <v>24146600.649999999</v>
      </c>
      <c r="I828" s="18">
        <v>25000000</v>
      </c>
      <c r="J828" s="18">
        <v>24146600.649999999</v>
      </c>
      <c r="K828" s="15">
        <v>718978</v>
      </c>
      <c r="L828" s="13" t="s">
        <v>102</v>
      </c>
      <c r="M828" s="13" t="s">
        <v>103</v>
      </c>
      <c r="N828" s="139" t="s">
        <v>358</v>
      </c>
      <c r="O828" s="139" t="s">
        <v>358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592</v>
      </c>
      <c r="V828" s="13" t="s">
        <v>592</v>
      </c>
      <c r="W828" s="59">
        <f t="shared" si="12"/>
        <v>4.6131139207255818E-4</v>
      </c>
    </row>
    <row r="829" spans="1:29">
      <c r="A829" s="13" t="s">
        <v>581</v>
      </c>
      <c r="B829" s="13" t="s">
        <v>471</v>
      </c>
      <c r="C829" s="139">
        <v>46266</v>
      </c>
      <c r="D829" s="139" t="s">
        <v>441</v>
      </c>
      <c r="E829" s="28">
        <v>0.9669643</v>
      </c>
      <c r="F829" s="13"/>
      <c r="G829" s="18">
        <v>2500000</v>
      </c>
      <c r="H829" s="18">
        <v>2417410.75</v>
      </c>
      <c r="I829" s="18">
        <v>2500000</v>
      </c>
      <c r="J829" s="18">
        <v>2417410.75</v>
      </c>
      <c r="K829" s="15">
        <v>367</v>
      </c>
      <c r="L829" s="13" t="s">
        <v>102</v>
      </c>
      <c r="M829" s="13" t="s">
        <v>103</v>
      </c>
      <c r="N829" s="139" t="s">
        <v>358</v>
      </c>
      <c r="O829" s="139" t="s">
        <v>358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590</v>
      </c>
      <c r="V829" s="13" t="s">
        <v>590</v>
      </c>
      <c r="W829" s="59">
        <f t="shared" si="12"/>
        <v>4.6183689971849804E-5</v>
      </c>
    </row>
    <row r="830" spans="1:29">
      <c r="A830" s="13" t="s">
        <v>1268</v>
      </c>
      <c r="B830" s="13" t="s">
        <v>471</v>
      </c>
      <c r="C830" s="139">
        <v>46266</v>
      </c>
      <c r="D830" s="139" t="s">
        <v>441</v>
      </c>
      <c r="E830" s="28">
        <v>0.96257826000000002</v>
      </c>
      <c r="F830" s="13"/>
      <c r="G830" s="18">
        <v>3000000</v>
      </c>
      <c r="H830" s="18">
        <v>2887734.77</v>
      </c>
      <c r="I830" s="18">
        <v>3000000</v>
      </c>
      <c r="J830" s="18">
        <v>2887734.77</v>
      </c>
      <c r="K830" s="15">
        <v>90015797</v>
      </c>
      <c r="L830" s="13" t="s">
        <v>102</v>
      </c>
      <c r="M830" s="13" t="s">
        <v>103</v>
      </c>
      <c r="N830" s="139" t="s">
        <v>319</v>
      </c>
      <c r="O830" s="139" t="s">
        <v>319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1240</v>
      </c>
      <c r="V830" s="13" t="s">
        <v>1240</v>
      </c>
      <c r="W830" s="59">
        <f t="shared" si="12"/>
        <v>5.5169047022154182E-5</v>
      </c>
      <c r="AC830" s="56"/>
    </row>
    <row r="831" spans="1:29">
      <c r="A831" s="13" t="s">
        <v>1467</v>
      </c>
      <c r="B831" s="13" t="s">
        <v>471</v>
      </c>
      <c r="C831" s="139">
        <v>46266</v>
      </c>
      <c r="D831" s="139" t="s">
        <v>441</v>
      </c>
      <c r="E831" s="28">
        <v>0.96367102000000004</v>
      </c>
      <c r="F831" s="13"/>
      <c r="G831" s="18">
        <v>1000000</v>
      </c>
      <c r="H831" s="18">
        <v>963671.02</v>
      </c>
      <c r="I831" s="18">
        <v>1000000</v>
      </c>
      <c r="J831" s="18">
        <v>963671.02</v>
      </c>
      <c r="K831" s="15">
        <v>67381500</v>
      </c>
      <c r="L831" s="13" t="s">
        <v>102</v>
      </c>
      <c r="M831" s="13" t="s">
        <v>103</v>
      </c>
      <c r="N831" s="139" t="s">
        <v>373</v>
      </c>
      <c r="O831" s="139" t="s">
        <v>373</v>
      </c>
      <c r="P831" s="28">
        <v>32</v>
      </c>
      <c r="Q831" s="13" t="s">
        <v>54</v>
      </c>
      <c r="R831" s="13" t="s">
        <v>28</v>
      </c>
      <c r="S831" s="13"/>
      <c r="T831" s="13"/>
      <c r="U831" s="13" t="s">
        <v>1480</v>
      </c>
      <c r="V831" s="13" t="s">
        <v>1480</v>
      </c>
      <c r="W831" s="59">
        <f t="shared" si="12"/>
        <v>1.8410559158196956E-5</v>
      </c>
      <c r="AC831" s="56"/>
    </row>
    <row r="832" spans="1:29">
      <c r="A832" s="13" t="s">
        <v>582</v>
      </c>
      <c r="B832" s="13" t="s">
        <v>471</v>
      </c>
      <c r="C832" s="139">
        <v>46266</v>
      </c>
      <c r="D832" s="139" t="s">
        <v>441</v>
      </c>
      <c r="E832" s="28">
        <v>0.95499741000000005</v>
      </c>
      <c r="F832" s="13"/>
      <c r="G832" s="18">
        <v>9972860.4499999993</v>
      </c>
      <c r="H832" s="18">
        <v>9524055.8499999996</v>
      </c>
      <c r="I832" s="18">
        <v>9972860.4499999993</v>
      </c>
      <c r="J832" s="18">
        <v>9524055.8499999996</v>
      </c>
      <c r="K832" s="15">
        <v>1179204</v>
      </c>
      <c r="L832" s="13" t="s">
        <v>102</v>
      </c>
      <c r="M832" s="13" t="s">
        <v>103</v>
      </c>
      <c r="N832" s="139" t="s">
        <v>346</v>
      </c>
      <c r="O832" s="139" t="s">
        <v>346</v>
      </c>
      <c r="P832" s="28">
        <v>40</v>
      </c>
      <c r="Q832" s="13" t="s">
        <v>54</v>
      </c>
      <c r="R832" s="13" t="s">
        <v>28</v>
      </c>
      <c r="S832" s="13"/>
      <c r="T832" s="13"/>
      <c r="U832" s="13" t="s">
        <v>568</v>
      </c>
      <c r="V832" s="13" t="s">
        <v>568</v>
      </c>
      <c r="W832" s="59">
        <f t="shared" si="12"/>
        <v>1.8195337414255418E-4</v>
      </c>
    </row>
    <row r="833" spans="1:29">
      <c r="A833" s="13" t="s">
        <v>655</v>
      </c>
      <c r="B833" s="13" t="s">
        <v>471</v>
      </c>
      <c r="C833" s="139">
        <v>46266</v>
      </c>
      <c r="D833" s="139" t="s">
        <v>441</v>
      </c>
      <c r="E833" s="28">
        <v>0.95715119000000004</v>
      </c>
      <c r="F833" s="13"/>
      <c r="G833" s="18">
        <v>4500000</v>
      </c>
      <c r="H833" s="18">
        <v>4307180.37</v>
      </c>
      <c r="I833" s="18">
        <v>4500000</v>
      </c>
      <c r="J833" s="18">
        <v>4307180.37</v>
      </c>
      <c r="K833" s="15">
        <v>556</v>
      </c>
      <c r="L833" s="13" t="s">
        <v>102</v>
      </c>
      <c r="M833" s="13" t="s">
        <v>103</v>
      </c>
      <c r="N833" s="139" t="s">
        <v>327</v>
      </c>
      <c r="O833" s="139" t="s">
        <v>327</v>
      </c>
      <c r="P833" s="28">
        <v>38</v>
      </c>
      <c r="Q833" s="13" t="s">
        <v>54</v>
      </c>
      <c r="R833" s="13" t="s">
        <v>28</v>
      </c>
      <c r="S833" s="13"/>
      <c r="T833" s="13"/>
      <c r="U833" s="13" t="s">
        <v>804</v>
      </c>
      <c r="V833" s="13" t="s">
        <v>804</v>
      </c>
      <c r="W833" s="59">
        <f t="shared" si="12"/>
        <v>8.228700185143023E-5</v>
      </c>
    </row>
    <row r="834" spans="1:29">
      <c r="A834" s="13" t="s">
        <v>699</v>
      </c>
      <c r="B834" s="13" t="s">
        <v>471</v>
      </c>
      <c r="C834" s="139">
        <v>46266</v>
      </c>
      <c r="D834" s="139" t="s">
        <v>441</v>
      </c>
      <c r="E834" s="28">
        <v>0.96257815999999996</v>
      </c>
      <c r="F834" s="13"/>
      <c r="G834" s="18">
        <v>10000000</v>
      </c>
      <c r="H834" s="18">
        <v>9625781.6199999992</v>
      </c>
      <c r="I834" s="18">
        <v>10000000</v>
      </c>
      <c r="J834" s="18">
        <v>9625781.6199999992</v>
      </c>
      <c r="K834" s="15">
        <v>29692614</v>
      </c>
      <c r="L834" s="13" t="s">
        <v>102</v>
      </c>
      <c r="M834" s="13" t="s">
        <v>103</v>
      </c>
      <c r="N834" s="139" t="s">
        <v>392</v>
      </c>
      <c r="O834" s="139" t="s">
        <v>392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2306</v>
      </c>
      <c r="V834" s="13" t="s">
        <v>2306</v>
      </c>
      <c r="W834" s="59">
        <f t="shared" si="12"/>
        <v>1.8389680532148296E-4</v>
      </c>
    </row>
    <row r="835" spans="1:29">
      <c r="A835" s="13" t="s">
        <v>197</v>
      </c>
      <c r="B835" s="13" t="s">
        <v>471</v>
      </c>
      <c r="C835" s="139">
        <v>46266</v>
      </c>
      <c r="D835" s="139" t="s">
        <v>441</v>
      </c>
      <c r="E835" s="28">
        <v>0.97698081000000003</v>
      </c>
      <c r="F835" s="13"/>
      <c r="G835" s="18">
        <v>2500000</v>
      </c>
      <c r="H835" s="18">
        <v>2442452.0099999998</v>
      </c>
      <c r="I835" s="18">
        <v>2500000</v>
      </c>
      <c r="J835" s="18">
        <v>2442452.0099999998</v>
      </c>
      <c r="K835" s="15">
        <v>6138</v>
      </c>
      <c r="L835" s="13" t="s">
        <v>102</v>
      </c>
      <c r="M835" s="13" t="s">
        <v>103</v>
      </c>
      <c r="N835" s="139" t="s">
        <v>319</v>
      </c>
      <c r="O835" s="139" t="s">
        <v>319</v>
      </c>
      <c r="P835" s="28">
        <v>20</v>
      </c>
      <c r="Q835" s="13" t="s">
        <v>54</v>
      </c>
      <c r="R835" s="13" t="s">
        <v>28</v>
      </c>
      <c r="S835" s="13"/>
      <c r="T835" s="13"/>
      <c r="U835" s="13" t="s">
        <v>1203</v>
      </c>
      <c r="V835" s="13" t="s">
        <v>1203</v>
      </c>
      <c r="W835" s="59">
        <f t="shared" si="12"/>
        <v>4.6662093482028814E-5</v>
      </c>
    </row>
    <row r="836" spans="1:29">
      <c r="A836" s="13" t="s">
        <v>147</v>
      </c>
      <c r="B836" s="13" t="s">
        <v>471</v>
      </c>
      <c r="C836" s="139">
        <v>46266</v>
      </c>
      <c r="D836" s="139" t="s">
        <v>441</v>
      </c>
      <c r="E836" s="28">
        <v>0.96040011000000003</v>
      </c>
      <c r="F836" s="13"/>
      <c r="G836" s="18">
        <v>20000000</v>
      </c>
      <c r="H836" s="18">
        <v>19208002.210000001</v>
      </c>
      <c r="I836" s="18">
        <v>20000000</v>
      </c>
      <c r="J836" s="18">
        <v>19208002.210000001</v>
      </c>
      <c r="K836" s="15">
        <v>4269</v>
      </c>
      <c r="L836" s="13" t="s">
        <v>102</v>
      </c>
      <c r="M836" s="13" t="s">
        <v>103</v>
      </c>
      <c r="N836" s="139" t="s">
        <v>485</v>
      </c>
      <c r="O836" s="139" t="s">
        <v>485</v>
      </c>
      <c r="P836" s="28">
        <v>35</v>
      </c>
      <c r="Q836" s="13" t="s">
        <v>54</v>
      </c>
      <c r="R836" s="13" t="s">
        <v>28</v>
      </c>
      <c r="S836" s="13"/>
      <c r="T836" s="13"/>
      <c r="U836" s="13" t="s">
        <v>1521</v>
      </c>
      <c r="V836" s="13" t="s">
        <v>1521</v>
      </c>
      <c r="W836" s="59">
        <f t="shared" si="12"/>
        <v>3.6696139414671089E-4</v>
      </c>
    </row>
    <row r="837" spans="1:29">
      <c r="A837" s="13" t="s">
        <v>1389</v>
      </c>
      <c r="B837" s="13" t="s">
        <v>471</v>
      </c>
      <c r="C837" s="139">
        <v>46266</v>
      </c>
      <c r="D837" s="139" t="s">
        <v>441</v>
      </c>
      <c r="E837" s="28">
        <v>0.96257817000000001</v>
      </c>
      <c r="F837" s="13"/>
      <c r="G837" s="18">
        <v>2200000</v>
      </c>
      <c r="H837" s="18">
        <v>2117671.9700000002</v>
      </c>
      <c r="I837" s="18">
        <v>2200000</v>
      </c>
      <c r="J837" s="18">
        <v>2117671.9700000002</v>
      </c>
      <c r="K837" s="15">
        <v>6199</v>
      </c>
      <c r="L837" s="13" t="s">
        <v>102</v>
      </c>
      <c r="M837" s="13" t="s">
        <v>103</v>
      </c>
      <c r="N837" s="139" t="s">
        <v>351</v>
      </c>
      <c r="O837" s="139" t="s">
        <v>351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1378</v>
      </c>
      <c r="V837" s="13" t="s">
        <v>1378</v>
      </c>
      <c r="W837" s="59">
        <f t="shared" ref="W837:W900" si="13">+J837/$W$2</f>
        <v>4.0457297430548963E-5</v>
      </c>
    </row>
    <row r="838" spans="1:29">
      <c r="A838" s="13" t="s">
        <v>310</v>
      </c>
      <c r="B838" s="13" t="s">
        <v>471</v>
      </c>
      <c r="C838" s="139">
        <v>46266</v>
      </c>
      <c r="D838" s="139" t="s">
        <v>441</v>
      </c>
      <c r="E838" s="28">
        <v>0.96257817000000001</v>
      </c>
      <c r="F838" s="13"/>
      <c r="G838" s="18">
        <v>50000000</v>
      </c>
      <c r="H838" s="18">
        <v>48128908.369999997</v>
      </c>
      <c r="I838" s="18">
        <v>50000000</v>
      </c>
      <c r="J838" s="18">
        <v>48128908.369999997</v>
      </c>
      <c r="K838" s="15">
        <v>29030847</v>
      </c>
      <c r="L838" s="13" t="s">
        <v>102</v>
      </c>
      <c r="M838" s="13" t="s">
        <v>103</v>
      </c>
      <c r="N838" s="139" t="s">
        <v>309</v>
      </c>
      <c r="O838" s="139" t="s">
        <v>309</v>
      </c>
      <c r="P838" s="28">
        <v>33</v>
      </c>
      <c r="Q838" s="13" t="s">
        <v>54</v>
      </c>
      <c r="R838" s="13" t="s">
        <v>28</v>
      </c>
      <c r="S838" s="13"/>
      <c r="T838" s="13"/>
      <c r="U838" s="13" t="s">
        <v>519</v>
      </c>
      <c r="V838" s="13" t="s">
        <v>519</v>
      </c>
      <c r="W838" s="59">
        <f t="shared" si="13"/>
        <v>9.1948403176565969E-4</v>
      </c>
    </row>
    <row r="839" spans="1:29">
      <c r="A839" s="13" t="s">
        <v>472</v>
      </c>
      <c r="B839" s="13" t="s">
        <v>471</v>
      </c>
      <c r="C839" s="139">
        <v>46266</v>
      </c>
      <c r="D839" s="139" t="s">
        <v>441</v>
      </c>
      <c r="E839" s="28">
        <v>0.96257822999999998</v>
      </c>
      <c r="F839" s="13"/>
      <c r="G839" s="18">
        <v>10000000</v>
      </c>
      <c r="H839" s="18">
        <v>9625782.2899999991</v>
      </c>
      <c r="I839" s="18">
        <v>10000000</v>
      </c>
      <c r="J839" s="18">
        <v>9625782.2899999991</v>
      </c>
      <c r="K839" s="15">
        <v>665</v>
      </c>
      <c r="L839" s="13" t="s">
        <v>102</v>
      </c>
      <c r="M839" s="13" t="s">
        <v>103</v>
      </c>
      <c r="N839" s="139" t="s">
        <v>383</v>
      </c>
      <c r="O839" s="139" t="s">
        <v>383</v>
      </c>
      <c r="P839" s="28">
        <v>33</v>
      </c>
      <c r="Q839" s="13" t="s">
        <v>54</v>
      </c>
      <c r="R839" s="13" t="s">
        <v>28</v>
      </c>
      <c r="S839" s="13"/>
      <c r="T839" s="13"/>
      <c r="U839" s="13" t="s">
        <v>1683</v>
      </c>
      <c r="V839" s="13" t="s">
        <v>1683</v>
      </c>
      <c r="W839" s="59">
        <f t="shared" si="13"/>
        <v>1.8389681812157178E-4</v>
      </c>
    </row>
    <row r="840" spans="1:29">
      <c r="A840" s="13" t="s">
        <v>1862</v>
      </c>
      <c r="B840" s="13" t="s">
        <v>471</v>
      </c>
      <c r="C840" s="139">
        <v>46266</v>
      </c>
      <c r="D840" s="139" t="s">
        <v>441</v>
      </c>
      <c r="E840" s="28">
        <v>0.96917235999999995</v>
      </c>
      <c r="F840" s="13"/>
      <c r="G840" s="18">
        <v>52602739.240000002</v>
      </c>
      <c r="H840" s="18">
        <v>50981120.700000003</v>
      </c>
      <c r="I840" s="18">
        <v>52602739.240000002</v>
      </c>
      <c r="J840" s="18">
        <v>50981120.700000003</v>
      </c>
      <c r="K840" s="15">
        <v>287</v>
      </c>
      <c r="L840" s="13" t="s">
        <v>102</v>
      </c>
      <c r="M840" s="13" t="s">
        <v>103</v>
      </c>
      <c r="N840" s="139" t="s">
        <v>367</v>
      </c>
      <c r="O840" s="139" t="s">
        <v>367</v>
      </c>
      <c r="P840" s="28">
        <v>27</v>
      </c>
      <c r="Q840" s="13" t="s">
        <v>54</v>
      </c>
      <c r="R840" s="13" t="s">
        <v>28</v>
      </c>
      <c r="S840" s="13"/>
      <c r="T840" s="13"/>
      <c r="U840" s="13" t="s">
        <v>1847</v>
      </c>
      <c r="V840" s="13" t="s">
        <v>1847</v>
      </c>
      <c r="W840" s="59">
        <f t="shared" si="13"/>
        <v>9.7397443641973331E-4</v>
      </c>
    </row>
    <row r="841" spans="1:29">
      <c r="A841" s="13" t="s">
        <v>122</v>
      </c>
      <c r="B841" s="13" t="s">
        <v>471</v>
      </c>
      <c r="C841" s="139">
        <v>46266</v>
      </c>
      <c r="D841" s="139" t="s">
        <v>441</v>
      </c>
      <c r="E841" s="28">
        <v>0.91584286999999998</v>
      </c>
      <c r="F841" s="13"/>
      <c r="G841" s="18">
        <v>10000000</v>
      </c>
      <c r="H841" s="18">
        <v>9158428.6899999995</v>
      </c>
      <c r="I841" s="18">
        <v>10000000</v>
      </c>
      <c r="J841" s="18">
        <v>9158428.6899999995</v>
      </c>
      <c r="K841" s="15">
        <v>3937</v>
      </c>
      <c r="L841" s="13" t="s">
        <v>102</v>
      </c>
      <c r="M841" s="13" t="s">
        <v>103</v>
      </c>
      <c r="N841" s="139" t="s">
        <v>135</v>
      </c>
      <c r="O841" s="139" t="s">
        <v>135</v>
      </c>
      <c r="P841" s="28">
        <v>78</v>
      </c>
      <c r="Q841" s="13" t="s">
        <v>54</v>
      </c>
      <c r="R841" s="13" t="s">
        <v>28</v>
      </c>
      <c r="S841" s="13"/>
      <c r="T841" s="13"/>
      <c r="U841" s="13" t="s">
        <v>189</v>
      </c>
      <c r="V841" s="13" t="s">
        <v>189</v>
      </c>
      <c r="W841" s="59">
        <f t="shared" si="13"/>
        <v>1.749682097873746E-4</v>
      </c>
    </row>
    <row r="842" spans="1:29">
      <c r="A842" s="13" t="s">
        <v>1587</v>
      </c>
      <c r="B842" s="13" t="s">
        <v>471</v>
      </c>
      <c r="C842" s="139">
        <v>46266</v>
      </c>
      <c r="D842" s="139" t="s">
        <v>441</v>
      </c>
      <c r="E842" s="28">
        <v>0.96367104999999997</v>
      </c>
      <c r="F842" s="13"/>
      <c r="G842" s="18">
        <v>22266654.899999999</v>
      </c>
      <c r="H842" s="18">
        <v>21457730.780000001</v>
      </c>
      <c r="I842" s="18">
        <v>22266654.899999999</v>
      </c>
      <c r="J842" s="18">
        <v>21457730.780000001</v>
      </c>
      <c r="K842" s="15">
        <v>8292016</v>
      </c>
      <c r="L842" s="13" t="s">
        <v>102</v>
      </c>
      <c r="M842" s="13" t="s">
        <v>103</v>
      </c>
      <c r="N842" s="139" t="s">
        <v>381</v>
      </c>
      <c r="O842" s="139" t="s">
        <v>381</v>
      </c>
      <c r="P842" s="28">
        <v>32</v>
      </c>
      <c r="Q842" s="13" t="s">
        <v>54</v>
      </c>
      <c r="R842" s="13" t="s">
        <v>28</v>
      </c>
      <c r="S842" s="13"/>
      <c r="T842" s="13"/>
      <c r="U842" s="13" t="s">
        <v>1568</v>
      </c>
      <c r="V842" s="13" t="s">
        <v>1568</v>
      </c>
      <c r="W842" s="59">
        <f t="shared" si="13"/>
        <v>4.0994158143912405E-4</v>
      </c>
    </row>
    <row r="843" spans="1:29">
      <c r="A843" s="13" t="s">
        <v>149</v>
      </c>
      <c r="B843" s="13" t="s">
        <v>471</v>
      </c>
      <c r="C843" s="139">
        <v>46266</v>
      </c>
      <c r="D843" s="139" t="s">
        <v>441</v>
      </c>
      <c r="E843" s="28">
        <v>0.96917246000000001</v>
      </c>
      <c r="F843" s="13"/>
      <c r="G843" s="18">
        <v>200000000</v>
      </c>
      <c r="H843" s="18">
        <v>193834491.69999999</v>
      </c>
      <c r="I843" s="18">
        <v>200000000</v>
      </c>
      <c r="J843" s="18">
        <v>193834491.69999999</v>
      </c>
      <c r="K843" s="15">
        <v>90003877</v>
      </c>
      <c r="L843" s="13" t="s">
        <v>102</v>
      </c>
      <c r="M843" s="13" t="s">
        <v>103</v>
      </c>
      <c r="N843" s="139" t="s">
        <v>439</v>
      </c>
      <c r="O843" s="139" t="s">
        <v>439</v>
      </c>
      <c r="P843" s="28">
        <v>27</v>
      </c>
      <c r="Q843" s="13" t="s">
        <v>54</v>
      </c>
      <c r="R843" s="13" t="s">
        <v>28</v>
      </c>
      <c r="S843" s="13"/>
      <c r="T843" s="13"/>
      <c r="U843" s="13" t="s">
        <v>1757</v>
      </c>
      <c r="V843" s="13" t="s">
        <v>1757</v>
      </c>
      <c r="W843" s="59">
        <f t="shared" si="13"/>
        <v>3.7031323992101441E-3</v>
      </c>
    </row>
    <row r="844" spans="1:29">
      <c r="A844" s="13" t="s">
        <v>323</v>
      </c>
      <c r="B844" s="13" t="s">
        <v>471</v>
      </c>
      <c r="C844" s="139">
        <v>46266</v>
      </c>
      <c r="D844" s="139" t="s">
        <v>441</v>
      </c>
      <c r="E844" s="28">
        <v>0.97028031000000003</v>
      </c>
      <c r="F844" s="13"/>
      <c r="G844" s="18">
        <v>2500000</v>
      </c>
      <c r="H844" s="18">
        <v>2425700.7599999998</v>
      </c>
      <c r="I844" s="18">
        <v>2500000</v>
      </c>
      <c r="J844" s="18">
        <v>2425700.7599999998</v>
      </c>
      <c r="K844" s="15">
        <v>3838</v>
      </c>
      <c r="L844" s="13" t="s">
        <v>102</v>
      </c>
      <c r="M844" s="13" t="s">
        <v>103</v>
      </c>
      <c r="N844" s="139" t="s">
        <v>494</v>
      </c>
      <c r="O844" s="139" t="s">
        <v>494</v>
      </c>
      <c r="P844" s="28">
        <v>26</v>
      </c>
      <c r="Q844" s="13" t="s">
        <v>54</v>
      </c>
      <c r="R844" s="13" t="s">
        <v>28</v>
      </c>
      <c r="S844" s="13"/>
      <c r="T844" s="13"/>
      <c r="U844" s="13" t="s">
        <v>2000</v>
      </c>
      <c r="V844" s="13" t="s">
        <v>2000</v>
      </c>
      <c r="W844" s="59">
        <f t="shared" si="13"/>
        <v>4.6342067381110326E-5</v>
      </c>
      <c r="AC844" s="56"/>
    </row>
    <row r="845" spans="1:29">
      <c r="A845" s="13" t="s">
        <v>323</v>
      </c>
      <c r="B845" s="13" t="s">
        <v>471</v>
      </c>
      <c r="C845" s="139">
        <v>46266</v>
      </c>
      <c r="D845" s="139" t="s">
        <v>441</v>
      </c>
      <c r="E845" s="28">
        <v>0.96696428000000001</v>
      </c>
      <c r="F845" s="13"/>
      <c r="G845" s="18">
        <v>10000000</v>
      </c>
      <c r="H845" s="18">
        <v>9669642.8100000005</v>
      </c>
      <c r="I845" s="18">
        <v>10000000</v>
      </c>
      <c r="J845" s="18">
        <v>9669642.8100000005</v>
      </c>
      <c r="K845" s="15">
        <v>2158</v>
      </c>
      <c r="L845" s="13" t="s">
        <v>102</v>
      </c>
      <c r="M845" s="13" t="s">
        <v>103</v>
      </c>
      <c r="N845" s="139" t="s">
        <v>374</v>
      </c>
      <c r="O845" s="139" t="s">
        <v>374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889</v>
      </c>
      <c r="V845" s="13" t="s">
        <v>889</v>
      </c>
      <c r="W845" s="59">
        <f t="shared" si="13"/>
        <v>1.847347562575233E-4</v>
      </c>
    </row>
    <row r="846" spans="1:29">
      <c r="A846" s="13" t="s">
        <v>323</v>
      </c>
      <c r="B846" s="13" t="s">
        <v>471</v>
      </c>
      <c r="C846" s="139">
        <v>46266</v>
      </c>
      <c r="D846" s="139" t="s">
        <v>441</v>
      </c>
      <c r="E846" s="28">
        <v>0.97028026000000001</v>
      </c>
      <c r="F846" s="13"/>
      <c r="G846" s="18">
        <v>120000000</v>
      </c>
      <c r="H846" s="18">
        <v>116433630.98</v>
      </c>
      <c r="I846" s="18">
        <v>120000000</v>
      </c>
      <c r="J846" s="18">
        <v>116433630.98</v>
      </c>
      <c r="K846" s="15">
        <v>344</v>
      </c>
      <c r="L846" s="13" t="s">
        <v>102</v>
      </c>
      <c r="M846" s="13" t="s">
        <v>103</v>
      </c>
      <c r="N846" s="139" t="s">
        <v>373</v>
      </c>
      <c r="O846" s="139" t="s">
        <v>373</v>
      </c>
      <c r="P846" s="28">
        <v>26</v>
      </c>
      <c r="Q846" s="13" t="s">
        <v>54</v>
      </c>
      <c r="R846" s="13" t="s">
        <v>28</v>
      </c>
      <c r="S846" s="13"/>
      <c r="T846" s="13"/>
      <c r="U846" s="13" t="s">
        <v>1406</v>
      </c>
      <c r="V846" s="13" t="s">
        <v>1406</v>
      </c>
      <c r="W846" s="59">
        <f t="shared" si="13"/>
        <v>2.2244191292179402E-3</v>
      </c>
    </row>
    <row r="847" spans="1:29">
      <c r="A847" s="13" t="s">
        <v>323</v>
      </c>
      <c r="B847" s="13" t="s">
        <v>471</v>
      </c>
      <c r="C847" s="139">
        <v>46266</v>
      </c>
      <c r="D847" s="139" t="s">
        <v>441</v>
      </c>
      <c r="E847" s="28">
        <v>0.96696433999999998</v>
      </c>
      <c r="F847" s="13"/>
      <c r="G847" s="18">
        <v>10000000</v>
      </c>
      <c r="H847" s="18">
        <v>9669643.3599999994</v>
      </c>
      <c r="I847" s="18">
        <v>10000000</v>
      </c>
      <c r="J847" s="18">
        <v>9669643.3599999994</v>
      </c>
      <c r="K847" s="15">
        <v>66412510</v>
      </c>
      <c r="L847" s="13" t="s">
        <v>102</v>
      </c>
      <c r="M847" s="13" t="s">
        <v>103</v>
      </c>
      <c r="N847" s="139" t="s">
        <v>327</v>
      </c>
      <c r="O847" s="139" t="s">
        <v>327</v>
      </c>
      <c r="P847" s="28">
        <v>29</v>
      </c>
      <c r="Q847" s="13" t="s">
        <v>54</v>
      </c>
      <c r="R847" s="13" t="s">
        <v>28</v>
      </c>
      <c r="S847" s="13"/>
      <c r="T847" s="13"/>
      <c r="U847" s="13" t="s">
        <v>801</v>
      </c>
      <c r="V847" s="13" t="s">
        <v>801</v>
      </c>
      <c r="W847" s="59">
        <f t="shared" si="13"/>
        <v>1.8473476676505887E-4</v>
      </c>
    </row>
    <row r="848" spans="1:29">
      <c r="A848" s="13" t="s">
        <v>2196</v>
      </c>
      <c r="B848" s="13" t="s">
        <v>471</v>
      </c>
      <c r="C848" s="139">
        <v>46266</v>
      </c>
      <c r="D848" s="139" t="s">
        <v>441</v>
      </c>
      <c r="E848" s="28">
        <v>0.96257828000000001</v>
      </c>
      <c r="F848" s="13"/>
      <c r="G848" s="18">
        <v>20000000</v>
      </c>
      <c r="H848" s="18">
        <v>19251565.620000001</v>
      </c>
      <c r="I848" s="18">
        <v>20000000</v>
      </c>
      <c r="J848" s="18">
        <v>19251565.620000001</v>
      </c>
      <c r="K848" s="15">
        <v>156669</v>
      </c>
      <c r="L848" s="13" t="s">
        <v>102</v>
      </c>
      <c r="M848" s="13" t="s">
        <v>103</v>
      </c>
      <c r="N848" s="139" t="s">
        <v>495</v>
      </c>
      <c r="O848" s="139" t="s">
        <v>495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2119</v>
      </c>
      <c r="V848" s="13" t="s">
        <v>2119</v>
      </c>
      <c r="W848" s="59">
        <f t="shared" si="13"/>
        <v>3.6779365611193816E-4</v>
      </c>
      <c r="AC848" s="56"/>
    </row>
    <row r="849" spans="1:29">
      <c r="A849" s="13" t="s">
        <v>300</v>
      </c>
      <c r="B849" s="13" t="s">
        <v>471</v>
      </c>
      <c r="C849" s="139">
        <v>46266</v>
      </c>
      <c r="D849" s="139" t="s">
        <v>441</v>
      </c>
      <c r="E849" s="28">
        <v>0.95715110000000003</v>
      </c>
      <c r="F849" s="13"/>
      <c r="G849" s="18">
        <v>5450000</v>
      </c>
      <c r="H849" s="18">
        <v>5216473.4800000004</v>
      </c>
      <c r="I849" s="18">
        <v>5450000</v>
      </c>
      <c r="J849" s="18">
        <v>5216473.4800000004</v>
      </c>
      <c r="K849" s="15">
        <v>28518</v>
      </c>
      <c r="L849" s="13" t="s">
        <v>102</v>
      </c>
      <c r="M849" s="13" t="s">
        <v>103</v>
      </c>
      <c r="N849" s="139" t="s">
        <v>306</v>
      </c>
      <c r="O849" s="139" t="s">
        <v>306</v>
      </c>
      <c r="P849" s="28">
        <v>38</v>
      </c>
      <c r="Q849" s="13" t="s">
        <v>54</v>
      </c>
      <c r="R849" s="13" t="s">
        <v>28</v>
      </c>
      <c r="S849" s="13"/>
      <c r="T849" s="13"/>
      <c r="U849" s="13" t="s">
        <v>527</v>
      </c>
      <c r="V849" s="13" t="s">
        <v>527</v>
      </c>
      <c r="W849" s="59">
        <f t="shared" si="13"/>
        <v>9.9658692237840211E-5</v>
      </c>
    </row>
    <row r="850" spans="1:29">
      <c r="A850" s="13" t="s">
        <v>581</v>
      </c>
      <c r="B850" s="13" t="s">
        <v>471</v>
      </c>
      <c r="C850" s="139">
        <v>46266</v>
      </c>
      <c r="D850" s="139" t="s">
        <v>441</v>
      </c>
      <c r="E850" s="28">
        <v>0.96806709999999996</v>
      </c>
      <c r="F850" s="13"/>
      <c r="G850" s="18">
        <v>10000000</v>
      </c>
      <c r="H850" s="18">
        <v>9680670.9600000009</v>
      </c>
      <c r="I850" s="18">
        <v>10000000</v>
      </c>
      <c r="J850" s="18">
        <v>9680670.9600000009</v>
      </c>
      <c r="K850" s="15">
        <v>360560</v>
      </c>
      <c r="L850" s="13" t="s">
        <v>102</v>
      </c>
      <c r="M850" s="13" t="s">
        <v>103</v>
      </c>
      <c r="N850" s="139" t="s">
        <v>348</v>
      </c>
      <c r="O850" s="139" t="s">
        <v>348</v>
      </c>
      <c r="P850" s="28">
        <v>28</v>
      </c>
      <c r="Q850" s="13" t="s">
        <v>54</v>
      </c>
      <c r="R850" s="13" t="s">
        <v>28</v>
      </c>
      <c r="S850" s="13"/>
      <c r="T850" s="13"/>
      <c r="U850" s="13" t="s">
        <v>731</v>
      </c>
      <c r="V850" s="13" t="s">
        <v>731</v>
      </c>
      <c r="W850" s="59">
        <f t="shared" si="13"/>
        <v>1.8494544476404338E-4</v>
      </c>
    </row>
    <row r="851" spans="1:29">
      <c r="A851" s="13" t="s">
        <v>661</v>
      </c>
      <c r="B851" s="13" t="s">
        <v>471</v>
      </c>
      <c r="C851" s="139">
        <v>46266</v>
      </c>
      <c r="D851" s="139" t="s">
        <v>441</v>
      </c>
      <c r="E851" s="28">
        <v>0.96257815999999996</v>
      </c>
      <c r="F851" s="13"/>
      <c r="G851" s="18">
        <v>21395750</v>
      </c>
      <c r="H851" s="18">
        <v>20595081.57</v>
      </c>
      <c r="I851" s="18">
        <v>21395750</v>
      </c>
      <c r="J851" s="18">
        <v>20595081.57</v>
      </c>
      <c r="K851" s="15">
        <v>3233102</v>
      </c>
      <c r="L851" s="13" t="s">
        <v>102</v>
      </c>
      <c r="M851" s="13" t="s">
        <v>103</v>
      </c>
      <c r="N851" s="139" t="s">
        <v>397</v>
      </c>
      <c r="O851" s="139" t="s">
        <v>397</v>
      </c>
      <c r="P851" s="28">
        <v>33</v>
      </c>
      <c r="Q851" s="13" t="s">
        <v>54</v>
      </c>
      <c r="R851" s="13" t="s">
        <v>28</v>
      </c>
      <c r="S851" s="13"/>
      <c r="T851" s="13"/>
      <c r="U851" s="13" t="s">
        <v>678</v>
      </c>
      <c r="V851" s="13" t="s">
        <v>678</v>
      </c>
      <c r="W851" s="59">
        <f t="shared" si="13"/>
        <v>3.9346100457848869E-4</v>
      </c>
    </row>
    <row r="852" spans="1:29">
      <c r="A852" s="13" t="s">
        <v>661</v>
      </c>
      <c r="B852" s="13" t="s">
        <v>471</v>
      </c>
      <c r="C852" s="139">
        <v>46266</v>
      </c>
      <c r="D852" s="139" t="s">
        <v>441</v>
      </c>
      <c r="E852" s="28">
        <v>0.96257815999999996</v>
      </c>
      <c r="F852" s="13"/>
      <c r="G852" s="18">
        <v>21395750</v>
      </c>
      <c r="H852" s="18">
        <v>20595081.57</v>
      </c>
      <c r="I852" s="18">
        <v>21395750</v>
      </c>
      <c r="J852" s="18">
        <v>20595081.57</v>
      </c>
      <c r="K852" s="15">
        <v>3233103</v>
      </c>
      <c r="L852" s="13" t="s">
        <v>102</v>
      </c>
      <c r="M852" s="13" t="s">
        <v>103</v>
      </c>
      <c r="N852" s="139" t="s">
        <v>397</v>
      </c>
      <c r="O852" s="139" t="s">
        <v>397</v>
      </c>
      <c r="P852" s="28">
        <v>33</v>
      </c>
      <c r="Q852" s="13" t="s">
        <v>54</v>
      </c>
      <c r="R852" s="13" t="s">
        <v>28</v>
      </c>
      <c r="S852" s="13"/>
      <c r="T852" s="13"/>
      <c r="U852" s="13" t="s">
        <v>679</v>
      </c>
      <c r="V852" s="13" t="s">
        <v>679</v>
      </c>
      <c r="W852" s="59">
        <f t="shared" si="13"/>
        <v>3.9346100457848869E-4</v>
      </c>
    </row>
    <row r="853" spans="1:29">
      <c r="A853" s="13" t="s">
        <v>1594</v>
      </c>
      <c r="B853" s="13" t="s">
        <v>471</v>
      </c>
      <c r="C853" s="139">
        <v>46266</v>
      </c>
      <c r="D853" s="139" t="s">
        <v>441</v>
      </c>
      <c r="E853" s="28">
        <v>0.96586419999999995</v>
      </c>
      <c r="F853" s="13"/>
      <c r="G853" s="18">
        <v>2500000</v>
      </c>
      <c r="H853" s="18">
        <v>2414660.5</v>
      </c>
      <c r="I853" s="18">
        <v>2500000</v>
      </c>
      <c r="J853" s="18">
        <v>2414660.5</v>
      </c>
      <c r="K853" s="15">
        <v>344</v>
      </c>
      <c r="L853" s="13" t="s">
        <v>102</v>
      </c>
      <c r="M853" s="13" t="s">
        <v>103</v>
      </c>
      <c r="N853" s="139" t="s">
        <v>388</v>
      </c>
      <c r="O853" s="139" t="s">
        <v>388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2251</v>
      </c>
      <c r="V853" s="13" t="s">
        <v>2251</v>
      </c>
      <c r="W853" s="59">
        <f t="shared" si="13"/>
        <v>4.613114751776124E-5</v>
      </c>
    </row>
    <row r="854" spans="1:29">
      <c r="A854" s="13" t="s">
        <v>2115</v>
      </c>
      <c r="B854" s="13" t="s">
        <v>471</v>
      </c>
      <c r="C854" s="139">
        <v>46266</v>
      </c>
      <c r="D854" s="139" t="s">
        <v>441</v>
      </c>
      <c r="E854" s="28">
        <v>0.96586406000000002</v>
      </c>
      <c r="F854" s="13"/>
      <c r="G854" s="18">
        <v>1064203.17</v>
      </c>
      <c r="H854" s="18">
        <v>1027875.59</v>
      </c>
      <c r="I854" s="18">
        <v>1064203.17</v>
      </c>
      <c r="J854" s="18">
        <v>1027875.59</v>
      </c>
      <c r="K854" s="15">
        <v>1247</v>
      </c>
      <c r="L854" s="13" t="s">
        <v>102</v>
      </c>
      <c r="M854" s="13" t="s">
        <v>103</v>
      </c>
      <c r="N854" s="139" t="s">
        <v>783</v>
      </c>
      <c r="O854" s="139" t="s">
        <v>783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2105</v>
      </c>
      <c r="V854" s="13" t="s">
        <v>2105</v>
      </c>
      <c r="W854" s="59">
        <f t="shared" si="13"/>
        <v>1.9637162438444604E-5</v>
      </c>
    </row>
    <row r="855" spans="1:29">
      <c r="A855" s="13" t="s">
        <v>2489</v>
      </c>
      <c r="B855" s="13" t="s">
        <v>471</v>
      </c>
      <c r="C855" s="139">
        <v>46266</v>
      </c>
      <c r="D855" s="139" t="s">
        <v>441</v>
      </c>
      <c r="E855" s="28">
        <v>0.96586404999999997</v>
      </c>
      <c r="F855" s="13"/>
      <c r="G855" s="18">
        <v>1768326.86</v>
      </c>
      <c r="H855" s="18">
        <v>1707963.34</v>
      </c>
      <c r="I855" s="18">
        <v>1768326.86</v>
      </c>
      <c r="J855" s="18">
        <v>1707963.34</v>
      </c>
      <c r="K855" s="15">
        <v>11347809</v>
      </c>
      <c r="L855" s="13" t="s">
        <v>102</v>
      </c>
      <c r="M855" s="13" t="s">
        <v>103</v>
      </c>
      <c r="N855" s="139" t="s">
        <v>441</v>
      </c>
      <c r="O855" s="139" t="s">
        <v>441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2468</v>
      </c>
      <c r="V855" s="13" t="s">
        <v>2468</v>
      </c>
      <c r="W855" s="59">
        <f t="shared" si="13"/>
        <v>3.2629973775803348E-5</v>
      </c>
    </row>
    <row r="856" spans="1:29">
      <c r="A856" s="13" t="s">
        <v>698</v>
      </c>
      <c r="B856" s="13" t="s">
        <v>471</v>
      </c>
      <c r="C856" s="139">
        <v>46267</v>
      </c>
      <c r="D856" s="139" t="s">
        <v>441</v>
      </c>
      <c r="E856" s="28">
        <v>0.97188202000000001</v>
      </c>
      <c r="F856" s="13"/>
      <c r="G856" s="18">
        <v>10000000</v>
      </c>
      <c r="H856" s="18">
        <v>9718820.1600000001</v>
      </c>
      <c r="I856" s="18">
        <v>10000000</v>
      </c>
      <c r="J856" s="18">
        <v>9718820.1600000001</v>
      </c>
      <c r="K856" s="15">
        <v>4539</v>
      </c>
      <c r="L856" s="13" t="s">
        <v>102</v>
      </c>
      <c r="M856" s="13" t="s">
        <v>103</v>
      </c>
      <c r="N856" s="139" t="s">
        <v>382</v>
      </c>
      <c r="O856" s="139" t="s">
        <v>382</v>
      </c>
      <c r="P856" s="28">
        <v>24</v>
      </c>
      <c r="Q856" s="13" t="s">
        <v>54</v>
      </c>
      <c r="R856" s="13" t="s">
        <v>28</v>
      </c>
      <c r="S856" s="13"/>
      <c r="T856" s="13"/>
      <c r="U856" s="13" t="s">
        <v>2340</v>
      </c>
      <c r="V856" s="13" t="s">
        <v>2340</v>
      </c>
      <c r="W856" s="59">
        <f t="shared" si="13"/>
        <v>1.856742703579041E-4</v>
      </c>
    </row>
    <row r="857" spans="1:29">
      <c r="A857" s="13" t="s">
        <v>580</v>
      </c>
      <c r="B857" s="13" t="s">
        <v>471</v>
      </c>
      <c r="C857" s="139">
        <v>46267</v>
      </c>
      <c r="D857" s="139" t="s">
        <v>441</v>
      </c>
      <c r="E857" s="28">
        <v>0.96509785000000003</v>
      </c>
      <c r="F857" s="13"/>
      <c r="G857" s="18">
        <v>25000000</v>
      </c>
      <c r="H857" s="18">
        <v>24127446.219999999</v>
      </c>
      <c r="I857" s="18">
        <v>25000000</v>
      </c>
      <c r="J857" s="18">
        <v>24127446.219999999</v>
      </c>
      <c r="K857" s="15">
        <v>718979</v>
      </c>
      <c r="L857" s="13" t="s">
        <v>102</v>
      </c>
      <c r="M857" s="13" t="s">
        <v>103</v>
      </c>
      <c r="N857" s="139" t="s">
        <v>358</v>
      </c>
      <c r="O857" s="139" t="s">
        <v>358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595</v>
      </c>
      <c r="V857" s="13" t="s">
        <v>595</v>
      </c>
      <c r="W857" s="59">
        <f t="shared" si="13"/>
        <v>4.609454541545989E-4</v>
      </c>
    </row>
    <row r="858" spans="1:29">
      <c r="A858" s="13" t="s">
        <v>1107</v>
      </c>
      <c r="B858" s="13" t="s">
        <v>471</v>
      </c>
      <c r="C858" s="139">
        <v>46267</v>
      </c>
      <c r="D858" s="139" t="s">
        <v>441</v>
      </c>
      <c r="E858" s="28">
        <v>0.96174119000000002</v>
      </c>
      <c r="F858" s="13"/>
      <c r="G858" s="18">
        <v>1000000</v>
      </c>
      <c r="H858" s="18">
        <v>961741.19</v>
      </c>
      <c r="I858" s="18">
        <v>1000000</v>
      </c>
      <c r="J858" s="18">
        <v>961741.19</v>
      </c>
      <c r="K858" s="15">
        <v>458</v>
      </c>
      <c r="L858" s="13" t="s">
        <v>102</v>
      </c>
      <c r="M858" s="13" t="s">
        <v>103</v>
      </c>
      <c r="N858" s="139" t="s">
        <v>493</v>
      </c>
      <c r="O858" s="139" t="s">
        <v>493</v>
      </c>
      <c r="P858" s="28">
        <v>33</v>
      </c>
      <c r="Q858" s="13" t="s">
        <v>54</v>
      </c>
      <c r="R858" s="13" t="s">
        <v>28</v>
      </c>
      <c r="S858" s="13"/>
      <c r="T858" s="13"/>
      <c r="U858" s="13" t="s">
        <v>1960</v>
      </c>
      <c r="V858" s="13" t="s">
        <v>1960</v>
      </c>
      <c r="W858" s="59">
        <f t="shared" si="13"/>
        <v>1.8373690508374673E-5</v>
      </c>
    </row>
    <row r="859" spans="1:29">
      <c r="A859" s="13" t="s">
        <v>1107</v>
      </c>
      <c r="B859" s="13" t="s">
        <v>471</v>
      </c>
      <c r="C859" s="139">
        <v>46267</v>
      </c>
      <c r="D859" s="139" t="s">
        <v>441</v>
      </c>
      <c r="E859" s="28">
        <v>0.96174117000000003</v>
      </c>
      <c r="F859" s="13"/>
      <c r="G859" s="18">
        <v>2000000</v>
      </c>
      <c r="H859" s="18">
        <v>1923482.34</v>
      </c>
      <c r="I859" s="18">
        <v>2000000</v>
      </c>
      <c r="J859" s="18">
        <v>1923482.34</v>
      </c>
      <c r="K859" s="15">
        <v>457</v>
      </c>
      <c r="L859" s="13" t="s">
        <v>102</v>
      </c>
      <c r="M859" s="13" t="s">
        <v>103</v>
      </c>
      <c r="N859" s="139" t="s">
        <v>493</v>
      </c>
      <c r="O859" s="139" t="s">
        <v>493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1961</v>
      </c>
      <c r="V859" s="13" t="s">
        <v>1961</v>
      </c>
      <c r="W859" s="59">
        <f t="shared" si="13"/>
        <v>3.6747380252564942E-5</v>
      </c>
    </row>
    <row r="860" spans="1:29">
      <c r="A860" s="13" t="s">
        <v>1107</v>
      </c>
      <c r="B860" s="13" t="s">
        <v>471</v>
      </c>
      <c r="C860" s="139">
        <v>46267</v>
      </c>
      <c r="D860" s="139" t="s">
        <v>441</v>
      </c>
      <c r="E860" s="28">
        <v>0.96174117000000003</v>
      </c>
      <c r="F860" s="13"/>
      <c r="G860" s="18">
        <v>2000000</v>
      </c>
      <c r="H860" s="18">
        <v>1923482.34</v>
      </c>
      <c r="I860" s="18">
        <v>2000000</v>
      </c>
      <c r="J860" s="18">
        <v>1923482.34</v>
      </c>
      <c r="K860" s="15">
        <v>456</v>
      </c>
      <c r="L860" s="13" t="s">
        <v>102</v>
      </c>
      <c r="M860" s="13" t="s">
        <v>103</v>
      </c>
      <c r="N860" s="139" t="s">
        <v>493</v>
      </c>
      <c r="O860" s="139" t="s">
        <v>493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1962</v>
      </c>
      <c r="V860" s="13" t="s">
        <v>1962</v>
      </c>
      <c r="W860" s="59">
        <f t="shared" si="13"/>
        <v>3.6747380252564942E-5</v>
      </c>
      <c r="AC860" s="56"/>
    </row>
    <row r="861" spans="1:29">
      <c r="A861" s="13" t="s">
        <v>1937</v>
      </c>
      <c r="B861" s="13" t="s">
        <v>471</v>
      </c>
      <c r="C861" s="139">
        <v>46267</v>
      </c>
      <c r="D861" s="139" t="s">
        <v>441</v>
      </c>
      <c r="E861" s="28">
        <v>0.95619858999999996</v>
      </c>
      <c r="F861" s="13"/>
      <c r="G861" s="18">
        <v>750000000</v>
      </c>
      <c r="H861" s="18">
        <v>717148941.75</v>
      </c>
      <c r="I861" s="18">
        <v>750000000</v>
      </c>
      <c r="J861" s="18">
        <v>717148941.75</v>
      </c>
      <c r="K861" s="15">
        <v>156378</v>
      </c>
      <c r="L861" s="13" t="s">
        <v>102</v>
      </c>
      <c r="M861" s="13" t="s">
        <v>103</v>
      </c>
      <c r="N861" s="139" t="s">
        <v>441</v>
      </c>
      <c r="O861" s="139" t="s">
        <v>441</v>
      </c>
      <c r="P861" s="28">
        <v>38</v>
      </c>
      <c r="Q861" s="13" t="s">
        <v>54</v>
      </c>
      <c r="R861" s="13" t="s">
        <v>28</v>
      </c>
      <c r="S861" s="13"/>
      <c r="T861" s="13"/>
      <c r="U861" s="13" t="s">
        <v>2482</v>
      </c>
      <c r="V861" s="13" t="s">
        <v>2482</v>
      </c>
      <c r="W861" s="59">
        <f t="shared" si="13"/>
        <v>1.3700850957753943E-2</v>
      </c>
    </row>
    <row r="862" spans="1:29">
      <c r="A862" s="13" t="s">
        <v>1154</v>
      </c>
      <c r="B862" s="13" t="s">
        <v>471</v>
      </c>
      <c r="C862" s="139">
        <v>46267</v>
      </c>
      <c r="D862" s="139" t="s">
        <v>441</v>
      </c>
      <c r="E862" s="28">
        <v>0.96174115999999998</v>
      </c>
      <c r="F862" s="13"/>
      <c r="G862" s="18">
        <v>3812810.4</v>
      </c>
      <c r="H862" s="18">
        <v>3666936.7</v>
      </c>
      <c r="I862" s="18">
        <v>3812810.4</v>
      </c>
      <c r="J862" s="18">
        <v>3666936.7</v>
      </c>
      <c r="K862" s="15">
        <v>286</v>
      </c>
      <c r="L862" s="13" t="s">
        <v>102</v>
      </c>
      <c r="M862" s="13" t="s">
        <v>103</v>
      </c>
      <c r="N862" s="139" t="s">
        <v>458</v>
      </c>
      <c r="O862" s="139" t="s">
        <v>458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1158</v>
      </c>
      <c r="V862" s="13" t="s">
        <v>1158</v>
      </c>
      <c r="W862" s="59">
        <f t="shared" si="13"/>
        <v>7.0055396129597771E-5</v>
      </c>
    </row>
    <row r="863" spans="1:29">
      <c r="A863" s="13" t="s">
        <v>1461</v>
      </c>
      <c r="B863" s="13" t="s">
        <v>471</v>
      </c>
      <c r="C863" s="139">
        <v>46267</v>
      </c>
      <c r="D863" s="139" t="s">
        <v>441</v>
      </c>
      <c r="E863" s="28">
        <v>0.96285748999999998</v>
      </c>
      <c r="F863" s="13"/>
      <c r="G863" s="18">
        <v>13000000</v>
      </c>
      <c r="H863" s="18">
        <v>12517147.42</v>
      </c>
      <c r="I863" s="18">
        <v>13000000</v>
      </c>
      <c r="J863" s="18">
        <v>12517147.42</v>
      </c>
      <c r="K863" s="15">
        <v>546</v>
      </c>
      <c r="L863" s="13" t="s">
        <v>102</v>
      </c>
      <c r="M863" s="13" t="s">
        <v>103</v>
      </c>
      <c r="N863" s="139" t="s">
        <v>373</v>
      </c>
      <c r="O863" s="139" t="s">
        <v>373</v>
      </c>
      <c r="P863" s="28">
        <v>32</v>
      </c>
      <c r="Q863" s="13" t="s">
        <v>54</v>
      </c>
      <c r="R863" s="13" t="s">
        <v>28</v>
      </c>
      <c r="S863" s="13"/>
      <c r="T863" s="13"/>
      <c r="U863" s="13" t="s">
        <v>1466</v>
      </c>
      <c r="V863" s="13" t="s">
        <v>1466</v>
      </c>
      <c r="W863" s="59">
        <f t="shared" si="13"/>
        <v>2.3913522175626119E-4</v>
      </c>
    </row>
    <row r="864" spans="1:29">
      <c r="A864" s="13" t="s">
        <v>1467</v>
      </c>
      <c r="B864" s="13" t="s">
        <v>471</v>
      </c>
      <c r="C864" s="139">
        <v>46267</v>
      </c>
      <c r="D864" s="139" t="s">
        <v>441</v>
      </c>
      <c r="E864" s="28">
        <v>0.96285746999999999</v>
      </c>
      <c r="F864" s="13"/>
      <c r="G864" s="18">
        <v>1000000</v>
      </c>
      <c r="H864" s="18">
        <v>962857.47</v>
      </c>
      <c r="I864" s="18">
        <v>1000000</v>
      </c>
      <c r="J864" s="18">
        <v>962857.47</v>
      </c>
      <c r="K864" s="15">
        <v>67277956</v>
      </c>
      <c r="L864" s="13" t="s">
        <v>102</v>
      </c>
      <c r="M864" s="13" t="s">
        <v>103</v>
      </c>
      <c r="N864" s="139" t="s">
        <v>373</v>
      </c>
      <c r="O864" s="139" t="s">
        <v>373</v>
      </c>
      <c r="P864" s="28">
        <v>32</v>
      </c>
      <c r="Q864" s="13" t="s">
        <v>54</v>
      </c>
      <c r="R864" s="13" t="s">
        <v>28</v>
      </c>
      <c r="S864" s="13"/>
      <c r="T864" s="13"/>
      <c r="U864" s="13" t="s">
        <v>1474</v>
      </c>
      <c r="V864" s="13" t="s">
        <v>1474</v>
      </c>
      <c r="W864" s="59">
        <f t="shared" si="13"/>
        <v>1.8395016602602464E-5</v>
      </c>
    </row>
    <row r="865" spans="1:29">
      <c r="A865" s="13" t="s">
        <v>582</v>
      </c>
      <c r="B865" s="13" t="s">
        <v>471</v>
      </c>
      <c r="C865" s="139">
        <v>46267</v>
      </c>
      <c r="D865" s="139" t="s">
        <v>441</v>
      </c>
      <c r="E865" s="28">
        <v>0.95399906000000001</v>
      </c>
      <c r="F865" s="13"/>
      <c r="G865" s="18">
        <v>9972570.8200000003</v>
      </c>
      <c r="H865" s="18">
        <v>9513823.1899999995</v>
      </c>
      <c r="I865" s="18">
        <v>9972570.8200000003</v>
      </c>
      <c r="J865" s="18">
        <v>9513823.1899999995</v>
      </c>
      <c r="K865" s="15">
        <v>1179207</v>
      </c>
      <c r="L865" s="13" t="s">
        <v>102</v>
      </c>
      <c r="M865" s="13" t="s">
        <v>103</v>
      </c>
      <c r="N865" s="139" t="s">
        <v>346</v>
      </c>
      <c r="O865" s="139" t="s">
        <v>346</v>
      </c>
      <c r="P865" s="28">
        <v>40</v>
      </c>
      <c r="Q865" s="13" t="s">
        <v>54</v>
      </c>
      <c r="R865" s="13" t="s">
        <v>28</v>
      </c>
      <c r="S865" s="13"/>
      <c r="T865" s="13"/>
      <c r="U865" s="13" t="s">
        <v>565</v>
      </c>
      <c r="V865" s="13" t="s">
        <v>565</v>
      </c>
      <c r="W865" s="59">
        <f t="shared" si="13"/>
        <v>1.8175788316236914E-4</v>
      </c>
    </row>
    <row r="866" spans="1:29">
      <c r="A866" s="13" t="s">
        <v>582</v>
      </c>
      <c r="B866" s="13" t="s">
        <v>471</v>
      </c>
      <c r="C866" s="139">
        <v>46267</v>
      </c>
      <c r="D866" s="139" t="s">
        <v>441</v>
      </c>
      <c r="E866" s="28">
        <v>0.95399906000000001</v>
      </c>
      <c r="F866" s="13"/>
      <c r="G866" s="18">
        <v>9972350.7799999993</v>
      </c>
      <c r="H866" s="18">
        <v>9513613.2699999996</v>
      </c>
      <c r="I866" s="18">
        <v>9972350.7799999993</v>
      </c>
      <c r="J866" s="18">
        <v>9513613.2699999996</v>
      </c>
      <c r="K866" s="15">
        <v>1179206</v>
      </c>
      <c r="L866" s="13" t="s">
        <v>102</v>
      </c>
      <c r="M866" s="13" t="s">
        <v>103</v>
      </c>
      <c r="N866" s="139" t="s">
        <v>346</v>
      </c>
      <c r="O866" s="139" t="s">
        <v>346</v>
      </c>
      <c r="P866" s="28">
        <v>40</v>
      </c>
      <c r="Q866" s="13" t="s">
        <v>54</v>
      </c>
      <c r="R866" s="13" t="s">
        <v>28</v>
      </c>
      <c r="S866" s="13"/>
      <c r="T866" s="13"/>
      <c r="U866" s="13" t="s">
        <v>566</v>
      </c>
      <c r="V866" s="13" t="s">
        <v>566</v>
      </c>
      <c r="W866" s="59">
        <f t="shared" si="13"/>
        <v>1.8175387272260465E-4</v>
      </c>
    </row>
    <row r="867" spans="1:29">
      <c r="A867" s="13" t="s">
        <v>582</v>
      </c>
      <c r="B867" s="13" t="s">
        <v>471</v>
      </c>
      <c r="C867" s="139">
        <v>46267</v>
      </c>
      <c r="D867" s="139" t="s">
        <v>441</v>
      </c>
      <c r="E867" s="28">
        <v>0.95399906000000001</v>
      </c>
      <c r="F867" s="13"/>
      <c r="G867" s="18">
        <v>9973200</v>
      </c>
      <c r="H867" s="18">
        <v>9514423.4199999999</v>
      </c>
      <c r="I867" s="18">
        <v>9973200</v>
      </c>
      <c r="J867" s="18">
        <v>9514423.4199999999</v>
      </c>
      <c r="K867" s="15">
        <v>1179205</v>
      </c>
      <c r="L867" s="13" t="s">
        <v>102</v>
      </c>
      <c r="M867" s="13" t="s">
        <v>103</v>
      </c>
      <c r="N867" s="139" t="s">
        <v>346</v>
      </c>
      <c r="O867" s="139" t="s">
        <v>346</v>
      </c>
      <c r="P867" s="28">
        <v>40</v>
      </c>
      <c r="Q867" s="13" t="s">
        <v>54</v>
      </c>
      <c r="R867" s="13" t="s">
        <v>28</v>
      </c>
      <c r="S867" s="13"/>
      <c r="T867" s="13"/>
      <c r="U867" s="13" t="s">
        <v>567</v>
      </c>
      <c r="V867" s="13" t="s">
        <v>567</v>
      </c>
      <c r="W867" s="59">
        <f t="shared" si="13"/>
        <v>1.817693503225246E-4</v>
      </c>
    </row>
    <row r="868" spans="1:29">
      <c r="A868" s="13" t="s">
        <v>652</v>
      </c>
      <c r="B868" s="13" t="s">
        <v>471</v>
      </c>
      <c r="C868" s="139">
        <v>46267</v>
      </c>
      <c r="D868" s="139" t="s">
        <v>441</v>
      </c>
      <c r="E868" s="28">
        <v>0.96509785000000003</v>
      </c>
      <c r="F868" s="13"/>
      <c r="G868" s="18">
        <v>10000000</v>
      </c>
      <c r="H868" s="18">
        <v>9650978.4900000002</v>
      </c>
      <c r="I868" s="18">
        <v>10000000</v>
      </c>
      <c r="J868" s="18">
        <v>9650978.4900000002</v>
      </c>
      <c r="K868" s="15">
        <v>3463103</v>
      </c>
      <c r="L868" s="13" t="s">
        <v>102</v>
      </c>
      <c r="M868" s="13" t="s">
        <v>103</v>
      </c>
      <c r="N868" s="139" t="s">
        <v>358</v>
      </c>
      <c r="O868" s="139" t="s">
        <v>358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620</v>
      </c>
      <c r="V868" s="13" t="s">
        <v>620</v>
      </c>
      <c r="W868" s="59">
        <f t="shared" si="13"/>
        <v>1.8437818170004879E-4</v>
      </c>
      <c r="AC868" s="56"/>
    </row>
    <row r="869" spans="1:29">
      <c r="A869" s="13" t="s">
        <v>700</v>
      </c>
      <c r="B869" s="13" t="s">
        <v>471</v>
      </c>
      <c r="C869" s="139">
        <v>46267</v>
      </c>
      <c r="D869" s="139" t="s">
        <v>441</v>
      </c>
      <c r="E869" s="28">
        <v>0.95951629999999999</v>
      </c>
      <c r="F869" s="13"/>
      <c r="G869" s="18">
        <v>19999999</v>
      </c>
      <c r="H869" s="18">
        <v>19190325.030000001</v>
      </c>
      <c r="I869" s="18">
        <v>19999999</v>
      </c>
      <c r="J869" s="18">
        <v>19190325.030000001</v>
      </c>
      <c r="K869" s="15">
        <v>43</v>
      </c>
      <c r="L869" s="13" t="s">
        <v>102</v>
      </c>
      <c r="M869" s="13" t="s">
        <v>103</v>
      </c>
      <c r="N869" s="139" t="s">
        <v>397</v>
      </c>
      <c r="O869" s="139" t="s">
        <v>397</v>
      </c>
      <c r="P869" s="28">
        <v>35</v>
      </c>
      <c r="Q869" s="13" t="s">
        <v>54</v>
      </c>
      <c r="R869" s="13" t="s">
        <v>28</v>
      </c>
      <c r="S869" s="13"/>
      <c r="T869" s="13"/>
      <c r="U869" s="13" t="s">
        <v>691</v>
      </c>
      <c r="V869" s="13" t="s">
        <v>691</v>
      </c>
      <c r="W869" s="59">
        <f t="shared" si="13"/>
        <v>3.6662367851410829E-4</v>
      </c>
    </row>
    <row r="870" spans="1:29">
      <c r="A870" s="13" t="s">
        <v>971</v>
      </c>
      <c r="B870" s="13" t="s">
        <v>471</v>
      </c>
      <c r="C870" s="139">
        <v>46267</v>
      </c>
      <c r="D870" s="139" t="s">
        <v>441</v>
      </c>
      <c r="E870" s="28">
        <v>0.96509792000000005</v>
      </c>
      <c r="F870" s="13"/>
      <c r="G870" s="18">
        <v>50000000</v>
      </c>
      <c r="H870" s="18">
        <v>48254895.920000002</v>
      </c>
      <c r="I870" s="18">
        <v>50000000</v>
      </c>
      <c r="J870" s="18">
        <v>48254895.920000002</v>
      </c>
      <c r="K870" s="15">
        <v>5491</v>
      </c>
      <c r="L870" s="13" t="s">
        <v>102</v>
      </c>
      <c r="M870" s="13" t="s">
        <v>103</v>
      </c>
      <c r="N870" s="139" t="s">
        <v>359</v>
      </c>
      <c r="O870" s="139" t="s">
        <v>359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968</v>
      </c>
      <c r="V870" s="13" t="s">
        <v>968</v>
      </c>
      <c r="W870" s="59">
        <f t="shared" si="13"/>
        <v>9.2189097479324121E-4</v>
      </c>
    </row>
    <row r="871" spans="1:29">
      <c r="A871" s="13" t="s">
        <v>971</v>
      </c>
      <c r="B871" s="13" t="s">
        <v>471</v>
      </c>
      <c r="C871" s="139">
        <v>46267</v>
      </c>
      <c r="D871" s="139" t="s">
        <v>441</v>
      </c>
      <c r="E871" s="28">
        <v>0.96509792000000005</v>
      </c>
      <c r="F871" s="13"/>
      <c r="G871" s="18">
        <v>50000000</v>
      </c>
      <c r="H871" s="18">
        <v>48254895.920000002</v>
      </c>
      <c r="I871" s="18">
        <v>50000000</v>
      </c>
      <c r="J871" s="18">
        <v>48254895.920000002</v>
      </c>
      <c r="K871" s="15">
        <v>5490</v>
      </c>
      <c r="L871" s="13" t="s">
        <v>102</v>
      </c>
      <c r="M871" s="13" t="s">
        <v>103</v>
      </c>
      <c r="N871" s="139" t="s">
        <v>359</v>
      </c>
      <c r="O871" s="139" t="s">
        <v>359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969</v>
      </c>
      <c r="V871" s="13" t="s">
        <v>969</v>
      </c>
      <c r="W871" s="59">
        <f t="shared" si="13"/>
        <v>9.2189097479324121E-4</v>
      </c>
    </row>
    <row r="872" spans="1:29">
      <c r="A872" s="13" t="s">
        <v>472</v>
      </c>
      <c r="B872" s="13" t="s">
        <v>471</v>
      </c>
      <c r="C872" s="139">
        <v>46267</v>
      </c>
      <c r="D872" s="139" t="s">
        <v>441</v>
      </c>
      <c r="E872" s="28">
        <v>0.96509794000000004</v>
      </c>
      <c r="F872" s="13"/>
      <c r="G872" s="18">
        <v>10000000</v>
      </c>
      <c r="H872" s="18">
        <v>9650979.3900000006</v>
      </c>
      <c r="I872" s="18">
        <v>10000000</v>
      </c>
      <c r="J872" s="18">
        <v>9650979.3900000006</v>
      </c>
      <c r="K872" s="15">
        <v>578</v>
      </c>
      <c r="L872" s="13" t="s">
        <v>102</v>
      </c>
      <c r="M872" s="13" t="s">
        <v>103</v>
      </c>
      <c r="N872" s="139" t="s">
        <v>174</v>
      </c>
      <c r="O872" s="139" t="s">
        <v>174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1316</v>
      </c>
      <c r="V872" s="13" t="s">
        <v>1316</v>
      </c>
      <c r="W872" s="59">
        <f t="shared" si="13"/>
        <v>1.8437819889419792E-4</v>
      </c>
    </row>
    <row r="873" spans="1:29">
      <c r="A873" s="13" t="s">
        <v>472</v>
      </c>
      <c r="B873" s="13" t="s">
        <v>471</v>
      </c>
      <c r="C873" s="139">
        <v>46267</v>
      </c>
      <c r="D873" s="139" t="s">
        <v>441</v>
      </c>
      <c r="E873" s="28">
        <v>0.96509789999999995</v>
      </c>
      <c r="F873" s="13"/>
      <c r="G873" s="18">
        <v>10000000</v>
      </c>
      <c r="H873" s="18">
        <v>9650978.9700000007</v>
      </c>
      <c r="I873" s="18">
        <v>10000000</v>
      </c>
      <c r="J873" s="18">
        <v>9650978.9700000007</v>
      </c>
      <c r="K873" s="15">
        <v>503</v>
      </c>
      <c r="L873" s="13" t="s">
        <v>102</v>
      </c>
      <c r="M873" s="13" t="s">
        <v>103</v>
      </c>
      <c r="N873" s="139" t="s">
        <v>363</v>
      </c>
      <c r="O873" s="139" t="s">
        <v>363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1051</v>
      </c>
      <c r="V873" s="13" t="s">
        <v>1051</v>
      </c>
      <c r="W873" s="59">
        <f t="shared" si="13"/>
        <v>1.8437819087026167E-4</v>
      </c>
    </row>
    <row r="874" spans="1:29">
      <c r="A874" s="13" t="s">
        <v>472</v>
      </c>
      <c r="B874" s="13" t="s">
        <v>471</v>
      </c>
      <c r="C874" s="139">
        <v>46267</v>
      </c>
      <c r="D874" s="139" t="s">
        <v>441</v>
      </c>
      <c r="E874" s="28">
        <v>0.96509787000000002</v>
      </c>
      <c r="F874" s="13"/>
      <c r="G874" s="18">
        <v>10000000</v>
      </c>
      <c r="H874" s="18">
        <v>9650978.6699999999</v>
      </c>
      <c r="I874" s="18">
        <v>10000000</v>
      </c>
      <c r="J874" s="18">
        <v>9650978.6699999999</v>
      </c>
      <c r="K874" s="15">
        <v>493</v>
      </c>
      <c r="L874" s="13" t="s">
        <v>102</v>
      </c>
      <c r="M874" s="13" t="s">
        <v>103</v>
      </c>
      <c r="N874" s="139" t="s">
        <v>364</v>
      </c>
      <c r="O874" s="139" t="s">
        <v>364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1020</v>
      </c>
      <c r="V874" s="13" t="s">
        <v>1020</v>
      </c>
      <c r="W874" s="59">
        <f t="shared" si="13"/>
        <v>1.8437818513887861E-4</v>
      </c>
    </row>
    <row r="875" spans="1:29">
      <c r="A875" s="13" t="s">
        <v>481</v>
      </c>
      <c r="B875" s="13" t="s">
        <v>471</v>
      </c>
      <c r="C875" s="139">
        <v>46267</v>
      </c>
      <c r="D875" s="139" t="s">
        <v>441</v>
      </c>
      <c r="E875" s="28">
        <v>0.95619825999999997</v>
      </c>
      <c r="F875" s="13"/>
      <c r="G875" s="18">
        <v>15000000</v>
      </c>
      <c r="H875" s="18">
        <v>14342973.960000001</v>
      </c>
      <c r="I875" s="18">
        <v>15000000</v>
      </c>
      <c r="J875" s="18">
        <v>14342973.960000001</v>
      </c>
      <c r="K875" s="15">
        <v>70219552</v>
      </c>
      <c r="L875" s="13" t="s">
        <v>102</v>
      </c>
      <c r="M875" s="13" t="s">
        <v>103</v>
      </c>
      <c r="N875" s="139" t="s">
        <v>402</v>
      </c>
      <c r="O875" s="139" t="s">
        <v>402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1883</v>
      </c>
      <c r="V875" s="13" t="s">
        <v>1883</v>
      </c>
      <c r="W875" s="59">
        <f t="shared" si="13"/>
        <v>2.7401692602010432E-4</v>
      </c>
    </row>
    <row r="876" spans="1:29">
      <c r="A876" s="13" t="s">
        <v>481</v>
      </c>
      <c r="B876" s="13" t="s">
        <v>471</v>
      </c>
      <c r="C876" s="139">
        <v>46267</v>
      </c>
      <c r="D876" s="139" t="s">
        <v>441</v>
      </c>
      <c r="E876" s="28">
        <v>0.95619825999999997</v>
      </c>
      <c r="F876" s="13"/>
      <c r="G876" s="18">
        <v>25000000</v>
      </c>
      <c r="H876" s="18">
        <v>23904956.600000001</v>
      </c>
      <c r="I876" s="18">
        <v>25000000</v>
      </c>
      <c r="J876" s="18">
        <v>23904956.600000001</v>
      </c>
      <c r="K876" s="15">
        <v>70219551</v>
      </c>
      <c r="L876" s="13" t="s">
        <v>102</v>
      </c>
      <c r="M876" s="13" t="s">
        <v>103</v>
      </c>
      <c r="N876" s="139" t="s">
        <v>402</v>
      </c>
      <c r="O876" s="139" t="s">
        <v>402</v>
      </c>
      <c r="P876" s="28">
        <v>38</v>
      </c>
      <c r="Q876" s="13" t="s">
        <v>54</v>
      </c>
      <c r="R876" s="13" t="s">
        <v>28</v>
      </c>
      <c r="S876" s="13"/>
      <c r="T876" s="13"/>
      <c r="U876" s="13" t="s">
        <v>1884</v>
      </c>
      <c r="V876" s="13" t="s">
        <v>1884</v>
      </c>
      <c r="W876" s="59">
        <f t="shared" si="13"/>
        <v>4.5669487670017389E-4</v>
      </c>
    </row>
    <row r="877" spans="1:29">
      <c r="A877" s="13" t="s">
        <v>491</v>
      </c>
      <c r="B877" s="13" t="s">
        <v>471</v>
      </c>
      <c r="C877" s="139">
        <v>46267</v>
      </c>
      <c r="D877" s="139" t="s">
        <v>441</v>
      </c>
      <c r="E877" s="28">
        <v>0.95399898000000005</v>
      </c>
      <c r="F877" s="13"/>
      <c r="G877" s="18">
        <v>2000000</v>
      </c>
      <c r="H877" s="18">
        <v>1907997.97</v>
      </c>
      <c r="I877" s="18">
        <v>2000000</v>
      </c>
      <c r="J877" s="18">
        <v>1907997.97</v>
      </c>
      <c r="K877" s="15">
        <v>39</v>
      </c>
      <c r="L877" s="13" t="s">
        <v>102</v>
      </c>
      <c r="M877" s="13" t="s">
        <v>103</v>
      </c>
      <c r="N877" s="139" t="s">
        <v>350</v>
      </c>
      <c r="O877" s="139" t="s">
        <v>350</v>
      </c>
      <c r="P877" s="28">
        <v>40</v>
      </c>
      <c r="Q877" s="13" t="s">
        <v>54</v>
      </c>
      <c r="R877" s="13" t="s">
        <v>28</v>
      </c>
      <c r="S877" s="13"/>
      <c r="T877" s="13"/>
      <c r="U877" s="13" t="s">
        <v>487</v>
      </c>
      <c r="V877" s="13" t="s">
        <v>487</v>
      </c>
      <c r="W877" s="59">
        <f t="shared" si="13"/>
        <v>3.6451557400164118E-5</v>
      </c>
    </row>
    <row r="878" spans="1:29">
      <c r="A878" s="13" t="s">
        <v>1389</v>
      </c>
      <c r="B878" s="13" t="s">
        <v>471</v>
      </c>
      <c r="C878" s="139">
        <v>46267</v>
      </c>
      <c r="D878" s="139" t="s">
        <v>441</v>
      </c>
      <c r="E878" s="28">
        <v>0.96174115999999998</v>
      </c>
      <c r="F878" s="13"/>
      <c r="G878" s="18">
        <v>2200000</v>
      </c>
      <c r="H878" s="18">
        <v>2115830.54</v>
      </c>
      <c r="I878" s="18">
        <v>2200000</v>
      </c>
      <c r="J878" s="18">
        <v>2115830.54</v>
      </c>
      <c r="K878" s="15">
        <v>6200</v>
      </c>
      <c r="L878" s="13" t="s">
        <v>102</v>
      </c>
      <c r="M878" s="13" t="s">
        <v>103</v>
      </c>
      <c r="N878" s="139" t="s">
        <v>351</v>
      </c>
      <c r="O878" s="139" t="s">
        <v>351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1379</v>
      </c>
      <c r="V878" s="13" t="s">
        <v>1379</v>
      </c>
      <c r="W878" s="59">
        <f t="shared" si="13"/>
        <v>4.0422117628264686E-5</v>
      </c>
    </row>
    <row r="879" spans="1:29">
      <c r="A879" s="13" t="s">
        <v>511</v>
      </c>
      <c r="B879" s="13" t="s">
        <v>471</v>
      </c>
      <c r="C879" s="139">
        <v>46267</v>
      </c>
      <c r="D879" s="139" t="s">
        <v>441</v>
      </c>
      <c r="E879" s="28">
        <v>0.96174115999999998</v>
      </c>
      <c r="F879" s="13"/>
      <c r="G879" s="18">
        <v>50000000</v>
      </c>
      <c r="H879" s="18">
        <v>48087057.840000004</v>
      </c>
      <c r="I879" s="18">
        <v>50000000</v>
      </c>
      <c r="J879" s="18">
        <v>48087057.840000004</v>
      </c>
      <c r="K879" s="15">
        <v>2834</v>
      </c>
      <c r="L879" s="13" t="s">
        <v>102</v>
      </c>
      <c r="M879" s="13" t="s">
        <v>103</v>
      </c>
      <c r="N879" s="139" t="s">
        <v>351</v>
      </c>
      <c r="O879" s="139" t="s">
        <v>351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1370</v>
      </c>
      <c r="V879" s="13" t="s">
        <v>1370</v>
      </c>
      <c r="W879" s="59">
        <f t="shared" si="13"/>
        <v>9.1868449370508085E-4</v>
      </c>
      <c r="AC879" s="56"/>
    </row>
    <row r="880" spans="1:29">
      <c r="A880" s="13" t="s">
        <v>347</v>
      </c>
      <c r="B880" s="13" t="s">
        <v>471</v>
      </c>
      <c r="C880" s="139">
        <v>46267</v>
      </c>
      <c r="D880" s="139" t="s">
        <v>441</v>
      </c>
      <c r="E880" s="28">
        <v>0.95951639</v>
      </c>
      <c r="F880" s="13"/>
      <c r="G880" s="18">
        <v>10000000</v>
      </c>
      <c r="H880" s="18">
        <v>9595163.8900000006</v>
      </c>
      <c r="I880" s="18">
        <v>10000000</v>
      </c>
      <c r="J880" s="18">
        <v>9595163.8900000006</v>
      </c>
      <c r="K880" s="15">
        <v>162</v>
      </c>
      <c r="L880" s="13" t="s">
        <v>102</v>
      </c>
      <c r="M880" s="13" t="s">
        <v>103</v>
      </c>
      <c r="N880" s="139" t="s">
        <v>399</v>
      </c>
      <c r="O880" s="139" t="s">
        <v>399</v>
      </c>
      <c r="P880" s="28">
        <v>35</v>
      </c>
      <c r="Q880" s="13" t="s">
        <v>54</v>
      </c>
      <c r="R880" s="13" t="s">
        <v>28</v>
      </c>
      <c r="S880" s="13"/>
      <c r="T880" s="13"/>
      <c r="U880" s="13" t="s">
        <v>830</v>
      </c>
      <c r="V880" s="13" t="s">
        <v>830</v>
      </c>
      <c r="W880" s="59">
        <f t="shared" si="13"/>
        <v>1.8331186552589311E-4</v>
      </c>
    </row>
    <row r="881" spans="1:29">
      <c r="A881" s="13" t="s">
        <v>242</v>
      </c>
      <c r="B881" s="13" t="s">
        <v>471</v>
      </c>
      <c r="C881" s="139">
        <v>46267</v>
      </c>
      <c r="D881" s="139" t="s">
        <v>441</v>
      </c>
      <c r="E881" s="28">
        <v>0.96174126999999998</v>
      </c>
      <c r="F881" s="13"/>
      <c r="G881" s="18">
        <v>2500000</v>
      </c>
      <c r="H881" s="18">
        <v>2404353.17</v>
      </c>
      <c r="I881" s="18">
        <v>2500000</v>
      </c>
      <c r="J881" s="18">
        <v>2404353.17</v>
      </c>
      <c r="K881" s="15">
        <v>1199</v>
      </c>
      <c r="L881" s="13" t="s">
        <v>102</v>
      </c>
      <c r="M881" s="13" t="s">
        <v>103</v>
      </c>
      <c r="N881" s="139" t="s">
        <v>162</v>
      </c>
      <c r="O881" s="139" t="s">
        <v>162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1092</v>
      </c>
      <c r="V881" s="13" t="s">
        <v>1092</v>
      </c>
      <c r="W881" s="59">
        <f t="shared" si="13"/>
        <v>4.5934229996335661E-5</v>
      </c>
      <c r="AC881" s="56"/>
    </row>
    <row r="882" spans="1:29">
      <c r="A882" s="13" t="s">
        <v>149</v>
      </c>
      <c r="B882" s="13" t="s">
        <v>471</v>
      </c>
      <c r="C882" s="139">
        <v>46267</v>
      </c>
      <c r="D882" s="139" t="s">
        <v>441</v>
      </c>
      <c r="E882" s="28">
        <v>0.96847808999999996</v>
      </c>
      <c r="F882" s="13"/>
      <c r="G882" s="18">
        <v>200000000</v>
      </c>
      <c r="H882" s="18">
        <v>193695618.24000001</v>
      </c>
      <c r="I882" s="18">
        <v>200000000</v>
      </c>
      <c r="J882" s="18">
        <v>193695618.24000001</v>
      </c>
      <c r="K882" s="15">
        <v>90003878</v>
      </c>
      <c r="L882" s="13" t="s">
        <v>102</v>
      </c>
      <c r="M882" s="13" t="s">
        <v>103</v>
      </c>
      <c r="N882" s="139" t="s">
        <v>439</v>
      </c>
      <c r="O882" s="139" t="s">
        <v>439</v>
      </c>
      <c r="P882" s="28">
        <v>27</v>
      </c>
      <c r="Q882" s="13" t="s">
        <v>54</v>
      </c>
      <c r="R882" s="13" t="s">
        <v>28</v>
      </c>
      <c r="S882" s="13"/>
      <c r="T882" s="13"/>
      <c r="U882" s="13" t="s">
        <v>1758</v>
      </c>
      <c r="V882" s="13" t="s">
        <v>1758</v>
      </c>
      <c r="W882" s="59">
        <f t="shared" si="13"/>
        <v>3.7004792758954749E-3</v>
      </c>
    </row>
    <row r="883" spans="1:29">
      <c r="A883" s="13" t="s">
        <v>323</v>
      </c>
      <c r="B883" s="13" t="s">
        <v>471</v>
      </c>
      <c r="C883" s="139">
        <v>46267</v>
      </c>
      <c r="D883" s="139" t="s">
        <v>441</v>
      </c>
      <c r="E883" s="28">
        <v>0.96847804999999998</v>
      </c>
      <c r="F883" s="13"/>
      <c r="G883" s="18">
        <v>6250000</v>
      </c>
      <c r="H883" s="18">
        <v>6052987.79</v>
      </c>
      <c r="I883" s="18">
        <v>6250000</v>
      </c>
      <c r="J883" s="18">
        <v>6052987.79</v>
      </c>
      <c r="K883" s="15">
        <v>1382</v>
      </c>
      <c r="L883" s="13" t="s">
        <v>102</v>
      </c>
      <c r="M883" s="13" t="s">
        <v>103</v>
      </c>
      <c r="N883" s="139" t="s">
        <v>457</v>
      </c>
      <c r="O883" s="139" t="s">
        <v>457</v>
      </c>
      <c r="P883" s="28">
        <v>27</v>
      </c>
      <c r="Q883" s="13" t="s">
        <v>54</v>
      </c>
      <c r="R883" s="13" t="s">
        <v>28</v>
      </c>
      <c r="S883" s="13"/>
      <c r="T883" s="13"/>
      <c r="U883" s="13" t="s">
        <v>1730</v>
      </c>
      <c r="V883" s="13" t="s">
        <v>1730</v>
      </c>
      <c r="W883" s="59">
        <f t="shared" si="13"/>
        <v>1.1563997202244274E-4</v>
      </c>
    </row>
    <row r="884" spans="1:29">
      <c r="A884" s="13" t="s">
        <v>323</v>
      </c>
      <c r="B884" s="13" t="s">
        <v>471</v>
      </c>
      <c r="C884" s="139">
        <v>46267</v>
      </c>
      <c r="D884" s="139" t="s">
        <v>441</v>
      </c>
      <c r="E884" s="28">
        <v>0.96847804999999998</v>
      </c>
      <c r="F884" s="13"/>
      <c r="G884" s="18">
        <v>6250000</v>
      </c>
      <c r="H884" s="18">
        <v>6052987.79</v>
      </c>
      <c r="I884" s="18">
        <v>6250000</v>
      </c>
      <c r="J884" s="18">
        <v>6052987.79</v>
      </c>
      <c r="K884" s="15">
        <v>1379</v>
      </c>
      <c r="L884" s="13" t="s">
        <v>102</v>
      </c>
      <c r="M884" s="13" t="s">
        <v>103</v>
      </c>
      <c r="N884" s="139" t="s">
        <v>457</v>
      </c>
      <c r="O884" s="139" t="s">
        <v>457</v>
      </c>
      <c r="P884" s="28">
        <v>27</v>
      </c>
      <c r="Q884" s="13" t="s">
        <v>54</v>
      </c>
      <c r="R884" s="13" t="s">
        <v>28</v>
      </c>
      <c r="S884" s="13"/>
      <c r="T884" s="13"/>
      <c r="U884" s="13" t="s">
        <v>1731</v>
      </c>
      <c r="V884" s="13" t="s">
        <v>1731</v>
      </c>
      <c r="W884" s="59">
        <f t="shared" si="13"/>
        <v>1.1563997202244274E-4</v>
      </c>
    </row>
    <row r="885" spans="1:29">
      <c r="A885" s="13" t="s">
        <v>323</v>
      </c>
      <c r="B885" s="13" t="s">
        <v>471</v>
      </c>
      <c r="C885" s="139">
        <v>46267</v>
      </c>
      <c r="D885" s="139" t="s">
        <v>441</v>
      </c>
      <c r="E885" s="28">
        <v>0.96847804999999998</v>
      </c>
      <c r="F885" s="13"/>
      <c r="G885" s="18">
        <v>6250000</v>
      </c>
      <c r="H885" s="18">
        <v>6052987.79</v>
      </c>
      <c r="I885" s="18">
        <v>6250000</v>
      </c>
      <c r="J885" s="18">
        <v>6052987.79</v>
      </c>
      <c r="K885" s="15">
        <v>1381</v>
      </c>
      <c r="L885" s="13" t="s">
        <v>102</v>
      </c>
      <c r="M885" s="13" t="s">
        <v>103</v>
      </c>
      <c r="N885" s="139" t="s">
        <v>457</v>
      </c>
      <c r="O885" s="139" t="s">
        <v>457</v>
      </c>
      <c r="P885" s="28">
        <v>27</v>
      </c>
      <c r="Q885" s="13" t="s">
        <v>54</v>
      </c>
      <c r="R885" s="13" t="s">
        <v>28</v>
      </c>
      <c r="S885" s="13"/>
      <c r="T885" s="13"/>
      <c r="U885" s="13" t="s">
        <v>1732</v>
      </c>
      <c r="V885" s="13" t="s">
        <v>1732</v>
      </c>
      <c r="W885" s="59">
        <f t="shared" si="13"/>
        <v>1.1563997202244274E-4</v>
      </c>
    </row>
    <row r="886" spans="1:29">
      <c r="A886" s="13" t="s">
        <v>323</v>
      </c>
      <c r="B886" s="13" t="s">
        <v>471</v>
      </c>
      <c r="C886" s="139">
        <v>46267</v>
      </c>
      <c r="D886" s="139" t="s">
        <v>441</v>
      </c>
      <c r="E886" s="28">
        <v>0.96847804999999998</v>
      </c>
      <c r="F886" s="13"/>
      <c r="G886" s="18">
        <v>6250000</v>
      </c>
      <c r="H886" s="18">
        <v>6052987.79</v>
      </c>
      <c r="I886" s="18">
        <v>6250000</v>
      </c>
      <c r="J886" s="18">
        <v>6052987.79</v>
      </c>
      <c r="K886" s="15">
        <v>1380</v>
      </c>
      <c r="L886" s="13" t="s">
        <v>102</v>
      </c>
      <c r="M886" s="13" t="s">
        <v>103</v>
      </c>
      <c r="N886" s="139" t="s">
        <v>457</v>
      </c>
      <c r="O886" s="139" t="s">
        <v>457</v>
      </c>
      <c r="P886" s="28">
        <v>27</v>
      </c>
      <c r="Q886" s="13" t="s">
        <v>54</v>
      </c>
      <c r="R886" s="13" t="s">
        <v>28</v>
      </c>
      <c r="S886" s="13"/>
      <c r="T886" s="13"/>
      <c r="U886" s="13" t="s">
        <v>1733</v>
      </c>
      <c r="V886" s="13" t="s">
        <v>1733</v>
      </c>
      <c r="W886" s="59">
        <f t="shared" si="13"/>
        <v>1.1563997202244274E-4</v>
      </c>
      <c r="AC886" s="56"/>
    </row>
    <row r="887" spans="1:29">
      <c r="A887" s="13" t="s">
        <v>323</v>
      </c>
      <c r="B887" s="13" t="s">
        <v>471</v>
      </c>
      <c r="C887" s="139">
        <v>46267</v>
      </c>
      <c r="D887" s="139" t="s">
        <v>441</v>
      </c>
      <c r="E887" s="28">
        <v>0.96961010000000003</v>
      </c>
      <c r="F887" s="13"/>
      <c r="G887" s="18">
        <v>10000000</v>
      </c>
      <c r="H887" s="18">
        <v>9696101.0299999993</v>
      </c>
      <c r="I887" s="18">
        <v>10000000</v>
      </c>
      <c r="J887" s="18">
        <v>9696101.0299999993</v>
      </c>
      <c r="K887" s="15">
        <v>68035343</v>
      </c>
      <c r="L887" s="13" t="s">
        <v>102</v>
      </c>
      <c r="M887" s="13" t="s">
        <v>103</v>
      </c>
      <c r="N887" s="139" t="s">
        <v>494</v>
      </c>
      <c r="O887" s="139" t="s">
        <v>494</v>
      </c>
      <c r="P887" s="28">
        <v>26</v>
      </c>
      <c r="Q887" s="13" t="s">
        <v>54</v>
      </c>
      <c r="R887" s="13" t="s">
        <v>28</v>
      </c>
      <c r="S887" s="13"/>
      <c r="T887" s="13"/>
      <c r="U887" s="13" t="s">
        <v>2009</v>
      </c>
      <c r="V887" s="13" t="s">
        <v>2009</v>
      </c>
      <c r="W887" s="59">
        <f t="shared" si="13"/>
        <v>1.8524023023611257E-4</v>
      </c>
    </row>
    <row r="888" spans="1:29">
      <c r="A888" s="13" t="s">
        <v>323</v>
      </c>
      <c r="B888" s="13" t="s">
        <v>471</v>
      </c>
      <c r="C888" s="139">
        <v>46267</v>
      </c>
      <c r="D888" s="139" t="s">
        <v>441</v>
      </c>
      <c r="E888" s="28">
        <v>0.96961010000000003</v>
      </c>
      <c r="F888" s="13"/>
      <c r="G888" s="18">
        <v>25000000</v>
      </c>
      <c r="H888" s="18">
        <v>24240252.579999998</v>
      </c>
      <c r="I888" s="18">
        <v>25000000</v>
      </c>
      <c r="J888" s="18">
        <v>24240252.579999998</v>
      </c>
      <c r="K888" s="15">
        <v>2844</v>
      </c>
      <c r="L888" s="13" t="s">
        <v>102</v>
      </c>
      <c r="M888" s="13" t="s">
        <v>103</v>
      </c>
      <c r="N888" s="139" t="s">
        <v>494</v>
      </c>
      <c r="O888" s="139" t="s">
        <v>494</v>
      </c>
      <c r="P888" s="28">
        <v>26</v>
      </c>
      <c r="Q888" s="13" t="s">
        <v>54</v>
      </c>
      <c r="R888" s="13" t="s">
        <v>28</v>
      </c>
      <c r="S888" s="13"/>
      <c r="T888" s="13"/>
      <c r="U888" s="13" t="s">
        <v>2027</v>
      </c>
      <c r="V888" s="13" t="s">
        <v>2027</v>
      </c>
      <c r="W888" s="59">
        <f t="shared" si="13"/>
        <v>4.6310057568580445E-4</v>
      </c>
    </row>
    <row r="889" spans="1:29">
      <c r="A889" s="13" t="s">
        <v>323</v>
      </c>
      <c r="B889" s="13" t="s">
        <v>471</v>
      </c>
      <c r="C889" s="139">
        <v>46267</v>
      </c>
      <c r="D889" s="139" t="s">
        <v>441</v>
      </c>
      <c r="E889" s="28">
        <v>0.96961010000000003</v>
      </c>
      <c r="F889" s="13"/>
      <c r="G889" s="18">
        <v>12500000</v>
      </c>
      <c r="H889" s="18">
        <v>12120126.289999999</v>
      </c>
      <c r="I889" s="18">
        <v>12500000</v>
      </c>
      <c r="J889" s="18">
        <v>12120126.289999999</v>
      </c>
      <c r="K889" s="15">
        <v>189</v>
      </c>
      <c r="L889" s="13" t="s">
        <v>102</v>
      </c>
      <c r="M889" s="13" t="s">
        <v>103</v>
      </c>
      <c r="N889" s="139" t="s">
        <v>494</v>
      </c>
      <c r="O889" s="139" t="s">
        <v>494</v>
      </c>
      <c r="P889" s="28">
        <v>26</v>
      </c>
      <c r="Q889" s="13" t="s">
        <v>54</v>
      </c>
      <c r="R889" s="13" t="s">
        <v>28</v>
      </c>
      <c r="S889" s="13"/>
      <c r="T889" s="13"/>
      <c r="U889" s="13" t="s">
        <v>2028</v>
      </c>
      <c r="V889" s="13" t="s">
        <v>2028</v>
      </c>
      <c r="W889" s="59">
        <f t="shared" si="13"/>
        <v>2.3155028784290223E-4</v>
      </c>
    </row>
    <row r="890" spans="1:29">
      <c r="A890" s="13" t="s">
        <v>555</v>
      </c>
      <c r="B890" s="13" t="s">
        <v>471</v>
      </c>
      <c r="C890" s="139">
        <v>46267</v>
      </c>
      <c r="D890" s="139" t="s">
        <v>441</v>
      </c>
      <c r="E890" s="28">
        <v>0.95840778000000004</v>
      </c>
      <c r="F890" s="13"/>
      <c r="G890" s="18">
        <v>5000000</v>
      </c>
      <c r="H890" s="18">
        <v>4792038.91</v>
      </c>
      <c r="I890" s="18">
        <v>5000000</v>
      </c>
      <c r="J890" s="18">
        <v>4792038.91</v>
      </c>
      <c r="K890" s="15">
        <v>67542727</v>
      </c>
      <c r="L890" s="13" t="s">
        <v>102</v>
      </c>
      <c r="M890" s="13" t="s">
        <v>103</v>
      </c>
      <c r="N890" s="139" t="s">
        <v>400</v>
      </c>
      <c r="O890" s="139" t="s">
        <v>400</v>
      </c>
      <c r="P890" s="28">
        <v>36</v>
      </c>
      <c r="Q890" s="13" t="s">
        <v>54</v>
      </c>
      <c r="R890" s="13" t="s">
        <v>28</v>
      </c>
      <c r="S890" s="13"/>
      <c r="T890" s="13"/>
      <c r="U890" s="13" t="s">
        <v>1536</v>
      </c>
      <c r="V890" s="13" t="s">
        <v>1536</v>
      </c>
      <c r="W890" s="59">
        <f t="shared" si="13"/>
        <v>9.1550035240176326E-5</v>
      </c>
    </row>
    <row r="891" spans="1:29">
      <c r="A891" s="13" t="s">
        <v>193</v>
      </c>
      <c r="B891" s="13" t="s">
        <v>471</v>
      </c>
      <c r="C891" s="139">
        <v>46267</v>
      </c>
      <c r="D891" s="139" t="s">
        <v>441</v>
      </c>
      <c r="E891" s="28">
        <v>0.96174137999999998</v>
      </c>
      <c r="F891" s="13"/>
      <c r="G891" s="18">
        <v>145500000</v>
      </c>
      <c r="H891" s="18">
        <v>139933371.40000001</v>
      </c>
      <c r="I891" s="18">
        <v>145500000</v>
      </c>
      <c r="J891" s="18">
        <v>139933371.40000001</v>
      </c>
      <c r="K891" s="15">
        <v>70390800</v>
      </c>
      <c r="L891" s="13" t="s">
        <v>102</v>
      </c>
      <c r="M891" s="13" t="s">
        <v>103</v>
      </c>
      <c r="N891" s="139" t="s">
        <v>392</v>
      </c>
      <c r="O891" s="139" t="s">
        <v>392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2276</v>
      </c>
      <c r="V891" s="13" t="s">
        <v>2276</v>
      </c>
      <c r="W891" s="59">
        <f t="shared" si="13"/>
        <v>2.6733725087692752E-3</v>
      </c>
    </row>
    <row r="892" spans="1:29">
      <c r="A892" s="13" t="s">
        <v>1516</v>
      </c>
      <c r="B892" s="13" t="s">
        <v>471</v>
      </c>
      <c r="C892" s="139">
        <v>46267</v>
      </c>
      <c r="D892" s="139" t="s">
        <v>441</v>
      </c>
      <c r="E892" s="28">
        <v>0.95619832000000005</v>
      </c>
      <c r="F892" s="13"/>
      <c r="G892" s="18">
        <v>40000000</v>
      </c>
      <c r="H892" s="18">
        <v>38247932.759999998</v>
      </c>
      <c r="I892" s="18">
        <v>40000000</v>
      </c>
      <c r="J892" s="18">
        <v>38247932.759999998</v>
      </c>
      <c r="K892" s="15">
        <v>70379073</v>
      </c>
      <c r="L892" s="13" t="s">
        <v>102</v>
      </c>
      <c r="M892" s="13" t="s">
        <v>103</v>
      </c>
      <c r="N892" s="139" t="s">
        <v>383</v>
      </c>
      <c r="O892" s="139" t="s">
        <v>383</v>
      </c>
      <c r="P892" s="28">
        <v>38</v>
      </c>
      <c r="Q892" s="13" t="s">
        <v>54</v>
      </c>
      <c r="R892" s="13" t="s">
        <v>28</v>
      </c>
      <c r="S892" s="13"/>
      <c r="T892" s="13"/>
      <c r="U892" s="13" t="s">
        <v>1679</v>
      </c>
      <c r="V892" s="13" t="s">
        <v>1679</v>
      </c>
      <c r="W892" s="59">
        <f t="shared" si="13"/>
        <v>7.3071184475042054E-4</v>
      </c>
    </row>
    <row r="893" spans="1:29">
      <c r="A893" s="13" t="s">
        <v>2113</v>
      </c>
      <c r="B893" s="13" t="s">
        <v>471</v>
      </c>
      <c r="C893" s="139">
        <v>46267</v>
      </c>
      <c r="D893" s="139" t="s">
        <v>441</v>
      </c>
      <c r="E893" s="28">
        <v>0.96509783999999998</v>
      </c>
      <c r="F893" s="13"/>
      <c r="G893" s="18">
        <v>2200000</v>
      </c>
      <c r="H893" s="18">
        <v>2123215.2400000002</v>
      </c>
      <c r="I893" s="18">
        <v>2200000</v>
      </c>
      <c r="J893" s="18">
        <v>2123215.2400000002</v>
      </c>
      <c r="K893" s="15">
        <v>9791</v>
      </c>
      <c r="L893" s="13" t="s">
        <v>102</v>
      </c>
      <c r="M893" s="13" t="s">
        <v>103</v>
      </c>
      <c r="N893" s="139" t="s">
        <v>783</v>
      </c>
      <c r="O893" s="139" t="s">
        <v>783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2102</v>
      </c>
      <c r="V893" s="13" t="s">
        <v>2102</v>
      </c>
      <c r="W893" s="59">
        <f t="shared" si="13"/>
        <v>4.0563199442902573E-5</v>
      </c>
    </row>
    <row r="894" spans="1:29">
      <c r="A894" s="13" t="s">
        <v>581</v>
      </c>
      <c r="B894" s="13" t="s">
        <v>471</v>
      </c>
      <c r="C894" s="139">
        <v>46267</v>
      </c>
      <c r="D894" s="139" t="s">
        <v>441</v>
      </c>
      <c r="E894" s="28">
        <v>0.96734869000000001</v>
      </c>
      <c r="F894" s="13"/>
      <c r="G894" s="18">
        <v>10000000</v>
      </c>
      <c r="H894" s="18">
        <v>9673486.9399999995</v>
      </c>
      <c r="I894" s="18">
        <v>10000000</v>
      </c>
      <c r="J894" s="18">
        <v>9673486.9399999995</v>
      </c>
      <c r="K894" s="15">
        <v>360561</v>
      </c>
      <c r="L894" s="13" t="s">
        <v>102</v>
      </c>
      <c r="M894" s="13" t="s">
        <v>103</v>
      </c>
      <c r="N894" s="139" t="s">
        <v>348</v>
      </c>
      <c r="O894" s="139" t="s">
        <v>348</v>
      </c>
      <c r="P894" s="28">
        <v>28</v>
      </c>
      <c r="Q894" s="13" t="s">
        <v>54</v>
      </c>
      <c r="R894" s="13" t="s">
        <v>28</v>
      </c>
      <c r="S894" s="13"/>
      <c r="T894" s="13"/>
      <c r="U894" s="13" t="s">
        <v>730</v>
      </c>
      <c r="V894" s="13" t="s">
        <v>730</v>
      </c>
      <c r="W894" s="59">
        <f t="shared" si="13"/>
        <v>1.848081968625721E-4</v>
      </c>
    </row>
    <row r="895" spans="1:29">
      <c r="A895" s="13" t="s">
        <v>661</v>
      </c>
      <c r="B895" s="13" t="s">
        <v>471</v>
      </c>
      <c r="C895" s="139">
        <v>46267</v>
      </c>
      <c r="D895" s="139" t="s">
        <v>441</v>
      </c>
      <c r="E895" s="28">
        <v>0.96285746000000005</v>
      </c>
      <c r="F895" s="13"/>
      <c r="G895" s="18">
        <v>15000000</v>
      </c>
      <c r="H895" s="18">
        <v>14442861.93</v>
      </c>
      <c r="I895" s="18">
        <v>15000000</v>
      </c>
      <c r="J895" s="18">
        <v>14442861.93</v>
      </c>
      <c r="K895" s="15">
        <v>179</v>
      </c>
      <c r="L895" s="13" t="s">
        <v>102</v>
      </c>
      <c r="M895" s="13" t="s">
        <v>103</v>
      </c>
      <c r="N895" s="139" t="s">
        <v>358</v>
      </c>
      <c r="O895" s="139" t="s">
        <v>358</v>
      </c>
      <c r="P895" s="28">
        <v>32</v>
      </c>
      <c r="Q895" s="13" t="s">
        <v>54</v>
      </c>
      <c r="R895" s="13" t="s">
        <v>28</v>
      </c>
      <c r="S895" s="13"/>
      <c r="T895" s="13"/>
      <c r="U895" s="13" t="s">
        <v>599</v>
      </c>
      <c r="V895" s="13" t="s">
        <v>599</v>
      </c>
      <c r="W895" s="59">
        <f t="shared" si="13"/>
        <v>2.7592524674648376E-4</v>
      </c>
    </row>
    <row r="896" spans="1:29">
      <c r="A896" s="13" t="s">
        <v>661</v>
      </c>
      <c r="B896" s="13" t="s">
        <v>471</v>
      </c>
      <c r="C896" s="139">
        <v>46267</v>
      </c>
      <c r="D896" s="139" t="s">
        <v>441</v>
      </c>
      <c r="E896" s="28">
        <v>0.96509783000000005</v>
      </c>
      <c r="F896" s="13"/>
      <c r="G896" s="18">
        <v>6000000</v>
      </c>
      <c r="H896" s="18">
        <v>5790587</v>
      </c>
      <c r="I896" s="18">
        <v>6000000</v>
      </c>
      <c r="J896" s="18">
        <v>5790587</v>
      </c>
      <c r="K896" s="15">
        <v>10926495</v>
      </c>
      <c r="L896" s="13" t="s">
        <v>102</v>
      </c>
      <c r="M896" s="13" t="s">
        <v>103</v>
      </c>
      <c r="N896" s="139" t="s">
        <v>397</v>
      </c>
      <c r="O896" s="139" t="s">
        <v>397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675</v>
      </c>
      <c r="V896" s="13" t="s">
        <v>675</v>
      </c>
      <c r="W896" s="59">
        <f t="shared" si="13"/>
        <v>1.1062690722419591E-4</v>
      </c>
    </row>
    <row r="897" spans="1:29">
      <c r="A897" s="13" t="s">
        <v>2234</v>
      </c>
      <c r="B897" s="13" t="s">
        <v>471</v>
      </c>
      <c r="C897" s="139">
        <v>46267</v>
      </c>
      <c r="D897" s="139" t="s">
        <v>441</v>
      </c>
      <c r="E897" s="28">
        <v>0.96509798000000002</v>
      </c>
      <c r="F897" s="13"/>
      <c r="G897" s="18">
        <v>830000</v>
      </c>
      <c r="H897" s="18">
        <v>801031.33</v>
      </c>
      <c r="I897" s="18">
        <v>830000</v>
      </c>
      <c r="J897" s="18">
        <v>801031.33</v>
      </c>
      <c r="K897" s="15">
        <v>63</v>
      </c>
      <c r="L897" s="13" t="s">
        <v>102</v>
      </c>
      <c r="M897" s="13" t="s">
        <v>103</v>
      </c>
      <c r="N897" s="139" t="s">
        <v>388</v>
      </c>
      <c r="O897" s="139" t="s">
        <v>388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2237</v>
      </c>
      <c r="V897" s="13" t="s">
        <v>2237</v>
      </c>
      <c r="W897" s="59">
        <f t="shared" si="13"/>
        <v>1.5303391284438738E-5</v>
      </c>
    </row>
    <row r="898" spans="1:29">
      <c r="A898" s="13" t="s">
        <v>2242</v>
      </c>
      <c r="B898" s="13" t="s">
        <v>471</v>
      </c>
      <c r="C898" s="139">
        <v>46267</v>
      </c>
      <c r="D898" s="139" t="s">
        <v>441</v>
      </c>
      <c r="E898" s="28">
        <v>0.96509798000000002</v>
      </c>
      <c r="F898" s="13"/>
      <c r="G898" s="18">
        <v>2500000</v>
      </c>
      <c r="H898" s="18">
        <v>2412744.94</v>
      </c>
      <c r="I898" s="18">
        <v>2500000</v>
      </c>
      <c r="J898" s="18">
        <v>2412744.94</v>
      </c>
      <c r="K898" s="15">
        <v>381</v>
      </c>
      <c r="L898" s="13" t="s">
        <v>102</v>
      </c>
      <c r="M898" s="13" t="s">
        <v>103</v>
      </c>
      <c r="N898" s="139" t="s">
        <v>388</v>
      </c>
      <c r="O898" s="139" t="s">
        <v>388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2246</v>
      </c>
      <c r="V898" s="13" t="s">
        <v>2246</v>
      </c>
      <c r="W898" s="59">
        <f t="shared" si="13"/>
        <v>4.6094551490725919E-5</v>
      </c>
    </row>
    <row r="899" spans="1:29">
      <c r="A899" s="13" t="s">
        <v>698</v>
      </c>
      <c r="B899" s="13" t="s">
        <v>471</v>
      </c>
      <c r="C899" s="139">
        <v>46268</v>
      </c>
      <c r="D899" s="139" t="s">
        <v>441</v>
      </c>
      <c r="E899" s="28">
        <v>0.97126148999999995</v>
      </c>
      <c r="F899" s="13"/>
      <c r="G899" s="18">
        <v>10000000</v>
      </c>
      <c r="H899" s="18">
        <v>9712614.9000000004</v>
      </c>
      <c r="I899" s="18">
        <v>10000000</v>
      </c>
      <c r="J899" s="18">
        <v>9712614.9000000004</v>
      </c>
      <c r="K899" s="15">
        <v>4540</v>
      </c>
      <c r="L899" s="13" t="s">
        <v>102</v>
      </c>
      <c r="M899" s="13" t="s">
        <v>103</v>
      </c>
      <c r="N899" s="139" t="s">
        <v>382</v>
      </c>
      <c r="O899" s="139" t="s">
        <v>382</v>
      </c>
      <c r="P899" s="28">
        <v>24</v>
      </c>
      <c r="Q899" s="13" t="s">
        <v>54</v>
      </c>
      <c r="R899" s="13" t="s">
        <v>28</v>
      </c>
      <c r="S899" s="13"/>
      <c r="T899" s="13"/>
      <c r="U899" s="13" t="s">
        <v>2333</v>
      </c>
      <c r="V899" s="13" t="s">
        <v>2333</v>
      </c>
      <c r="W899" s="59">
        <f t="shared" si="13"/>
        <v>1.8555572128467165E-4</v>
      </c>
    </row>
    <row r="900" spans="1:29">
      <c r="A900" s="13" t="s">
        <v>129</v>
      </c>
      <c r="B900" s="13" t="s">
        <v>130</v>
      </c>
      <c r="C900" s="139">
        <v>46268</v>
      </c>
      <c r="D900" s="139" t="s">
        <v>441</v>
      </c>
      <c r="E900" s="28">
        <v>0.99144365000000001</v>
      </c>
      <c r="F900" s="13" t="s">
        <v>2487</v>
      </c>
      <c r="G900" s="18">
        <v>70000</v>
      </c>
      <c r="H900" s="18">
        <v>69401.06</v>
      </c>
      <c r="I900" s="18">
        <v>103612248.63</v>
      </c>
      <c r="J900" s="18">
        <v>102725712.62</v>
      </c>
      <c r="K900" s="15">
        <v>153854</v>
      </c>
      <c r="L900" s="13" t="s">
        <v>102</v>
      </c>
      <c r="M900" s="13" t="s">
        <v>103</v>
      </c>
      <c r="N900" s="139" t="s">
        <v>394</v>
      </c>
      <c r="O900" s="139" t="s">
        <v>394</v>
      </c>
      <c r="P900" s="28">
        <v>7</v>
      </c>
      <c r="Q900" s="13" t="s">
        <v>54</v>
      </c>
      <c r="R900" s="13" t="s">
        <v>28</v>
      </c>
      <c r="S900" s="13"/>
      <c r="T900" s="13"/>
      <c r="U900" s="13" t="s">
        <v>1660</v>
      </c>
      <c r="V900" s="13" t="s">
        <v>1660</v>
      </c>
      <c r="W900" s="59">
        <f t="shared" si="13"/>
        <v>1.9625346928648429E-3</v>
      </c>
    </row>
    <row r="901" spans="1:29">
      <c r="A901" s="13" t="s">
        <v>834</v>
      </c>
      <c r="B901" s="13" t="s">
        <v>130</v>
      </c>
      <c r="C901" s="139">
        <v>46268</v>
      </c>
      <c r="D901" s="139" t="s">
        <v>441</v>
      </c>
      <c r="E901" s="28">
        <v>0.99144361999999997</v>
      </c>
      <c r="F901" s="13" t="s">
        <v>2487</v>
      </c>
      <c r="G901" s="18">
        <v>100000</v>
      </c>
      <c r="H901" s="18">
        <v>99144.36</v>
      </c>
      <c r="I901" s="18">
        <v>148017498.03999999</v>
      </c>
      <c r="J901" s="18">
        <v>146751001.12</v>
      </c>
      <c r="K901" s="15">
        <v>147170</v>
      </c>
      <c r="L901" s="13" t="s">
        <v>102</v>
      </c>
      <c r="M901" s="13" t="s">
        <v>103</v>
      </c>
      <c r="N901" s="139" t="s">
        <v>399</v>
      </c>
      <c r="O901" s="139" t="s">
        <v>399</v>
      </c>
      <c r="P901" s="28">
        <v>7</v>
      </c>
      <c r="Q901" s="13" t="s">
        <v>54</v>
      </c>
      <c r="R901" s="13" t="s">
        <v>28</v>
      </c>
      <c r="S901" s="13"/>
      <c r="T901" s="13"/>
      <c r="U901" s="13" t="s">
        <v>833</v>
      </c>
      <c r="V901" s="13" t="s">
        <v>833</v>
      </c>
      <c r="W901" s="59">
        <f t="shared" ref="W901:W964" si="14">+J901/$W$2</f>
        <v>2.8036206667752528E-3</v>
      </c>
    </row>
    <row r="902" spans="1:29">
      <c r="A902" s="13" t="s">
        <v>834</v>
      </c>
      <c r="B902" s="13" t="s">
        <v>130</v>
      </c>
      <c r="C902" s="139">
        <v>46268</v>
      </c>
      <c r="D902" s="139" t="s">
        <v>441</v>
      </c>
      <c r="E902" s="28">
        <v>0.98902623000000001</v>
      </c>
      <c r="F902" s="13" t="s">
        <v>2487</v>
      </c>
      <c r="G902" s="18">
        <v>25000</v>
      </c>
      <c r="H902" s="18">
        <v>24725.66</v>
      </c>
      <c r="I902" s="18">
        <v>37004374.509999998</v>
      </c>
      <c r="J902" s="18">
        <v>36598303.310000002</v>
      </c>
      <c r="K902" s="15">
        <v>150612</v>
      </c>
      <c r="L902" s="13" t="s">
        <v>102</v>
      </c>
      <c r="M902" s="13" t="s">
        <v>103</v>
      </c>
      <c r="N902" s="139" t="s">
        <v>162</v>
      </c>
      <c r="O902" s="139" t="s">
        <v>162</v>
      </c>
      <c r="P902" s="28">
        <v>9</v>
      </c>
      <c r="Q902" s="13" t="s">
        <v>54</v>
      </c>
      <c r="R902" s="13" t="s">
        <v>28</v>
      </c>
      <c r="S902" s="13"/>
      <c r="T902" s="13"/>
      <c r="U902" s="13" t="s">
        <v>1094</v>
      </c>
      <c r="V902" s="13" t="s">
        <v>1094</v>
      </c>
      <c r="W902" s="59">
        <f t="shared" si="14"/>
        <v>6.9919631720209924E-4</v>
      </c>
    </row>
    <row r="903" spans="1:29">
      <c r="A903" s="13" t="s">
        <v>1163</v>
      </c>
      <c r="B903" s="13" t="s">
        <v>471</v>
      </c>
      <c r="C903" s="139">
        <v>46268</v>
      </c>
      <c r="D903" s="139" t="s">
        <v>441</v>
      </c>
      <c r="E903" s="28">
        <v>0.95750274999999996</v>
      </c>
      <c r="F903" s="13"/>
      <c r="G903" s="18">
        <v>2067824.35</v>
      </c>
      <c r="H903" s="18">
        <v>1979947.5</v>
      </c>
      <c r="I903" s="18">
        <v>2067824.35</v>
      </c>
      <c r="J903" s="18">
        <v>1979947.5</v>
      </c>
      <c r="K903" s="15">
        <v>2201</v>
      </c>
      <c r="L903" s="13" t="s">
        <v>102</v>
      </c>
      <c r="M903" s="13" t="s">
        <v>103</v>
      </c>
      <c r="N903" s="139" t="s">
        <v>458</v>
      </c>
      <c r="O903" s="139" t="s">
        <v>458</v>
      </c>
      <c r="P903" s="28">
        <v>36</v>
      </c>
      <c r="Q903" s="13" t="s">
        <v>54</v>
      </c>
      <c r="R903" s="13" t="s">
        <v>28</v>
      </c>
      <c r="S903" s="13"/>
      <c r="T903" s="13"/>
      <c r="U903" s="13" t="s">
        <v>1164</v>
      </c>
      <c r="V903" s="13" t="s">
        <v>1164</v>
      </c>
      <c r="W903" s="59">
        <f t="shared" si="14"/>
        <v>3.782612512190537E-5</v>
      </c>
    </row>
    <row r="904" spans="1:29">
      <c r="A904" s="13" t="s">
        <v>486</v>
      </c>
      <c r="B904" s="13" t="s">
        <v>471</v>
      </c>
      <c r="C904" s="139">
        <v>46268</v>
      </c>
      <c r="D904" s="139" t="s">
        <v>441</v>
      </c>
      <c r="E904" s="28">
        <v>0.96090573999999995</v>
      </c>
      <c r="F904" s="13"/>
      <c r="G904" s="18">
        <v>15230335.939999999</v>
      </c>
      <c r="H904" s="18">
        <v>14634917.26</v>
      </c>
      <c r="I904" s="18">
        <v>15230335.939999999</v>
      </c>
      <c r="J904" s="18">
        <v>14634917.26</v>
      </c>
      <c r="K904" s="15">
        <v>30690</v>
      </c>
      <c r="L904" s="13" t="s">
        <v>102</v>
      </c>
      <c r="M904" s="13" t="s">
        <v>103</v>
      </c>
      <c r="N904" s="139" t="s">
        <v>458</v>
      </c>
      <c r="O904" s="139" t="s">
        <v>458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1147</v>
      </c>
      <c r="V904" s="13" t="s">
        <v>1147</v>
      </c>
      <c r="W904" s="59">
        <f t="shared" si="14"/>
        <v>2.7959438895500637E-4</v>
      </c>
    </row>
    <row r="905" spans="1:29">
      <c r="A905" s="13" t="s">
        <v>535</v>
      </c>
      <c r="B905" s="13" t="s">
        <v>471</v>
      </c>
      <c r="C905" s="139">
        <v>46268</v>
      </c>
      <c r="D905" s="139" t="s">
        <v>441</v>
      </c>
      <c r="E905" s="28">
        <v>0.97534907000000004</v>
      </c>
      <c r="F905" s="13"/>
      <c r="G905" s="18">
        <v>248941.88</v>
      </c>
      <c r="H905" s="18">
        <v>242805.23</v>
      </c>
      <c r="I905" s="18">
        <v>248941.88</v>
      </c>
      <c r="J905" s="18">
        <v>242805.23</v>
      </c>
      <c r="K905" s="15">
        <v>40013131</v>
      </c>
      <c r="L905" s="13" t="s">
        <v>102</v>
      </c>
      <c r="M905" s="13" t="s">
        <v>103</v>
      </c>
      <c r="N905" s="139" t="s">
        <v>484</v>
      </c>
      <c r="O905" s="139" t="s">
        <v>484</v>
      </c>
      <c r="P905" s="28">
        <v>20.5</v>
      </c>
      <c r="Q905" s="13" t="s">
        <v>54</v>
      </c>
      <c r="R905" s="13" t="s">
        <v>28</v>
      </c>
      <c r="S905" s="13"/>
      <c r="T905" s="13"/>
      <c r="U905" s="13" t="s">
        <v>1700</v>
      </c>
      <c r="V905" s="13" t="s">
        <v>1700</v>
      </c>
      <c r="W905" s="59">
        <f t="shared" si="14"/>
        <v>4.6386992636082583E-6</v>
      </c>
      <c r="AC905" s="56"/>
    </row>
    <row r="906" spans="1:29">
      <c r="A906" s="13" t="s">
        <v>535</v>
      </c>
      <c r="B906" s="13" t="s">
        <v>471</v>
      </c>
      <c r="C906" s="139">
        <v>46268</v>
      </c>
      <c r="D906" s="139" t="s">
        <v>441</v>
      </c>
      <c r="E906" s="28">
        <v>0.97534911999999996</v>
      </c>
      <c r="F906" s="13"/>
      <c r="G906" s="18">
        <v>1236587.72</v>
      </c>
      <c r="H906" s="18">
        <v>1206104.74</v>
      </c>
      <c r="I906" s="18">
        <v>1236587.72</v>
      </c>
      <c r="J906" s="18">
        <v>1206104.74</v>
      </c>
      <c r="K906" s="15">
        <v>40013042</v>
      </c>
      <c r="L906" s="13" t="s">
        <v>102</v>
      </c>
      <c r="M906" s="13" t="s">
        <v>103</v>
      </c>
      <c r="N906" s="139" t="s">
        <v>484</v>
      </c>
      <c r="O906" s="139" t="s">
        <v>484</v>
      </c>
      <c r="P906" s="28">
        <v>20.5</v>
      </c>
      <c r="Q906" s="13" t="s">
        <v>54</v>
      </c>
      <c r="R906" s="13" t="s">
        <v>28</v>
      </c>
      <c r="S906" s="13"/>
      <c r="T906" s="13"/>
      <c r="U906" s="13" t="s">
        <v>1701</v>
      </c>
      <c r="V906" s="13" t="s">
        <v>1701</v>
      </c>
      <c r="W906" s="59">
        <f t="shared" si="14"/>
        <v>2.3042160868085211E-5</v>
      </c>
    </row>
    <row r="907" spans="1:29">
      <c r="A907" s="13" t="s">
        <v>582</v>
      </c>
      <c r="B907" s="13" t="s">
        <v>471</v>
      </c>
      <c r="C907" s="139">
        <v>46268</v>
      </c>
      <c r="D907" s="139" t="s">
        <v>441</v>
      </c>
      <c r="E907" s="28">
        <v>0.95300269000000004</v>
      </c>
      <c r="F907" s="13"/>
      <c r="G907" s="18">
        <v>9972890.5500000007</v>
      </c>
      <c r="H907" s="18">
        <v>9504191.4800000004</v>
      </c>
      <c r="I907" s="18">
        <v>9972890.5500000007</v>
      </c>
      <c r="J907" s="18">
        <v>9504191.4800000004</v>
      </c>
      <c r="K907" s="15">
        <v>1179208</v>
      </c>
      <c r="L907" s="13" t="s">
        <v>102</v>
      </c>
      <c r="M907" s="13" t="s">
        <v>103</v>
      </c>
      <c r="N907" s="139" t="s">
        <v>346</v>
      </c>
      <c r="O907" s="139" t="s">
        <v>346</v>
      </c>
      <c r="P907" s="28">
        <v>40</v>
      </c>
      <c r="Q907" s="13" t="s">
        <v>54</v>
      </c>
      <c r="R907" s="13" t="s">
        <v>28</v>
      </c>
      <c r="S907" s="13"/>
      <c r="T907" s="13"/>
      <c r="U907" s="13" t="s">
        <v>558</v>
      </c>
      <c r="V907" s="13" t="s">
        <v>558</v>
      </c>
      <c r="W907" s="59">
        <f t="shared" si="14"/>
        <v>1.815738730976589E-4</v>
      </c>
    </row>
    <row r="908" spans="1:29">
      <c r="A908" s="13" t="s">
        <v>1017</v>
      </c>
      <c r="B908" s="13" t="s">
        <v>471</v>
      </c>
      <c r="C908" s="139">
        <v>46268</v>
      </c>
      <c r="D908" s="139" t="s">
        <v>441</v>
      </c>
      <c r="E908" s="28">
        <v>0.95300271999999997</v>
      </c>
      <c r="F908" s="13"/>
      <c r="G908" s="18">
        <v>12166667</v>
      </c>
      <c r="H908" s="18">
        <v>11594866.75</v>
      </c>
      <c r="I908" s="18">
        <v>12166667</v>
      </c>
      <c r="J908" s="18">
        <v>11594866.75</v>
      </c>
      <c r="K908" s="15">
        <v>90020550</v>
      </c>
      <c r="L908" s="13" t="s">
        <v>102</v>
      </c>
      <c r="M908" s="13" t="s">
        <v>103</v>
      </c>
      <c r="N908" s="139" t="s">
        <v>349</v>
      </c>
      <c r="O908" s="139" t="s">
        <v>349</v>
      </c>
      <c r="P908" s="28">
        <v>40</v>
      </c>
      <c r="Q908" s="13" t="s">
        <v>54</v>
      </c>
      <c r="R908" s="13" t="s">
        <v>28</v>
      </c>
      <c r="S908" s="13"/>
      <c r="T908" s="13"/>
      <c r="U908" s="13" t="s">
        <v>1008</v>
      </c>
      <c r="V908" s="13" t="s">
        <v>1008</v>
      </c>
      <c r="W908" s="59">
        <f t="shared" si="14"/>
        <v>2.2151540909914037E-4</v>
      </c>
    </row>
    <row r="909" spans="1:29">
      <c r="A909" s="13" t="s">
        <v>486</v>
      </c>
      <c r="B909" s="13" t="s">
        <v>471</v>
      </c>
      <c r="C909" s="139">
        <v>46268</v>
      </c>
      <c r="D909" s="139" t="s">
        <v>441</v>
      </c>
      <c r="E909" s="28">
        <v>0.96090573999999995</v>
      </c>
      <c r="F909" s="13"/>
      <c r="G909" s="18">
        <v>16005575.67</v>
      </c>
      <c r="H909" s="18">
        <v>15379849.57</v>
      </c>
      <c r="I909" s="18">
        <v>16005575.67</v>
      </c>
      <c r="J909" s="18">
        <v>15379849.57</v>
      </c>
      <c r="K909" s="15">
        <v>30712</v>
      </c>
      <c r="L909" s="13" t="s">
        <v>102</v>
      </c>
      <c r="M909" s="13" t="s">
        <v>103</v>
      </c>
      <c r="N909" s="139" t="s">
        <v>458</v>
      </c>
      <c r="O909" s="139" t="s">
        <v>458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1148</v>
      </c>
      <c r="V909" s="13" t="s">
        <v>1148</v>
      </c>
      <c r="W909" s="59">
        <f t="shared" si="14"/>
        <v>2.9382603033206814E-4</v>
      </c>
    </row>
    <row r="910" spans="1:29">
      <c r="A910" s="13" t="s">
        <v>486</v>
      </c>
      <c r="B910" s="13" t="s">
        <v>471</v>
      </c>
      <c r="C910" s="139">
        <v>46268</v>
      </c>
      <c r="D910" s="139" t="s">
        <v>441</v>
      </c>
      <c r="E910" s="28">
        <v>0.96090573999999995</v>
      </c>
      <c r="F910" s="13"/>
      <c r="G910" s="18">
        <v>12080215.710000001</v>
      </c>
      <c r="H910" s="18">
        <v>11607948.65</v>
      </c>
      <c r="I910" s="18">
        <v>12080215.710000001</v>
      </c>
      <c r="J910" s="18">
        <v>11607948.65</v>
      </c>
      <c r="K910" s="15">
        <v>30702</v>
      </c>
      <c r="L910" s="13" t="s">
        <v>102</v>
      </c>
      <c r="M910" s="13" t="s">
        <v>103</v>
      </c>
      <c r="N910" s="139" t="s">
        <v>458</v>
      </c>
      <c r="O910" s="139" t="s">
        <v>458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1149</v>
      </c>
      <c r="V910" s="13" t="s">
        <v>1149</v>
      </c>
      <c r="W910" s="59">
        <f t="shared" si="14"/>
        <v>2.217653336987736E-4</v>
      </c>
    </row>
    <row r="911" spans="1:29">
      <c r="A911" s="13" t="s">
        <v>481</v>
      </c>
      <c r="B911" s="13" t="s">
        <v>471</v>
      </c>
      <c r="C911" s="139">
        <v>46268</v>
      </c>
      <c r="D911" s="139" t="s">
        <v>441</v>
      </c>
      <c r="E911" s="28">
        <v>0.95524750000000003</v>
      </c>
      <c r="F911" s="13"/>
      <c r="G911" s="18">
        <v>43500000</v>
      </c>
      <c r="H911" s="18">
        <v>41553266.280000001</v>
      </c>
      <c r="I911" s="18">
        <v>43500000</v>
      </c>
      <c r="J911" s="18">
        <v>41553266.280000001</v>
      </c>
      <c r="K911" s="15">
        <v>155472</v>
      </c>
      <c r="L911" s="13" t="s">
        <v>102</v>
      </c>
      <c r="M911" s="13" t="s">
        <v>103</v>
      </c>
      <c r="N911" s="139" t="s">
        <v>402</v>
      </c>
      <c r="O911" s="139" t="s">
        <v>402</v>
      </c>
      <c r="P911" s="28">
        <v>38</v>
      </c>
      <c r="Q911" s="13" t="s">
        <v>54</v>
      </c>
      <c r="R911" s="13" t="s">
        <v>28</v>
      </c>
      <c r="S911" s="13"/>
      <c r="T911" s="13"/>
      <c r="U911" s="13" t="s">
        <v>1887</v>
      </c>
      <c r="V911" s="13" t="s">
        <v>1887</v>
      </c>
      <c r="W911" s="59">
        <f t="shared" si="14"/>
        <v>7.9385895309402464E-4</v>
      </c>
      <c r="AC911" s="56"/>
    </row>
    <row r="912" spans="1:29">
      <c r="A912" s="13" t="s">
        <v>1389</v>
      </c>
      <c r="B912" s="13" t="s">
        <v>471</v>
      </c>
      <c r="C912" s="139">
        <v>46268</v>
      </c>
      <c r="D912" s="139" t="s">
        <v>441</v>
      </c>
      <c r="E912" s="28">
        <v>0.96090573999999995</v>
      </c>
      <c r="F912" s="13"/>
      <c r="G912" s="18">
        <v>2200000</v>
      </c>
      <c r="H912" s="18">
        <v>2113992.63</v>
      </c>
      <c r="I912" s="18">
        <v>2200000</v>
      </c>
      <c r="J912" s="18">
        <v>2113992.63</v>
      </c>
      <c r="K912" s="15">
        <v>6201</v>
      </c>
      <c r="L912" s="13" t="s">
        <v>102</v>
      </c>
      <c r="M912" s="13" t="s">
        <v>103</v>
      </c>
      <c r="N912" s="139" t="s">
        <v>351</v>
      </c>
      <c r="O912" s="139" t="s">
        <v>351</v>
      </c>
      <c r="P912" s="28">
        <v>33</v>
      </c>
      <c r="Q912" s="13" t="s">
        <v>54</v>
      </c>
      <c r="R912" s="13" t="s">
        <v>28</v>
      </c>
      <c r="S912" s="13"/>
      <c r="T912" s="13"/>
      <c r="U912" s="13" t="s">
        <v>1373</v>
      </c>
      <c r="V912" s="13" t="s">
        <v>1373</v>
      </c>
      <c r="W912" s="59">
        <f t="shared" si="14"/>
        <v>4.0387005074208175E-5</v>
      </c>
    </row>
    <row r="913" spans="1:29">
      <c r="A913" s="13" t="s">
        <v>1862</v>
      </c>
      <c r="B913" s="13" t="s">
        <v>471</v>
      </c>
      <c r="C913" s="139">
        <v>46268</v>
      </c>
      <c r="D913" s="139" t="s">
        <v>441</v>
      </c>
      <c r="E913" s="28">
        <v>0.96778478000000001</v>
      </c>
      <c r="F913" s="13"/>
      <c r="G913" s="18">
        <v>25088884.329999998</v>
      </c>
      <c r="H913" s="18">
        <v>24280640.510000002</v>
      </c>
      <c r="I913" s="18">
        <v>25088884.329999998</v>
      </c>
      <c r="J913" s="18">
        <v>24280640.510000002</v>
      </c>
      <c r="K913" s="15">
        <v>288</v>
      </c>
      <c r="L913" s="13" t="s">
        <v>102</v>
      </c>
      <c r="M913" s="13" t="s">
        <v>103</v>
      </c>
      <c r="N913" s="139" t="s">
        <v>367</v>
      </c>
      <c r="O913" s="139" t="s">
        <v>367</v>
      </c>
      <c r="P913" s="28">
        <v>27</v>
      </c>
      <c r="Q913" s="13" t="s">
        <v>54</v>
      </c>
      <c r="R913" s="13" t="s">
        <v>28</v>
      </c>
      <c r="S913" s="13"/>
      <c r="T913" s="13"/>
      <c r="U913" s="13" t="s">
        <v>1846</v>
      </c>
      <c r="V913" s="13" t="s">
        <v>1846</v>
      </c>
      <c r="W913" s="59">
        <f t="shared" si="14"/>
        <v>4.6387217134356552E-4</v>
      </c>
    </row>
    <row r="914" spans="1:29">
      <c r="A914" s="13" t="s">
        <v>147</v>
      </c>
      <c r="B914" s="13" t="s">
        <v>471</v>
      </c>
      <c r="C914" s="139">
        <v>46268</v>
      </c>
      <c r="D914" s="139" t="s">
        <v>441</v>
      </c>
      <c r="E914" s="28">
        <v>0.95412377000000004</v>
      </c>
      <c r="F914" s="13"/>
      <c r="G914" s="18">
        <v>20000000</v>
      </c>
      <c r="H914" s="18">
        <v>19082475.460000001</v>
      </c>
      <c r="I914" s="18">
        <v>20000000</v>
      </c>
      <c r="J914" s="18">
        <v>19082475.460000001</v>
      </c>
      <c r="K914" s="15">
        <v>4318</v>
      </c>
      <c r="L914" s="13" t="s">
        <v>102</v>
      </c>
      <c r="M914" s="13" t="s">
        <v>103</v>
      </c>
      <c r="N914" s="139" t="s">
        <v>170</v>
      </c>
      <c r="O914" s="139" t="s">
        <v>170</v>
      </c>
      <c r="P914" s="28">
        <v>39</v>
      </c>
      <c r="Q914" s="13" t="s">
        <v>54</v>
      </c>
      <c r="R914" s="13" t="s">
        <v>28</v>
      </c>
      <c r="S914" s="13"/>
      <c r="T914" s="13"/>
      <c r="U914" s="13" t="s">
        <v>1620</v>
      </c>
      <c r="V914" s="13" t="s">
        <v>1620</v>
      </c>
      <c r="W914" s="59">
        <f t="shared" si="14"/>
        <v>3.6456325452349049E-4</v>
      </c>
    </row>
    <row r="915" spans="1:29">
      <c r="A915" s="13" t="s">
        <v>132</v>
      </c>
      <c r="B915" s="13" t="s">
        <v>130</v>
      </c>
      <c r="C915" s="139">
        <v>46268</v>
      </c>
      <c r="D915" s="139" t="s">
        <v>441</v>
      </c>
      <c r="E915" s="28">
        <v>0.98782113000000005</v>
      </c>
      <c r="F915" s="13" t="s">
        <v>2487</v>
      </c>
      <c r="G915" s="18">
        <v>40000</v>
      </c>
      <c r="H915" s="18">
        <v>39512.85</v>
      </c>
      <c r="I915" s="18">
        <v>59206999.210000001</v>
      </c>
      <c r="J915" s="18">
        <v>58485931.969999999</v>
      </c>
      <c r="K915" s="15">
        <v>151967</v>
      </c>
      <c r="L915" s="13" t="s">
        <v>102</v>
      </c>
      <c r="M915" s="13" t="s">
        <v>103</v>
      </c>
      <c r="N915" s="139" t="s">
        <v>368</v>
      </c>
      <c r="O915" s="139" t="s">
        <v>368</v>
      </c>
      <c r="P915" s="28">
        <v>10</v>
      </c>
      <c r="Q915" s="13" t="s">
        <v>54</v>
      </c>
      <c r="R915" s="13" t="s">
        <v>28</v>
      </c>
      <c r="S915" s="13"/>
      <c r="T915" s="13"/>
      <c r="U915" s="13" t="s">
        <v>1290</v>
      </c>
      <c r="V915" s="13" t="s">
        <v>1290</v>
      </c>
      <c r="W915" s="59">
        <f t="shared" si="14"/>
        <v>1.1173509300466125E-3</v>
      </c>
    </row>
    <row r="916" spans="1:29">
      <c r="A916" s="13" t="s">
        <v>323</v>
      </c>
      <c r="B916" s="13" t="s">
        <v>471</v>
      </c>
      <c r="C916" s="139">
        <v>46268</v>
      </c>
      <c r="D916" s="139" t="s">
        <v>441</v>
      </c>
      <c r="E916" s="28">
        <v>0.96894082000000004</v>
      </c>
      <c r="F916" s="13"/>
      <c r="G916" s="18">
        <v>2500000</v>
      </c>
      <c r="H916" s="18">
        <v>2422352.06</v>
      </c>
      <c r="I916" s="18">
        <v>2500000</v>
      </c>
      <c r="J916" s="18">
        <v>2422352.06</v>
      </c>
      <c r="K916" s="15">
        <v>3837</v>
      </c>
      <c r="L916" s="13" t="s">
        <v>102</v>
      </c>
      <c r="M916" s="13" t="s">
        <v>103</v>
      </c>
      <c r="N916" s="139" t="s">
        <v>494</v>
      </c>
      <c r="O916" s="139" t="s">
        <v>494</v>
      </c>
      <c r="P916" s="28">
        <v>26</v>
      </c>
      <c r="Q916" s="13" t="s">
        <v>54</v>
      </c>
      <c r="R916" s="13" t="s">
        <v>28</v>
      </c>
      <c r="S916" s="13"/>
      <c r="T916" s="13"/>
      <c r="U916" s="13" t="s">
        <v>2001</v>
      </c>
      <c r="V916" s="13" t="s">
        <v>2001</v>
      </c>
      <c r="W916" s="59">
        <f t="shared" si="14"/>
        <v>4.6278091773072377E-5</v>
      </c>
    </row>
    <row r="917" spans="1:29">
      <c r="A917" s="13" t="s">
        <v>478</v>
      </c>
      <c r="B917" s="13" t="s">
        <v>471</v>
      </c>
      <c r="C917" s="139">
        <v>46268</v>
      </c>
      <c r="D917" s="139" t="s">
        <v>441</v>
      </c>
      <c r="E917" s="28">
        <v>0.96090564999999994</v>
      </c>
      <c r="F917" s="13"/>
      <c r="G917" s="18">
        <v>12500000</v>
      </c>
      <c r="H917" s="18">
        <v>12011320.640000001</v>
      </c>
      <c r="I917" s="18">
        <v>12500000</v>
      </c>
      <c r="J917" s="18">
        <v>12011320.640000001</v>
      </c>
      <c r="K917" s="15">
        <v>1357</v>
      </c>
      <c r="L917" s="13" t="s">
        <v>102</v>
      </c>
      <c r="M917" s="13" t="s">
        <v>103</v>
      </c>
      <c r="N917" s="139" t="s">
        <v>428</v>
      </c>
      <c r="O917" s="139" t="s">
        <v>428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1110</v>
      </c>
      <c r="V917" s="13" t="s">
        <v>1110</v>
      </c>
      <c r="W917" s="59">
        <f t="shared" si="14"/>
        <v>2.2947159831660411E-4</v>
      </c>
      <c r="AC917" s="56"/>
    </row>
    <row r="918" spans="1:29">
      <c r="A918" s="13" t="s">
        <v>1657</v>
      </c>
      <c r="B918" s="13" t="s">
        <v>471</v>
      </c>
      <c r="C918" s="139">
        <v>46268</v>
      </c>
      <c r="D918" s="139" t="s">
        <v>441</v>
      </c>
      <c r="E918" s="28">
        <v>0.964333</v>
      </c>
      <c r="F918" s="13"/>
      <c r="G918" s="18">
        <v>2700000</v>
      </c>
      <c r="H918" s="18">
        <v>2603699.1</v>
      </c>
      <c r="I918" s="18">
        <v>2700000</v>
      </c>
      <c r="J918" s="18">
        <v>2603699.1</v>
      </c>
      <c r="K918" s="15">
        <v>6275</v>
      </c>
      <c r="L918" s="13" t="s">
        <v>102</v>
      </c>
      <c r="M918" s="13" t="s">
        <v>103</v>
      </c>
      <c r="N918" s="139" t="s">
        <v>170</v>
      </c>
      <c r="O918" s="139" t="s">
        <v>170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1622</v>
      </c>
      <c r="V918" s="13" t="s">
        <v>1622</v>
      </c>
      <c r="W918" s="59">
        <f t="shared" si="14"/>
        <v>4.9742656275680236E-5</v>
      </c>
    </row>
    <row r="919" spans="1:29">
      <c r="A919" s="13" t="s">
        <v>1941</v>
      </c>
      <c r="B919" s="13" t="s">
        <v>471</v>
      </c>
      <c r="C919" s="139">
        <v>46268</v>
      </c>
      <c r="D919" s="139" t="s">
        <v>441</v>
      </c>
      <c r="E919" s="28">
        <v>0.96090562000000002</v>
      </c>
      <c r="F919" s="13"/>
      <c r="G919" s="18">
        <v>25000000</v>
      </c>
      <c r="H919" s="18">
        <v>24022640.600000001</v>
      </c>
      <c r="I919" s="18">
        <v>25000000</v>
      </c>
      <c r="J919" s="18">
        <v>24022640.600000001</v>
      </c>
      <c r="K919" s="15">
        <v>40</v>
      </c>
      <c r="L919" s="13" t="s">
        <v>102</v>
      </c>
      <c r="M919" s="13" t="s">
        <v>103</v>
      </c>
      <c r="N919" s="139" t="s">
        <v>431</v>
      </c>
      <c r="O919" s="139" t="s">
        <v>431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1933</v>
      </c>
      <c r="V919" s="13" t="s">
        <v>1933</v>
      </c>
      <c r="W919" s="59">
        <f t="shared" si="14"/>
        <v>4.589431836420733E-4</v>
      </c>
    </row>
    <row r="920" spans="1:29">
      <c r="A920" s="13" t="s">
        <v>698</v>
      </c>
      <c r="B920" s="13" t="s">
        <v>471</v>
      </c>
      <c r="C920" s="139">
        <v>46269</v>
      </c>
      <c r="D920" s="139" t="s">
        <v>441</v>
      </c>
      <c r="E920" s="28">
        <v>0.97064154000000002</v>
      </c>
      <c r="F920" s="13"/>
      <c r="G920" s="18">
        <v>10000000</v>
      </c>
      <c r="H920" s="18">
        <v>9706415.4299999997</v>
      </c>
      <c r="I920" s="18">
        <v>10000000</v>
      </c>
      <c r="J920" s="18">
        <v>9706415.4299999997</v>
      </c>
      <c r="K920" s="15">
        <v>4541</v>
      </c>
      <c r="L920" s="13" t="s">
        <v>102</v>
      </c>
      <c r="M920" s="13" t="s">
        <v>103</v>
      </c>
      <c r="N920" s="139" t="s">
        <v>382</v>
      </c>
      <c r="O920" s="139" t="s">
        <v>382</v>
      </c>
      <c r="P920" s="28">
        <v>24</v>
      </c>
      <c r="Q920" s="13" t="s">
        <v>54</v>
      </c>
      <c r="R920" s="13" t="s">
        <v>28</v>
      </c>
      <c r="S920" s="13"/>
      <c r="T920" s="13"/>
      <c r="U920" s="13" t="s">
        <v>2335</v>
      </c>
      <c r="V920" s="13" t="s">
        <v>2335</v>
      </c>
      <c r="W920" s="59">
        <f t="shared" si="14"/>
        <v>1.8543728282713196E-4</v>
      </c>
    </row>
    <row r="921" spans="1:29">
      <c r="A921" s="13" t="s">
        <v>1075</v>
      </c>
      <c r="B921" s="13" t="s">
        <v>471</v>
      </c>
      <c r="C921" s="139">
        <v>46269</v>
      </c>
      <c r="D921" s="139" t="s">
        <v>441</v>
      </c>
      <c r="E921" s="28">
        <v>0.95659934999999996</v>
      </c>
      <c r="F921" s="13"/>
      <c r="G921" s="18">
        <v>6000000</v>
      </c>
      <c r="H921" s="18">
        <v>5739596.0999999996</v>
      </c>
      <c r="I921" s="18">
        <v>6000000</v>
      </c>
      <c r="J921" s="18">
        <v>5739596.0999999996</v>
      </c>
      <c r="K921" s="15">
        <v>160</v>
      </c>
      <c r="L921" s="13" t="s">
        <v>102</v>
      </c>
      <c r="M921" s="13" t="s">
        <v>103</v>
      </c>
      <c r="N921" s="139" t="s">
        <v>400</v>
      </c>
      <c r="O921" s="139" t="s">
        <v>400</v>
      </c>
      <c r="P921" s="28">
        <v>36</v>
      </c>
      <c r="Q921" s="13" t="s">
        <v>54</v>
      </c>
      <c r="R921" s="13" t="s">
        <v>28</v>
      </c>
      <c r="S921" s="13"/>
      <c r="T921" s="13"/>
      <c r="U921" s="13" t="s">
        <v>1537</v>
      </c>
      <c r="V921" s="13" t="s">
        <v>1537</v>
      </c>
      <c r="W921" s="59">
        <f t="shared" si="14"/>
        <v>1.0965274595806204E-4</v>
      </c>
    </row>
    <row r="922" spans="1:29">
      <c r="A922" s="13" t="s">
        <v>1163</v>
      </c>
      <c r="B922" s="13" t="s">
        <v>471</v>
      </c>
      <c r="C922" s="139">
        <v>46269</v>
      </c>
      <c r="D922" s="139" t="s">
        <v>441</v>
      </c>
      <c r="E922" s="28">
        <v>0.95659932000000003</v>
      </c>
      <c r="F922" s="13"/>
      <c r="G922" s="18">
        <v>2067824.35</v>
      </c>
      <c r="H922" s="18">
        <v>1978079.36</v>
      </c>
      <c r="I922" s="18">
        <v>2067824.35</v>
      </c>
      <c r="J922" s="18">
        <v>1978079.36</v>
      </c>
      <c r="K922" s="15">
        <v>2202</v>
      </c>
      <c r="L922" s="13" t="s">
        <v>102</v>
      </c>
      <c r="M922" s="13" t="s">
        <v>103</v>
      </c>
      <c r="N922" s="139" t="s">
        <v>458</v>
      </c>
      <c r="O922" s="139" t="s">
        <v>458</v>
      </c>
      <c r="P922" s="28">
        <v>36</v>
      </c>
      <c r="Q922" s="13" t="s">
        <v>54</v>
      </c>
      <c r="R922" s="13" t="s">
        <v>28</v>
      </c>
      <c r="S922" s="13"/>
      <c r="T922" s="13"/>
      <c r="U922" s="13" t="s">
        <v>1165</v>
      </c>
      <c r="V922" s="13" t="s">
        <v>1165</v>
      </c>
      <c r="W922" s="59">
        <f t="shared" si="14"/>
        <v>3.7790435035483768E-5</v>
      </c>
    </row>
    <row r="923" spans="1:29">
      <c r="A923" s="13" t="s">
        <v>698</v>
      </c>
      <c r="B923" s="13" t="s">
        <v>471</v>
      </c>
      <c r="C923" s="139">
        <v>46269</v>
      </c>
      <c r="D923" s="139" t="s">
        <v>441</v>
      </c>
      <c r="E923" s="28">
        <v>0.96356918999999996</v>
      </c>
      <c r="F923" s="13"/>
      <c r="G923" s="18">
        <v>5000000</v>
      </c>
      <c r="H923" s="18">
        <v>4817845.93</v>
      </c>
      <c r="I923" s="18">
        <v>5000000</v>
      </c>
      <c r="J923" s="18">
        <v>4817845.93</v>
      </c>
      <c r="K923" s="15">
        <v>58</v>
      </c>
      <c r="L923" s="13" t="s">
        <v>102</v>
      </c>
      <c r="M923" s="13" t="s">
        <v>103</v>
      </c>
      <c r="N923" s="139" t="s">
        <v>341</v>
      </c>
      <c r="O923" s="139" t="s">
        <v>341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927</v>
      </c>
      <c r="V923" s="13" t="s">
        <v>927</v>
      </c>
      <c r="W923" s="59">
        <f t="shared" si="14"/>
        <v>9.2043068296630354E-5</v>
      </c>
    </row>
    <row r="924" spans="1:29">
      <c r="A924" s="13" t="s">
        <v>1017</v>
      </c>
      <c r="B924" s="13" t="s">
        <v>471</v>
      </c>
      <c r="C924" s="139">
        <v>46269</v>
      </c>
      <c r="D924" s="139" t="s">
        <v>441</v>
      </c>
      <c r="E924" s="28">
        <v>0.95200841999999997</v>
      </c>
      <c r="F924" s="13"/>
      <c r="G924" s="18">
        <v>15166667</v>
      </c>
      <c r="H924" s="18">
        <v>14438794.66</v>
      </c>
      <c r="I924" s="18">
        <v>15166667</v>
      </c>
      <c r="J924" s="18">
        <v>14438794.66</v>
      </c>
      <c r="K924" s="15">
        <v>90020551</v>
      </c>
      <c r="L924" s="13" t="s">
        <v>102</v>
      </c>
      <c r="M924" s="13" t="s">
        <v>103</v>
      </c>
      <c r="N924" s="139" t="s">
        <v>349</v>
      </c>
      <c r="O924" s="139" t="s">
        <v>349</v>
      </c>
      <c r="P924" s="28">
        <v>40</v>
      </c>
      <c r="Q924" s="13" t="s">
        <v>54</v>
      </c>
      <c r="R924" s="13" t="s">
        <v>28</v>
      </c>
      <c r="S924" s="13"/>
      <c r="T924" s="13"/>
      <c r="U924" s="13" t="s">
        <v>1009</v>
      </c>
      <c r="V924" s="13" t="s">
        <v>1009</v>
      </c>
      <c r="W924" s="59">
        <f t="shared" si="14"/>
        <v>2.7584754313872417E-4</v>
      </c>
    </row>
    <row r="925" spans="1:29">
      <c r="A925" s="13" t="s">
        <v>737</v>
      </c>
      <c r="B925" s="13" t="s">
        <v>471</v>
      </c>
      <c r="C925" s="139">
        <v>46269</v>
      </c>
      <c r="D925" s="139" t="s">
        <v>441</v>
      </c>
      <c r="E925" s="28">
        <v>0.97064154000000002</v>
      </c>
      <c r="F925" s="13"/>
      <c r="G925" s="18">
        <v>30000000</v>
      </c>
      <c r="H925" s="18">
        <v>29119246.300000001</v>
      </c>
      <c r="I925" s="18">
        <v>30000000</v>
      </c>
      <c r="J925" s="18">
        <v>29119246.300000001</v>
      </c>
      <c r="K925" s="15">
        <v>68395887</v>
      </c>
      <c r="L925" s="13" t="s">
        <v>102</v>
      </c>
      <c r="M925" s="13" t="s">
        <v>103</v>
      </c>
      <c r="N925" s="139" t="s">
        <v>382</v>
      </c>
      <c r="O925" s="139" t="s">
        <v>382</v>
      </c>
      <c r="P925" s="28">
        <v>24</v>
      </c>
      <c r="Q925" s="13" t="s">
        <v>54</v>
      </c>
      <c r="R925" s="13" t="s">
        <v>28</v>
      </c>
      <c r="S925" s="13"/>
      <c r="T925" s="13"/>
      <c r="U925" s="13" t="s">
        <v>2377</v>
      </c>
      <c r="V925" s="13" t="s">
        <v>2377</v>
      </c>
      <c r="W925" s="59">
        <f t="shared" si="14"/>
        <v>5.5631184867244209E-4</v>
      </c>
    </row>
    <row r="926" spans="1:29">
      <c r="A926" s="13" t="s">
        <v>486</v>
      </c>
      <c r="B926" s="13" t="s">
        <v>471</v>
      </c>
      <c r="C926" s="139">
        <v>46269</v>
      </c>
      <c r="D926" s="139" t="s">
        <v>441</v>
      </c>
      <c r="E926" s="28">
        <v>0.96007162999999995</v>
      </c>
      <c r="F926" s="13"/>
      <c r="G926" s="18">
        <v>16005575.68</v>
      </c>
      <c r="H926" s="18">
        <v>15366499.130000001</v>
      </c>
      <c r="I926" s="18">
        <v>16005575.68</v>
      </c>
      <c r="J926" s="18">
        <v>15366499.130000001</v>
      </c>
      <c r="K926" s="15">
        <v>30713</v>
      </c>
      <c r="L926" s="13" t="s">
        <v>102</v>
      </c>
      <c r="M926" s="13" t="s">
        <v>103</v>
      </c>
      <c r="N926" s="139" t="s">
        <v>458</v>
      </c>
      <c r="O926" s="139" t="s">
        <v>458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1153</v>
      </c>
      <c r="V926" s="13" t="s">
        <v>1153</v>
      </c>
      <c r="W926" s="59">
        <f t="shared" si="14"/>
        <v>2.9357097538042296E-4</v>
      </c>
    </row>
    <row r="927" spans="1:29">
      <c r="A927" s="13" t="s">
        <v>472</v>
      </c>
      <c r="B927" s="13" t="s">
        <v>471</v>
      </c>
      <c r="C927" s="139">
        <v>46269</v>
      </c>
      <c r="D927" s="139" t="s">
        <v>441</v>
      </c>
      <c r="E927" s="28">
        <v>0.96356934999999999</v>
      </c>
      <c r="F927" s="13"/>
      <c r="G927" s="18">
        <v>5000000</v>
      </c>
      <c r="H927" s="18">
        <v>4817846.76</v>
      </c>
      <c r="I927" s="18">
        <v>5000000</v>
      </c>
      <c r="J927" s="18">
        <v>4817846.76</v>
      </c>
      <c r="K927" s="15">
        <v>786</v>
      </c>
      <c r="L927" s="13" t="s">
        <v>102</v>
      </c>
      <c r="M927" s="13" t="s">
        <v>103</v>
      </c>
      <c r="N927" s="139" t="s">
        <v>495</v>
      </c>
      <c r="O927" s="139" t="s">
        <v>495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2169</v>
      </c>
      <c r="V927" s="13" t="s">
        <v>2169</v>
      </c>
      <c r="W927" s="59">
        <f t="shared" si="14"/>
        <v>9.2043084153456786E-5</v>
      </c>
    </row>
    <row r="928" spans="1:29">
      <c r="A928" s="13" t="s">
        <v>323</v>
      </c>
      <c r="B928" s="13" t="s">
        <v>471</v>
      </c>
      <c r="C928" s="139">
        <v>46269</v>
      </c>
      <c r="D928" s="139" t="s">
        <v>441</v>
      </c>
      <c r="E928" s="28">
        <v>0.96945559999999997</v>
      </c>
      <c r="F928" s="13"/>
      <c r="G928" s="18">
        <v>5000000</v>
      </c>
      <c r="H928" s="18">
        <v>4847278.0199999996</v>
      </c>
      <c r="I928" s="18">
        <v>5000000</v>
      </c>
      <c r="J928" s="18">
        <v>4847278.0199999996</v>
      </c>
      <c r="K928" s="15">
        <v>68370641</v>
      </c>
      <c r="L928" s="13" t="s">
        <v>102</v>
      </c>
      <c r="M928" s="13" t="s">
        <v>103</v>
      </c>
      <c r="N928" s="139" t="s">
        <v>441</v>
      </c>
      <c r="O928" s="139" t="s">
        <v>441</v>
      </c>
      <c r="P928" s="28">
        <v>25</v>
      </c>
      <c r="Q928" s="13" t="s">
        <v>54</v>
      </c>
      <c r="R928" s="13" t="s">
        <v>28</v>
      </c>
      <c r="S928" s="13"/>
      <c r="T928" s="13"/>
      <c r="U928" s="13" t="s">
        <v>2416</v>
      </c>
      <c r="V928" s="13" t="s">
        <v>2416</v>
      </c>
      <c r="W928" s="59">
        <f t="shared" si="14"/>
        <v>9.2605356902231847E-5</v>
      </c>
    </row>
    <row r="929" spans="1:29">
      <c r="A929" s="13" t="s">
        <v>323</v>
      </c>
      <c r="B929" s="13" t="s">
        <v>471</v>
      </c>
      <c r="C929" s="139">
        <v>46269</v>
      </c>
      <c r="D929" s="139" t="s">
        <v>441</v>
      </c>
      <c r="E929" s="28">
        <v>0.96945559999999997</v>
      </c>
      <c r="F929" s="13"/>
      <c r="G929" s="18">
        <v>5000000</v>
      </c>
      <c r="H929" s="18">
        <v>4847278.0199999996</v>
      </c>
      <c r="I929" s="18">
        <v>5000000</v>
      </c>
      <c r="J929" s="18">
        <v>4847278.0199999996</v>
      </c>
      <c r="K929" s="15">
        <v>68370642</v>
      </c>
      <c r="L929" s="13" t="s">
        <v>102</v>
      </c>
      <c r="M929" s="13" t="s">
        <v>103</v>
      </c>
      <c r="N929" s="139" t="s">
        <v>441</v>
      </c>
      <c r="O929" s="139" t="s">
        <v>441</v>
      </c>
      <c r="P929" s="28">
        <v>25</v>
      </c>
      <c r="Q929" s="13" t="s">
        <v>54</v>
      </c>
      <c r="R929" s="13" t="s">
        <v>28</v>
      </c>
      <c r="S929" s="13"/>
      <c r="T929" s="13"/>
      <c r="U929" s="13" t="s">
        <v>2423</v>
      </c>
      <c r="V929" s="13" t="s">
        <v>2423</v>
      </c>
      <c r="W929" s="59">
        <f t="shared" si="14"/>
        <v>9.2605356902231847E-5</v>
      </c>
    </row>
    <row r="930" spans="1:29">
      <c r="A930" s="13" t="s">
        <v>481</v>
      </c>
      <c r="B930" s="13" t="s">
        <v>471</v>
      </c>
      <c r="C930" s="139">
        <v>46269</v>
      </c>
      <c r="D930" s="139" t="s">
        <v>441</v>
      </c>
      <c r="E930" s="28">
        <v>0.95429838</v>
      </c>
      <c r="F930" s="13"/>
      <c r="G930" s="18">
        <v>42000000</v>
      </c>
      <c r="H930" s="18">
        <v>40080531.960000001</v>
      </c>
      <c r="I930" s="18">
        <v>42000000</v>
      </c>
      <c r="J930" s="18">
        <v>40080531.960000001</v>
      </c>
      <c r="K930" s="15">
        <v>155473</v>
      </c>
      <c r="L930" s="13" t="s">
        <v>102</v>
      </c>
      <c r="M930" s="13" t="s">
        <v>103</v>
      </c>
      <c r="N930" s="139" t="s">
        <v>402</v>
      </c>
      <c r="O930" s="139" t="s">
        <v>402</v>
      </c>
      <c r="P930" s="28">
        <v>38</v>
      </c>
      <c r="Q930" s="13" t="s">
        <v>54</v>
      </c>
      <c r="R930" s="13" t="s">
        <v>28</v>
      </c>
      <c r="S930" s="13"/>
      <c r="T930" s="13"/>
      <c r="U930" s="13" t="s">
        <v>1886</v>
      </c>
      <c r="V930" s="13" t="s">
        <v>1886</v>
      </c>
      <c r="W930" s="59">
        <f t="shared" si="14"/>
        <v>7.6572293804330019E-4</v>
      </c>
    </row>
    <row r="931" spans="1:29">
      <c r="A931" s="13" t="s">
        <v>1862</v>
      </c>
      <c r="B931" s="13" t="s">
        <v>471</v>
      </c>
      <c r="C931" s="139">
        <v>46269</v>
      </c>
      <c r="D931" s="139" t="s">
        <v>441</v>
      </c>
      <c r="E931" s="28">
        <v>0.96650349000000002</v>
      </c>
      <c r="F931" s="13"/>
      <c r="G931" s="18">
        <v>25000000</v>
      </c>
      <c r="H931" s="18">
        <v>24162587.170000002</v>
      </c>
      <c r="I931" s="18">
        <v>25000000</v>
      </c>
      <c r="J931" s="18">
        <v>24162587.170000002</v>
      </c>
      <c r="K931" s="15">
        <v>318</v>
      </c>
      <c r="L931" s="13" t="s">
        <v>102</v>
      </c>
      <c r="M931" s="13" t="s">
        <v>103</v>
      </c>
      <c r="N931" s="139" t="s">
        <v>493</v>
      </c>
      <c r="O931" s="139" t="s">
        <v>493</v>
      </c>
      <c r="P931" s="28">
        <v>27.5</v>
      </c>
      <c r="Q931" s="13" t="s">
        <v>54</v>
      </c>
      <c r="R931" s="13" t="s">
        <v>28</v>
      </c>
      <c r="S931" s="13"/>
      <c r="T931" s="13"/>
      <c r="U931" s="13" t="s">
        <v>1965</v>
      </c>
      <c r="V931" s="13" t="s">
        <v>1965</v>
      </c>
      <c r="W931" s="59">
        <f t="shared" si="14"/>
        <v>4.6161680830495019E-4</v>
      </c>
    </row>
    <row r="932" spans="1:29">
      <c r="A932" s="13" t="s">
        <v>2204</v>
      </c>
      <c r="B932" s="13" t="s">
        <v>471</v>
      </c>
      <c r="C932" s="139">
        <v>46269</v>
      </c>
      <c r="D932" s="139" t="s">
        <v>441</v>
      </c>
      <c r="E932" s="28">
        <v>0.96123479999999994</v>
      </c>
      <c r="F932" s="13"/>
      <c r="G932" s="18">
        <v>1200000</v>
      </c>
      <c r="H932" s="18">
        <v>1153481.76</v>
      </c>
      <c r="I932" s="18">
        <v>1200000</v>
      </c>
      <c r="J932" s="18">
        <v>1153481.76</v>
      </c>
      <c r="K932" s="15">
        <v>10333908</v>
      </c>
      <c r="L932" s="13" t="s">
        <v>102</v>
      </c>
      <c r="M932" s="13" t="s">
        <v>103</v>
      </c>
      <c r="N932" s="139" t="s">
        <v>495</v>
      </c>
      <c r="O932" s="139" t="s">
        <v>495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2150</v>
      </c>
      <c r="V932" s="13" t="s">
        <v>2150</v>
      </c>
      <c r="W932" s="59">
        <f t="shared" si="14"/>
        <v>2.2036819349803778E-5</v>
      </c>
      <c r="AC932" s="56"/>
    </row>
    <row r="933" spans="1:29">
      <c r="A933" s="13" t="s">
        <v>323</v>
      </c>
      <c r="B933" s="13" t="s">
        <v>471</v>
      </c>
      <c r="C933" s="139">
        <v>46269</v>
      </c>
      <c r="D933" s="139" t="s">
        <v>441</v>
      </c>
      <c r="E933" s="28">
        <v>0.96474073000000005</v>
      </c>
      <c r="F933" s="13"/>
      <c r="G933" s="18">
        <v>10000000</v>
      </c>
      <c r="H933" s="18">
        <v>9647407.2899999991</v>
      </c>
      <c r="I933" s="18">
        <v>10000000</v>
      </c>
      <c r="J933" s="18">
        <v>9647407.2899999991</v>
      </c>
      <c r="K933" s="15">
        <v>66613066</v>
      </c>
      <c r="L933" s="13" t="s">
        <v>102</v>
      </c>
      <c r="M933" s="13" t="s">
        <v>103</v>
      </c>
      <c r="N933" s="139" t="s">
        <v>341</v>
      </c>
      <c r="O933" s="139" t="s">
        <v>341</v>
      </c>
      <c r="P933" s="28">
        <v>29</v>
      </c>
      <c r="Q933" s="13" t="s">
        <v>54</v>
      </c>
      <c r="R933" s="13" t="s">
        <v>28</v>
      </c>
      <c r="S933" s="13"/>
      <c r="T933" s="13"/>
      <c r="U933" s="13" t="s">
        <v>944</v>
      </c>
      <c r="V933" s="13" t="s">
        <v>944</v>
      </c>
      <c r="W933" s="59">
        <f t="shared" si="14"/>
        <v>1.8430995531625054E-4</v>
      </c>
    </row>
    <row r="934" spans="1:29">
      <c r="A934" s="13" t="s">
        <v>478</v>
      </c>
      <c r="B934" s="13" t="s">
        <v>471</v>
      </c>
      <c r="C934" s="139">
        <v>46269</v>
      </c>
      <c r="D934" s="139" t="s">
        <v>441</v>
      </c>
      <c r="E934" s="28">
        <v>0.95775394999999997</v>
      </c>
      <c r="F934" s="13"/>
      <c r="G934" s="18">
        <v>16600000</v>
      </c>
      <c r="H934" s="18">
        <v>15898715.65</v>
      </c>
      <c r="I934" s="18">
        <v>16600000</v>
      </c>
      <c r="J934" s="18">
        <v>15898715.65</v>
      </c>
      <c r="K934" s="15">
        <v>29088027</v>
      </c>
      <c r="L934" s="13" t="s">
        <v>102</v>
      </c>
      <c r="M934" s="13" t="s">
        <v>103</v>
      </c>
      <c r="N934" s="139" t="s">
        <v>151</v>
      </c>
      <c r="O934" s="139" t="s">
        <v>151</v>
      </c>
      <c r="P934" s="28">
        <v>35</v>
      </c>
      <c r="Q934" s="13" t="s">
        <v>54</v>
      </c>
      <c r="R934" s="13" t="s">
        <v>28</v>
      </c>
      <c r="S934" s="13"/>
      <c r="T934" s="13"/>
      <c r="U934" s="13" t="s">
        <v>545</v>
      </c>
      <c r="V934" s="13" t="s">
        <v>545</v>
      </c>
      <c r="W934" s="59">
        <f t="shared" si="14"/>
        <v>3.0373876451496572E-4</v>
      </c>
    </row>
    <row r="935" spans="1:29">
      <c r="A935" s="13" t="s">
        <v>661</v>
      </c>
      <c r="B935" s="13" t="s">
        <v>471</v>
      </c>
      <c r="C935" s="139">
        <v>46269</v>
      </c>
      <c r="D935" s="139" t="s">
        <v>441</v>
      </c>
      <c r="E935" s="28">
        <v>0.96827260999999998</v>
      </c>
      <c r="F935" s="13"/>
      <c r="G935" s="18">
        <v>10000000</v>
      </c>
      <c r="H935" s="18">
        <v>9682726.0600000005</v>
      </c>
      <c r="I935" s="18">
        <v>10000000</v>
      </c>
      <c r="J935" s="18">
        <v>9682726.0600000005</v>
      </c>
      <c r="K935" s="15">
        <v>9825610</v>
      </c>
      <c r="L935" s="13" t="s">
        <v>102</v>
      </c>
      <c r="M935" s="13" t="s">
        <v>103</v>
      </c>
      <c r="N935" s="139" t="s">
        <v>383</v>
      </c>
      <c r="O935" s="139" t="s">
        <v>383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1669</v>
      </c>
      <c r="V935" s="13" t="s">
        <v>1669</v>
      </c>
      <c r="W935" s="59">
        <f t="shared" si="14"/>
        <v>1.8498470664838024E-4</v>
      </c>
    </row>
    <row r="936" spans="1:29">
      <c r="A936" s="13" t="s">
        <v>2118</v>
      </c>
      <c r="B936" s="13" t="s">
        <v>471</v>
      </c>
      <c r="C936" s="139">
        <v>46269</v>
      </c>
      <c r="D936" s="139" t="s">
        <v>441</v>
      </c>
      <c r="E936" s="28">
        <v>0.96356927999999997</v>
      </c>
      <c r="F936" s="13"/>
      <c r="G936" s="18">
        <v>5578790</v>
      </c>
      <c r="H936" s="18">
        <v>5375550.6799999997</v>
      </c>
      <c r="I936" s="18">
        <v>5578790</v>
      </c>
      <c r="J936" s="18">
        <v>5375550.6799999997</v>
      </c>
      <c r="K936" s="15">
        <v>22</v>
      </c>
      <c r="L936" s="13" t="s">
        <v>102</v>
      </c>
      <c r="M936" s="13" t="s">
        <v>103</v>
      </c>
      <c r="N936" s="139" t="s">
        <v>783</v>
      </c>
      <c r="O936" s="139" t="s">
        <v>783</v>
      </c>
      <c r="P936" s="28">
        <v>30</v>
      </c>
      <c r="Q936" s="13" t="s">
        <v>54</v>
      </c>
      <c r="R936" s="13" t="s">
        <v>28</v>
      </c>
      <c r="S936" s="13"/>
      <c r="T936" s="13"/>
      <c r="U936" s="13" t="s">
        <v>2110</v>
      </c>
      <c r="V936" s="13" t="s">
        <v>2110</v>
      </c>
      <c r="W936" s="59">
        <f t="shared" si="14"/>
        <v>1.0269780012895467E-4</v>
      </c>
    </row>
    <row r="937" spans="1:29">
      <c r="A937" s="13" t="s">
        <v>2238</v>
      </c>
      <c r="B937" s="13" t="s">
        <v>471</v>
      </c>
      <c r="C937" s="139">
        <v>46269</v>
      </c>
      <c r="D937" s="139" t="s">
        <v>441</v>
      </c>
      <c r="E937" s="28">
        <v>0.96356927999999997</v>
      </c>
      <c r="F937" s="13"/>
      <c r="G937" s="18">
        <v>1579236</v>
      </c>
      <c r="H937" s="18">
        <v>1521703.29</v>
      </c>
      <c r="I937" s="18">
        <v>1579236</v>
      </c>
      <c r="J937" s="18">
        <v>1521703.29</v>
      </c>
      <c r="K937" s="15">
        <v>1555</v>
      </c>
      <c r="L937" s="13" t="s">
        <v>102</v>
      </c>
      <c r="M937" s="13" t="s">
        <v>103</v>
      </c>
      <c r="N937" s="139" t="s">
        <v>441</v>
      </c>
      <c r="O937" s="139" t="s">
        <v>441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2474</v>
      </c>
      <c r="V937" s="13" t="s">
        <v>2474</v>
      </c>
      <c r="W937" s="59">
        <f t="shared" si="14"/>
        <v>2.9071548132440407E-5</v>
      </c>
    </row>
    <row r="938" spans="1:29">
      <c r="A938" s="13" t="s">
        <v>698</v>
      </c>
      <c r="B938" s="13" t="s">
        <v>471</v>
      </c>
      <c r="C938" s="139">
        <v>46272</v>
      </c>
      <c r="D938" s="139" t="s">
        <v>441</v>
      </c>
      <c r="E938" s="28">
        <v>0.96878666000000002</v>
      </c>
      <c r="F938" s="13"/>
      <c r="G938" s="18">
        <v>10000000</v>
      </c>
      <c r="H938" s="18">
        <v>9687866.5500000007</v>
      </c>
      <c r="I938" s="18">
        <v>10000000</v>
      </c>
      <c r="J938" s="18">
        <v>9687866.5500000007</v>
      </c>
      <c r="K938" s="15">
        <v>4542</v>
      </c>
      <c r="L938" s="13" t="s">
        <v>102</v>
      </c>
      <c r="M938" s="13" t="s">
        <v>103</v>
      </c>
      <c r="N938" s="139" t="s">
        <v>382</v>
      </c>
      <c r="O938" s="139" t="s">
        <v>382</v>
      </c>
      <c r="P938" s="28">
        <v>24</v>
      </c>
      <c r="Q938" s="13" t="s">
        <v>54</v>
      </c>
      <c r="R938" s="13" t="s">
        <v>28</v>
      </c>
      <c r="S938" s="13"/>
      <c r="T938" s="13"/>
      <c r="U938" s="13" t="s">
        <v>2336</v>
      </c>
      <c r="V938" s="13" t="s">
        <v>2336</v>
      </c>
      <c r="W938" s="59">
        <f t="shared" si="14"/>
        <v>1.8508291370585418E-4</v>
      </c>
    </row>
    <row r="939" spans="1:29">
      <c r="A939" s="13" t="s">
        <v>1163</v>
      </c>
      <c r="B939" s="13" t="s">
        <v>471</v>
      </c>
      <c r="C939" s="139">
        <v>46272</v>
      </c>
      <c r="D939" s="139" t="s">
        <v>441</v>
      </c>
      <c r="E939" s="28">
        <v>0.95389935000000003</v>
      </c>
      <c r="F939" s="13"/>
      <c r="G939" s="18">
        <v>2067824.35</v>
      </c>
      <c r="H939" s="18">
        <v>1972496.31</v>
      </c>
      <c r="I939" s="18">
        <v>2067824.35</v>
      </c>
      <c r="J939" s="18">
        <v>1972496.31</v>
      </c>
      <c r="K939" s="15">
        <v>2203</v>
      </c>
      <c r="L939" s="13" t="s">
        <v>102</v>
      </c>
      <c r="M939" s="13" t="s">
        <v>103</v>
      </c>
      <c r="N939" s="139" t="s">
        <v>458</v>
      </c>
      <c r="O939" s="139" t="s">
        <v>458</v>
      </c>
      <c r="P939" s="28">
        <v>36</v>
      </c>
      <c r="Q939" s="13" t="s">
        <v>54</v>
      </c>
      <c r="R939" s="13" t="s">
        <v>28</v>
      </c>
      <c r="S939" s="13"/>
      <c r="T939" s="13"/>
      <c r="U939" s="13" t="s">
        <v>1166</v>
      </c>
      <c r="V939" s="13" t="s">
        <v>1166</v>
      </c>
      <c r="W939" s="59">
        <f t="shared" si="14"/>
        <v>3.7683773041738049E-5</v>
      </c>
    </row>
    <row r="940" spans="1:29">
      <c r="A940" s="13" t="s">
        <v>512</v>
      </c>
      <c r="B940" s="13" t="s">
        <v>471</v>
      </c>
      <c r="C940" s="139">
        <v>46272</v>
      </c>
      <c r="D940" s="139" t="s">
        <v>441</v>
      </c>
      <c r="E940" s="28">
        <v>0.95512233999999996</v>
      </c>
      <c r="F940" s="13"/>
      <c r="G940" s="18">
        <v>30000000</v>
      </c>
      <c r="H940" s="18">
        <v>28653670.280000001</v>
      </c>
      <c r="I940" s="18">
        <v>30000000</v>
      </c>
      <c r="J940" s="18">
        <v>28653670.280000001</v>
      </c>
      <c r="K940" s="15">
        <v>451</v>
      </c>
      <c r="L940" s="13" t="s">
        <v>102</v>
      </c>
      <c r="M940" s="13" t="s">
        <v>103</v>
      </c>
      <c r="N940" s="139" t="s">
        <v>398</v>
      </c>
      <c r="O940" s="139" t="s">
        <v>398</v>
      </c>
      <c r="P940" s="28">
        <v>35</v>
      </c>
      <c r="Q940" s="13" t="s">
        <v>54</v>
      </c>
      <c r="R940" s="13" t="s">
        <v>28</v>
      </c>
      <c r="S940" s="13"/>
      <c r="T940" s="13"/>
      <c r="U940" s="13" t="s">
        <v>1182</v>
      </c>
      <c r="V940" s="13" t="s">
        <v>1182</v>
      </c>
      <c r="W940" s="59">
        <f t="shared" si="14"/>
        <v>5.4741720031117045E-4</v>
      </c>
    </row>
    <row r="941" spans="1:29">
      <c r="A941" s="13" t="s">
        <v>655</v>
      </c>
      <c r="B941" s="13" t="s">
        <v>471</v>
      </c>
      <c r="C941" s="139">
        <v>46272</v>
      </c>
      <c r="D941" s="139" t="s">
        <v>441</v>
      </c>
      <c r="E941" s="28">
        <v>0.95146248</v>
      </c>
      <c r="F941" s="13"/>
      <c r="G941" s="18">
        <v>4957711.8099999996</v>
      </c>
      <c r="H941" s="18">
        <v>4717076.7699999996</v>
      </c>
      <c r="I941" s="18">
        <v>4957711.8099999996</v>
      </c>
      <c r="J941" s="18">
        <v>4717076.7699999996</v>
      </c>
      <c r="K941" s="15">
        <v>598</v>
      </c>
      <c r="L941" s="13" t="s">
        <v>102</v>
      </c>
      <c r="M941" s="13" t="s">
        <v>103</v>
      </c>
      <c r="N941" s="139" t="s">
        <v>355</v>
      </c>
      <c r="O941" s="139" t="s">
        <v>355</v>
      </c>
      <c r="P941" s="28">
        <v>38</v>
      </c>
      <c r="Q941" s="13" t="s">
        <v>54</v>
      </c>
      <c r="R941" s="13" t="s">
        <v>28</v>
      </c>
      <c r="S941" s="13"/>
      <c r="T941" s="13"/>
      <c r="U941" s="13" t="s">
        <v>851</v>
      </c>
      <c r="V941" s="13" t="s">
        <v>851</v>
      </c>
      <c r="W941" s="59">
        <f t="shared" si="14"/>
        <v>9.0117912778825307E-5</v>
      </c>
      <c r="AC941" s="56"/>
    </row>
    <row r="942" spans="1:29">
      <c r="A942" s="13" t="s">
        <v>739</v>
      </c>
      <c r="B942" s="13" t="s">
        <v>471</v>
      </c>
      <c r="C942" s="139">
        <v>46272</v>
      </c>
      <c r="D942" s="139" t="s">
        <v>441</v>
      </c>
      <c r="E942" s="28">
        <v>0.95757819</v>
      </c>
      <c r="F942" s="13"/>
      <c r="G942" s="18">
        <v>175000000</v>
      </c>
      <c r="H942" s="18">
        <v>167576183.11000001</v>
      </c>
      <c r="I942" s="18">
        <v>175000000</v>
      </c>
      <c r="J942" s="18">
        <v>167576183.11000001</v>
      </c>
      <c r="K942" s="15">
        <v>70389146</v>
      </c>
      <c r="L942" s="13" t="s">
        <v>102</v>
      </c>
      <c r="M942" s="13" t="s">
        <v>103</v>
      </c>
      <c r="N942" s="139" t="s">
        <v>431</v>
      </c>
      <c r="O942" s="139" t="s">
        <v>431</v>
      </c>
      <c r="P942" s="28">
        <v>33</v>
      </c>
      <c r="Q942" s="13" t="s">
        <v>54</v>
      </c>
      <c r="R942" s="13" t="s">
        <v>28</v>
      </c>
      <c r="S942" s="13"/>
      <c r="T942" s="13"/>
      <c r="U942" s="13" t="s">
        <v>1935</v>
      </c>
      <c r="V942" s="13" t="s">
        <v>1935</v>
      </c>
      <c r="W942" s="59">
        <f t="shared" si="14"/>
        <v>3.2014776501751614E-3</v>
      </c>
    </row>
    <row r="943" spans="1:29">
      <c r="A943" s="13" t="s">
        <v>486</v>
      </c>
      <c r="B943" s="13" t="s">
        <v>471</v>
      </c>
      <c r="C943" s="139">
        <v>46272</v>
      </c>
      <c r="D943" s="139" t="s">
        <v>441</v>
      </c>
      <c r="E943" s="28">
        <v>0.95757809999999999</v>
      </c>
      <c r="F943" s="13"/>
      <c r="G943" s="18">
        <v>16005575.68</v>
      </c>
      <c r="H943" s="18">
        <v>15326588.68</v>
      </c>
      <c r="I943" s="18">
        <v>16005575.68</v>
      </c>
      <c r="J943" s="18">
        <v>15326588.68</v>
      </c>
      <c r="K943" s="15">
        <v>30714</v>
      </c>
      <c r="L943" s="13" t="s">
        <v>102</v>
      </c>
      <c r="M943" s="13" t="s">
        <v>103</v>
      </c>
      <c r="N943" s="139" t="s">
        <v>458</v>
      </c>
      <c r="O943" s="139" t="s">
        <v>458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1152</v>
      </c>
      <c r="V943" s="13" t="s">
        <v>1152</v>
      </c>
      <c r="W943" s="59">
        <f t="shared" si="14"/>
        <v>2.9280850179192044E-4</v>
      </c>
    </row>
    <row r="944" spans="1:29">
      <c r="A944" s="13" t="s">
        <v>472</v>
      </c>
      <c r="B944" s="13" t="s">
        <v>471</v>
      </c>
      <c r="C944" s="139">
        <v>46272</v>
      </c>
      <c r="D944" s="139" t="s">
        <v>441</v>
      </c>
      <c r="E944" s="28">
        <v>0.96128546000000004</v>
      </c>
      <c r="F944" s="13"/>
      <c r="G944" s="18">
        <v>5000000</v>
      </c>
      <c r="H944" s="18">
        <v>4806427.28</v>
      </c>
      <c r="I944" s="18">
        <v>5000000</v>
      </c>
      <c r="J944" s="18">
        <v>4806427.28</v>
      </c>
      <c r="K944" s="15">
        <v>778</v>
      </c>
      <c r="L944" s="13" t="s">
        <v>102</v>
      </c>
      <c r="M944" s="13" t="s">
        <v>103</v>
      </c>
      <c r="N944" s="139" t="s">
        <v>495</v>
      </c>
      <c r="O944" s="139" t="s">
        <v>495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2170</v>
      </c>
      <c r="V944" s="13" t="s">
        <v>2170</v>
      </c>
      <c r="W944" s="59">
        <f t="shared" si="14"/>
        <v>9.1824919439843373E-5</v>
      </c>
    </row>
    <row r="945" spans="1:29">
      <c r="A945" s="13" t="s">
        <v>432</v>
      </c>
      <c r="B945" s="13" t="s">
        <v>471</v>
      </c>
      <c r="C945" s="139">
        <v>46272</v>
      </c>
      <c r="D945" s="139" t="s">
        <v>441</v>
      </c>
      <c r="E945" s="28">
        <v>0.95389935000000003</v>
      </c>
      <c r="F945" s="13"/>
      <c r="G945" s="18">
        <v>2333401.2200000002</v>
      </c>
      <c r="H945" s="18">
        <v>2225829.91</v>
      </c>
      <c r="I945" s="18">
        <v>2333401.2200000002</v>
      </c>
      <c r="J945" s="18">
        <v>2225829.91</v>
      </c>
      <c r="K945" s="15">
        <v>2665</v>
      </c>
      <c r="L945" s="13" t="s">
        <v>102</v>
      </c>
      <c r="M945" s="13" t="s">
        <v>103</v>
      </c>
      <c r="N945" s="139" t="s">
        <v>458</v>
      </c>
      <c r="O945" s="139" t="s">
        <v>458</v>
      </c>
      <c r="P945" s="28">
        <v>36</v>
      </c>
      <c r="Q945" s="13" t="s">
        <v>54</v>
      </c>
      <c r="R945" s="13" t="s">
        <v>28</v>
      </c>
      <c r="S945" s="13"/>
      <c r="T945" s="13"/>
      <c r="U945" s="13" t="s">
        <v>1178</v>
      </c>
      <c r="V945" s="13" t="s">
        <v>1178</v>
      </c>
      <c r="W945" s="59">
        <f t="shared" si="14"/>
        <v>4.2523612709801331E-5</v>
      </c>
    </row>
    <row r="946" spans="1:29">
      <c r="A946" s="13" t="s">
        <v>1862</v>
      </c>
      <c r="B946" s="13" t="s">
        <v>471</v>
      </c>
      <c r="C946" s="139">
        <v>46272</v>
      </c>
      <c r="D946" s="139" t="s">
        <v>441</v>
      </c>
      <c r="E946" s="28">
        <v>0.96439673999999997</v>
      </c>
      <c r="F946" s="13"/>
      <c r="G946" s="18">
        <v>30000000</v>
      </c>
      <c r="H946" s="18">
        <v>28931902.170000002</v>
      </c>
      <c r="I946" s="18">
        <v>30000000</v>
      </c>
      <c r="J946" s="18">
        <v>28931902.170000002</v>
      </c>
      <c r="K946" s="15">
        <v>488</v>
      </c>
      <c r="L946" s="13" t="s">
        <v>102</v>
      </c>
      <c r="M946" s="13" t="s">
        <v>103</v>
      </c>
      <c r="N946" s="139" t="s">
        <v>493</v>
      </c>
      <c r="O946" s="139" t="s">
        <v>493</v>
      </c>
      <c r="P946" s="28">
        <v>27.5</v>
      </c>
      <c r="Q946" s="13" t="s">
        <v>54</v>
      </c>
      <c r="R946" s="13" t="s">
        <v>28</v>
      </c>
      <c r="S946" s="13"/>
      <c r="T946" s="13"/>
      <c r="U946" s="13" t="s">
        <v>1963</v>
      </c>
      <c r="V946" s="13" t="s">
        <v>1963</v>
      </c>
      <c r="W946" s="59">
        <f t="shared" si="14"/>
        <v>5.5273271210329843E-4</v>
      </c>
    </row>
    <row r="947" spans="1:29">
      <c r="A947" s="13" t="s">
        <v>1862</v>
      </c>
      <c r="B947" s="13" t="s">
        <v>471</v>
      </c>
      <c r="C947" s="139">
        <v>46272</v>
      </c>
      <c r="D947" s="139" t="s">
        <v>441</v>
      </c>
      <c r="E947" s="28">
        <v>0.96439673999999997</v>
      </c>
      <c r="F947" s="13"/>
      <c r="G947" s="18">
        <v>25000000</v>
      </c>
      <c r="H947" s="18">
        <v>24109918.469999999</v>
      </c>
      <c r="I947" s="18">
        <v>25000000</v>
      </c>
      <c r="J947" s="18">
        <v>24109918.469999999</v>
      </c>
      <c r="K947" s="15">
        <v>319</v>
      </c>
      <c r="L947" s="13" t="s">
        <v>102</v>
      </c>
      <c r="M947" s="13" t="s">
        <v>103</v>
      </c>
      <c r="N947" s="139" t="s">
        <v>493</v>
      </c>
      <c r="O947" s="139" t="s">
        <v>493</v>
      </c>
      <c r="P947" s="28">
        <v>27.5</v>
      </c>
      <c r="Q947" s="13" t="s">
        <v>54</v>
      </c>
      <c r="R947" s="13" t="s">
        <v>28</v>
      </c>
      <c r="S947" s="13"/>
      <c r="T947" s="13"/>
      <c r="U947" s="13" t="s">
        <v>1964</v>
      </c>
      <c r="V947" s="13" t="s">
        <v>1964</v>
      </c>
      <c r="W947" s="59">
        <f t="shared" si="14"/>
        <v>4.6061059332389227E-4</v>
      </c>
    </row>
    <row r="948" spans="1:29">
      <c r="A948" s="13" t="s">
        <v>323</v>
      </c>
      <c r="B948" s="13" t="s">
        <v>471</v>
      </c>
      <c r="C948" s="139">
        <v>46272</v>
      </c>
      <c r="D948" s="139" t="s">
        <v>441</v>
      </c>
      <c r="E948" s="28">
        <v>0.9662731</v>
      </c>
      <c r="F948" s="13"/>
      <c r="G948" s="18">
        <v>35000000</v>
      </c>
      <c r="H948" s="18">
        <v>33819558.509999998</v>
      </c>
      <c r="I948" s="18">
        <v>35000000</v>
      </c>
      <c r="J948" s="18">
        <v>33819558.509999998</v>
      </c>
      <c r="K948" s="15">
        <v>12165</v>
      </c>
      <c r="L948" s="13" t="s">
        <v>102</v>
      </c>
      <c r="M948" s="13" t="s">
        <v>103</v>
      </c>
      <c r="N948" s="139" t="s">
        <v>494</v>
      </c>
      <c r="O948" s="139" t="s">
        <v>494</v>
      </c>
      <c r="P948" s="28">
        <v>26</v>
      </c>
      <c r="Q948" s="13" t="s">
        <v>54</v>
      </c>
      <c r="R948" s="13" t="s">
        <v>28</v>
      </c>
      <c r="S948" s="13"/>
      <c r="T948" s="13"/>
      <c r="U948" s="13" t="s">
        <v>2016</v>
      </c>
      <c r="V948" s="13" t="s">
        <v>2016</v>
      </c>
      <c r="W948" s="59">
        <f t="shared" si="14"/>
        <v>6.461094810679876E-4</v>
      </c>
    </row>
    <row r="949" spans="1:29">
      <c r="A949" s="13" t="s">
        <v>323</v>
      </c>
      <c r="B949" s="13" t="s">
        <v>471</v>
      </c>
      <c r="C949" s="139">
        <v>46272</v>
      </c>
      <c r="D949" s="139" t="s">
        <v>441</v>
      </c>
      <c r="E949" s="28">
        <v>0.9662731</v>
      </c>
      <c r="F949" s="13"/>
      <c r="G949" s="18">
        <v>25000000</v>
      </c>
      <c r="H949" s="18">
        <v>24156827.510000002</v>
      </c>
      <c r="I949" s="18">
        <v>25000000</v>
      </c>
      <c r="J949" s="18">
        <v>24156827.510000002</v>
      </c>
      <c r="K949" s="15">
        <v>2845</v>
      </c>
      <c r="L949" s="13" t="s">
        <v>102</v>
      </c>
      <c r="M949" s="13" t="s">
        <v>103</v>
      </c>
      <c r="N949" s="139" t="s">
        <v>494</v>
      </c>
      <c r="O949" s="139" t="s">
        <v>494</v>
      </c>
      <c r="P949" s="28">
        <v>26</v>
      </c>
      <c r="Q949" s="13" t="s">
        <v>54</v>
      </c>
      <c r="R949" s="13" t="s">
        <v>28</v>
      </c>
      <c r="S949" s="13"/>
      <c r="T949" s="13"/>
      <c r="U949" s="13" t="s">
        <v>2026</v>
      </c>
      <c r="V949" s="13" t="s">
        <v>2026</v>
      </c>
      <c r="W949" s="59">
        <f t="shared" si="14"/>
        <v>4.6150677224600438E-4</v>
      </c>
    </row>
    <row r="950" spans="1:29">
      <c r="A950" s="13" t="s">
        <v>138</v>
      </c>
      <c r="B950" s="13" t="s">
        <v>471</v>
      </c>
      <c r="C950" s="139">
        <v>46272</v>
      </c>
      <c r="D950" s="139" t="s">
        <v>441</v>
      </c>
      <c r="E950" s="28">
        <v>0.95634876000000002</v>
      </c>
      <c r="F950" s="13"/>
      <c r="G950" s="18">
        <v>100000000</v>
      </c>
      <c r="H950" s="18">
        <v>95634876.180000007</v>
      </c>
      <c r="I950" s="18">
        <v>100000000</v>
      </c>
      <c r="J950" s="18">
        <v>95634876.180000007</v>
      </c>
      <c r="K950" s="15">
        <v>769</v>
      </c>
      <c r="L950" s="13" t="s">
        <v>102</v>
      </c>
      <c r="M950" s="13" t="s">
        <v>103</v>
      </c>
      <c r="N950" s="139" t="s">
        <v>441</v>
      </c>
      <c r="O950" s="139" t="s">
        <v>441</v>
      </c>
      <c r="P950" s="28">
        <v>34</v>
      </c>
      <c r="Q950" s="13" t="s">
        <v>54</v>
      </c>
      <c r="R950" s="13" t="s">
        <v>28</v>
      </c>
      <c r="S950" s="13"/>
      <c r="T950" s="13"/>
      <c r="U950" s="13" t="s">
        <v>2449</v>
      </c>
      <c r="V950" s="13" t="s">
        <v>2449</v>
      </c>
      <c r="W950" s="59">
        <f t="shared" si="14"/>
        <v>1.8270670269805677E-3</v>
      </c>
    </row>
    <row r="951" spans="1:29">
      <c r="A951" s="13" t="s">
        <v>2238</v>
      </c>
      <c r="B951" s="13" t="s">
        <v>471</v>
      </c>
      <c r="C951" s="139">
        <v>46272</v>
      </c>
      <c r="D951" s="139" t="s">
        <v>441</v>
      </c>
      <c r="E951" s="28">
        <v>0.96128539000000002</v>
      </c>
      <c r="F951" s="13"/>
      <c r="G951" s="18">
        <v>1579236</v>
      </c>
      <c r="H951" s="18">
        <v>1518096.49</v>
      </c>
      <c r="I951" s="18">
        <v>1579236</v>
      </c>
      <c r="J951" s="18">
        <v>1518096.49</v>
      </c>
      <c r="K951" s="15">
        <v>1556</v>
      </c>
      <c r="L951" s="13" t="s">
        <v>102</v>
      </c>
      <c r="M951" s="13" t="s">
        <v>103</v>
      </c>
      <c r="N951" s="139" t="s">
        <v>441</v>
      </c>
      <c r="O951" s="139" t="s">
        <v>441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2479</v>
      </c>
      <c r="V951" s="13" t="s">
        <v>2479</v>
      </c>
      <c r="W951" s="59">
        <f t="shared" si="14"/>
        <v>2.9002641624520531E-5</v>
      </c>
    </row>
    <row r="952" spans="1:29">
      <c r="A952" s="13" t="s">
        <v>2488</v>
      </c>
      <c r="B952" s="13" t="s">
        <v>471</v>
      </c>
      <c r="C952" s="139">
        <v>46272</v>
      </c>
      <c r="D952" s="139" t="s">
        <v>441</v>
      </c>
      <c r="E952" s="28">
        <v>0.96128539000000002</v>
      </c>
      <c r="F952" s="13"/>
      <c r="G952" s="18">
        <v>2870567.11</v>
      </c>
      <c r="H952" s="18">
        <v>2759434.21</v>
      </c>
      <c r="I952" s="18">
        <v>2870567.11</v>
      </c>
      <c r="J952" s="18">
        <v>2759434.21</v>
      </c>
      <c r="K952" s="15">
        <v>100</v>
      </c>
      <c r="L952" s="13" t="s">
        <v>102</v>
      </c>
      <c r="M952" s="13" t="s">
        <v>103</v>
      </c>
      <c r="N952" s="139" t="s">
        <v>441</v>
      </c>
      <c r="O952" s="139" t="s">
        <v>441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2454</v>
      </c>
      <c r="V952" s="13" t="s">
        <v>2454</v>
      </c>
      <c r="W952" s="59">
        <f t="shared" si="14"/>
        <v>5.2717914840229901E-5</v>
      </c>
    </row>
    <row r="953" spans="1:29">
      <c r="A953" s="13" t="s">
        <v>698</v>
      </c>
      <c r="B953" s="13" t="s">
        <v>471</v>
      </c>
      <c r="C953" s="139">
        <v>46273</v>
      </c>
      <c r="D953" s="139" t="s">
        <v>441</v>
      </c>
      <c r="E953" s="28">
        <v>0.96179183999999995</v>
      </c>
      <c r="F953" s="13"/>
      <c r="G953" s="18">
        <v>11923076.92</v>
      </c>
      <c r="H953" s="18">
        <v>11467518.119999999</v>
      </c>
      <c r="I953" s="18">
        <v>11923076.92</v>
      </c>
      <c r="J953" s="18">
        <v>11467518.119999999</v>
      </c>
      <c r="K953" s="15">
        <v>90021986</v>
      </c>
      <c r="L953" s="13" t="s">
        <v>102</v>
      </c>
      <c r="M953" s="13" t="s">
        <v>103</v>
      </c>
      <c r="N953" s="139" t="s">
        <v>341</v>
      </c>
      <c r="O953" s="139" t="s">
        <v>341</v>
      </c>
      <c r="P953" s="28">
        <v>29</v>
      </c>
      <c r="Q953" s="13" t="s">
        <v>54</v>
      </c>
      <c r="R953" s="13" t="s">
        <v>28</v>
      </c>
      <c r="S953" s="13"/>
      <c r="T953" s="13"/>
      <c r="U953" s="13" t="s">
        <v>931</v>
      </c>
      <c r="V953" s="13" t="s">
        <v>931</v>
      </c>
      <c r="W953" s="59">
        <f t="shared" si="14"/>
        <v>2.190824631687643E-4</v>
      </c>
    </row>
    <row r="954" spans="1:29">
      <c r="A954" s="13" t="s">
        <v>580</v>
      </c>
      <c r="B954" s="13" t="s">
        <v>471</v>
      </c>
      <c r="C954" s="139">
        <v>46273</v>
      </c>
      <c r="D954" s="139" t="s">
        <v>441</v>
      </c>
      <c r="E954" s="28">
        <v>0.96052636999999996</v>
      </c>
      <c r="F954" s="13"/>
      <c r="G954" s="18">
        <v>24000000</v>
      </c>
      <c r="H954" s="18">
        <v>23052632.850000001</v>
      </c>
      <c r="I954" s="18">
        <v>24000000</v>
      </c>
      <c r="J954" s="18">
        <v>23052632.850000001</v>
      </c>
      <c r="K954" s="15">
        <v>718980</v>
      </c>
      <c r="L954" s="13" t="s">
        <v>102</v>
      </c>
      <c r="M954" s="13" t="s">
        <v>103</v>
      </c>
      <c r="N954" s="139" t="s">
        <v>358</v>
      </c>
      <c r="O954" s="139" t="s">
        <v>358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593</v>
      </c>
      <c r="V954" s="13" t="s">
        <v>593</v>
      </c>
      <c r="W954" s="59">
        <f t="shared" si="14"/>
        <v>4.4041156372754629E-4</v>
      </c>
    </row>
    <row r="955" spans="1:29">
      <c r="A955" s="13" t="s">
        <v>1163</v>
      </c>
      <c r="B955" s="13" t="s">
        <v>471</v>
      </c>
      <c r="C955" s="139">
        <v>46273</v>
      </c>
      <c r="D955" s="139" t="s">
        <v>441</v>
      </c>
      <c r="E955" s="28">
        <v>0.95300269999999998</v>
      </c>
      <c r="F955" s="13"/>
      <c r="G955" s="18">
        <v>2067824.35</v>
      </c>
      <c r="H955" s="18">
        <v>1970642.19</v>
      </c>
      <c r="I955" s="18">
        <v>2067824.35</v>
      </c>
      <c r="J955" s="18">
        <v>1970642.19</v>
      </c>
      <c r="K955" s="15">
        <v>2204</v>
      </c>
      <c r="L955" s="13" t="s">
        <v>102</v>
      </c>
      <c r="M955" s="13" t="s">
        <v>103</v>
      </c>
      <c r="N955" s="139" t="s">
        <v>458</v>
      </c>
      <c r="O955" s="139" t="s">
        <v>458</v>
      </c>
      <c r="P955" s="28">
        <v>36</v>
      </c>
      <c r="Q955" s="13" t="s">
        <v>54</v>
      </c>
      <c r="R955" s="13" t="s">
        <v>28</v>
      </c>
      <c r="S955" s="13"/>
      <c r="T955" s="13"/>
      <c r="U955" s="13" t="s">
        <v>1167</v>
      </c>
      <c r="V955" s="13" t="s">
        <v>1167</v>
      </c>
      <c r="W955" s="59">
        <f t="shared" si="14"/>
        <v>3.7648350801950866E-5</v>
      </c>
      <c r="AC955"/>
    </row>
    <row r="956" spans="1:29">
      <c r="A956" s="13" t="s">
        <v>658</v>
      </c>
      <c r="B956" s="13" t="s">
        <v>471</v>
      </c>
      <c r="C956" s="139">
        <v>46273</v>
      </c>
      <c r="D956" s="139" t="s">
        <v>441</v>
      </c>
      <c r="E956" s="28">
        <v>0.95052095000000003</v>
      </c>
      <c r="F956" s="13"/>
      <c r="G956" s="18">
        <v>7162509.1500000004</v>
      </c>
      <c r="H956" s="18">
        <v>6808114.9800000004</v>
      </c>
      <c r="I956" s="18">
        <v>7162509.1500000004</v>
      </c>
      <c r="J956" s="18">
        <v>6808114.9800000004</v>
      </c>
      <c r="K956" s="15">
        <v>65964541</v>
      </c>
      <c r="L956" s="13" t="s">
        <v>102</v>
      </c>
      <c r="M956" s="13" t="s">
        <v>103</v>
      </c>
      <c r="N956" s="139" t="s">
        <v>327</v>
      </c>
      <c r="O956" s="139" t="s">
        <v>327</v>
      </c>
      <c r="P956" s="28">
        <v>38</v>
      </c>
      <c r="Q956" s="13" t="s">
        <v>54</v>
      </c>
      <c r="R956" s="13" t="s">
        <v>28</v>
      </c>
      <c r="S956" s="13"/>
      <c r="T956" s="13"/>
      <c r="U956" s="13" t="s">
        <v>809</v>
      </c>
      <c r="V956" s="13" t="s">
        <v>809</v>
      </c>
      <c r="W956" s="59">
        <f t="shared" si="14"/>
        <v>1.3006638260751777E-4</v>
      </c>
    </row>
    <row r="957" spans="1:29">
      <c r="A957" s="13" t="s">
        <v>699</v>
      </c>
      <c r="B957" s="13" t="s">
        <v>471</v>
      </c>
      <c r="C957" s="139">
        <v>46273</v>
      </c>
      <c r="D957" s="139" t="s">
        <v>441</v>
      </c>
      <c r="E957" s="28">
        <v>0.95674972999999996</v>
      </c>
      <c r="F957" s="13"/>
      <c r="G957" s="18">
        <v>10000000</v>
      </c>
      <c r="H957" s="18">
        <v>9567497.3000000007</v>
      </c>
      <c r="I957" s="18">
        <v>10000000</v>
      </c>
      <c r="J957" s="18">
        <v>9567497.3000000007</v>
      </c>
      <c r="K957" s="15">
        <v>29692615</v>
      </c>
      <c r="L957" s="13" t="s">
        <v>102</v>
      </c>
      <c r="M957" s="13" t="s">
        <v>103</v>
      </c>
      <c r="N957" s="139" t="s">
        <v>392</v>
      </c>
      <c r="O957" s="139" t="s">
        <v>392</v>
      </c>
      <c r="P957" s="28">
        <v>33</v>
      </c>
      <c r="Q957" s="13" t="s">
        <v>54</v>
      </c>
      <c r="R957" s="13" t="s">
        <v>28</v>
      </c>
      <c r="S957" s="13"/>
      <c r="T957" s="13"/>
      <c r="U957" s="13" t="s">
        <v>2304</v>
      </c>
      <c r="V957" s="13" t="s">
        <v>2304</v>
      </c>
      <c r="W957" s="59">
        <f t="shared" si="14"/>
        <v>1.8278330610952654E-4</v>
      </c>
    </row>
    <row r="958" spans="1:29">
      <c r="A958" s="13" t="s">
        <v>1017</v>
      </c>
      <c r="B958" s="13" t="s">
        <v>471</v>
      </c>
      <c r="C958" s="139">
        <v>46273</v>
      </c>
      <c r="D958" s="139" t="s">
        <v>441</v>
      </c>
      <c r="E958" s="28">
        <v>0.94805200999999995</v>
      </c>
      <c r="F958" s="13"/>
      <c r="G958" s="18">
        <v>12166667</v>
      </c>
      <c r="H958" s="18">
        <v>11534633.08</v>
      </c>
      <c r="I958" s="18">
        <v>12166667</v>
      </c>
      <c r="J958" s="18">
        <v>11534633.08</v>
      </c>
      <c r="K958" s="15">
        <v>90020552</v>
      </c>
      <c r="L958" s="13" t="s">
        <v>102</v>
      </c>
      <c r="M958" s="13" t="s">
        <v>103</v>
      </c>
      <c r="N958" s="139" t="s">
        <v>349</v>
      </c>
      <c r="O958" s="139" t="s">
        <v>349</v>
      </c>
      <c r="P958" s="28">
        <v>40</v>
      </c>
      <c r="Q958" s="13" t="s">
        <v>54</v>
      </c>
      <c r="R958" s="13" t="s">
        <v>28</v>
      </c>
      <c r="S958" s="13"/>
      <c r="T958" s="13"/>
      <c r="U958" s="13" t="s">
        <v>1006</v>
      </c>
      <c r="V958" s="13" t="s">
        <v>1006</v>
      </c>
      <c r="W958" s="59">
        <f t="shared" si="14"/>
        <v>2.2036466831537133E-4</v>
      </c>
      <c r="AC958"/>
    </row>
    <row r="959" spans="1:29">
      <c r="A959" s="13" t="s">
        <v>737</v>
      </c>
      <c r="B959" s="13" t="s">
        <v>471</v>
      </c>
      <c r="C959" s="139">
        <v>46273</v>
      </c>
      <c r="D959" s="139" t="s">
        <v>441</v>
      </c>
      <c r="E959" s="28">
        <v>0.96816986000000005</v>
      </c>
      <c r="F959" s="13"/>
      <c r="G959" s="18">
        <v>4000000</v>
      </c>
      <c r="H959" s="18">
        <v>3872679.46</v>
      </c>
      <c r="I959" s="18">
        <v>4000000</v>
      </c>
      <c r="J959" s="18">
        <v>3872679.46</v>
      </c>
      <c r="K959" s="15">
        <v>16821011</v>
      </c>
      <c r="L959" s="13" t="s">
        <v>102</v>
      </c>
      <c r="M959" s="13" t="s">
        <v>103</v>
      </c>
      <c r="N959" s="139" t="s">
        <v>382</v>
      </c>
      <c r="O959" s="139" t="s">
        <v>382</v>
      </c>
      <c r="P959" s="28">
        <v>24</v>
      </c>
      <c r="Q959" s="13" t="s">
        <v>54</v>
      </c>
      <c r="R959" s="13" t="s">
        <v>28</v>
      </c>
      <c r="S959" s="13"/>
      <c r="T959" s="13"/>
      <c r="U959" s="13" t="s">
        <v>2365</v>
      </c>
      <c r="V959" s="13" t="s">
        <v>2365</v>
      </c>
      <c r="W959" s="59">
        <f t="shared" si="14"/>
        <v>7.3986031352342888E-5</v>
      </c>
    </row>
    <row r="960" spans="1:29">
      <c r="A960" s="13" t="s">
        <v>209</v>
      </c>
      <c r="B960" s="13" t="s">
        <v>471</v>
      </c>
      <c r="C960" s="139">
        <v>46273</v>
      </c>
      <c r="D960" s="139" t="s">
        <v>441</v>
      </c>
      <c r="E960" s="28">
        <v>0.96881231000000001</v>
      </c>
      <c r="F960" s="13"/>
      <c r="G960" s="18">
        <v>35146141.060000002</v>
      </c>
      <c r="H960" s="18">
        <v>34050014.109999999</v>
      </c>
      <c r="I960" s="18">
        <v>35146141.060000002</v>
      </c>
      <c r="J960" s="18">
        <v>34050014.109999999</v>
      </c>
      <c r="K960" s="15">
        <v>86</v>
      </c>
      <c r="L960" s="13" t="s">
        <v>102</v>
      </c>
      <c r="M960" s="13" t="s">
        <v>103</v>
      </c>
      <c r="N960" s="139" t="s">
        <v>382</v>
      </c>
      <c r="O960" s="139" t="s">
        <v>382</v>
      </c>
      <c r="P960" s="28">
        <v>23.5</v>
      </c>
      <c r="Q960" s="13" t="s">
        <v>54</v>
      </c>
      <c r="R960" s="13" t="s">
        <v>28</v>
      </c>
      <c r="S960" s="13"/>
      <c r="T960" s="13"/>
      <c r="U960" s="13" t="s">
        <v>2394</v>
      </c>
      <c r="V960" s="13" t="s">
        <v>2394</v>
      </c>
      <c r="W960" s="59">
        <f t="shared" si="14"/>
        <v>6.5051224546484345E-4</v>
      </c>
    </row>
    <row r="961" spans="1:29">
      <c r="A961" s="13" t="s">
        <v>209</v>
      </c>
      <c r="B961" s="13" t="s">
        <v>471</v>
      </c>
      <c r="C961" s="139">
        <v>46273</v>
      </c>
      <c r="D961" s="139" t="s">
        <v>441</v>
      </c>
      <c r="E961" s="28">
        <v>0.97074473999999999</v>
      </c>
      <c r="F961" s="13"/>
      <c r="G961" s="18">
        <v>8778036.6500000004</v>
      </c>
      <c r="H961" s="18">
        <v>8521232.9299999997</v>
      </c>
      <c r="I961" s="18">
        <v>8778036.6500000004</v>
      </c>
      <c r="J961" s="18">
        <v>8521232.9299999997</v>
      </c>
      <c r="K961" s="15">
        <v>5</v>
      </c>
      <c r="L961" s="13" t="s">
        <v>102</v>
      </c>
      <c r="M961" s="13" t="s">
        <v>103</v>
      </c>
      <c r="N961" s="139" t="s">
        <v>441</v>
      </c>
      <c r="O961" s="139" t="s">
        <v>441</v>
      </c>
      <c r="P961" s="28">
        <v>22</v>
      </c>
      <c r="Q961" s="13" t="s">
        <v>54</v>
      </c>
      <c r="R961" s="13" t="s">
        <v>28</v>
      </c>
      <c r="S961" s="13"/>
      <c r="T961" s="13"/>
      <c r="U961" s="13" t="s">
        <v>2480</v>
      </c>
      <c r="V961" s="13" t="s">
        <v>2480</v>
      </c>
      <c r="W961" s="59">
        <f t="shared" si="14"/>
        <v>1.627948331978905E-4</v>
      </c>
    </row>
    <row r="962" spans="1:29">
      <c r="A962" s="13" t="s">
        <v>209</v>
      </c>
      <c r="B962" s="13" t="s">
        <v>471</v>
      </c>
      <c r="C962" s="139">
        <v>46273</v>
      </c>
      <c r="D962" s="139" t="s">
        <v>441</v>
      </c>
      <c r="E962" s="28">
        <v>0.97074473999999999</v>
      </c>
      <c r="F962" s="13"/>
      <c r="G962" s="18">
        <v>65327733.979999997</v>
      </c>
      <c r="H962" s="18">
        <v>63416554.32</v>
      </c>
      <c r="I962" s="18">
        <v>65327733.979999997</v>
      </c>
      <c r="J962" s="18">
        <v>63416554.32</v>
      </c>
      <c r="K962" s="15">
        <v>57</v>
      </c>
      <c r="L962" s="13" t="s">
        <v>102</v>
      </c>
      <c r="M962" s="13" t="s">
        <v>103</v>
      </c>
      <c r="N962" s="139" t="s">
        <v>441</v>
      </c>
      <c r="O962" s="139" t="s">
        <v>441</v>
      </c>
      <c r="P962" s="28">
        <v>22</v>
      </c>
      <c r="Q962" s="13" t="s">
        <v>54</v>
      </c>
      <c r="R962" s="13" t="s">
        <v>28</v>
      </c>
      <c r="S962" s="13"/>
      <c r="T962" s="13"/>
      <c r="U962" s="13" t="s">
        <v>2481</v>
      </c>
      <c r="V962" s="13" t="s">
        <v>2481</v>
      </c>
      <c r="W962" s="59">
        <f t="shared" si="14"/>
        <v>1.2115485478824202E-3</v>
      </c>
    </row>
    <row r="963" spans="1:29">
      <c r="A963" s="13" t="s">
        <v>486</v>
      </c>
      <c r="B963" s="13" t="s">
        <v>471</v>
      </c>
      <c r="C963" s="139">
        <v>46273</v>
      </c>
      <c r="D963" s="139" t="s">
        <v>441</v>
      </c>
      <c r="E963" s="28">
        <v>0.95674974999999995</v>
      </c>
      <c r="F963" s="13"/>
      <c r="G963" s="18">
        <v>16005575.68</v>
      </c>
      <c r="H963" s="18">
        <v>15313330.470000001</v>
      </c>
      <c r="I963" s="18">
        <v>16005575.68</v>
      </c>
      <c r="J963" s="18">
        <v>15313330.470000001</v>
      </c>
      <c r="K963" s="15">
        <v>30715</v>
      </c>
      <c r="L963" s="13" t="s">
        <v>102</v>
      </c>
      <c r="M963" s="13" t="s">
        <v>103</v>
      </c>
      <c r="N963" s="139" t="s">
        <v>458</v>
      </c>
      <c r="O963" s="139" t="s">
        <v>458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1151</v>
      </c>
      <c r="V963" s="13" t="s">
        <v>1151</v>
      </c>
      <c r="W963" s="59">
        <f t="shared" si="14"/>
        <v>2.9255520885847024E-4</v>
      </c>
    </row>
    <row r="964" spans="1:29">
      <c r="A964" s="13" t="s">
        <v>323</v>
      </c>
      <c r="B964" s="13" t="s">
        <v>471</v>
      </c>
      <c r="C964" s="139">
        <v>46273</v>
      </c>
      <c r="D964" s="139" t="s">
        <v>441</v>
      </c>
      <c r="E964" s="28">
        <v>0.96688748999999996</v>
      </c>
      <c r="F964" s="13"/>
      <c r="G964" s="18">
        <v>5000000</v>
      </c>
      <c r="H964" s="18">
        <v>4834437.4400000004</v>
      </c>
      <c r="I964" s="18">
        <v>5000000</v>
      </c>
      <c r="J964" s="18">
        <v>4834437.4400000004</v>
      </c>
      <c r="K964" s="15">
        <v>68370667</v>
      </c>
      <c r="L964" s="13" t="s">
        <v>102</v>
      </c>
      <c r="M964" s="13" t="s">
        <v>103</v>
      </c>
      <c r="N964" s="139" t="s">
        <v>441</v>
      </c>
      <c r="O964" s="139" t="s">
        <v>441</v>
      </c>
      <c r="P964" s="28">
        <v>25</v>
      </c>
      <c r="Q964" s="13" t="s">
        <v>54</v>
      </c>
      <c r="R964" s="13" t="s">
        <v>28</v>
      </c>
      <c r="S964" s="13"/>
      <c r="T964" s="13"/>
      <c r="U964" s="13" t="s">
        <v>2421</v>
      </c>
      <c r="V964" s="13" t="s">
        <v>2421</v>
      </c>
      <c r="W964" s="59">
        <f t="shared" si="14"/>
        <v>9.2360042627122132E-5</v>
      </c>
      <c r="AC964" s="56"/>
    </row>
    <row r="965" spans="1:29">
      <c r="A965" s="13" t="s">
        <v>323</v>
      </c>
      <c r="B965" s="13" t="s">
        <v>471</v>
      </c>
      <c r="C965" s="139">
        <v>46273</v>
      </c>
      <c r="D965" s="139" t="s">
        <v>441</v>
      </c>
      <c r="E965" s="28">
        <v>0.96688748999999996</v>
      </c>
      <c r="F965" s="13"/>
      <c r="G965" s="18">
        <v>5000000</v>
      </c>
      <c r="H965" s="18">
        <v>4834437.4400000004</v>
      </c>
      <c r="I965" s="18">
        <v>5000000</v>
      </c>
      <c r="J965" s="18">
        <v>4834437.4400000004</v>
      </c>
      <c r="K965" s="15">
        <v>68370666</v>
      </c>
      <c r="L965" s="13" t="s">
        <v>102</v>
      </c>
      <c r="M965" s="13" t="s">
        <v>103</v>
      </c>
      <c r="N965" s="139" t="s">
        <v>441</v>
      </c>
      <c r="O965" s="139" t="s">
        <v>441</v>
      </c>
      <c r="P965" s="28">
        <v>25</v>
      </c>
      <c r="Q965" s="13" t="s">
        <v>54</v>
      </c>
      <c r="R965" s="13" t="s">
        <v>28</v>
      </c>
      <c r="S965" s="13"/>
      <c r="T965" s="13"/>
      <c r="U965" s="13" t="s">
        <v>2422</v>
      </c>
      <c r="V965" s="13" t="s">
        <v>2422</v>
      </c>
      <c r="W965" s="59">
        <f t="shared" ref="W965:W1028" si="15">+J965/$W$2</f>
        <v>9.2360042627122132E-5</v>
      </c>
    </row>
    <row r="966" spans="1:29">
      <c r="A966" s="13" t="s">
        <v>432</v>
      </c>
      <c r="B966" s="13" t="s">
        <v>471</v>
      </c>
      <c r="C966" s="139">
        <v>46273</v>
      </c>
      <c r="D966" s="139" t="s">
        <v>441</v>
      </c>
      <c r="E966" s="28">
        <v>0.95300269000000004</v>
      </c>
      <c r="F966" s="13"/>
      <c r="G966" s="18">
        <v>2333401.2200000002</v>
      </c>
      <c r="H966" s="18">
        <v>2223737.65</v>
      </c>
      <c r="I966" s="18">
        <v>2333401.2200000002</v>
      </c>
      <c r="J966" s="18">
        <v>2223737.65</v>
      </c>
      <c r="K966" s="15">
        <v>2664</v>
      </c>
      <c r="L966" s="13" t="s">
        <v>102</v>
      </c>
      <c r="M966" s="13" t="s">
        <v>103</v>
      </c>
      <c r="N966" s="139" t="s">
        <v>458</v>
      </c>
      <c r="O966" s="139" t="s">
        <v>458</v>
      </c>
      <c r="P966" s="28">
        <v>36</v>
      </c>
      <c r="Q966" s="13" t="s">
        <v>54</v>
      </c>
      <c r="R966" s="13" t="s">
        <v>28</v>
      </c>
      <c r="S966" s="13"/>
      <c r="T966" s="13"/>
      <c r="U966" s="13" t="s">
        <v>1174</v>
      </c>
      <c r="V966" s="13" t="s">
        <v>1174</v>
      </c>
      <c r="W966" s="59">
        <f t="shared" si="15"/>
        <v>4.248364089815099E-5</v>
      </c>
      <c r="AC966" s="56"/>
    </row>
    <row r="967" spans="1:29">
      <c r="A967" s="13" t="s">
        <v>1862</v>
      </c>
      <c r="B967" s="13" t="s">
        <v>471</v>
      </c>
      <c r="C967" s="139">
        <v>46273</v>
      </c>
      <c r="D967" s="139" t="s">
        <v>441</v>
      </c>
      <c r="E967" s="28">
        <v>0.96369645999999998</v>
      </c>
      <c r="F967" s="13"/>
      <c r="G967" s="18">
        <v>25000000</v>
      </c>
      <c r="H967" s="18">
        <v>24092411.559999999</v>
      </c>
      <c r="I967" s="18">
        <v>25000000</v>
      </c>
      <c r="J967" s="18">
        <v>24092411.559999999</v>
      </c>
      <c r="K967" s="15">
        <v>320</v>
      </c>
      <c r="L967" s="13" t="s">
        <v>102</v>
      </c>
      <c r="M967" s="13" t="s">
        <v>103</v>
      </c>
      <c r="N967" s="139" t="s">
        <v>493</v>
      </c>
      <c r="O967" s="139" t="s">
        <v>493</v>
      </c>
      <c r="P967" s="28">
        <v>27.5</v>
      </c>
      <c r="Q967" s="13" t="s">
        <v>54</v>
      </c>
      <c r="R967" s="13" t="s">
        <v>28</v>
      </c>
      <c r="S967" s="13"/>
      <c r="T967" s="13"/>
      <c r="U967" s="13" t="s">
        <v>1975</v>
      </c>
      <c r="V967" s="13" t="s">
        <v>1975</v>
      </c>
      <c r="W967" s="59">
        <f t="shared" si="15"/>
        <v>4.6027613063326134E-4</v>
      </c>
    </row>
    <row r="968" spans="1:29">
      <c r="A968" s="13" t="s">
        <v>1862</v>
      </c>
      <c r="B968" s="13" t="s">
        <v>471</v>
      </c>
      <c r="C968" s="139">
        <v>46273</v>
      </c>
      <c r="D968" s="139" t="s">
        <v>441</v>
      </c>
      <c r="E968" s="28">
        <v>0.96369645999999998</v>
      </c>
      <c r="F968" s="13"/>
      <c r="G968" s="18">
        <v>30000000</v>
      </c>
      <c r="H968" s="18">
        <v>28910893.879999999</v>
      </c>
      <c r="I968" s="18">
        <v>30000000</v>
      </c>
      <c r="J968" s="18">
        <v>28910893.879999999</v>
      </c>
      <c r="K968" s="15">
        <v>489</v>
      </c>
      <c r="L968" s="13" t="s">
        <v>102</v>
      </c>
      <c r="M968" s="13" t="s">
        <v>103</v>
      </c>
      <c r="N968" s="139" t="s">
        <v>493</v>
      </c>
      <c r="O968" s="139" t="s">
        <v>493</v>
      </c>
      <c r="P968" s="28">
        <v>27.5</v>
      </c>
      <c r="Q968" s="13" t="s">
        <v>54</v>
      </c>
      <c r="R968" s="13" t="s">
        <v>28</v>
      </c>
      <c r="S968" s="13"/>
      <c r="T968" s="13"/>
      <c r="U968" s="13" t="s">
        <v>1976</v>
      </c>
      <c r="V968" s="13" t="s">
        <v>1976</v>
      </c>
      <c r="W968" s="59">
        <f t="shared" si="15"/>
        <v>5.5233135691275053E-4</v>
      </c>
    </row>
    <row r="969" spans="1:29">
      <c r="A969" s="13" t="s">
        <v>323</v>
      </c>
      <c r="B969" s="13" t="s">
        <v>471</v>
      </c>
      <c r="C969" s="139">
        <v>46273</v>
      </c>
      <c r="D969" s="139" t="s">
        <v>441</v>
      </c>
      <c r="E969" s="28">
        <v>0.96052636999999996</v>
      </c>
      <c r="F969" s="13"/>
      <c r="G969" s="18">
        <v>60000000</v>
      </c>
      <c r="H969" s="18">
        <v>57631582.130000003</v>
      </c>
      <c r="I969" s="18">
        <v>60000000</v>
      </c>
      <c r="J969" s="18">
        <v>57631582.130000003</v>
      </c>
      <c r="K969" s="15">
        <v>61</v>
      </c>
      <c r="L969" s="13" t="s">
        <v>102</v>
      </c>
      <c r="M969" s="13" t="s">
        <v>103</v>
      </c>
      <c r="N969" s="139" t="s">
        <v>326</v>
      </c>
      <c r="O969" s="139" t="s">
        <v>326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982</v>
      </c>
      <c r="V969" s="13" t="s">
        <v>982</v>
      </c>
      <c r="W969" s="59">
        <f t="shared" si="15"/>
        <v>1.1010289094143888E-3</v>
      </c>
    </row>
    <row r="970" spans="1:29">
      <c r="A970" s="13" t="s">
        <v>323</v>
      </c>
      <c r="B970" s="13" t="s">
        <v>471</v>
      </c>
      <c r="C970" s="139">
        <v>46273</v>
      </c>
      <c r="D970" s="139" t="s">
        <v>441</v>
      </c>
      <c r="E970" s="28">
        <v>0.96179183999999995</v>
      </c>
      <c r="F970" s="13"/>
      <c r="G970" s="18">
        <v>10000000</v>
      </c>
      <c r="H970" s="18">
        <v>9617918.4299999997</v>
      </c>
      <c r="I970" s="18">
        <v>10000000</v>
      </c>
      <c r="J970" s="18">
        <v>9617918.4299999997</v>
      </c>
      <c r="K970" s="15">
        <v>66613291</v>
      </c>
      <c r="L970" s="13" t="s">
        <v>102</v>
      </c>
      <c r="M970" s="13" t="s">
        <v>103</v>
      </c>
      <c r="N970" s="139" t="s">
        <v>341</v>
      </c>
      <c r="O970" s="139" t="s">
        <v>341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945</v>
      </c>
      <c r="V970" s="13" t="s">
        <v>945</v>
      </c>
      <c r="W970" s="59">
        <f t="shared" si="15"/>
        <v>1.8374658214193035E-4</v>
      </c>
    </row>
    <row r="971" spans="1:29">
      <c r="A971" s="13" t="s">
        <v>323</v>
      </c>
      <c r="B971" s="13" t="s">
        <v>471</v>
      </c>
      <c r="C971" s="139">
        <v>46273</v>
      </c>
      <c r="D971" s="139" t="s">
        <v>441</v>
      </c>
      <c r="E971" s="28">
        <v>0.96688752</v>
      </c>
      <c r="F971" s="13"/>
      <c r="G971" s="18">
        <v>5000000</v>
      </c>
      <c r="H971" s="18">
        <v>4834437.62</v>
      </c>
      <c r="I971" s="18">
        <v>5000000</v>
      </c>
      <c r="J971" s="18">
        <v>4834437.62</v>
      </c>
      <c r="K971" s="15">
        <v>8745</v>
      </c>
      <c r="L971" s="13" t="s">
        <v>102</v>
      </c>
      <c r="M971" s="13" t="s">
        <v>103</v>
      </c>
      <c r="N971" s="139" t="s">
        <v>382</v>
      </c>
      <c r="O971" s="139" t="s">
        <v>382</v>
      </c>
      <c r="P971" s="28">
        <v>25</v>
      </c>
      <c r="Q971" s="13" t="s">
        <v>54</v>
      </c>
      <c r="R971" s="13" t="s">
        <v>28</v>
      </c>
      <c r="S971" s="13"/>
      <c r="T971" s="13"/>
      <c r="U971" s="13" t="s">
        <v>2379</v>
      </c>
      <c r="V971" s="13" t="s">
        <v>2379</v>
      </c>
      <c r="W971" s="59">
        <f t="shared" si="15"/>
        <v>9.2360046065951946E-5</v>
      </c>
    </row>
    <row r="972" spans="1:29">
      <c r="A972" s="13" t="s">
        <v>1516</v>
      </c>
      <c r="B972" s="13" t="s">
        <v>471</v>
      </c>
      <c r="C972" s="139">
        <v>46273</v>
      </c>
      <c r="D972" s="139" t="s">
        <v>441</v>
      </c>
      <c r="E972" s="28">
        <v>0.95052097000000002</v>
      </c>
      <c r="F972" s="13"/>
      <c r="G972" s="18">
        <v>60000000</v>
      </c>
      <c r="H972" s="18">
        <v>57031258.32</v>
      </c>
      <c r="I972" s="18">
        <v>60000000</v>
      </c>
      <c r="J972" s="18">
        <v>57031258.32</v>
      </c>
      <c r="K972" s="15">
        <v>70379068</v>
      </c>
      <c r="L972" s="13" t="s">
        <v>102</v>
      </c>
      <c r="M972" s="13" t="s">
        <v>103</v>
      </c>
      <c r="N972" s="139" t="s">
        <v>383</v>
      </c>
      <c r="O972" s="139" t="s">
        <v>383</v>
      </c>
      <c r="P972" s="28">
        <v>38</v>
      </c>
      <c r="Q972" s="13" t="s">
        <v>54</v>
      </c>
      <c r="R972" s="13" t="s">
        <v>28</v>
      </c>
      <c r="S972" s="13"/>
      <c r="T972" s="13"/>
      <c r="U972" s="13" t="s">
        <v>1676</v>
      </c>
      <c r="V972" s="13" t="s">
        <v>1676</v>
      </c>
      <c r="W972" s="59">
        <f t="shared" si="15"/>
        <v>1.0895599570554405E-3</v>
      </c>
    </row>
    <row r="973" spans="1:29">
      <c r="A973" s="13" t="s">
        <v>581</v>
      </c>
      <c r="B973" s="13" t="s">
        <v>471</v>
      </c>
      <c r="C973" s="139">
        <v>46273</v>
      </c>
      <c r="D973" s="139" t="s">
        <v>441</v>
      </c>
      <c r="E973" s="28">
        <v>0.96306075000000002</v>
      </c>
      <c r="F973" s="13"/>
      <c r="G973" s="18">
        <v>10000000</v>
      </c>
      <c r="H973" s="18">
        <v>9630607.4600000009</v>
      </c>
      <c r="I973" s="18">
        <v>10000000</v>
      </c>
      <c r="J973" s="18">
        <v>9630607.4600000009</v>
      </c>
      <c r="K973" s="15">
        <v>360562</v>
      </c>
      <c r="L973" s="13" t="s">
        <v>102</v>
      </c>
      <c r="M973" s="13" t="s">
        <v>103</v>
      </c>
      <c r="N973" s="139" t="s">
        <v>348</v>
      </c>
      <c r="O973" s="139" t="s">
        <v>348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709</v>
      </c>
      <c r="V973" s="13" t="s">
        <v>709</v>
      </c>
      <c r="W973" s="59">
        <f t="shared" si="15"/>
        <v>1.8398900111337056E-4</v>
      </c>
    </row>
    <row r="974" spans="1:29">
      <c r="A974" s="13" t="s">
        <v>257</v>
      </c>
      <c r="B974" s="13" t="s">
        <v>471</v>
      </c>
      <c r="C974" s="139">
        <v>46273</v>
      </c>
      <c r="D974" s="139" t="s">
        <v>441</v>
      </c>
      <c r="E974" s="28">
        <v>0.95674970999999998</v>
      </c>
      <c r="F974" s="13"/>
      <c r="G974" s="18">
        <v>25000000</v>
      </c>
      <c r="H974" s="18">
        <v>23918742.66</v>
      </c>
      <c r="I974" s="18">
        <v>25000000</v>
      </c>
      <c r="J974" s="18">
        <v>23918742.66</v>
      </c>
      <c r="K974" s="15">
        <v>475880</v>
      </c>
      <c r="L974" s="13" t="s">
        <v>102</v>
      </c>
      <c r="M974" s="13" t="s">
        <v>103</v>
      </c>
      <c r="N974" s="139" t="s">
        <v>370</v>
      </c>
      <c r="O974" s="139" t="s">
        <v>370</v>
      </c>
      <c r="P974" s="28">
        <v>33</v>
      </c>
      <c r="Q974" s="13" t="s">
        <v>54</v>
      </c>
      <c r="R974" s="13" t="s">
        <v>28</v>
      </c>
      <c r="S974" s="13"/>
      <c r="T974" s="13"/>
      <c r="U974" s="13" t="s">
        <v>1138</v>
      </c>
      <c r="V974" s="13" t="s">
        <v>1138</v>
      </c>
      <c r="W974" s="59">
        <f t="shared" si="15"/>
        <v>4.569582540020963E-4</v>
      </c>
    </row>
    <row r="975" spans="1:29">
      <c r="A975" s="13" t="s">
        <v>1555</v>
      </c>
      <c r="B975" s="13" t="s">
        <v>471</v>
      </c>
      <c r="C975" s="139">
        <v>46273</v>
      </c>
      <c r="D975" s="139" t="s">
        <v>441</v>
      </c>
      <c r="E975" s="28">
        <v>0.95424847999999995</v>
      </c>
      <c r="F975" s="13"/>
      <c r="G975" s="18">
        <v>30000000</v>
      </c>
      <c r="H975" s="18">
        <v>28627454.27</v>
      </c>
      <c r="I975" s="18">
        <v>30000000</v>
      </c>
      <c r="J975" s="18">
        <v>28627454.27</v>
      </c>
      <c r="K975" s="15">
        <v>306</v>
      </c>
      <c r="L975" s="13" t="s">
        <v>102</v>
      </c>
      <c r="M975" s="13" t="s">
        <v>103</v>
      </c>
      <c r="N975" s="139" t="s">
        <v>400</v>
      </c>
      <c r="O975" s="139" t="s">
        <v>400</v>
      </c>
      <c r="P975" s="28">
        <v>35</v>
      </c>
      <c r="Q975" s="13" t="s">
        <v>54</v>
      </c>
      <c r="R975" s="13" t="s">
        <v>28</v>
      </c>
      <c r="S975" s="13"/>
      <c r="T975" s="13"/>
      <c r="U975" s="13" t="s">
        <v>1540</v>
      </c>
      <c r="V975" s="13" t="s">
        <v>1540</v>
      </c>
      <c r="W975" s="59">
        <f t="shared" si="15"/>
        <v>5.4691635366020772E-4</v>
      </c>
    </row>
    <row r="976" spans="1:29">
      <c r="A976" s="13" t="s">
        <v>1594</v>
      </c>
      <c r="B976" s="13" t="s">
        <v>471</v>
      </c>
      <c r="C976" s="139">
        <v>46273</v>
      </c>
      <c r="D976" s="139" t="s">
        <v>441</v>
      </c>
      <c r="E976" s="28">
        <v>0.96052654999999998</v>
      </c>
      <c r="F976" s="13"/>
      <c r="G976" s="18">
        <v>2500000</v>
      </c>
      <c r="H976" s="18">
        <v>2401316.38</v>
      </c>
      <c r="I976" s="18">
        <v>2500000</v>
      </c>
      <c r="J976" s="18">
        <v>2401316.38</v>
      </c>
      <c r="K976" s="15">
        <v>345</v>
      </c>
      <c r="L976" s="13" t="s">
        <v>102</v>
      </c>
      <c r="M976" s="13" t="s">
        <v>103</v>
      </c>
      <c r="N976" s="139" t="s">
        <v>388</v>
      </c>
      <c r="O976" s="139" t="s">
        <v>388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2254</v>
      </c>
      <c r="V976" s="13" t="s">
        <v>2254</v>
      </c>
      <c r="W976" s="59">
        <f t="shared" si="15"/>
        <v>4.5876213307252266E-5</v>
      </c>
    </row>
    <row r="977" spans="1:29">
      <c r="A977" s="13" t="s">
        <v>2238</v>
      </c>
      <c r="B977" s="13" t="s">
        <v>471</v>
      </c>
      <c r="C977" s="139">
        <v>46273</v>
      </c>
      <c r="D977" s="139" t="s">
        <v>441</v>
      </c>
      <c r="E977" s="28">
        <v>0.9605264</v>
      </c>
      <c r="F977" s="13"/>
      <c r="G977" s="18">
        <v>1579236</v>
      </c>
      <c r="H977" s="18">
        <v>1516897.87</v>
      </c>
      <c r="I977" s="18">
        <v>1579236</v>
      </c>
      <c r="J977" s="18">
        <v>1516897.87</v>
      </c>
      <c r="K977" s="15">
        <v>1557</v>
      </c>
      <c r="L977" s="13" t="s">
        <v>102</v>
      </c>
      <c r="M977" s="13" t="s">
        <v>103</v>
      </c>
      <c r="N977" s="139" t="s">
        <v>441</v>
      </c>
      <c r="O977" s="139" t="s">
        <v>441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2470</v>
      </c>
      <c r="V977" s="13" t="s">
        <v>2470</v>
      </c>
      <c r="W977" s="59">
        <f t="shared" si="15"/>
        <v>2.8979742456692286E-5</v>
      </c>
    </row>
    <row r="978" spans="1:29">
      <c r="A978" s="13" t="s">
        <v>659</v>
      </c>
      <c r="B978" s="13" t="s">
        <v>471</v>
      </c>
      <c r="C978" s="139">
        <v>46274</v>
      </c>
      <c r="D978" s="139" t="s">
        <v>441</v>
      </c>
      <c r="E978" s="28">
        <v>0.94958122</v>
      </c>
      <c r="F978" s="13"/>
      <c r="G978" s="18">
        <v>7133529.1399999997</v>
      </c>
      <c r="H978" s="18">
        <v>6773865.3300000001</v>
      </c>
      <c r="I978" s="18">
        <v>7133529.1399999997</v>
      </c>
      <c r="J978" s="18">
        <v>6773865.3300000001</v>
      </c>
      <c r="K978" s="15">
        <v>90000168</v>
      </c>
      <c r="L978" s="13" t="s">
        <v>102</v>
      </c>
      <c r="M978" s="13" t="s">
        <v>103</v>
      </c>
      <c r="N978" s="139" t="s">
        <v>327</v>
      </c>
      <c r="O978" s="139" t="s">
        <v>327</v>
      </c>
      <c r="P978" s="28">
        <v>38</v>
      </c>
      <c r="Q978" s="13" t="s">
        <v>54</v>
      </c>
      <c r="R978" s="13" t="s">
        <v>28</v>
      </c>
      <c r="S978" s="13"/>
      <c r="T978" s="13"/>
      <c r="U978" s="13" t="s">
        <v>812</v>
      </c>
      <c r="V978" s="13" t="s">
        <v>812</v>
      </c>
      <c r="W978" s="59">
        <f t="shared" si="15"/>
        <v>1.2941205639620081E-4</v>
      </c>
    </row>
    <row r="979" spans="1:29">
      <c r="A979" s="13" t="s">
        <v>1017</v>
      </c>
      <c r="B979" s="13" t="s">
        <v>471</v>
      </c>
      <c r="C979" s="139">
        <v>46274</v>
      </c>
      <c r="D979" s="139" t="s">
        <v>441</v>
      </c>
      <c r="E979" s="28">
        <v>0.94706800000000002</v>
      </c>
      <c r="F979" s="13"/>
      <c r="G979" s="18">
        <v>15166667</v>
      </c>
      <c r="H979" s="18">
        <v>14363864.98</v>
      </c>
      <c r="I979" s="18">
        <v>15166667</v>
      </c>
      <c r="J979" s="18">
        <v>14363864.98</v>
      </c>
      <c r="K979" s="15">
        <v>90020553</v>
      </c>
      <c r="L979" s="13" t="s">
        <v>102</v>
      </c>
      <c r="M979" s="13" t="s">
        <v>103</v>
      </c>
      <c r="N979" s="139" t="s">
        <v>349</v>
      </c>
      <c r="O979" s="139" t="s">
        <v>357</v>
      </c>
      <c r="P979" s="28">
        <v>40</v>
      </c>
      <c r="Q979" s="13" t="s">
        <v>54</v>
      </c>
      <c r="R979" s="13" t="s">
        <v>28</v>
      </c>
      <c r="S979" s="13"/>
      <c r="T979" s="13"/>
      <c r="U979" s="13" t="s">
        <v>1007</v>
      </c>
      <c r="V979" s="13" t="s">
        <v>1007</v>
      </c>
      <c r="W979" s="59">
        <f t="shared" si="15"/>
        <v>2.7441604081301891E-4</v>
      </c>
    </row>
    <row r="980" spans="1:29">
      <c r="A980" s="13" t="s">
        <v>737</v>
      </c>
      <c r="B980" s="13" t="s">
        <v>471</v>
      </c>
      <c r="C980" s="139">
        <v>46274</v>
      </c>
      <c r="D980" s="139" t="s">
        <v>441</v>
      </c>
      <c r="E980" s="28">
        <v>0.96364552999999997</v>
      </c>
      <c r="F980" s="13"/>
      <c r="G980" s="18">
        <v>10000000</v>
      </c>
      <c r="H980" s="18">
        <v>9636455.3200000003</v>
      </c>
      <c r="I980" s="18">
        <v>10000000</v>
      </c>
      <c r="J980" s="18">
        <v>9636455.3200000003</v>
      </c>
      <c r="K980" s="15">
        <v>67936427</v>
      </c>
      <c r="L980" s="13" t="s">
        <v>102</v>
      </c>
      <c r="M980" s="13" t="s">
        <v>103</v>
      </c>
      <c r="N980" s="139" t="s">
        <v>460</v>
      </c>
      <c r="O980" s="139" t="s">
        <v>460</v>
      </c>
      <c r="P980" s="28">
        <v>27</v>
      </c>
      <c r="Q980" s="13" t="s">
        <v>54</v>
      </c>
      <c r="R980" s="13" t="s">
        <v>28</v>
      </c>
      <c r="S980" s="13"/>
      <c r="T980" s="13"/>
      <c r="U980" s="13" t="s">
        <v>1768</v>
      </c>
      <c r="V980" s="13" t="s">
        <v>1768</v>
      </c>
      <c r="W980" s="59">
        <f t="shared" si="15"/>
        <v>1.8410072219893236E-4</v>
      </c>
    </row>
    <row r="981" spans="1:29">
      <c r="A981" s="13" t="s">
        <v>737</v>
      </c>
      <c r="B981" s="13" t="s">
        <v>471</v>
      </c>
      <c r="C981" s="139">
        <v>46274</v>
      </c>
      <c r="D981" s="139" t="s">
        <v>441</v>
      </c>
      <c r="E981" s="28">
        <v>0.96755382999999995</v>
      </c>
      <c r="F981" s="13"/>
      <c r="G981" s="18">
        <v>3000000</v>
      </c>
      <c r="H981" s="18">
        <v>2902661.49</v>
      </c>
      <c r="I981" s="18">
        <v>3000000</v>
      </c>
      <c r="J981" s="18">
        <v>2902661.49</v>
      </c>
      <c r="K981" s="15">
        <v>918075</v>
      </c>
      <c r="L981" s="13" t="s">
        <v>102</v>
      </c>
      <c r="M981" s="13" t="s">
        <v>103</v>
      </c>
      <c r="N981" s="139" t="s">
        <v>783</v>
      </c>
      <c r="O981" s="139" t="s">
        <v>783</v>
      </c>
      <c r="P981" s="28">
        <v>24</v>
      </c>
      <c r="Q981" s="13" t="s">
        <v>54</v>
      </c>
      <c r="R981" s="13" t="s">
        <v>28</v>
      </c>
      <c r="S981" s="13"/>
      <c r="T981" s="13"/>
      <c r="U981" s="13" t="s">
        <v>2081</v>
      </c>
      <c r="V981" s="13" t="s">
        <v>2081</v>
      </c>
      <c r="W981" s="59">
        <f t="shared" si="15"/>
        <v>5.5454216188700095E-5</v>
      </c>
    </row>
    <row r="982" spans="1:29">
      <c r="A982" s="13" t="s">
        <v>737</v>
      </c>
      <c r="B982" s="13" t="s">
        <v>471</v>
      </c>
      <c r="C982" s="139">
        <v>46274</v>
      </c>
      <c r="D982" s="139" t="s">
        <v>441</v>
      </c>
      <c r="E982" s="28">
        <v>0.96624772000000003</v>
      </c>
      <c r="F982" s="13"/>
      <c r="G982" s="18">
        <v>25000000</v>
      </c>
      <c r="H982" s="18">
        <v>24156193.010000002</v>
      </c>
      <c r="I982" s="18">
        <v>25000000</v>
      </c>
      <c r="J982" s="18">
        <v>24156193.010000002</v>
      </c>
      <c r="K982" s="15">
        <v>6532</v>
      </c>
      <c r="L982" s="13" t="s">
        <v>102</v>
      </c>
      <c r="M982" s="13" t="s">
        <v>103</v>
      </c>
      <c r="N982" s="139" t="s">
        <v>392</v>
      </c>
      <c r="O982" s="139" t="s">
        <v>392</v>
      </c>
      <c r="P982" s="28">
        <v>25</v>
      </c>
      <c r="Q982" s="13" t="s">
        <v>54</v>
      </c>
      <c r="R982" s="13" t="s">
        <v>28</v>
      </c>
      <c r="S982" s="13"/>
      <c r="T982" s="13"/>
      <c r="U982" s="13" t="s">
        <v>2277</v>
      </c>
      <c r="V982" s="13" t="s">
        <v>2277</v>
      </c>
      <c r="W982" s="59">
        <f t="shared" si="15"/>
        <v>4.6149465037085879E-4</v>
      </c>
    </row>
    <row r="983" spans="1:29">
      <c r="A983" s="13" t="s">
        <v>737</v>
      </c>
      <c r="B983" s="13" t="s">
        <v>471</v>
      </c>
      <c r="C983" s="139">
        <v>46274</v>
      </c>
      <c r="D983" s="139" t="s">
        <v>441</v>
      </c>
      <c r="E983" s="28">
        <v>0.96624772000000003</v>
      </c>
      <c r="F983" s="13"/>
      <c r="G983" s="18">
        <v>25000000</v>
      </c>
      <c r="H983" s="18">
        <v>24156193.010000002</v>
      </c>
      <c r="I983" s="18">
        <v>25000000</v>
      </c>
      <c r="J983" s="18">
        <v>24156193.010000002</v>
      </c>
      <c r="K983" s="15">
        <v>6533</v>
      </c>
      <c r="L983" s="13" t="s">
        <v>102</v>
      </c>
      <c r="M983" s="13" t="s">
        <v>103</v>
      </c>
      <c r="N983" s="139" t="s">
        <v>392</v>
      </c>
      <c r="O983" s="139" t="s">
        <v>392</v>
      </c>
      <c r="P983" s="28">
        <v>25</v>
      </c>
      <c r="Q983" s="13" t="s">
        <v>54</v>
      </c>
      <c r="R983" s="13" t="s">
        <v>28</v>
      </c>
      <c r="S983" s="13"/>
      <c r="T983" s="13"/>
      <c r="U983" s="13" t="s">
        <v>2281</v>
      </c>
      <c r="V983" s="13" t="s">
        <v>2281</v>
      </c>
      <c r="W983" s="59">
        <f t="shared" si="15"/>
        <v>4.6149465037085879E-4</v>
      </c>
    </row>
    <row r="984" spans="1:29">
      <c r="A984" s="13" t="s">
        <v>2410</v>
      </c>
      <c r="B984" s="13" t="s">
        <v>471</v>
      </c>
      <c r="C984" s="139">
        <v>46274</v>
      </c>
      <c r="D984" s="139" t="s">
        <v>441</v>
      </c>
      <c r="E984" s="28">
        <v>0.96755385999999999</v>
      </c>
      <c r="F984" s="13"/>
      <c r="G984" s="18">
        <v>70954077.530000001</v>
      </c>
      <c r="H984" s="18">
        <v>68651891.25</v>
      </c>
      <c r="I984" s="18">
        <v>70954077.530000001</v>
      </c>
      <c r="J984" s="18">
        <v>68651891.25</v>
      </c>
      <c r="K984" s="15">
        <v>923848</v>
      </c>
      <c r="L984" s="13" t="s">
        <v>102</v>
      </c>
      <c r="M984" s="13" t="s">
        <v>103</v>
      </c>
      <c r="N984" s="139" t="s">
        <v>382</v>
      </c>
      <c r="O984" s="139" t="s">
        <v>382</v>
      </c>
      <c r="P984" s="28">
        <v>24</v>
      </c>
      <c r="Q984" s="13" t="s">
        <v>54</v>
      </c>
      <c r="R984" s="13" t="s">
        <v>28</v>
      </c>
      <c r="S984" s="13"/>
      <c r="T984" s="13"/>
      <c r="U984" s="13" t="s">
        <v>2354</v>
      </c>
      <c r="V984" s="13" t="s">
        <v>2354</v>
      </c>
      <c r="W984" s="59">
        <f t="shared" si="15"/>
        <v>1.3115676189787559E-3</v>
      </c>
    </row>
    <row r="985" spans="1:29">
      <c r="A985" s="13" t="s">
        <v>486</v>
      </c>
      <c r="B985" s="13" t="s">
        <v>471</v>
      </c>
      <c r="C985" s="139">
        <v>46274</v>
      </c>
      <c r="D985" s="139" t="s">
        <v>441</v>
      </c>
      <c r="E985" s="28">
        <v>0.95592283</v>
      </c>
      <c r="F985" s="13"/>
      <c r="G985" s="18">
        <v>16005575.68</v>
      </c>
      <c r="H985" s="18">
        <v>15300095.16</v>
      </c>
      <c r="I985" s="18">
        <v>16005575.68</v>
      </c>
      <c r="J985" s="18">
        <v>15300095.16</v>
      </c>
      <c r="K985" s="15">
        <v>30716</v>
      </c>
      <c r="L985" s="13" t="s">
        <v>102</v>
      </c>
      <c r="M985" s="13" t="s">
        <v>103</v>
      </c>
      <c r="N985" s="139" t="s">
        <v>458</v>
      </c>
      <c r="O985" s="139" t="s">
        <v>458</v>
      </c>
      <c r="P985" s="28">
        <v>33</v>
      </c>
      <c r="Q985" s="13" t="s">
        <v>54</v>
      </c>
      <c r="R985" s="13" t="s">
        <v>28</v>
      </c>
      <c r="S985" s="13"/>
      <c r="T985" s="13"/>
      <c r="U985" s="13" t="s">
        <v>1150</v>
      </c>
      <c r="V985" s="13" t="s">
        <v>1150</v>
      </c>
      <c r="W985" s="59">
        <f t="shared" si="15"/>
        <v>2.9230235342059258E-4</v>
      </c>
      <c r="AC985" s="56"/>
    </row>
    <row r="986" spans="1:29">
      <c r="A986" s="13" t="s">
        <v>472</v>
      </c>
      <c r="B986" s="13" t="s">
        <v>471</v>
      </c>
      <c r="C986" s="139">
        <v>46274</v>
      </c>
      <c r="D986" s="139" t="s">
        <v>441</v>
      </c>
      <c r="E986" s="28">
        <v>0.95976868999999998</v>
      </c>
      <c r="F986" s="13"/>
      <c r="G986" s="18">
        <v>5000000</v>
      </c>
      <c r="H986" s="18">
        <v>4798843.4400000004</v>
      </c>
      <c r="I986" s="18">
        <v>5000000</v>
      </c>
      <c r="J986" s="18">
        <v>4798843.4400000004</v>
      </c>
      <c r="K986" s="15">
        <v>682</v>
      </c>
      <c r="L986" s="13" t="s">
        <v>102</v>
      </c>
      <c r="M986" s="13" t="s">
        <v>103</v>
      </c>
      <c r="N986" s="139" t="s">
        <v>439</v>
      </c>
      <c r="O986" s="139" t="s">
        <v>439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1749</v>
      </c>
      <c r="V986" s="13" t="s">
        <v>1749</v>
      </c>
      <c r="W986" s="59">
        <f t="shared" si="15"/>
        <v>9.1680033133138529E-5</v>
      </c>
    </row>
    <row r="987" spans="1:29">
      <c r="A987" s="13" t="s">
        <v>323</v>
      </c>
      <c r="B987" s="13" t="s">
        <v>471</v>
      </c>
      <c r="C987" s="139">
        <v>46274</v>
      </c>
      <c r="D987" s="139" t="s">
        <v>441</v>
      </c>
      <c r="E987" s="28">
        <v>0.96624752000000003</v>
      </c>
      <c r="F987" s="13"/>
      <c r="G987" s="18">
        <v>5000000</v>
      </c>
      <c r="H987" s="18">
        <v>4831237.62</v>
      </c>
      <c r="I987" s="18">
        <v>5000000</v>
      </c>
      <c r="J987" s="18">
        <v>4831237.62</v>
      </c>
      <c r="K987" s="15">
        <v>68370685</v>
      </c>
      <c r="L987" s="13" t="s">
        <v>102</v>
      </c>
      <c r="M987" s="13" t="s">
        <v>103</v>
      </c>
      <c r="N987" s="139" t="s">
        <v>441</v>
      </c>
      <c r="O987" s="139" t="s">
        <v>441</v>
      </c>
      <c r="P987" s="28">
        <v>25</v>
      </c>
      <c r="Q987" s="13" t="s">
        <v>54</v>
      </c>
      <c r="R987" s="13" t="s">
        <v>28</v>
      </c>
      <c r="S987" s="13"/>
      <c r="T987" s="13"/>
      <c r="U987" s="13" t="s">
        <v>2419</v>
      </c>
      <c r="V987" s="13" t="s">
        <v>2419</v>
      </c>
      <c r="W987" s="59">
        <f t="shared" si="15"/>
        <v>9.2298911313444578E-5</v>
      </c>
    </row>
    <row r="988" spans="1:29">
      <c r="A988" s="13" t="s">
        <v>323</v>
      </c>
      <c r="B988" s="13" t="s">
        <v>471</v>
      </c>
      <c r="C988" s="139">
        <v>46274</v>
      </c>
      <c r="D988" s="139" t="s">
        <v>441</v>
      </c>
      <c r="E988" s="28">
        <v>0.96624752000000003</v>
      </c>
      <c r="F988" s="13"/>
      <c r="G988" s="18">
        <v>5000000</v>
      </c>
      <c r="H988" s="18">
        <v>4831237.62</v>
      </c>
      <c r="I988" s="18">
        <v>5000000</v>
      </c>
      <c r="J988" s="18">
        <v>4831237.62</v>
      </c>
      <c r="K988" s="15">
        <v>68370686</v>
      </c>
      <c r="L988" s="13" t="s">
        <v>102</v>
      </c>
      <c r="M988" s="13" t="s">
        <v>103</v>
      </c>
      <c r="N988" s="139" t="s">
        <v>441</v>
      </c>
      <c r="O988" s="139" t="s">
        <v>441</v>
      </c>
      <c r="P988" s="28">
        <v>25</v>
      </c>
      <c r="Q988" s="13" t="s">
        <v>54</v>
      </c>
      <c r="R988" s="13" t="s">
        <v>28</v>
      </c>
      <c r="S988" s="13"/>
      <c r="T988" s="13"/>
      <c r="U988" s="13" t="s">
        <v>2420</v>
      </c>
      <c r="V988" s="13" t="s">
        <v>2420</v>
      </c>
      <c r="W988" s="59">
        <f t="shared" si="15"/>
        <v>9.2298911313444578E-5</v>
      </c>
    </row>
    <row r="989" spans="1:29">
      <c r="A989" s="13" t="s">
        <v>432</v>
      </c>
      <c r="B989" s="13" t="s">
        <v>471</v>
      </c>
      <c r="C989" s="139">
        <v>46274</v>
      </c>
      <c r="D989" s="139" t="s">
        <v>441</v>
      </c>
      <c r="E989" s="28">
        <v>0.95210771000000005</v>
      </c>
      <c r="F989" s="13"/>
      <c r="G989" s="18">
        <v>2333401.2200000002</v>
      </c>
      <c r="H989" s="18">
        <v>2221649.2999999998</v>
      </c>
      <c r="I989" s="18">
        <v>2333401.2200000002</v>
      </c>
      <c r="J989" s="18">
        <v>2221649.2999999998</v>
      </c>
      <c r="K989" s="15">
        <v>2663</v>
      </c>
      <c r="L989" s="13" t="s">
        <v>102</v>
      </c>
      <c r="M989" s="13" t="s">
        <v>103</v>
      </c>
      <c r="N989" s="139" t="s">
        <v>458</v>
      </c>
      <c r="O989" s="139" t="s">
        <v>458</v>
      </c>
      <c r="P989" s="28">
        <v>36</v>
      </c>
      <c r="Q989" s="13" t="s">
        <v>54</v>
      </c>
      <c r="R989" s="13" t="s">
        <v>28</v>
      </c>
      <c r="S989" s="13"/>
      <c r="T989" s="13"/>
      <c r="U989" s="13" t="s">
        <v>1175</v>
      </c>
      <c r="V989" s="13" t="s">
        <v>1175</v>
      </c>
      <c r="W989" s="59">
        <f t="shared" si="15"/>
        <v>4.2443743785526367E-5</v>
      </c>
    </row>
    <row r="990" spans="1:29">
      <c r="A990" s="13" t="s">
        <v>1862</v>
      </c>
      <c r="B990" s="13" t="s">
        <v>471</v>
      </c>
      <c r="C990" s="139">
        <v>46274</v>
      </c>
      <c r="D990" s="139" t="s">
        <v>441</v>
      </c>
      <c r="E990" s="28">
        <v>0.9629972</v>
      </c>
      <c r="F990" s="13"/>
      <c r="G990" s="18">
        <v>25000000</v>
      </c>
      <c r="H990" s="18">
        <v>24074930.07</v>
      </c>
      <c r="I990" s="18">
        <v>25000000</v>
      </c>
      <c r="J990" s="18">
        <v>24074930.07</v>
      </c>
      <c r="K990" s="15">
        <v>321</v>
      </c>
      <c r="L990" s="13" t="s">
        <v>102</v>
      </c>
      <c r="M990" s="13" t="s">
        <v>103</v>
      </c>
      <c r="N990" s="139" t="s">
        <v>493</v>
      </c>
      <c r="O990" s="139" t="s">
        <v>493</v>
      </c>
      <c r="P990" s="28">
        <v>27.5</v>
      </c>
      <c r="Q990" s="13" t="s">
        <v>54</v>
      </c>
      <c r="R990" s="13" t="s">
        <v>28</v>
      </c>
      <c r="S990" s="13"/>
      <c r="T990" s="13"/>
      <c r="U990" s="13" t="s">
        <v>1974</v>
      </c>
      <c r="V990" s="13" t="s">
        <v>1974</v>
      </c>
      <c r="W990" s="59">
        <f t="shared" si="15"/>
        <v>4.5994215358182073E-4</v>
      </c>
    </row>
    <row r="991" spans="1:29">
      <c r="A991" s="13" t="s">
        <v>323</v>
      </c>
      <c r="B991" s="13" t="s">
        <v>471</v>
      </c>
      <c r="C991" s="139">
        <v>46274</v>
      </c>
      <c r="D991" s="139" t="s">
        <v>441</v>
      </c>
      <c r="E991" s="28">
        <v>0.96105750999999995</v>
      </c>
      <c r="F991" s="13"/>
      <c r="G991" s="18">
        <v>10000000</v>
      </c>
      <c r="H991" s="18">
        <v>9610575.1300000008</v>
      </c>
      <c r="I991" s="18">
        <v>10000000</v>
      </c>
      <c r="J991" s="18">
        <v>9610575.1300000008</v>
      </c>
      <c r="K991" s="15">
        <v>66613416</v>
      </c>
      <c r="L991" s="13" t="s">
        <v>102</v>
      </c>
      <c r="M991" s="13" t="s">
        <v>103</v>
      </c>
      <c r="N991" s="139" t="s">
        <v>341</v>
      </c>
      <c r="O991" s="139" t="s">
        <v>341</v>
      </c>
      <c r="P991" s="28">
        <v>29</v>
      </c>
      <c r="Q991" s="13" t="s">
        <v>54</v>
      </c>
      <c r="R991" s="13" t="s">
        <v>28</v>
      </c>
      <c r="S991" s="13"/>
      <c r="T991" s="13"/>
      <c r="U991" s="13" t="s">
        <v>946</v>
      </c>
      <c r="V991" s="13" t="s">
        <v>946</v>
      </c>
      <c r="W991" s="59">
        <f t="shared" si="15"/>
        <v>1.8360629125815304E-4</v>
      </c>
    </row>
    <row r="992" spans="1:29">
      <c r="A992" s="13" t="s">
        <v>2113</v>
      </c>
      <c r="B992" s="13" t="s">
        <v>471</v>
      </c>
      <c r="C992" s="139">
        <v>46274</v>
      </c>
      <c r="D992" s="139" t="s">
        <v>441</v>
      </c>
      <c r="E992" s="28">
        <v>0.95976863000000001</v>
      </c>
      <c r="F992" s="13"/>
      <c r="G992" s="18">
        <v>2200000</v>
      </c>
      <c r="H992" s="18">
        <v>2111490.98</v>
      </c>
      <c r="I992" s="18">
        <v>2200000</v>
      </c>
      <c r="J992" s="18">
        <v>2111490.98</v>
      </c>
      <c r="K992" s="15">
        <v>9790</v>
      </c>
      <c r="L992" s="13" t="s">
        <v>102</v>
      </c>
      <c r="M992" s="13" t="s">
        <v>103</v>
      </c>
      <c r="N992" s="139" t="s">
        <v>783</v>
      </c>
      <c r="O992" s="139" t="s">
        <v>783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2096</v>
      </c>
      <c r="V992" s="13" t="s">
        <v>2096</v>
      </c>
      <c r="W992" s="59">
        <f t="shared" si="15"/>
        <v>4.0339212026205032E-5</v>
      </c>
    </row>
    <row r="993" spans="1:29">
      <c r="A993" s="13" t="s">
        <v>1657</v>
      </c>
      <c r="B993" s="13" t="s">
        <v>471</v>
      </c>
      <c r="C993" s="139">
        <v>46274</v>
      </c>
      <c r="D993" s="139" t="s">
        <v>441</v>
      </c>
      <c r="E993" s="28">
        <v>0.95976877000000005</v>
      </c>
      <c r="F993" s="13"/>
      <c r="G993" s="18">
        <v>2700000</v>
      </c>
      <c r="H993" s="18">
        <v>2591375.69</v>
      </c>
      <c r="I993" s="18">
        <v>2700000</v>
      </c>
      <c r="J993" s="18">
        <v>2591375.69</v>
      </c>
      <c r="K993" s="15">
        <v>6276</v>
      </c>
      <c r="L993" s="13" t="s">
        <v>102</v>
      </c>
      <c r="M993" s="13" t="s">
        <v>103</v>
      </c>
      <c r="N993" s="139" t="s">
        <v>170</v>
      </c>
      <c r="O993" s="139" t="s">
        <v>170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1624</v>
      </c>
      <c r="V993" s="13" t="s">
        <v>1624</v>
      </c>
      <c r="W993" s="59">
        <f t="shared" si="15"/>
        <v>4.9507222331806197E-5</v>
      </c>
    </row>
    <row r="994" spans="1:29">
      <c r="A994" s="13" t="s">
        <v>257</v>
      </c>
      <c r="B994" s="13" t="s">
        <v>471</v>
      </c>
      <c r="C994" s="139">
        <v>46274</v>
      </c>
      <c r="D994" s="139" t="s">
        <v>441</v>
      </c>
      <c r="E994" s="28">
        <v>0.95720130000000003</v>
      </c>
      <c r="F994" s="13"/>
      <c r="G994" s="18">
        <v>25000000</v>
      </c>
      <c r="H994" s="18">
        <v>23930032.620000001</v>
      </c>
      <c r="I994" s="18">
        <v>25000000</v>
      </c>
      <c r="J994" s="18">
        <v>23930032.620000001</v>
      </c>
      <c r="K994" s="15">
        <v>475878</v>
      </c>
      <c r="L994" s="13" t="s">
        <v>102</v>
      </c>
      <c r="M994" s="13" t="s">
        <v>103</v>
      </c>
      <c r="N994" s="139" t="s">
        <v>361</v>
      </c>
      <c r="O994" s="139" t="s">
        <v>361</v>
      </c>
      <c r="P994" s="28">
        <v>32</v>
      </c>
      <c r="Q994" s="13" t="s">
        <v>54</v>
      </c>
      <c r="R994" s="13" t="s">
        <v>28</v>
      </c>
      <c r="S994" s="13"/>
      <c r="T994" s="13"/>
      <c r="U994" s="13" t="s">
        <v>992</v>
      </c>
      <c r="V994" s="13" t="s">
        <v>992</v>
      </c>
      <c r="W994" s="59">
        <f t="shared" si="15"/>
        <v>4.5717394428660205E-4</v>
      </c>
      <c r="AC994" s="56"/>
    </row>
    <row r="995" spans="1:29">
      <c r="A995" s="13" t="s">
        <v>2201</v>
      </c>
      <c r="B995" s="13" t="s">
        <v>471</v>
      </c>
      <c r="C995" s="139">
        <v>46274</v>
      </c>
      <c r="D995" s="139" t="s">
        <v>441</v>
      </c>
      <c r="E995" s="28">
        <v>0.95720139000000004</v>
      </c>
      <c r="F995" s="13"/>
      <c r="G995" s="18">
        <v>1006039</v>
      </c>
      <c r="H995" s="18">
        <v>962981.93</v>
      </c>
      <c r="I995" s="18">
        <v>1006039</v>
      </c>
      <c r="J995" s="18">
        <v>962981.93</v>
      </c>
      <c r="K995" s="15">
        <v>10343827</v>
      </c>
      <c r="L995" s="13" t="s">
        <v>102</v>
      </c>
      <c r="M995" s="13" t="s">
        <v>103</v>
      </c>
      <c r="N995" s="139" t="s">
        <v>495</v>
      </c>
      <c r="O995" s="139" t="s">
        <v>495</v>
      </c>
      <c r="P995" s="28">
        <v>32</v>
      </c>
      <c r="Q995" s="13" t="s">
        <v>54</v>
      </c>
      <c r="R995" s="13" t="s">
        <v>28</v>
      </c>
      <c r="S995" s="13"/>
      <c r="T995" s="13"/>
      <c r="U995" s="13" t="s">
        <v>2140</v>
      </c>
      <c r="V995" s="13" t="s">
        <v>2140</v>
      </c>
      <c r="W995" s="59">
        <f t="shared" si="15"/>
        <v>1.83973943623828E-5</v>
      </c>
    </row>
    <row r="996" spans="1:29">
      <c r="A996" s="13" t="s">
        <v>2193</v>
      </c>
      <c r="B996" s="13" t="s">
        <v>471</v>
      </c>
      <c r="C996" s="139">
        <v>46274</v>
      </c>
      <c r="D996" s="139" t="s">
        <v>441</v>
      </c>
      <c r="E996" s="28">
        <v>0.95720139999999998</v>
      </c>
      <c r="F996" s="13"/>
      <c r="G996" s="18">
        <v>3214858.48</v>
      </c>
      <c r="H996" s="18">
        <v>3077267.04</v>
      </c>
      <c r="I996" s="18">
        <v>3214858.48</v>
      </c>
      <c r="J996" s="18">
        <v>3077267.04</v>
      </c>
      <c r="K996" s="15">
        <v>90000521</v>
      </c>
      <c r="L996" s="13" t="s">
        <v>102</v>
      </c>
      <c r="M996" s="13" t="s">
        <v>103</v>
      </c>
      <c r="N996" s="139" t="s">
        <v>495</v>
      </c>
      <c r="O996" s="139" t="s">
        <v>495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2152</v>
      </c>
      <c r="V996" s="13" t="s">
        <v>2152</v>
      </c>
      <c r="W996" s="59">
        <f t="shared" si="15"/>
        <v>5.8789987152970155E-5</v>
      </c>
      <c r="AC996"/>
    </row>
    <row r="997" spans="1:29">
      <c r="A997" s="13" t="s">
        <v>2238</v>
      </c>
      <c r="B997" s="13" t="s">
        <v>471</v>
      </c>
      <c r="C997" s="139">
        <v>46274</v>
      </c>
      <c r="D997" s="139" t="s">
        <v>441</v>
      </c>
      <c r="E997" s="28">
        <v>0.95976861000000002</v>
      </c>
      <c r="F997" s="13"/>
      <c r="G997" s="18">
        <v>1579236</v>
      </c>
      <c r="H997" s="18">
        <v>1515701.14</v>
      </c>
      <c r="I997" s="18">
        <v>1579236</v>
      </c>
      <c r="J997" s="18">
        <v>1515701.14</v>
      </c>
      <c r="K997" s="15">
        <v>1558</v>
      </c>
      <c r="L997" s="13" t="s">
        <v>102</v>
      </c>
      <c r="M997" s="13" t="s">
        <v>103</v>
      </c>
      <c r="N997" s="139" t="s">
        <v>441</v>
      </c>
      <c r="O997" s="139" t="s">
        <v>441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2471</v>
      </c>
      <c r="V997" s="13" t="s">
        <v>2471</v>
      </c>
      <c r="W997" s="59">
        <f t="shared" si="15"/>
        <v>2.8956879396577234E-5</v>
      </c>
    </row>
    <row r="998" spans="1:29">
      <c r="A998" s="13" t="s">
        <v>2238</v>
      </c>
      <c r="B998" s="13" t="s">
        <v>471</v>
      </c>
      <c r="C998" s="139">
        <v>46274</v>
      </c>
      <c r="D998" s="139" t="s">
        <v>441</v>
      </c>
      <c r="E998" s="28">
        <v>0.95976861000000002</v>
      </c>
      <c r="F998" s="13"/>
      <c r="G998" s="18">
        <v>1579236</v>
      </c>
      <c r="H998" s="18">
        <v>1515701.14</v>
      </c>
      <c r="I998" s="18">
        <v>1579236</v>
      </c>
      <c r="J998" s="18">
        <v>1515701.14</v>
      </c>
      <c r="K998" s="15">
        <v>1559</v>
      </c>
      <c r="L998" s="13" t="s">
        <v>102</v>
      </c>
      <c r="M998" s="13" t="s">
        <v>103</v>
      </c>
      <c r="N998" s="139" t="s">
        <v>441</v>
      </c>
      <c r="O998" s="139" t="s">
        <v>441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2472</v>
      </c>
      <c r="V998" s="13" t="s">
        <v>2472</v>
      </c>
      <c r="W998" s="59">
        <f t="shared" si="15"/>
        <v>2.8956879396577234E-5</v>
      </c>
    </row>
    <row r="999" spans="1:29">
      <c r="A999" s="13" t="s">
        <v>2238</v>
      </c>
      <c r="B999" s="13" t="s">
        <v>471</v>
      </c>
      <c r="C999" s="139">
        <v>46274</v>
      </c>
      <c r="D999" s="139" t="s">
        <v>441</v>
      </c>
      <c r="E999" s="28">
        <v>0.95976861000000002</v>
      </c>
      <c r="F999" s="13"/>
      <c r="G999" s="18">
        <v>1579236</v>
      </c>
      <c r="H999" s="18">
        <v>1515701.14</v>
      </c>
      <c r="I999" s="18">
        <v>1579236</v>
      </c>
      <c r="J999" s="18">
        <v>1515701.14</v>
      </c>
      <c r="K999" s="15">
        <v>1560</v>
      </c>
      <c r="L999" s="13" t="s">
        <v>102</v>
      </c>
      <c r="M999" s="13" t="s">
        <v>103</v>
      </c>
      <c r="N999" s="139" t="s">
        <v>441</v>
      </c>
      <c r="O999" s="139" t="s">
        <v>441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2473</v>
      </c>
      <c r="V999" s="13" t="s">
        <v>2473</v>
      </c>
      <c r="W999" s="59">
        <f t="shared" si="15"/>
        <v>2.8956879396577234E-5</v>
      </c>
    </row>
    <row r="1000" spans="1:29">
      <c r="A1000" s="13" t="s">
        <v>486</v>
      </c>
      <c r="B1000" s="13" t="s">
        <v>471</v>
      </c>
      <c r="C1000" s="139">
        <v>46275</v>
      </c>
      <c r="D1000" s="139" t="s">
        <v>441</v>
      </c>
      <c r="E1000" s="28">
        <v>0.95509748000000005</v>
      </c>
      <c r="F1000" s="13"/>
      <c r="G1000" s="18">
        <v>16005575.68</v>
      </c>
      <c r="H1000" s="18">
        <v>15286885.050000001</v>
      </c>
      <c r="I1000" s="18">
        <v>16005575.68</v>
      </c>
      <c r="J1000" s="18">
        <v>15286885.050000001</v>
      </c>
      <c r="K1000" s="15">
        <v>30717</v>
      </c>
      <c r="L1000" s="13" t="s">
        <v>102</v>
      </c>
      <c r="M1000" s="13" t="s">
        <v>103</v>
      </c>
      <c r="N1000" s="139" t="s">
        <v>458</v>
      </c>
      <c r="O1000" s="139" t="s">
        <v>458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1146</v>
      </c>
      <c r="V1000" s="13" t="s">
        <v>1146</v>
      </c>
      <c r="W1000" s="59">
        <f t="shared" si="15"/>
        <v>2.9204997941889094E-4</v>
      </c>
    </row>
    <row r="1001" spans="1:29">
      <c r="A1001" s="13" t="s">
        <v>697</v>
      </c>
      <c r="B1001" s="13" t="s">
        <v>471</v>
      </c>
      <c r="C1001" s="139">
        <v>46275</v>
      </c>
      <c r="D1001" s="139" t="s">
        <v>441</v>
      </c>
      <c r="E1001" s="28">
        <v>0.95250531000000005</v>
      </c>
      <c r="F1001" s="13"/>
      <c r="G1001" s="18">
        <v>4250000</v>
      </c>
      <c r="H1001" s="18">
        <v>4048147.59</v>
      </c>
      <c r="I1001" s="18">
        <v>4250000</v>
      </c>
      <c r="J1001" s="18">
        <v>4048147.59</v>
      </c>
      <c r="K1001" s="15">
        <v>6839</v>
      </c>
      <c r="L1001" s="13" t="s">
        <v>102</v>
      </c>
      <c r="M1001" s="13" t="s">
        <v>103</v>
      </c>
      <c r="N1001" s="139" t="s">
        <v>397</v>
      </c>
      <c r="O1001" s="139" t="s">
        <v>397</v>
      </c>
      <c r="P1001" s="28">
        <v>35</v>
      </c>
      <c r="Q1001" s="13" t="s">
        <v>54</v>
      </c>
      <c r="R1001" s="13" t="s">
        <v>28</v>
      </c>
      <c r="S1001" s="13"/>
      <c r="T1001" s="13"/>
      <c r="U1001" s="13" t="s">
        <v>687</v>
      </c>
      <c r="V1001" s="13" t="s">
        <v>687</v>
      </c>
      <c r="W1001" s="59">
        <f t="shared" si="15"/>
        <v>7.7338281571243518E-5</v>
      </c>
    </row>
    <row r="1002" spans="1:29">
      <c r="A1002" s="13" t="s">
        <v>737</v>
      </c>
      <c r="B1002" s="13" t="s">
        <v>471</v>
      </c>
      <c r="C1002" s="139">
        <v>46275</v>
      </c>
      <c r="D1002" s="139" t="s">
        <v>441</v>
      </c>
      <c r="E1002" s="28">
        <v>0.96295923999999999</v>
      </c>
      <c r="F1002" s="13"/>
      <c r="G1002" s="18">
        <v>20000000</v>
      </c>
      <c r="H1002" s="18">
        <v>19259184.789999999</v>
      </c>
      <c r="I1002" s="18">
        <v>20000000</v>
      </c>
      <c r="J1002" s="18">
        <v>19259184.789999999</v>
      </c>
      <c r="K1002" s="15">
        <v>9508918</v>
      </c>
      <c r="L1002" s="13" t="s">
        <v>102</v>
      </c>
      <c r="M1002" s="13" t="s">
        <v>103</v>
      </c>
      <c r="N1002" s="139" t="s">
        <v>783</v>
      </c>
      <c r="O1002" s="139" t="s">
        <v>783</v>
      </c>
      <c r="P1002" s="28">
        <v>27</v>
      </c>
      <c r="Q1002" s="13" t="s">
        <v>54</v>
      </c>
      <c r="R1002" s="13" t="s">
        <v>28</v>
      </c>
      <c r="S1002" s="13"/>
      <c r="T1002" s="13"/>
      <c r="U1002" s="13" t="s">
        <v>2065</v>
      </c>
      <c r="V1002" s="13" t="s">
        <v>2065</v>
      </c>
      <c r="W1002" s="59">
        <f t="shared" si="15"/>
        <v>3.6793921738451991E-4</v>
      </c>
    </row>
    <row r="1003" spans="1:29">
      <c r="A1003" s="13" t="s">
        <v>209</v>
      </c>
      <c r="B1003" s="13" t="s">
        <v>471</v>
      </c>
      <c r="C1003" s="139">
        <v>46275</v>
      </c>
      <c r="D1003" s="139" t="s">
        <v>441</v>
      </c>
      <c r="E1003" s="28">
        <v>0.9676053</v>
      </c>
      <c r="F1003" s="13"/>
      <c r="G1003" s="18">
        <v>28908355.27</v>
      </c>
      <c r="H1003" s="18">
        <v>27971877.899999999</v>
      </c>
      <c r="I1003" s="18">
        <v>28908355.27</v>
      </c>
      <c r="J1003" s="18">
        <v>27971877.899999999</v>
      </c>
      <c r="K1003" s="15">
        <v>87</v>
      </c>
      <c r="L1003" s="13" t="s">
        <v>102</v>
      </c>
      <c r="M1003" s="13" t="s">
        <v>103</v>
      </c>
      <c r="N1003" s="139" t="s">
        <v>382</v>
      </c>
      <c r="O1003" s="139" t="s">
        <v>382</v>
      </c>
      <c r="P1003" s="28">
        <v>23.5</v>
      </c>
      <c r="Q1003" s="13" t="s">
        <v>54</v>
      </c>
      <c r="R1003" s="13" t="s">
        <v>28</v>
      </c>
      <c r="S1003" s="13"/>
      <c r="T1003" s="13"/>
      <c r="U1003" s="13" t="s">
        <v>2395</v>
      </c>
      <c r="V1003" s="13" t="s">
        <v>2395</v>
      </c>
      <c r="W1003" s="59">
        <f t="shared" si="15"/>
        <v>5.3439182268219716E-4</v>
      </c>
    </row>
    <row r="1004" spans="1:29">
      <c r="A1004" s="13" t="s">
        <v>472</v>
      </c>
      <c r="B1004" s="13" t="s">
        <v>471</v>
      </c>
      <c r="C1004" s="139">
        <v>46275</v>
      </c>
      <c r="D1004" s="139" t="s">
        <v>441</v>
      </c>
      <c r="E1004" s="28">
        <v>0.95901216</v>
      </c>
      <c r="F1004" s="13"/>
      <c r="G1004" s="18">
        <v>10000000</v>
      </c>
      <c r="H1004" s="18">
        <v>9590121.5999999996</v>
      </c>
      <c r="I1004" s="18">
        <v>10000000</v>
      </c>
      <c r="J1004" s="18">
        <v>9590121.5999999996</v>
      </c>
      <c r="K1004" s="15">
        <v>637</v>
      </c>
      <c r="L1004" s="13" t="s">
        <v>102</v>
      </c>
      <c r="M1004" s="13" t="s">
        <v>103</v>
      </c>
      <c r="N1004" s="139" t="s">
        <v>389</v>
      </c>
      <c r="O1004" s="139" t="s">
        <v>389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1606</v>
      </c>
      <c r="V1004" s="13" t="s">
        <v>1606</v>
      </c>
      <c r="W1004" s="59">
        <f t="shared" si="15"/>
        <v>1.8321553454113672E-4</v>
      </c>
    </row>
    <row r="1005" spans="1:29">
      <c r="A1005" s="13" t="s">
        <v>472</v>
      </c>
      <c r="B1005" s="13" t="s">
        <v>471</v>
      </c>
      <c r="C1005" s="139">
        <v>46275</v>
      </c>
      <c r="D1005" s="139" t="s">
        <v>441</v>
      </c>
      <c r="E1005" s="28">
        <v>0.95901210999999997</v>
      </c>
      <c r="F1005" s="13"/>
      <c r="G1005" s="18">
        <v>5000000</v>
      </c>
      <c r="H1005" s="18">
        <v>4795060.57</v>
      </c>
      <c r="I1005" s="18">
        <v>5000000</v>
      </c>
      <c r="J1005" s="18">
        <v>4795060.57</v>
      </c>
      <c r="K1005" s="15">
        <v>779</v>
      </c>
      <c r="L1005" s="13" t="s">
        <v>102</v>
      </c>
      <c r="M1005" s="13" t="s">
        <v>103</v>
      </c>
      <c r="N1005" s="139" t="s">
        <v>495</v>
      </c>
      <c r="O1005" s="139" t="s">
        <v>495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2172</v>
      </c>
      <c r="V1005" s="13" t="s">
        <v>2172</v>
      </c>
      <c r="W1005" s="59">
        <f t="shared" si="15"/>
        <v>9.1607762876508037E-5</v>
      </c>
    </row>
    <row r="1006" spans="1:29">
      <c r="A1006" s="13" t="s">
        <v>323</v>
      </c>
      <c r="B1006" s="13" t="s">
        <v>471</v>
      </c>
      <c r="C1006" s="139">
        <v>46275</v>
      </c>
      <c r="D1006" s="139" t="s">
        <v>441</v>
      </c>
      <c r="E1006" s="28">
        <v>0.96560864000000002</v>
      </c>
      <c r="F1006" s="13"/>
      <c r="G1006" s="18">
        <v>5000000</v>
      </c>
      <c r="H1006" s="18">
        <v>4828043.21</v>
      </c>
      <c r="I1006" s="18">
        <v>5000000</v>
      </c>
      <c r="J1006" s="18">
        <v>4828043.21</v>
      </c>
      <c r="K1006" s="15">
        <v>68370730</v>
      </c>
      <c r="L1006" s="13" t="s">
        <v>102</v>
      </c>
      <c r="M1006" s="13" t="s">
        <v>103</v>
      </c>
      <c r="N1006" s="139" t="s">
        <v>441</v>
      </c>
      <c r="O1006" s="139" t="s">
        <v>441</v>
      </c>
      <c r="P1006" s="28">
        <v>25</v>
      </c>
      <c r="Q1006" s="13" t="s">
        <v>54</v>
      </c>
      <c r="R1006" s="13" t="s">
        <v>28</v>
      </c>
      <c r="S1006" s="13"/>
      <c r="T1006" s="13"/>
      <c r="U1006" s="13" t="s">
        <v>2417</v>
      </c>
      <c r="V1006" s="13" t="s">
        <v>2417</v>
      </c>
      <c r="W1006" s="59">
        <f t="shared" si="15"/>
        <v>9.223788335570799E-5</v>
      </c>
      <c r="AC1006" s="56"/>
    </row>
    <row r="1007" spans="1:29">
      <c r="A1007" s="13" t="s">
        <v>323</v>
      </c>
      <c r="B1007" s="13" t="s">
        <v>471</v>
      </c>
      <c r="C1007" s="139">
        <v>46275</v>
      </c>
      <c r="D1007" s="139" t="s">
        <v>441</v>
      </c>
      <c r="E1007" s="28">
        <v>0.96560864000000002</v>
      </c>
      <c r="F1007" s="13"/>
      <c r="G1007" s="18">
        <v>5000000</v>
      </c>
      <c r="H1007" s="18">
        <v>4828043.21</v>
      </c>
      <c r="I1007" s="18">
        <v>5000000</v>
      </c>
      <c r="J1007" s="18">
        <v>4828043.21</v>
      </c>
      <c r="K1007" s="15">
        <v>68370729</v>
      </c>
      <c r="L1007" s="13" t="s">
        <v>102</v>
      </c>
      <c r="M1007" s="13" t="s">
        <v>103</v>
      </c>
      <c r="N1007" s="139" t="s">
        <v>441</v>
      </c>
      <c r="O1007" s="139" t="s">
        <v>441</v>
      </c>
      <c r="P1007" s="28">
        <v>25</v>
      </c>
      <c r="Q1007" s="13" t="s">
        <v>54</v>
      </c>
      <c r="R1007" s="13" t="s">
        <v>28</v>
      </c>
      <c r="S1007" s="13"/>
      <c r="T1007" s="13"/>
      <c r="U1007" s="13" t="s">
        <v>2418</v>
      </c>
      <c r="V1007" s="13" t="s">
        <v>2418</v>
      </c>
      <c r="W1007" s="59">
        <f t="shared" si="15"/>
        <v>9.223788335570799E-5</v>
      </c>
      <c r="AC1007" s="56"/>
    </row>
    <row r="1008" spans="1:29">
      <c r="A1008" s="13" t="s">
        <v>481</v>
      </c>
      <c r="B1008" s="13" t="s">
        <v>471</v>
      </c>
      <c r="C1008" s="139">
        <v>46275</v>
      </c>
      <c r="D1008" s="139" t="s">
        <v>441</v>
      </c>
      <c r="E1008" s="28">
        <v>0.94864351999999996</v>
      </c>
      <c r="F1008" s="13"/>
      <c r="G1008" s="18">
        <v>25000000</v>
      </c>
      <c r="H1008" s="18">
        <v>23716087.98</v>
      </c>
      <c r="I1008" s="18">
        <v>25000000</v>
      </c>
      <c r="J1008" s="18">
        <v>23716087.98</v>
      </c>
      <c r="K1008" s="15">
        <v>70219553</v>
      </c>
      <c r="L1008" s="13" t="s">
        <v>102</v>
      </c>
      <c r="M1008" s="13" t="s">
        <v>103</v>
      </c>
      <c r="N1008" s="139" t="s">
        <v>402</v>
      </c>
      <c r="O1008" s="139" t="s">
        <v>402</v>
      </c>
      <c r="P1008" s="28">
        <v>38</v>
      </c>
      <c r="Q1008" s="13" t="s">
        <v>54</v>
      </c>
      <c r="R1008" s="13" t="s">
        <v>28</v>
      </c>
      <c r="S1008" s="13"/>
      <c r="T1008" s="13"/>
      <c r="U1008" s="13" t="s">
        <v>1885</v>
      </c>
      <c r="V1008" s="13" t="s">
        <v>1885</v>
      </c>
      <c r="W1008" s="59">
        <f t="shared" si="15"/>
        <v>4.5308661534388967E-4</v>
      </c>
    </row>
    <row r="1009" spans="1:23">
      <c r="A1009" s="13" t="s">
        <v>432</v>
      </c>
      <c r="B1009" s="13" t="s">
        <v>471</v>
      </c>
      <c r="C1009" s="139">
        <v>46275</v>
      </c>
      <c r="D1009" s="139" t="s">
        <v>441</v>
      </c>
      <c r="E1009" s="28">
        <v>0.95121458000000003</v>
      </c>
      <c r="F1009" s="13"/>
      <c r="G1009" s="18">
        <v>2333401.2200000002</v>
      </c>
      <c r="H1009" s="18">
        <v>2219565.27</v>
      </c>
      <c r="I1009" s="18">
        <v>2333401.2200000002</v>
      </c>
      <c r="J1009" s="18">
        <v>2219565.27</v>
      </c>
      <c r="K1009" s="15">
        <v>2662</v>
      </c>
      <c r="L1009" s="13" t="s">
        <v>102</v>
      </c>
      <c r="M1009" s="13" t="s">
        <v>103</v>
      </c>
      <c r="N1009" s="139" t="s">
        <v>458</v>
      </c>
      <c r="O1009" s="139" t="s">
        <v>458</v>
      </c>
      <c r="P1009" s="28">
        <v>36</v>
      </c>
      <c r="Q1009" s="13" t="s">
        <v>54</v>
      </c>
      <c r="R1009" s="13" t="s">
        <v>28</v>
      </c>
      <c r="S1009" s="13"/>
      <c r="T1009" s="13"/>
      <c r="U1009" s="13" t="s">
        <v>1176</v>
      </c>
      <c r="V1009" s="13" t="s">
        <v>1176</v>
      </c>
      <c r="W1009" s="59">
        <f t="shared" si="15"/>
        <v>4.2403929204817637E-5</v>
      </c>
    </row>
    <row r="1010" spans="1:23">
      <c r="A1010" s="13" t="s">
        <v>472</v>
      </c>
      <c r="B1010" s="13" t="s">
        <v>471</v>
      </c>
      <c r="C1010" s="139">
        <v>46275</v>
      </c>
      <c r="D1010" s="139" t="s">
        <v>441</v>
      </c>
      <c r="E1010" s="28">
        <v>0.95901214999999995</v>
      </c>
      <c r="F1010" s="13"/>
      <c r="G1010" s="18">
        <v>10000000</v>
      </c>
      <c r="H1010" s="18">
        <v>9590121.5</v>
      </c>
      <c r="I1010" s="18">
        <v>10000000</v>
      </c>
      <c r="J1010" s="18">
        <v>9590121.5</v>
      </c>
      <c r="K1010" s="15">
        <v>672</v>
      </c>
      <c r="L1010" s="13" t="s">
        <v>102</v>
      </c>
      <c r="M1010" s="13" t="s">
        <v>103</v>
      </c>
      <c r="N1010" s="139" t="s">
        <v>354</v>
      </c>
      <c r="O1010" s="139" t="s">
        <v>354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1691</v>
      </c>
      <c r="V1010" s="13" t="s">
        <v>1691</v>
      </c>
      <c r="W1010" s="59">
        <f t="shared" si="15"/>
        <v>1.832155326306757E-4</v>
      </c>
    </row>
    <row r="1011" spans="1:23">
      <c r="A1011" s="13" t="s">
        <v>254</v>
      </c>
      <c r="B1011" s="13" t="s">
        <v>471</v>
      </c>
      <c r="C1011" s="139">
        <v>46275</v>
      </c>
      <c r="D1011" s="139" t="s">
        <v>441</v>
      </c>
      <c r="E1011" s="28">
        <v>0.95639872000000004</v>
      </c>
      <c r="F1011" s="13"/>
      <c r="G1011" s="18">
        <v>50000000</v>
      </c>
      <c r="H1011" s="18">
        <v>47819936.189999998</v>
      </c>
      <c r="I1011" s="18">
        <v>50000000</v>
      </c>
      <c r="J1011" s="18">
        <v>47819936.189999998</v>
      </c>
      <c r="K1011" s="15">
        <v>4774</v>
      </c>
      <c r="L1011" s="13" t="s">
        <v>102</v>
      </c>
      <c r="M1011" s="13" t="s">
        <v>103</v>
      </c>
      <c r="N1011" s="139" t="s">
        <v>373</v>
      </c>
      <c r="O1011" s="139" t="s">
        <v>373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1448</v>
      </c>
      <c r="V1011" s="13" t="s">
        <v>1448</v>
      </c>
      <c r="W1011" s="59">
        <f t="shared" si="15"/>
        <v>9.135812387169208E-4</v>
      </c>
    </row>
    <row r="1012" spans="1:23">
      <c r="A1012" s="13" t="s">
        <v>1862</v>
      </c>
      <c r="B1012" s="13" t="s">
        <v>471</v>
      </c>
      <c r="C1012" s="139">
        <v>46275</v>
      </c>
      <c r="D1012" s="139" t="s">
        <v>441</v>
      </c>
      <c r="E1012" s="28">
        <v>0.96229916000000004</v>
      </c>
      <c r="F1012" s="13"/>
      <c r="G1012" s="18">
        <v>25000000</v>
      </c>
      <c r="H1012" s="18">
        <v>24057478.91</v>
      </c>
      <c r="I1012" s="18">
        <v>25000000</v>
      </c>
      <c r="J1012" s="18">
        <v>24057478.91</v>
      </c>
      <c r="K1012" s="15">
        <v>322</v>
      </c>
      <c r="L1012" s="13" t="s">
        <v>102</v>
      </c>
      <c r="M1012" s="13" t="s">
        <v>103</v>
      </c>
      <c r="N1012" s="139" t="s">
        <v>493</v>
      </c>
      <c r="O1012" s="139" t="s">
        <v>493</v>
      </c>
      <c r="P1012" s="28">
        <v>27.5</v>
      </c>
      <c r="Q1012" s="13" t="s">
        <v>54</v>
      </c>
      <c r="R1012" s="13" t="s">
        <v>28</v>
      </c>
      <c r="S1012" s="13"/>
      <c r="T1012" s="13"/>
      <c r="U1012" s="13" t="s">
        <v>1973</v>
      </c>
      <c r="V1012" s="13" t="s">
        <v>1973</v>
      </c>
      <c r="W1012" s="59">
        <f t="shared" si="15"/>
        <v>4.5960875597320615E-4</v>
      </c>
    </row>
    <row r="1013" spans="1:23">
      <c r="A1013" s="13" t="s">
        <v>347</v>
      </c>
      <c r="B1013" s="13" t="s">
        <v>471</v>
      </c>
      <c r="C1013" s="139">
        <v>46275</v>
      </c>
      <c r="D1013" s="139" t="s">
        <v>441</v>
      </c>
      <c r="E1013" s="28">
        <v>0.95509739000000005</v>
      </c>
      <c r="F1013" s="13"/>
      <c r="G1013" s="18">
        <v>10000000</v>
      </c>
      <c r="H1013" s="18">
        <v>9550973.9299999997</v>
      </c>
      <c r="I1013" s="18">
        <v>10000000</v>
      </c>
      <c r="J1013" s="18">
        <v>9550973.9299999997</v>
      </c>
      <c r="K1013" s="15">
        <v>326</v>
      </c>
      <c r="L1013" s="13" t="s">
        <v>102</v>
      </c>
      <c r="M1013" s="13" t="s">
        <v>103</v>
      </c>
      <c r="N1013" s="139" t="s">
        <v>363</v>
      </c>
      <c r="O1013" s="139" t="s">
        <v>363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1055</v>
      </c>
      <c r="V1013" s="13" t="s">
        <v>1055</v>
      </c>
      <c r="W1013" s="59">
        <f t="shared" si="15"/>
        <v>1.8246763356717096E-4</v>
      </c>
    </row>
    <row r="1014" spans="1:23">
      <c r="A1014" s="13" t="s">
        <v>147</v>
      </c>
      <c r="B1014" s="13" t="s">
        <v>471</v>
      </c>
      <c r="C1014" s="139">
        <v>46275</v>
      </c>
      <c r="D1014" s="139" t="s">
        <v>441</v>
      </c>
      <c r="E1014" s="28">
        <v>0.94736310999999995</v>
      </c>
      <c r="F1014" s="13"/>
      <c r="G1014" s="18">
        <v>20000000</v>
      </c>
      <c r="H1014" s="18">
        <v>18947262.18</v>
      </c>
      <c r="I1014" s="18">
        <v>20000000</v>
      </c>
      <c r="J1014" s="18">
        <v>18947262.18</v>
      </c>
      <c r="K1014" s="15">
        <v>4319</v>
      </c>
      <c r="L1014" s="13" t="s">
        <v>102</v>
      </c>
      <c r="M1014" s="13" t="s">
        <v>103</v>
      </c>
      <c r="N1014" s="139" t="s">
        <v>170</v>
      </c>
      <c r="O1014" s="139" t="s">
        <v>170</v>
      </c>
      <c r="P1014" s="28">
        <v>39</v>
      </c>
      <c r="Q1014" s="13" t="s">
        <v>54</v>
      </c>
      <c r="R1014" s="13" t="s">
        <v>28</v>
      </c>
      <c r="S1014" s="13"/>
      <c r="T1014" s="13"/>
      <c r="U1014" s="13" t="s">
        <v>1621</v>
      </c>
      <c r="V1014" s="13" t="s">
        <v>1621</v>
      </c>
      <c r="W1014" s="59">
        <f t="shared" si="15"/>
        <v>3.6198005752083095E-4</v>
      </c>
    </row>
    <row r="1015" spans="1:23">
      <c r="A1015" s="13" t="s">
        <v>323</v>
      </c>
      <c r="B1015" s="13" t="s">
        <v>471</v>
      </c>
      <c r="C1015" s="139">
        <v>46275</v>
      </c>
      <c r="D1015" s="139" t="s">
        <v>441</v>
      </c>
      <c r="E1015" s="28">
        <v>0.96428197999999998</v>
      </c>
      <c r="F1015" s="13"/>
      <c r="G1015" s="18">
        <v>10000000</v>
      </c>
      <c r="H1015" s="18">
        <v>9642819.7699999996</v>
      </c>
      <c r="I1015" s="18">
        <v>10000000</v>
      </c>
      <c r="J1015" s="18">
        <v>9642819.7699999996</v>
      </c>
      <c r="K1015" s="15">
        <v>68035372</v>
      </c>
      <c r="L1015" s="13" t="s">
        <v>102</v>
      </c>
      <c r="M1015" s="13" t="s">
        <v>103</v>
      </c>
      <c r="N1015" s="139" t="s">
        <v>494</v>
      </c>
      <c r="O1015" s="139" t="s">
        <v>494</v>
      </c>
      <c r="P1015" s="28">
        <v>26</v>
      </c>
      <c r="Q1015" s="13" t="s">
        <v>54</v>
      </c>
      <c r="R1015" s="13" t="s">
        <v>28</v>
      </c>
      <c r="S1015" s="13"/>
      <c r="T1015" s="13"/>
      <c r="U1015" s="13" t="s">
        <v>2003</v>
      </c>
      <c r="V1015" s="13" t="s">
        <v>2003</v>
      </c>
      <c r="W1015" s="59">
        <f t="shared" si="15"/>
        <v>1.8422231253505597E-4</v>
      </c>
    </row>
    <row r="1016" spans="1:23">
      <c r="A1016" s="13" t="s">
        <v>323</v>
      </c>
      <c r="B1016" s="13" t="s">
        <v>471</v>
      </c>
      <c r="C1016" s="139">
        <v>46275</v>
      </c>
      <c r="D1016" s="139" t="s">
        <v>441</v>
      </c>
      <c r="E1016" s="28">
        <v>0.96032413999999999</v>
      </c>
      <c r="F1016" s="13"/>
      <c r="G1016" s="18">
        <v>5500000</v>
      </c>
      <c r="H1016" s="18">
        <v>5281782.79</v>
      </c>
      <c r="I1016" s="18">
        <v>5500000</v>
      </c>
      <c r="J1016" s="18">
        <v>5281782.79</v>
      </c>
      <c r="K1016" s="15">
        <v>66554093</v>
      </c>
      <c r="L1016" s="13" t="s">
        <v>102</v>
      </c>
      <c r="M1016" s="13" t="s">
        <v>103</v>
      </c>
      <c r="N1016" s="139" t="s">
        <v>160</v>
      </c>
      <c r="O1016" s="139" t="s">
        <v>160</v>
      </c>
      <c r="P1016" s="28">
        <v>29</v>
      </c>
      <c r="Q1016" s="13" t="s">
        <v>54</v>
      </c>
      <c r="R1016" s="13" t="s">
        <v>28</v>
      </c>
      <c r="S1016" s="13"/>
      <c r="T1016" s="13"/>
      <c r="U1016" s="13" t="s">
        <v>897</v>
      </c>
      <c r="V1016" s="13" t="s">
        <v>897</v>
      </c>
      <c r="W1016" s="59">
        <f t="shared" si="15"/>
        <v>1.0090640114511441E-4</v>
      </c>
    </row>
    <row r="1017" spans="1:23">
      <c r="A1017" s="13" t="s">
        <v>478</v>
      </c>
      <c r="B1017" s="13" t="s">
        <v>471</v>
      </c>
      <c r="C1017" s="139">
        <v>46275</v>
      </c>
      <c r="D1017" s="139" t="s">
        <v>441</v>
      </c>
      <c r="E1017" s="28">
        <v>0.95509739000000005</v>
      </c>
      <c r="F1017" s="13"/>
      <c r="G1017" s="18">
        <v>12500000</v>
      </c>
      <c r="H1017" s="18">
        <v>11938717.32</v>
      </c>
      <c r="I1017" s="18">
        <v>12500000</v>
      </c>
      <c r="J1017" s="18">
        <v>11938717.32</v>
      </c>
      <c r="K1017" s="15">
        <v>1358</v>
      </c>
      <c r="L1017" s="13" t="s">
        <v>102</v>
      </c>
      <c r="M1017" s="13" t="s">
        <v>103</v>
      </c>
      <c r="N1017" s="139" t="s">
        <v>428</v>
      </c>
      <c r="O1017" s="139" t="s">
        <v>428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1111</v>
      </c>
      <c r="V1017" s="13" t="s">
        <v>1111</v>
      </c>
      <c r="W1017" s="59">
        <f t="shared" si="15"/>
        <v>2.2808454019178728E-4</v>
      </c>
    </row>
    <row r="1018" spans="1:23">
      <c r="A1018" s="13" t="s">
        <v>1516</v>
      </c>
      <c r="B1018" s="13" t="s">
        <v>471</v>
      </c>
      <c r="C1018" s="139">
        <v>46275</v>
      </c>
      <c r="D1018" s="139" t="s">
        <v>441</v>
      </c>
      <c r="E1018" s="28">
        <v>0.94864333000000001</v>
      </c>
      <c r="F1018" s="13"/>
      <c r="G1018" s="18">
        <v>60000000</v>
      </c>
      <c r="H1018" s="18">
        <v>56918599.689999998</v>
      </c>
      <c r="I1018" s="18">
        <v>60000000</v>
      </c>
      <c r="J1018" s="18">
        <v>56918599.689999998</v>
      </c>
      <c r="K1018" s="15">
        <v>70379069</v>
      </c>
      <c r="L1018" s="13" t="s">
        <v>102</v>
      </c>
      <c r="M1018" s="13" t="s">
        <v>103</v>
      </c>
      <c r="N1018" s="139" t="s">
        <v>383</v>
      </c>
      <c r="O1018" s="139" t="s">
        <v>383</v>
      </c>
      <c r="P1018" s="28">
        <v>38</v>
      </c>
      <c r="Q1018" s="13" t="s">
        <v>54</v>
      </c>
      <c r="R1018" s="13" t="s">
        <v>28</v>
      </c>
      <c r="S1018" s="13"/>
      <c r="T1018" s="13"/>
      <c r="U1018" s="13" t="s">
        <v>1677</v>
      </c>
      <c r="V1018" s="13" t="s">
        <v>1677</v>
      </c>
      <c r="W1018" s="59">
        <f t="shared" si="15"/>
        <v>1.0874076578482935E-3</v>
      </c>
    </row>
    <row r="1019" spans="1:23">
      <c r="A1019" s="13" t="s">
        <v>661</v>
      </c>
      <c r="B1019" s="13" t="s">
        <v>471</v>
      </c>
      <c r="C1019" s="139">
        <v>46275</v>
      </c>
      <c r="D1019" s="139" t="s">
        <v>441</v>
      </c>
      <c r="E1019" s="28">
        <v>0.95901214999999995</v>
      </c>
      <c r="F1019" s="13"/>
      <c r="G1019" s="18">
        <v>10000000</v>
      </c>
      <c r="H1019" s="18">
        <v>9590121.5299999993</v>
      </c>
      <c r="I1019" s="18">
        <v>10000000</v>
      </c>
      <c r="J1019" s="18">
        <v>9590121.5299999993</v>
      </c>
      <c r="K1019" s="15">
        <v>3435967</v>
      </c>
      <c r="L1019" s="13" t="s">
        <v>102</v>
      </c>
      <c r="M1019" s="13" t="s">
        <v>103</v>
      </c>
      <c r="N1019" s="139" t="s">
        <v>357</v>
      </c>
      <c r="O1019" s="139" t="s">
        <v>357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1002</v>
      </c>
      <c r="V1019" s="13" t="s">
        <v>1002</v>
      </c>
      <c r="W1019" s="59">
        <f t="shared" si="15"/>
        <v>1.83215533203814E-4</v>
      </c>
    </row>
    <row r="1020" spans="1:23">
      <c r="A1020" s="13" t="s">
        <v>2238</v>
      </c>
      <c r="B1020" s="13" t="s">
        <v>471</v>
      </c>
      <c r="C1020" s="139">
        <v>46275</v>
      </c>
      <c r="D1020" s="139" t="s">
        <v>441</v>
      </c>
      <c r="E1020" s="28">
        <v>0.95901228999999999</v>
      </c>
      <c r="F1020" s="13"/>
      <c r="G1020" s="18">
        <v>1579236</v>
      </c>
      <c r="H1020" s="18">
        <v>1514506.74</v>
      </c>
      <c r="I1020" s="18">
        <v>1579236</v>
      </c>
      <c r="J1020" s="18">
        <v>1514506.74</v>
      </c>
      <c r="K1020" s="15">
        <v>1561</v>
      </c>
      <c r="L1020" s="13" t="s">
        <v>102</v>
      </c>
      <c r="M1020" s="13" t="s">
        <v>103</v>
      </c>
      <c r="N1020" s="139" t="s">
        <v>441</v>
      </c>
      <c r="O1020" s="139" t="s">
        <v>441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2475</v>
      </c>
      <c r="V1020" s="13" t="s">
        <v>2475</v>
      </c>
      <c r="W1020" s="59">
        <f t="shared" si="15"/>
        <v>2.8934060850203858E-5</v>
      </c>
    </row>
    <row r="1021" spans="1:23">
      <c r="A1021" s="13" t="s">
        <v>2488</v>
      </c>
      <c r="B1021" s="13" t="s">
        <v>471</v>
      </c>
      <c r="C1021" s="139">
        <v>46275</v>
      </c>
      <c r="D1021" s="139" t="s">
        <v>441</v>
      </c>
      <c r="E1021" s="28">
        <v>0.95901228999999999</v>
      </c>
      <c r="F1021" s="13"/>
      <c r="G1021" s="18">
        <v>2870567.11</v>
      </c>
      <c r="H1021" s="18">
        <v>2752909.15</v>
      </c>
      <c r="I1021" s="18">
        <v>2870567.11</v>
      </c>
      <c r="J1021" s="18">
        <v>2752909.15</v>
      </c>
      <c r="K1021" s="15">
        <v>101</v>
      </c>
      <c r="L1021" s="13" t="s">
        <v>102</v>
      </c>
      <c r="M1021" s="13" t="s">
        <v>103</v>
      </c>
      <c r="N1021" s="139" t="s">
        <v>441</v>
      </c>
      <c r="O1021" s="139" t="s">
        <v>441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2456</v>
      </c>
      <c r="V1021" s="13" t="s">
        <v>2456</v>
      </c>
      <c r="W1021" s="59">
        <f t="shared" si="15"/>
        <v>5.2593256112668721E-5</v>
      </c>
    </row>
    <row r="1022" spans="1:23">
      <c r="A1022" s="13" t="s">
        <v>1107</v>
      </c>
      <c r="B1022" s="13" t="s">
        <v>471</v>
      </c>
      <c r="C1022" s="139">
        <v>46276</v>
      </c>
      <c r="D1022" s="139" t="s">
        <v>441</v>
      </c>
      <c r="E1022" s="28">
        <v>0.95427342000000004</v>
      </c>
      <c r="F1022" s="13"/>
      <c r="G1022" s="18">
        <v>1070000</v>
      </c>
      <c r="H1022" s="18">
        <v>1021072.56</v>
      </c>
      <c r="I1022" s="18">
        <v>1070000</v>
      </c>
      <c r="J1022" s="18">
        <v>1021072.56</v>
      </c>
      <c r="K1022" s="15">
        <v>475</v>
      </c>
      <c r="L1022" s="13" t="s">
        <v>102</v>
      </c>
      <c r="M1022" s="13" t="s">
        <v>103</v>
      </c>
      <c r="N1022" s="139" t="s">
        <v>392</v>
      </c>
      <c r="O1022" s="139" t="s">
        <v>392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2262</v>
      </c>
      <c r="V1022" s="13" t="s">
        <v>2262</v>
      </c>
      <c r="W1022" s="59">
        <f t="shared" si="15"/>
        <v>1.9507193202397655E-5</v>
      </c>
    </row>
    <row r="1023" spans="1:23">
      <c r="A1023" s="13" t="s">
        <v>1467</v>
      </c>
      <c r="B1023" s="13" t="s">
        <v>471</v>
      </c>
      <c r="C1023" s="139">
        <v>46276</v>
      </c>
      <c r="D1023" s="139" t="s">
        <v>441</v>
      </c>
      <c r="E1023" s="28">
        <v>0.95559757000000001</v>
      </c>
      <c r="F1023" s="13"/>
      <c r="G1023" s="18">
        <v>1000000</v>
      </c>
      <c r="H1023" s="18">
        <v>955597.57</v>
      </c>
      <c r="I1023" s="18">
        <v>1000000</v>
      </c>
      <c r="J1023" s="18">
        <v>955597.57</v>
      </c>
      <c r="K1023" s="15">
        <v>67381670</v>
      </c>
      <c r="L1023" s="13" t="s">
        <v>102</v>
      </c>
      <c r="M1023" s="13" t="s">
        <v>103</v>
      </c>
      <c r="N1023" s="139" t="s">
        <v>373</v>
      </c>
      <c r="O1023" s="139" t="s">
        <v>373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1477</v>
      </c>
      <c r="V1023" s="13" t="s">
        <v>1477</v>
      </c>
      <c r="W1023" s="59">
        <f t="shared" si="15"/>
        <v>1.8256319043312371E-5</v>
      </c>
    </row>
    <row r="1024" spans="1:23">
      <c r="A1024" s="13" t="s">
        <v>486</v>
      </c>
      <c r="B1024" s="13" t="s">
        <v>471</v>
      </c>
      <c r="C1024" s="139">
        <v>46276</v>
      </c>
      <c r="D1024" s="139" t="s">
        <v>441</v>
      </c>
      <c r="E1024" s="28">
        <v>0.95427342000000004</v>
      </c>
      <c r="F1024" s="13"/>
      <c r="G1024" s="18">
        <v>16005575.68</v>
      </c>
      <c r="H1024" s="18">
        <v>15273695.380000001</v>
      </c>
      <c r="I1024" s="18">
        <v>16005575.68</v>
      </c>
      <c r="J1024" s="18">
        <v>15273695.380000001</v>
      </c>
      <c r="K1024" s="15">
        <v>30718</v>
      </c>
      <c r="L1024" s="13" t="s">
        <v>102</v>
      </c>
      <c r="M1024" s="13" t="s">
        <v>103</v>
      </c>
      <c r="N1024" s="139" t="s">
        <v>458</v>
      </c>
      <c r="O1024" s="139" t="s">
        <v>458</v>
      </c>
      <c r="P1024" s="28">
        <v>33</v>
      </c>
      <c r="Q1024" s="13" t="s">
        <v>54</v>
      </c>
      <c r="R1024" s="13" t="s">
        <v>28</v>
      </c>
      <c r="S1024" s="13"/>
      <c r="T1024" s="13"/>
      <c r="U1024" s="13" t="s">
        <v>1145</v>
      </c>
      <c r="V1024" s="13" t="s">
        <v>1145</v>
      </c>
      <c r="W1024" s="59">
        <f t="shared" si="15"/>
        <v>2.9179799591542098E-4</v>
      </c>
    </row>
    <row r="1025" spans="1:29">
      <c r="A1025" s="13" t="s">
        <v>486</v>
      </c>
      <c r="B1025" s="13" t="s">
        <v>471</v>
      </c>
      <c r="C1025" s="139">
        <v>46276</v>
      </c>
      <c r="D1025" s="139" t="s">
        <v>441</v>
      </c>
      <c r="E1025" s="28">
        <v>0.95559757999999995</v>
      </c>
      <c r="F1025" s="13"/>
      <c r="G1025" s="18">
        <v>15355310.449999999</v>
      </c>
      <c r="H1025" s="18">
        <v>14673497.529999999</v>
      </c>
      <c r="I1025" s="18">
        <v>15355310.449999999</v>
      </c>
      <c r="J1025" s="18">
        <v>14673497.529999999</v>
      </c>
      <c r="K1025" s="15">
        <v>30742</v>
      </c>
      <c r="L1025" s="13" t="s">
        <v>102</v>
      </c>
      <c r="M1025" s="13" t="s">
        <v>103</v>
      </c>
      <c r="N1025" s="139" t="s">
        <v>373</v>
      </c>
      <c r="O1025" s="139" t="s">
        <v>373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1414</v>
      </c>
      <c r="V1025" s="13" t="s">
        <v>1414</v>
      </c>
      <c r="W1025" s="59">
        <f t="shared" si="15"/>
        <v>2.8033144997316814E-4</v>
      </c>
      <c r="AC1025" s="56"/>
    </row>
    <row r="1026" spans="1:29">
      <c r="A1026" s="13" t="s">
        <v>208</v>
      </c>
      <c r="B1026" s="13" t="s">
        <v>471</v>
      </c>
      <c r="C1026" s="139">
        <v>46276</v>
      </c>
      <c r="D1026" s="139" t="s">
        <v>441</v>
      </c>
      <c r="E1026" s="28">
        <v>0.96362009999999998</v>
      </c>
      <c r="F1026" s="13"/>
      <c r="G1026" s="18">
        <v>100046704.59999999</v>
      </c>
      <c r="H1026" s="18">
        <v>96407015.75</v>
      </c>
      <c r="I1026" s="18">
        <v>100046704.59999999</v>
      </c>
      <c r="J1026" s="18">
        <v>96407015.75</v>
      </c>
      <c r="K1026" s="15">
        <v>568280</v>
      </c>
      <c r="L1026" s="13" t="s">
        <v>102</v>
      </c>
      <c r="M1026" s="13" t="s">
        <v>103</v>
      </c>
      <c r="N1026" s="139" t="s">
        <v>355</v>
      </c>
      <c r="O1026" s="139" t="s">
        <v>355</v>
      </c>
      <c r="P1026" s="28">
        <v>26</v>
      </c>
      <c r="Q1026" s="13" t="s">
        <v>54</v>
      </c>
      <c r="R1026" s="13" t="s">
        <v>28</v>
      </c>
      <c r="S1026" s="13"/>
      <c r="T1026" s="13"/>
      <c r="U1026" s="13" t="s">
        <v>857</v>
      </c>
      <c r="V1026" s="13" t="s">
        <v>857</v>
      </c>
      <c r="W1026" s="59">
        <f t="shared" si="15"/>
        <v>1.8418184524534118E-3</v>
      </c>
    </row>
    <row r="1027" spans="1:29">
      <c r="A1027" s="13" t="s">
        <v>655</v>
      </c>
      <c r="B1027" s="13" t="s">
        <v>471</v>
      </c>
      <c r="C1027" s="139">
        <v>46276</v>
      </c>
      <c r="D1027" s="139" t="s">
        <v>441</v>
      </c>
      <c r="E1027" s="28">
        <v>0.94770741000000003</v>
      </c>
      <c r="F1027" s="13"/>
      <c r="G1027" s="18">
        <v>4957711.8099999996</v>
      </c>
      <c r="H1027" s="18">
        <v>4698460.2300000004</v>
      </c>
      <c r="I1027" s="18">
        <v>4957711.8099999996</v>
      </c>
      <c r="J1027" s="18">
        <v>4698460.2300000004</v>
      </c>
      <c r="K1027" s="15">
        <v>600</v>
      </c>
      <c r="L1027" s="13" t="s">
        <v>102</v>
      </c>
      <c r="M1027" s="13" t="s">
        <v>103</v>
      </c>
      <c r="N1027" s="139" t="s">
        <v>355</v>
      </c>
      <c r="O1027" s="139" t="s">
        <v>355</v>
      </c>
      <c r="P1027" s="28">
        <v>38</v>
      </c>
      <c r="Q1027" s="13" t="s">
        <v>54</v>
      </c>
      <c r="R1027" s="13" t="s">
        <v>28</v>
      </c>
      <c r="S1027" s="13"/>
      <c r="T1027" s="13"/>
      <c r="U1027" s="13" t="s">
        <v>854</v>
      </c>
      <c r="V1027" s="13" t="s">
        <v>854</v>
      </c>
      <c r="W1027" s="59">
        <f t="shared" si="15"/>
        <v>8.9762251039624173E-5</v>
      </c>
    </row>
    <row r="1028" spans="1:29">
      <c r="A1028" s="13" t="s">
        <v>737</v>
      </c>
      <c r="B1028" s="13" t="s">
        <v>471</v>
      </c>
      <c r="C1028" s="139">
        <v>46276</v>
      </c>
      <c r="D1028" s="139" t="s">
        <v>441</v>
      </c>
      <c r="E1028" s="28">
        <v>0.96227373000000005</v>
      </c>
      <c r="F1028" s="13"/>
      <c r="G1028" s="18">
        <v>10000000</v>
      </c>
      <c r="H1028" s="18">
        <v>9622737.3300000001</v>
      </c>
      <c r="I1028" s="18">
        <v>10000000</v>
      </c>
      <c r="J1028" s="18">
        <v>9622737.3300000001</v>
      </c>
      <c r="K1028" s="15">
        <v>67936460</v>
      </c>
      <c r="L1028" s="13" t="s">
        <v>102</v>
      </c>
      <c r="M1028" s="13" t="s">
        <v>103</v>
      </c>
      <c r="N1028" s="139" t="s">
        <v>460</v>
      </c>
      <c r="O1028" s="139" t="s">
        <v>460</v>
      </c>
      <c r="P1028" s="28">
        <v>27</v>
      </c>
      <c r="Q1028" s="13" t="s">
        <v>54</v>
      </c>
      <c r="R1028" s="13" t="s">
        <v>28</v>
      </c>
      <c r="S1028" s="13"/>
      <c r="T1028" s="13"/>
      <c r="U1028" s="13" t="s">
        <v>1769</v>
      </c>
      <c r="V1028" s="13" t="s">
        <v>1769</v>
      </c>
      <c r="W1028" s="59">
        <f t="shared" si="15"/>
        <v>1.8383864534782341E-4</v>
      </c>
    </row>
    <row r="1029" spans="1:29">
      <c r="A1029" s="13" t="s">
        <v>737</v>
      </c>
      <c r="B1029" s="13" t="s">
        <v>471</v>
      </c>
      <c r="C1029" s="139">
        <v>46276</v>
      </c>
      <c r="D1029" s="139" t="s">
        <v>441</v>
      </c>
      <c r="E1029" s="28">
        <v>0.96632439999999997</v>
      </c>
      <c r="F1029" s="13"/>
      <c r="G1029" s="18">
        <v>15000000</v>
      </c>
      <c r="H1029" s="18">
        <v>14494866.02</v>
      </c>
      <c r="I1029" s="18">
        <v>15000000</v>
      </c>
      <c r="J1029" s="18">
        <v>14494866.02</v>
      </c>
      <c r="K1029" s="15">
        <v>68398930</v>
      </c>
      <c r="L1029" s="13" t="s">
        <v>102</v>
      </c>
      <c r="M1029" s="13" t="s">
        <v>103</v>
      </c>
      <c r="N1029" s="139" t="s">
        <v>382</v>
      </c>
      <c r="O1029" s="139" t="s">
        <v>382</v>
      </c>
      <c r="P1029" s="28">
        <v>24</v>
      </c>
      <c r="Q1029" s="13" t="s">
        <v>54</v>
      </c>
      <c r="R1029" s="13" t="s">
        <v>28</v>
      </c>
      <c r="S1029" s="13"/>
      <c r="T1029" s="13"/>
      <c r="U1029" s="13" t="s">
        <v>2378</v>
      </c>
      <c r="V1029" s="13" t="s">
        <v>2378</v>
      </c>
      <c r="W1029" s="59">
        <f t="shared" ref="W1029:W1092" si="16">+J1029/$W$2</f>
        <v>2.7691876461258415E-4</v>
      </c>
    </row>
    <row r="1030" spans="1:29">
      <c r="A1030" s="13" t="s">
        <v>209</v>
      </c>
      <c r="B1030" s="13" t="s">
        <v>471</v>
      </c>
      <c r="C1030" s="139">
        <v>46276</v>
      </c>
      <c r="D1030" s="139" t="s">
        <v>441</v>
      </c>
      <c r="E1030" s="28">
        <v>0.96700282999999998</v>
      </c>
      <c r="F1030" s="13"/>
      <c r="G1030" s="18">
        <v>27798498.34</v>
      </c>
      <c r="H1030" s="18">
        <v>26881226.460000001</v>
      </c>
      <c r="I1030" s="18">
        <v>27798498.34</v>
      </c>
      <c r="J1030" s="18">
        <v>26881226.460000001</v>
      </c>
      <c r="K1030" s="15">
        <v>88</v>
      </c>
      <c r="L1030" s="13" t="s">
        <v>102</v>
      </c>
      <c r="M1030" s="13" t="s">
        <v>103</v>
      </c>
      <c r="N1030" s="139" t="s">
        <v>382</v>
      </c>
      <c r="O1030" s="139" t="s">
        <v>382</v>
      </c>
      <c r="P1030" s="28">
        <v>23.5</v>
      </c>
      <c r="Q1030" s="13" t="s">
        <v>54</v>
      </c>
      <c r="R1030" s="13" t="s">
        <v>28</v>
      </c>
      <c r="S1030" s="13"/>
      <c r="T1030" s="13"/>
      <c r="U1030" s="13" t="s">
        <v>2396</v>
      </c>
      <c r="V1030" s="13" t="s">
        <v>2396</v>
      </c>
      <c r="W1030" s="59">
        <f t="shared" si="16"/>
        <v>5.1355535210213061E-4</v>
      </c>
    </row>
    <row r="1031" spans="1:29">
      <c r="A1031" s="13" t="s">
        <v>472</v>
      </c>
      <c r="B1031" s="13" t="s">
        <v>471</v>
      </c>
      <c r="C1031" s="139">
        <v>46276</v>
      </c>
      <c r="D1031" s="139" t="s">
        <v>441</v>
      </c>
      <c r="E1031" s="28">
        <v>0.95825678000000003</v>
      </c>
      <c r="F1031" s="13"/>
      <c r="G1031" s="18">
        <v>10000000</v>
      </c>
      <c r="H1031" s="18">
        <v>9582567.75</v>
      </c>
      <c r="I1031" s="18">
        <v>10000000</v>
      </c>
      <c r="J1031" s="18">
        <v>9582567.75</v>
      </c>
      <c r="K1031" s="15">
        <v>504</v>
      </c>
      <c r="L1031" s="13" t="s">
        <v>102</v>
      </c>
      <c r="M1031" s="13" t="s">
        <v>103</v>
      </c>
      <c r="N1031" s="139" t="s">
        <v>363</v>
      </c>
      <c r="O1031" s="139" t="s">
        <v>363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1049</v>
      </c>
      <c r="V1031" s="13" t="s">
        <v>1049</v>
      </c>
      <c r="W1031" s="59">
        <f t="shared" si="16"/>
        <v>1.8307122118169051E-4</v>
      </c>
    </row>
    <row r="1032" spans="1:29">
      <c r="A1032" s="13" t="s">
        <v>472</v>
      </c>
      <c r="B1032" s="13" t="s">
        <v>471</v>
      </c>
      <c r="C1032" s="139">
        <v>46276</v>
      </c>
      <c r="D1032" s="139" t="s">
        <v>441</v>
      </c>
      <c r="E1032" s="28">
        <v>0.95825696999999999</v>
      </c>
      <c r="F1032" s="13"/>
      <c r="G1032" s="18">
        <v>5000000</v>
      </c>
      <c r="H1032" s="18">
        <v>4791284.84</v>
      </c>
      <c r="I1032" s="18">
        <v>5000000</v>
      </c>
      <c r="J1032" s="18">
        <v>4791284.84</v>
      </c>
      <c r="K1032" s="15">
        <v>787</v>
      </c>
      <c r="L1032" s="13" t="s">
        <v>102</v>
      </c>
      <c r="M1032" s="13" t="s">
        <v>103</v>
      </c>
      <c r="N1032" s="139" t="s">
        <v>495</v>
      </c>
      <c r="O1032" s="139" t="s">
        <v>495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2174</v>
      </c>
      <c r="V1032" s="13" t="s">
        <v>2174</v>
      </c>
      <c r="W1032" s="59">
        <f t="shared" si="16"/>
        <v>9.1535629026794055E-5</v>
      </c>
    </row>
    <row r="1033" spans="1:29">
      <c r="A1033" s="13" t="s">
        <v>481</v>
      </c>
      <c r="B1033" s="13" t="s">
        <v>471</v>
      </c>
      <c r="C1033" s="139">
        <v>46276</v>
      </c>
      <c r="D1033" s="139" t="s">
        <v>441</v>
      </c>
      <c r="E1033" s="28">
        <v>0.94770757999999999</v>
      </c>
      <c r="F1033" s="13"/>
      <c r="G1033" s="18">
        <v>25000000</v>
      </c>
      <c r="H1033" s="18">
        <v>23692689.469999999</v>
      </c>
      <c r="I1033" s="18">
        <v>25000000</v>
      </c>
      <c r="J1033" s="18">
        <v>23692689.469999999</v>
      </c>
      <c r="K1033" s="15">
        <v>70219555</v>
      </c>
      <c r="L1033" s="13" t="s">
        <v>102</v>
      </c>
      <c r="M1033" s="13" t="s">
        <v>103</v>
      </c>
      <c r="N1033" s="139" t="s">
        <v>494</v>
      </c>
      <c r="O1033" s="139" t="s">
        <v>494</v>
      </c>
      <c r="P1033" s="28">
        <v>38</v>
      </c>
      <c r="Q1033" s="13" t="s">
        <v>54</v>
      </c>
      <c r="R1033" s="13" t="s">
        <v>28</v>
      </c>
      <c r="S1033" s="13"/>
      <c r="T1033" s="13"/>
      <c r="U1033" s="13" t="s">
        <v>1989</v>
      </c>
      <c r="V1033" s="13" t="s">
        <v>1989</v>
      </c>
      <c r="W1033" s="59">
        <f t="shared" si="16"/>
        <v>4.5263959593204857E-4</v>
      </c>
    </row>
    <row r="1034" spans="1:29">
      <c r="A1034" s="13" t="s">
        <v>481</v>
      </c>
      <c r="B1034" s="13" t="s">
        <v>471</v>
      </c>
      <c r="C1034" s="139">
        <v>46276</v>
      </c>
      <c r="D1034" s="139" t="s">
        <v>441</v>
      </c>
      <c r="E1034" s="28">
        <v>0.94770757999999999</v>
      </c>
      <c r="F1034" s="13"/>
      <c r="G1034" s="18">
        <v>25000000</v>
      </c>
      <c r="H1034" s="18">
        <v>23692689.469999999</v>
      </c>
      <c r="I1034" s="18">
        <v>25000000</v>
      </c>
      <c r="J1034" s="18">
        <v>23692689.469999999</v>
      </c>
      <c r="K1034" s="15">
        <v>70219554</v>
      </c>
      <c r="L1034" s="13" t="s">
        <v>102</v>
      </c>
      <c r="M1034" s="13" t="s">
        <v>103</v>
      </c>
      <c r="N1034" s="139" t="s">
        <v>494</v>
      </c>
      <c r="O1034" s="139" t="s">
        <v>494</v>
      </c>
      <c r="P1034" s="28">
        <v>38</v>
      </c>
      <c r="Q1034" s="13" t="s">
        <v>54</v>
      </c>
      <c r="R1034" s="13" t="s">
        <v>28</v>
      </c>
      <c r="S1034" s="13"/>
      <c r="T1034" s="13"/>
      <c r="U1034" s="13" t="s">
        <v>1990</v>
      </c>
      <c r="V1034" s="13" t="s">
        <v>1990</v>
      </c>
      <c r="W1034" s="59">
        <f t="shared" si="16"/>
        <v>4.5263959593204857E-4</v>
      </c>
    </row>
    <row r="1035" spans="1:29">
      <c r="A1035" s="13" t="s">
        <v>432</v>
      </c>
      <c r="B1035" s="13" t="s">
        <v>471</v>
      </c>
      <c r="C1035" s="139">
        <v>46276</v>
      </c>
      <c r="D1035" s="139" t="s">
        <v>441</v>
      </c>
      <c r="E1035" s="28">
        <v>0.95032296000000005</v>
      </c>
      <c r="F1035" s="13"/>
      <c r="G1035" s="18">
        <v>2333401.2200000002</v>
      </c>
      <c r="H1035" s="18">
        <v>2217484.75</v>
      </c>
      <c r="I1035" s="18">
        <v>2333401.2200000002</v>
      </c>
      <c r="J1035" s="18">
        <v>2217484.75</v>
      </c>
      <c r="K1035" s="15">
        <v>2661</v>
      </c>
      <c r="L1035" s="13" t="s">
        <v>102</v>
      </c>
      <c r="M1035" s="13" t="s">
        <v>103</v>
      </c>
      <c r="N1035" s="139" t="s">
        <v>458</v>
      </c>
      <c r="O1035" s="139" t="s">
        <v>458</v>
      </c>
      <c r="P1035" s="28">
        <v>36</v>
      </c>
      <c r="Q1035" s="13" t="s">
        <v>54</v>
      </c>
      <c r="R1035" s="13" t="s">
        <v>28</v>
      </c>
      <c r="S1035" s="13"/>
      <c r="T1035" s="13"/>
      <c r="U1035" s="13" t="s">
        <v>1177</v>
      </c>
      <c r="V1035" s="13" t="s">
        <v>1177</v>
      </c>
      <c r="W1035" s="59">
        <f t="shared" si="16"/>
        <v>4.2364181681290559E-5</v>
      </c>
    </row>
    <row r="1036" spans="1:29">
      <c r="A1036" s="13" t="s">
        <v>472</v>
      </c>
      <c r="B1036" s="13" t="s">
        <v>471</v>
      </c>
      <c r="C1036" s="139">
        <v>46276</v>
      </c>
      <c r="D1036" s="139" t="s">
        <v>441</v>
      </c>
      <c r="E1036" s="28">
        <v>0.95427346999999996</v>
      </c>
      <c r="F1036" s="13"/>
      <c r="G1036" s="18">
        <v>10000000</v>
      </c>
      <c r="H1036" s="18">
        <v>9542734.7300000004</v>
      </c>
      <c r="I1036" s="18">
        <v>10000000</v>
      </c>
      <c r="J1036" s="18">
        <v>9542734.7300000004</v>
      </c>
      <c r="K1036" s="15">
        <v>666</v>
      </c>
      <c r="L1036" s="13" t="s">
        <v>102</v>
      </c>
      <c r="M1036" s="13" t="s">
        <v>103</v>
      </c>
      <c r="N1036" s="139" t="s">
        <v>383</v>
      </c>
      <c r="O1036" s="139" t="s">
        <v>383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1680</v>
      </c>
      <c r="V1036" s="13" t="s">
        <v>1680</v>
      </c>
      <c r="W1036" s="59">
        <f t="shared" si="16"/>
        <v>1.8231022686315262E-4</v>
      </c>
    </row>
    <row r="1037" spans="1:29">
      <c r="A1037" s="13" t="s">
        <v>2189</v>
      </c>
      <c r="B1037" s="13" t="s">
        <v>471</v>
      </c>
      <c r="C1037" s="139">
        <v>46276</v>
      </c>
      <c r="D1037" s="139" t="s">
        <v>441</v>
      </c>
      <c r="E1037" s="28">
        <v>0.95559766000000002</v>
      </c>
      <c r="F1037" s="13"/>
      <c r="G1037" s="18">
        <v>475000000</v>
      </c>
      <c r="H1037" s="18">
        <v>453908890.16000003</v>
      </c>
      <c r="I1037" s="18">
        <v>475000000</v>
      </c>
      <c r="J1037" s="18">
        <v>453908890.16000003</v>
      </c>
      <c r="K1037" s="15">
        <v>928</v>
      </c>
      <c r="L1037" s="13" t="s">
        <v>102</v>
      </c>
      <c r="M1037" s="13" t="s">
        <v>103</v>
      </c>
      <c r="N1037" s="139" t="s">
        <v>495</v>
      </c>
      <c r="O1037" s="139" t="s">
        <v>495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2164</v>
      </c>
      <c r="V1037" s="13" t="s">
        <v>2164</v>
      </c>
      <c r="W1037" s="59">
        <f t="shared" si="16"/>
        <v>8.6717523940091149E-3</v>
      </c>
    </row>
    <row r="1038" spans="1:29">
      <c r="A1038" s="13" t="s">
        <v>1862</v>
      </c>
      <c r="B1038" s="13" t="s">
        <v>471</v>
      </c>
      <c r="C1038" s="139">
        <v>46276</v>
      </c>
      <c r="D1038" s="139" t="s">
        <v>441</v>
      </c>
      <c r="E1038" s="28">
        <v>0.96160192</v>
      </c>
      <c r="F1038" s="13"/>
      <c r="G1038" s="18">
        <v>25000000</v>
      </c>
      <c r="H1038" s="18">
        <v>24040048.010000002</v>
      </c>
      <c r="I1038" s="18">
        <v>25000000</v>
      </c>
      <c r="J1038" s="18">
        <v>24040048.010000002</v>
      </c>
      <c r="K1038" s="15">
        <v>323</v>
      </c>
      <c r="L1038" s="13" t="s">
        <v>102</v>
      </c>
      <c r="M1038" s="13" t="s">
        <v>103</v>
      </c>
      <c r="N1038" s="139" t="s">
        <v>493</v>
      </c>
      <c r="O1038" s="139" t="s">
        <v>493</v>
      </c>
      <c r="P1038" s="28">
        <v>27.5</v>
      </c>
      <c r="Q1038" s="13" t="s">
        <v>54</v>
      </c>
      <c r="R1038" s="13" t="s">
        <v>28</v>
      </c>
      <c r="S1038" s="13"/>
      <c r="T1038" s="13"/>
      <c r="U1038" s="13" t="s">
        <v>1977</v>
      </c>
      <c r="V1038" s="13" t="s">
        <v>1977</v>
      </c>
      <c r="W1038" s="59">
        <f t="shared" si="16"/>
        <v>4.592757454239934E-4</v>
      </c>
    </row>
    <row r="1039" spans="1:29">
      <c r="A1039" s="13" t="s">
        <v>2204</v>
      </c>
      <c r="B1039" s="13" t="s">
        <v>471</v>
      </c>
      <c r="C1039" s="139">
        <v>46276</v>
      </c>
      <c r="D1039" s="139" t="s">
        <v>441</v>
      </c>
      <c r="E1039" s="28">
        <v>0.95559766000000002</v>
      </c>
      <c r="F1039" s="13"/>
      <c r="G1039" s="18">
        <v>1274298</v>
      </c>
      <c r="H1039" s="18">
        <v>1217716.19</v>
      </c>
      <c r="I1039" s="18">
        <v>1274298</v>
      </c>
      <c r="J1039" s="18">
        <v>1217716.19</v>
      </c>
      <c r="K1039" s="15">
        <v>10333909</v>
      </c>
      <c r="L1039" s="13" t="s">
        <v>102</v>
      </c>
      <c r="M1039" s="13" t="s">
        <v>103</v>
      </c>
      <c r="N1039" s="139" t="s">
        <v>495</v>
      </c>
      <c r="O1039" s="139" t="s">
        <v>495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2151</v>
      </c>
      <c r="V1039" s="13" t="s">
        <v>2151</v>
      </c>
      <c r="W1039" s="59">
        <f t="shared" si="16"/>
        <v>2.3263993093710762E-5</v>
      </c>
    </row>
    <row r="1040" spans="1:29">
      <c r="A1040" s="13" t="s">
        <v>323</v>
      </c>
      <c r="B1040" s="13" t="s">
        <v>471</v>
      </c>
      <c r="C1040" s="139">
        <v>46276</v>
      </c>
      <c r="D1040" s="139" t="s">
        <v>441</v>
      </c>
      <c r="E1040" s="28">
        <v>0.96362022000000003</v>
      </c>
      <c r="F1040" s="13"/>
      <c r="G1040" s="18">
        <v>10000000</v>
      </c>
      <c r="H1040" s="18">
        <v>9636202.2100000009</v>
      </c>
      <c r="I1040" s="18">
        <v>10000000</v>
      </c>
      <c r="J1040" s="18">
        <v>9636202.2100000009</v>
      </c>
      <c r="K1040" s="15">
        <v>68035375</v>
      </c>
      <c r="L1040" s="13" t="s">
        <v>102</v>
      </c>
      <c r="M1040" s="13" t="s">
        <v>103</v>
      </c>
      <c r="N1040" s="139" t="s">
        <v>494</v>
      </c>
      <c r="O1040" s="139" t="s">
        <v>494</v>
      </c>
      <c r="P1040" s="28">
        <v>26</v>
      </c>
      <c r="Q1040" s="13" t="s">
        <v>54</v>
      </c>
      <c r="R1040" s="13" t="s">
        <v>28</v>
      </c>
      <c r="S1040" s="13"/>
      <c r="T1040" s="13"/>
      <c r="U1040" s="13" t="s">
        <v>2004</v>
      </c>
      <c r="V1040" s="13" t="s">
        <v>2004</v>
      </c>
      <c r="W1040" s="59">
        <f t="shared" si="16"/>
        <v>1.8409588663105515E-4</v>
      </c>
    </row>
    <row r="1041" spans="1:29">
      <c r="A1041" s="13" t="s">
        <v>323</v>
      </c>
      <c r="B1041" s="13" t="s">
        <v>471</v>
      </c>
      <c r="C1041" s="139">
        <v>46276</v>
      </c>
      <c r="D1041" s="139" t="s">
        <v>441</v>
      </c>
      <c r="E1041" s="28">
        <v>0.96362022000000003</v>
      </c>
      <c r="F1041" s="13"/>
      <c r="G1041" s="18">
        <v>7000000</v>
      </c>
      <c r="H1041" s="18">
        <v>6745341.54</v>
      </c>
      <c r="I1041" s="18">
        <v>7000000</v>
      </c>
      <c r="J1041" s="18">
        <v>6745341.54</v>
      </c>
      <c r="K1041" s="15">
        <v>68156951</v>
      </c>
      <c r="L1041" s="13" t="s">
        <v>102</v>
      </c>
      <c r="M1041" s="13" t="s">
        <v>103</v>
      </c>
      <c r="N1041" s="139" t="s">
        <v>494</v>
      </c>
      <c r="O1041" s="139" t="s">
        <v>494</v>
      </c>
      <c r="P1041" s="28">
        <v>26</v>
      </c>
      <c r="Q1041" s="13" t="s">
        <v>54</v>
      </c>
      <c r="R1041" s="13" t="s">
        <v>28</v>
      </c>
      <c r="S1041" s="13"/>
      <c r="T1041" s="13"/>
      <c r="U1041" s="13" t="s">
        <v>2025</v>
      </c>
      <c r="V1041" s="13" t="s">
        <v>2025</v>
      </c>
      <c r="W1041" s="59">
        <f t="shared" si="16"/>
        <v>1.2886712050800631E-4</v>
      </c>
    </row>
    <row r="1042" spans="1:29">
      <c r="A1042" s="13" t="s">
        <v>2194</v>
      </c>
      <c r="B1042" s="13" t="s">
        <v>471</v>
      </c>
      <c r="C1042" s="139">
        <v>46276</v>
      </c>
      <c r="D1042" s="139" t="s">
        <v>441</v>
      </c>
      <c r="E1042" s="28">
        <v>0.95559766999999995</v>
      </c>
      <c r="F1042" s="13"/>
      <c r="G1042" s="18">
        <v>1099546.98</v>
      </c>
      <c r="H1042" s="18">
        <v>1050724.54</v>
      </c>
      <c r="I1042" s="18">
        <v>1099546.98</v>
      </c>
      <c r="J1042" s="18">
        <v>1050724.54</v>
      </c>
      <c r="K1042" s="15">
        <v>30001147</v>
      </c>
      <c r="L1042" s="13" t="s">
        <v>102</v>
      </c>
      <c r="M1042" s="13" t="s">
        <v>103</v>
      </c>
      <c r="N1042" s="139" t="s">
        <v>495</v>
      </c>
      <c r="O1042" s="139" t="s">
        <v>495</v>
      </c>
      <c r="P1042" s="28">
        <v>32</v>
      </c>
      <c r="Q1042" s="13" t="s">
        <v>54</v>
      </c>
      <c r="R1042" s="13" t="s">
        <v>28</v>
      </c>
      <c r="S1042" s="13"/>
      <c r="T1042" s="13"/>
      <c r="U1042" s="13" t="s">
        <v>2155</v>
      </c>
      <c r="V1042" s="13" t="s">
        <v>2155</v>
      </c>
      <c r="W1042" s="59">
        <f t="shared" si="16"/>
        <v>2.0073682720726919E-5</v>
      </c>
    </row>
    <row r="1043" spans="1:29">
      <c r="A1043" s="13" t="s">
        <v>2238</v>
      </c>
      <c r="B1043" s="13" t="s">
        <v>471</v>
      </c>
      <c r="C1043" s="139">
        <v>46276</v>
      </c>
      <c r="D1043" s="139" t="s">
        <v>441</v>
      </c>
      <c r="E1043" s="28">
        <v>0.95825689000000003</v>
      </c>
      <c r="F1043" s="13"/>
      <c r="G1043" s="18">
        <v>1579236</v>
      </c>
      <c r="H1043" s="18">
        <v>1513313.78</v>
      </c>
      <c r="I1043" s="18">
        <v>1579236</v>
      </c>
      <c r="J1043" s="18">
        <v>1513313.78</v>
      </c>
      <c r="K1043" s="15">
        <v>1562</v>
      </c>
      <c r="L1043" s="13" t="s">
        <v>102</v>
      </c>
      <c r="M1043" s="13" t="s">
        <v>103</v>
      </c>
      <c r="N1043" s="139" t="s">
        <v>441</v>
      </c>
      <c r="O1043" s="139" t="s">
        <v>441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2476</v>
      </c>
      <c r="V1043" s="13" t="s">
        <v>2476</v>
      </c>
      <c r="W1043" s="59">
        <f t="shared" si="16"/>
        <v>2.8911269814469108E-5</v>
      </c>
    </row>
    <row r="1044" spans="1:29">
      <c r="A1044" s="13" t="s">
        <v>1107</v>
      </c>
      <c r="B1044" s="13" t="s">
        <v>471</v>
      </c>
      <c r="C1044" s="139">
        <v>46279</v>
      </c>
      <c r="D1044" s="139" t="s">
        <v>441</v>
      </c>
      <c r="E1044" s="28">
        <v>0.95180991000000004</v>
      </c>
      <c r="F1044" s="13"/>
      <c r="G1044" s="18">
        <v>1070000</v>
      </c>
      <c r="H1044" s="18">
        <v>1018436.6</v>
      </c>
      <c r="I1044" s="18">
        <v>1070000</v>
      </c>
      <c r="J1044" s="18">
        <v>1018436.6</v>
      </c>
      <c r="K1044" s="15">
        <v>476</v>
      </c>
      <c r="L1044" s="13" t="s">
        <v>102</v>
      </c>
      <c r="M1044" s="13" t="s">
        <v>103</v>
      </c>
      <c r="N1044" s="139" t="s">
        <v>392</v>
      </c>
      <c r="O1044" s="139" t="s">
        <v>392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2263</v>
      </c>
      <c r="V1044" s="13" t="s">
        <v>2263</v>
      </c>
      <c r="W1044" s="59">
        <f t="shared" si="16"/>
        <v>1.9456834214204108E-5</v>
      </c>
    </row>
    <row r="1045" spans="1:29">
      <c r="A1045" s="13" t="s">
        <v>1161</v>
      </c>
      <c r="B1045" s="13" t="s">
        <v>471</v>
      </c>
      <c r="C1045" s="139">
        <v>46279</v>
      </c>
      <c r="D1045" s="139" t="s">
        <v>441</v>
      </c>
      <c r="E1045" s="28">
        <v>0.95180986999999995</v>
      </c>
      <c r="F1045" s="13"/>
      <c r="G1045" s="18">
        <v>1524900</v>
      </c>
      <c r="H1045" s="18">
        <v>1451414.86</v>
      </c>
      <c r="I1045" s="18">
        <v>1524900</v>
      </c>
      <c r="J1045" s="18">
        <v>1451414.86</v>
      </c>
      <c r="K1045" s="15">
        <v>179</v>
      </c>
      <c r="L1045" s="13" t="s">
        <v>102</v>
      </c>
      <c r="M1045" s="13" t="s">
        <v>103</v>
      </c>
      <c r="N1045" s="139" t="s">
        <v>458</v>
      </c>
      <c r="O1045" s="139" t="s">
        <v>458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1162</v>
      </c>
      <c r="V1045" s="13" t="s">
        <v>1162</v>
      </c>
      <c r="W1045" s="59">
        <f t="shared" si="16"/>
        <v>2.7728715078633533E-5</v>
      </c>
    </row>
    <row r="1046" spans="1:29">
      <c r="A1046" s="13" t="s">
        <v>486</v>
      </c>
      <c r="B1046" s="13" t="s">
        <v>471</v>
      </c>
      <c r="C1046" s="139">
        <v>46279</v>
      </c>
      <c r="D1046" s="139" t="s">
        <v>441</v>
      </c>
      <c r="E1046" s="28">
        <v>0.95180986999999995</v>
      </c>
      <c r="F1046" s="13"/>
      <c r="G1046" s="18">
        <v>16005575.68</v>
      </c>
      <c r="H1046" s="18">
        <v>15234264.960000001</v>
      </c>
      <c r="I1046" s="18">
        <v>16005575.68</v>
      </c>
      <c r="J1046" s="18">
        <v>15234264.960000001</v>
      </c>
      <c r="K1046" s="15">
        <v>30719</v>
      </c>
      <c r="L1046" s="13" t="s">
        <v>102</v>
      </c>
      <c r="M1046" s="13" t="s">
        <v>103</v>
      </c>
      <c r="N1046" s="139" t="s">
        <v>458</v>
      </c>
      <c r="O1046" s="139" t="s">
        <v>458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1144</v>
      </c>
      <c r="V1046" s="13" t="s">
        <v>1144</v>
      </c>
      <c r="W1046" s="59">
        <f t="shared" si="16"/>
        <v>2.9104469311293289E-4</v>
      </c>
    </row>
    <row r="1047" spans="1:29">
      <c r="A1047" s="13" t="s">
        <v>486</v>
      </c>
      <c r="B1047" s="13" t="s">
        <v>471</v>
      </c>
      <c r="C1047" s="139">
        <v>46279</v>
      </c>
      <c r="D1047" s="139" t="s">
        <v>441</v>
      </c>
      <c r="E1047" s="28">
        <v>0.95320172000000003</v>
      </c>
      <c r="F1047" s="13"/>
      <c r="G1047" s="18">
        <v>15355310.449999999</v>
      </c>
      <c r="H1047" s="18">
        <v>14636708.359999999</v>
      </c>
      <c r="I1047" s="18">
        <v>15355310.449999999</v>
      </c>
      <c r="J1047" s="18">
        <v>14636708.359999999</v>
      </c>
      <c r="K1047" s="15">
        <v>30743</v>
      </c>
      <c r="L1047" s="13" t="s">
        <v>102</v>
      </c>
      <c r="M1047" s="13" t="s">
        <v>103</v>
      </c>
      <c r="N1047" s="139" t="s">
        <v>373</v>
      </c>
      <c r="O1047" s="139" t="s">
        <v>373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1412</v>
      </c>
      <c r="V1047" s="13" t="s">
        <v>1412</v>
      </c>
      <c r="W1047" s="59">
        <f t="shared" si="16"/>
        <v>2.7962860722226132E-4</v>
      </c>
    </row>
    <row r="1048" spans="1:29">
      <c r="A1048" s="13" t="s">
        <v>737</v>
      </c>
      <c r="B1048" s="13" t="s">
        <v>471</v>
      </c>
      <c r="C1048" s="139">
        <v>46279</v>
      </c>
      <c r="D1048" s="139" t="s">
        <v>441</v>
      </c>
      <c r="E1048" s="28">
        <v>0.96022324999999997</v>
      </c>
      <c r="F1048" s="13"/>
      <c r="G1048" s="18">
        <v>10000000</v>
      </c>
      <c r="H1048" s="18">
        <v>9602232.5199999996</v>
      </c>
      <c r="I1048" s="18">
        <v>10000000</v>
      </c>
      <c r="J1048" s="18">
        <v>9602232.5199999996</v>
      </c>
      <c r="K1048" s="15">
        <v>67936475</v>
      </c>
      <c r="L1048" s="13" t="s">
        <v>102</v>
      </c>
      <c r="M1048" s="13" t="s">
        <v>103</v>
      </c>
      <c r="N1048" s="139" t="s">
        <v>460</v>
      </c>
      <c r="O1048" s="139" t="s">
        <v>460</v>
      </c>
      <c r="P1048" s="28">
        <v>27</v>
      </c>
      <c r="Q1048" s="13" t="s">
        <v>54</v>
      </c>
      <c r="R1048" s="13" t="s">
        <v>28</v>
      </c>
      <c r="S1048" s="13"/>
      <c r="T1048" s="13"/>
      <c r="U1048" s="13" t="s">
        <v>1770</v>
      </c>
      <c r="V1048" s="13" t="s">
        <v>1770</v>
      </c>
      <c r="W1048" s="59">
        <f t="shared" si="16"/>
        <v>1.8344690894639816E-4</v>
      </c>
    </row>
    <row r="1049" spans="1:29">
      <c r="A1049" s="13" t="s">
        <v>472</v>
      </c>
      <c r="B1049" s="13" t="s">
        <v>471</v>
      </c>
      <c r="C1049" s="139">
        <v>46279</v>
      </c>
      <c r="D1049" s="139" t="s">
        <v>441</v>
      </c>
      <c r="E1049" s="28">
        <v>0.95599809000000002</v>
      </c>
      <c r="F1049" s="13"/>
      <c r="G1049" s="18">
        <v>10000000</v>
      </c>
      <c r="H1049" s="18">
        <v>9559980.8599999994</v>
      </c>
      <c r="I1049" s="18">
        <v>10000000</v>
      </c>
      <c r="J1049" s="18">
        <v>9559980.8599999994</v>
      </c>
      <c r="K1049" s="15">
        <v>701</v>
      </c>
      <c r="L1049" s="13" t="s">
        <v>102</v>
      </c>
      <c r="M1049" s="13" t="s">
        <v>103</v>
      </c>
      <c r="N1049" s="139" t="s">
        <v>460</v>
      </c>
      <c r="O1049" s="139" t="s">
        <v>460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1764</v>
      </c>
      <c r="V1049" s="13" t="s">
        <v>1764</v>
      </c>
      <c r="W1049" s="59">
        <f t="shared" si="16"/>
        <v>1.8263970745354636E-4</v>
      </c>
    </row>
    <row r="1050" spans="1:29">
      <c r="A1050" s="13" t="s">
        <v>472</v>
      </c>
      <c r="B1050" s="13" t="s">
        <v>471</v>
      </c>
      <c r="C1050" s="139">
        <v>46279</v>
      </c>
      <c r="D1050" s="139" t="s">
        <v>441</v>
      </c>
      <c r="E1050" s="28">
        <v>0.95599794000000005</v>
      </c>
      <c r="F1050" s="13"/>
      <c r="G1050" s="18">
        <v>10000000</v>
      </c>
      <c r="H1050" s="18">
        <v>9559979.4100000001</v>
      </c>
      <c r="I1050" s="18">
        <v>10000000</v>
      </c>
      <c r="J1050" s="18">
        <v>9559979.4100000001</v>
      </c>
      <c r="K1050" s="15">
        <v>723</v>
      </c>
      <c r="L1050" s="13" t="s">
        <v>102</v>
      </c>
      <c r="M1050" s="13" t="s">
        <v>103</v>
      </c>
      <c r="N1050" s="139" t="s">
        <v>172</v>
      </c>
      <c r="O1050" s="139" t="s">
        <v>172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1773</v>
      </c>
      <c r="V1050" s="13" t="s">
        <v>1773</v>
      </c>
      <c r="W1050" s="59">
        <f t="shared" si="16"/>
        <v>1.8263967975186163E-4</v>
      </c>
    </row>
    <row r="1051" spans="1:29">
      <c r="A1051" s="13" t="s">
        <v>481</v>
      </c>
      <c r="B1051" s="13" t="s">
        <v>471</v>
      </c>
      <c r="C1051" s="139">
        <v>46279</v>
      </c>
      <c r="D1051" s="139" t="s">
        <v>441</v>
      </c>
      <c r="E1051" s="28">
        <v>0.94491046000000001</v>
      </c>
      <c r="F1051" s="13"/>
      <c r="G1051" s="18">
        <v>3200000</v>
      </c>
      <c r="H1051" s="18">
        <v>3023713.46</v>
      </c>
      <c r="I1051" s="18">
        <v>3200000</v>
      </c>
      <c r="J1051" s="18">
        <v>3023713.46</v>
      </c>
      <c r="K1051" s="15">
        <v>155475</v>
      </c>
      <c r="L1051" s="13" t="s">
        <v>102</v>
      </c>
      <c r="M1051" s="13" t="s">
        <v>103</v>
      </c>
      <c r="N1051" s="139" t="s">
        <v>494</v>
      </c>
      <c r="O1051" s="139" t="s">
        <v>494</v>
      </c>
      <c r="P1051" s="28">
        <v>38</v>
      </c>
      <c r="Q1051" s="13" t="s">
        <v>54</v>
      </c>
      <c r="R1051" s="13" t="s">
        <v>28</v>
      </c>
      <c r="S1051" s="13"/>
      <c r="T1051" s="13"/>
      <c r="U1051" s="13" t="s">
        <v>1986</v>
      </c>
      <c r="V1051" s="13" t="s">
        <v>1986</v>
      </c>
      <c r="W1051" s="59">
        <f t="shared" si="16"/>
        <v>5.7766866884475169E-5</v>
      </c>
    </row>
    <row r="1052" spans="1:29">
      <c r="A1052" s="13" t="s">
        <v>481</v>
      </c>
      <c r="B1052" s="13" t="s">
        <v>471</v>
      </c>
      <c r="C1052" s="139">
        <v>46279</v>
      </c>
      <c r="D1052" s="139" t="s">
        <v>441</v>
      </c>
      <c r="E1052" s="28">
        <v>0.94491044999999996</v>
      </c>
      <c r="F1052" s="13"/>
      <c r="G1052" s="18">
        <v>42000000</v>
      </c>
      <c r="H1052" s="18">
        <v>39686239.060000002</v>
      </c>
      <c r="I1052" s="18">
        <v>42000000</v>
      </c>
      <c r="J1052" s="18">
        <v>39686239.060000002</v>
      </c>
      <c r="K1052" s="15">
        <v>155474</v>
      </c>
      <c r="L1052" s="13" t="s">
        <v>102</v>
      </c>
      <c r="M1052" s="13" t="s">
        <v>103</v>
      </c>
      <c r="N1052" s="139" t="s">
        <v>494</v>
      </c>
      <c r="O1052" s="139" t="s">
        <v>494</v>
      </c>
      <c r="P1052" s="28">
        <v>38</v>
      </c>
      <c r="Q1052" s="13" t="s">
        <v>54</v>
      </c>
      <c r="R1052" s="13" t="s">
        <v>28</v>
      </c>
      <c r="S1052" s="13"/>
      <c r="T1052" s="13"/>
      <c r="U1052" s="13" t="s">
        <v>1987</v>
      </c>
      <c r="V1052" s="13" t="s">
        <v>1987</v>
      </c>
      <c r="W1052" s="59">
        <f t="shared" si="16"/>
        <v>7.5819012590051414E-4</v>
      </c>
      <c r="AC1052" s="56"/>
    </row>
    <row r="1053" spans="1:29">
      <c r="A1053" s="13" t="s">
        <v>481</v>
      </c>
      <c r="B1053" s="13" t="s">
        <v>471</v>
      </c>
      <c r="C1053" s="139">
        <v>46279</v>
      </c>
      <c r="D1053" s="139" t="s">
        <v>441</v>
      </c>
      <c r="E1053" s="28">
        <v>0.94491044999999996</v>
      </c>
      <c r="F1053" s="13"/>
      <c r="G1053" s="18">
        <v>30000000</v>
      </c>
      <c r="H1053" s="18">
        <v>28347313.609999999</v>
      </c>
      <c r="I1053" s="18">
        <v>30000000</v>
      </c>
      <c r="J1053" s="18">
        <v>28347313.609999999</v>
      </c>
      <c r="K1053" s="15">
        <v>70219556</v>
      </c>
      <c r="L1053" s="13" t="s">
        <v>102</v>
      </c>
      <c r="M1053" s="13" t="s">
        <v>103</v>
      </c>
      <c r="N1053" s="139" t="s">
        <v>494</v>
      </c>
      <c r="O1053" s="139" t="s">
        <v>494</v>
      </c>
      <c r="P1053" s="28">
        <v>38</v>
      </c>
      <c r="Q1053" s="13" t="s">
        <v>54</v>
      </c>
      <c r="R1053" s="13" t="s">
        <v>28</v>
      </c>
      <c r="S1053" s="13"/>
      <c r="T1053" s="13"/>
      <c r="U1053" s="13" t="s">
        <v>1991</v>
      </c>
      <c r="V1053" s="13" t="s">
        <v>1991</v>
      </c>
      <c r="W1053" s="59">
        <f t="shared" si="16"/>
        <v>5.4156437556134745E-4</v>
      </c>
    </row>
    <row r="1054" spans="1:29">
      <c r="A1054" s="13" t="s">
        <v>432</v>
      </c>
      <c r="B1054" s="13" t="s">
        <v>471</v>
      </c>
      <c r="C1054" s="139">
        <v>46279</v>
      </c>
      <c r="D1054" s="139" t="s">
        <v>441</v>
      </c>
      <c r="E1054" s="28">
        <v>0.94765825999999997</v>
      </c>
      <c r="F1054" s="13"/>
      <c r="G1054" s="18">
        <v>2333401.2200000002</v>
      </c>
      <c r="H1054" s="18">
        <v>2211266.9500000002</v>
      </c>
      <c r="I1054" s="18">
        <v>2333401.2200000002</v>
      </c>
      <c r="J1054" s="18">
        <v>2211266.9500000002</v>
      </c>
      <c r="K1054" s="15">
        <v>2660</v>
      </c>
      <c r="L1054" s="13" t="s">
        <v>102</v>
      </c>
      <c r="M1054" s="13" t="s">
        <v>103</v>
      </c>
      <c r="N1054" s="139" t="s">
        <v>458</v>
      </c>
      <c r="O1054" s="139" t="s">
        <v>458</v>
      </c>
      <c r="P1054" s="28">
        <v>36</v>
      </c>
      <c r="Q1054" s="13" t="s">
        <v>54</v>
      </c>
      <c r="R1054" s="13" t="s">
        <v>28</v>
      </c>
      <c r="S1054" s="13"/>
      <c r="T1054" s="13"/>
      <c r="U1054" s="13" t="s">
        <v>1173</v>
      </c>
      <c r="V1054" s="13" t="s">
        <v>1173</v>
      </c>
      <c r="W1054" s="59">
        <f t="shared" si="16"/>
        <v>4.2245393036246703E-5</v>
      </c>
    </row>
    <row r="1055" spans="1:29">
      <c r="A1055" s="13" t="s">
        <v>432</v>
      </c>
      <c r="B1055" s="13" t="s">
        <v>471</v>
      </c>
      <c r="C1055" s="139">
        <v>46279</v>
      </c>
      <c r="D1055" s="139" t="s">
        <v>441</v>
      </c>
      <c r="E1055" s="28">
        <v>0.94628245</v>
      </c>
      <c r="F1055" s="13"/>
      <c r="G1055" s="18">
        <v>2687954.26</v>
      </c>
      <c r="H1055" s="18">
        <v>2543563.9500000002</v>
      </c>
      <c r="I1055" s="18">
        <v>2687954.26</v>
      </c>
      <c r="J1055" s="18">
        <v>2543563.9500000002</v>
      </c>
      <c r="K1055" s="15">
        <v>2817</v>
      </c>
      <c r="L1055" s="13" t="s">
        <v>102</v>
      </c>
      <c r="M1055" s="13" t="s">
        <v>103</v>
      </c>
      <c r="N1055" s="139" t="s">
        <v>402</v>
      </c>
      <c r="O1055" s="139" t="s">
        <v>402</v>
      </c>
      <c r="P1055" s="28">
        <v>37</v>
      </c>
      <c r="Q1055" s="13" t="s">
        <v>54</v>
      </c>
      <c r="R1055" s="13" t="s">
        <v>28</v>
      </c>
      <c r="S1055" s="13"/>
      <c r="T1055" s="13"/>
      <c r="U1055" s="13" t="s">
        <v>1892</v>
      </c>
      <c r="V1055" s="13" t="s">
        <v>1892</v>
      </c>
      <c r="W1055" s="59">
        <f t="shared" si="16"/>
        <v>4.8593797678104017E-5</v>
      </c>
    </row>
    <row r="1056" spans="1:29">
      <c r="A1056" s="13" t="s">
        <v>461</v>
      </c>
      <c r="B1056" s="13" t="s">
        <v>471</v>
      </c>
      <c r="C1056" s="139">
        <v>46279</v>
      </c>
      <c r="D1056" s="139" t="s">
        <v>441</v>
      </c>
      <c r="E1056" s="28">
        <v>0.95042196000000001</v>
      </c>
      <c r="F1056" s="13"/>
      <c r="G1056" s="18">
        <v>440000000</v>
      </c>
      <c r="H1056" s="18">
        <v>418185660.55000001</v>
      </c>
      <c r="I1056" s="18">
        <v>440000000</v>
      </c>
      <c r="J1056" s="18">
        <v>418185660.55000001</v>
      </c>
      <c r="K1056" s="15">
        <v>178</v>
      </c>
      <c r="L1056" s="13" t="s">
        <v>102</v>
      </c>
      <c r="M1056" s="13" t="s">
        <v>103</v>
      </c>
      <c r="N1056" s="139" t="s">
        <v>401</v>
      </c>
      <c r="O1056" s="139" t="s">
        <v>401</v>
      </c>
      <c r="P1056" s="28">
        <v>34</v>
      </c>
      <c r="Q1056" s="13" t="s">
        <v>54</v>
      </c>
      <c r="R1056" s="13" t="s">
        <v>28</v>
      </c>
      <c r="S1056" s="13"/>
      <c r="T1056" s="13"/>
      <c r="U1056" s="13" t="s">
        <v>1531</v>
      </c>
      <c r="V1056" s="13" t="s">
        <v>1531</v>
      </c>
      <c r="W1056" s="59">
        <f t="shared" si="16"/>
        <v>7.9892740187055191E-3</v>
      </c>
    </row>
    <row r="1057" spans="1:29">
      <c r="A1057" s="13" t="s">
        <v>1862</v>
      </c>
      <c r="B1057" s="13" t="s">
        <v>471</v>
      </c>
      <c r="C1057" s="139">
        <v>46279</v>
      </c>
      <c r="D1057" s="139" t="s">
        <v>441</v>
      </c>
      <c r="E1057" s="28">
        <v>0.95951646999999995</v>
      </c>
      <c r="F1057" s="13"/>
      <c r="G1057" s="18">
        <v>25000000</v>
      </c>
      <c r="H1057" s="18">
        <v>23987911.629999999</v>
      </c>
      <c r="I1057" s="18">
        <v>25000000</v>
      </c>
      <c r="J1057" s="18">
        <v>23987911.629999999</v>
      </c>
      <c r="K1057" s="15">
        <v>324</v>
      </c>
      <c r="L1057" s="13" t="s">
        <v>102</v>
      </c>
      <c r="M1057" s="13" t="s">
        <v>103</v>
      </c>
      <c r="N1057" s="139" t="s">
        <v>493</v>
      </c>
      <c r="O1057" s="139" t="s">
        <v>493</v>
      </c>
      <c r="P1057" s="28">
        <v>27.5</v>
      </c>
      <c r="Q1057" s="13" t="s">
        <v>54</v>
      </c>
      <c r="R1057" s="13" t="s">
        <v>28</v>
      </c>
      <c r="S1057" s="13"/>
      <c r="T1057" s="13"/>
      <c r="U1057" s="13" t="s">
        <v>1978</v>
      </c>
      <c r="V1057" s="13" t="s">
        <v>1978</v>
      </c>
      <c r="W1057" s="59">
        <f t="shared" si="16"/>
        <v>4.5827970020901509E-4</v>
      </c>
      <c r="AC1057" s="56"/>
    </row>
    <row r="1058" spans="1:29">
      <c r="A1058" s="13" t="s">
        <v>323</v>
      </c>
      <c r="B1058" s="13" t="s">
        <v>471</v>
      </c>
      <c r="C1058" s="139">
        <v>46279</v>
      </c>
      <c r="D1058" s="139" t="s">
        <v>441</v>
      </c>
      <c r="E1058" s="28">
        <v>0.96022322999999998</v>
      </c>
      <c r="F1058" s="13"/>
      <c r="G1058" s="18">
        <v>12500000</v>
      </c>
      <c r="H1058" s="18">
        <v>12002790.33</v>
      </c>
      <c r="I1058" s="18">
        <v>12500000</v>
      </c>
      <c r="J1058" s="18">
        <v>12002790.33</v>
      </c>
      <c r="K1058" s="15">
        <v>67924258</v>
      </c>
      <c r="L1058" s="13" t="s">
        <v>102</v>
      </c>
      <c r="M1058" s="13" t="s">
        <v>103</v>
      </c>
      <c r="N1058" s="139" t="s">
        <v>457</v>
      </c>
      <c r="O1058" s="139" t="s">
        <v>457</v>
      </c>
      <c r="P1058" s="28">
        <v>27</v>
      </c>
      <c r="Q1058" s="13" t="s">
        <v>54</v>
      </c>
      <c r="R1058" s="13" t="s">
        <v>28</v>
      </c>
      <c r="S1058" s="13"/>
      <c r="T1058" s="13"/>
      <c r="U1058" s="13" t="s">
        <v>1734</v>
      </c>
      <c r="V1058" s="13" t="s">
        <v>1734</v>
      </c>
      <c r="W1058" s="59">
        <f t="shared" si="16"/>
        <v>2.2930863006952247E-4</v>
      </c>
    </row>
    <row r="1059" spans="1:29">
      <c r="A1059" s="13" t="s">
        <v>323</v>
      </c>
      <c r="B1059" s="13" t="s">
        <v>471</v>
      </c>
      <c r="C1059" s="139">
        <v>46279</v>
      </c>
      <c r="D1059" s="139" t="s">
        <v>441</v>
      </c>
      <c r="E1059" s="28">
        <v>0.96163980999999998</v>
      </c>
      <c r="F1059" s="13"/>
      <c r="G1059" s="18">
        <v>10000000</v>
      </c>
      <c r="H1059" s="18">
        <v>9616398.1199999992</v>
      </c>
      <c r="I1059" s="18">
        <v>10000000</v>
      </c>
      <c r="J1059" s="18">
        <v>9616398.1199999992</v>
      </c>
      <c r="K1059" s="15">
        <v>68035377</v>
      </c>
      <c r="L1059" s="13" t="s">
        <v>102</v>
      </c>
      <c r="M1059" s="13" t="s">
        <v>103</v>
      </c>
      <c r="N1059" s="139" t="s">
        <v>494</v>
      </c>
      <c r="O1059" s="139" t="s">
        <v>494</v>
      </c>
      <c r="P1059" s="28">
        <v>26</v>
      </c>
      <c r="Q1059" s="13" t="s">
        <v>54</v>
      </c>
      <c r="R1059" s="13" t="s">
        <v>28</v>
      </c>
      <c r="S1059" s="13"/>
      <c r="T1059" s="13"/>
      <c r="U1059" s="13" t="s">
        <v>2002</v>
      </c>
      <c r="V1059" s="13" t="s">
        <v>2002</v>
      </c>
      <c r="W1059" s="59">
        <f t="shared" si="16"/>
        <v>1.8371753721206017E-4</v>
      </c>
    </row>
    <row r="1060" spans="1:29">
      <c r="A1060" s="13" t="s">
        <v>141</v>
      </c>
      <c r="B1060" s="13" t="s">
        <v>471</v>
      </c>
      <c r="C1060" s="139">
        <v>46279</v>
      </c>
      <c r="D1060" s="139" t="s">
        <v>441</v>
      </c>
      <c r="E1060" s="28">
        <v>0.94903813999999997</v>
      </c>
      <c r="F1060" s="13"/>
      <c r="G1060" s="18">
        <v>115000000</v>
      </c>
      <c r="H1060" s="18">
        <v>109139386.39</v>
      </c>
      <c r="I1060" s="18">
        <v>115000000</v>
      </c>
      <c r="J1060" s="18">
        <v>109139386.39</v>
      </c>
      <c r="K1060" s="15">
        <v>8427</v>
      </c>
      <c r="L1060" s="13" t="s">
        <v>102</v>
      </c>
      <c r="M1060" s="13" t="s">
        <v>103</v>
      </c>
      <c r="N1060" s="139" t="s">
        <v>400</v>
      </c>
      <c r="O1060" s="139" t="s">
        <v>400</v>
      </c>
      <c r="P1060" s="28">
        <v>35</v>
      </c>
      <c r="Q1060" s="13" t="s">
        <v>54</v>
      </c>
      <c r="R1060" s="13" t="s">
        <v>28</v>
      </c>
      <c r="S1060" s="13"/>
      <c r="T1060" s="13"/>
      <c r="U1060" s="13" t="s">
        <v>1532</v>
      </c>
      <c r="V1060" s="13" t="s">
        <v>1532</v>
      </c>
      <c r="W1060" s="59">
        <f t="shared" si="16"/>
        <v>2.0850654299248419E-3</v>
      </c>
    </row>
    <row r="1061" spans="1:29">
      <c r="A1061" s="13" t="s">
        <v>581</v>
      </c>
      <c r="B1061" s="13" t="s">
        <v>471</v>
      </c>
      <c r="C1061" s="139">
        <v>46279</v>
      </c>
      <c r="D1061" s="139" t="s">
        <v>441</v>
      </c>
      <c r="E1061" s="28">
        <v>0.95881055000000004</v>
      </c>
      <c r="F1061" s="13"/>
      <c r="G1061" s="18">
        <v>10000000</v>
      </c>
      <c r="H1061" s="18">
        <v>9588105.5</v>
      </c>
      <c r="I1061" s="18">
        <v>10000000</v>
      </c>
      <c r="J1061" s="18">
        <v>9588105.5</v>
      </c>
      <c r="K1061" s="15">
        <v>360563</v>
      </c>
      <c r="L1061" s="13" t="s">
        <v>102</v>
      </c>
      <c r="M1061" s="13" t="s">
        <v>103</v>
      </c>
      <c r="N1061" s="139" t="s">
        <v>348</v>
      </c>
      <c r="O1061" s="139" t="s">
        <v>348</v>
      </c>
      <c r="P1061" s="28">
        <v>28</v>
      </c>
      <c r="Q1061" s="13" t="s">
        <v>54</v>
      </c>
      <c r="R1061" s="13" t="s">
        <v>28</v>
      </c>
      <c r="S1061" s="13"/>
      <c r="T1061" s="13"/>
      <c r="U1061" s="13" t="s">
        <v>712</v>
      </c>
      <c r="V1061" s="13" t="s">
        <v>712</v>
      </c>
      <c r="W1061" s="59">
        <f t="shared" si="16"/>
        <v>1.8317701773659607E-4</v>
      </c>
    </row>
    <row r="1062" spans="1:29">
      <c r="A1062" s="13" t="s">
        <v>360</v>
      </c>
      <c r="B1062" s="13" t="s">
        <v>471</v>
      </c>
      <c r="C1062" s="139">
        <v>46279</v>
      </c>
      <c r="D1062" s="139" t="s">
        <v>441</v>
      </c>
      <c r="E1062" s="28">
        <v>0.96306071999999998</v>
      </c>
      <c r="F1062" s="13"/>
      <c r="G1062" s="18">
        <v>9600000</v>
      </c>
      <c r="H1062" s="18">
        <v>9245382.9100000001</v>
      </c>
      <c r="I1062" s="18">
        <v>9600000</v>
      </c>
      <c r="J1062" s="18">
        <v>9245382.9100000001</v>
      </c>
      <c r="K1062" s="15">
        <v>33949</v>
      </c>
      <c r="L1062" s="13" t="s">
        <v>102</v>
      </c>
      <c r="M1062" s="13" t="s">
        <v>103</v>
      </c>
      <c r="N1062" s="139" t="s">
        <v>381</v>
      </c>
      <c r="O1062" s="139" t="s">
        <v>381</v>
      </c>
      <c r="P1062" s="28">
        <v>25</v>
      </c>
      <c r="Q1062" s="13" t="s">
        <v>54</v>
      </c>
      <c r="R1062" s="13" t="s">
        <v>28</v>
      </c>
      <c r="S1062" s="13"/>
      <c r="T1062" s="13"/>
      <c r="U1062" s="13" t="s">
        <v>1581</v>
      </c>
      <c r="V1062" s="13" t="s">
        <v>1581</v>
      </c>
      <c r="W1062" s="59">
        <f t="shared" si="16"/>
        <v>1.7662943626211582E-4</v>
      </c>
      <c r="AC1062"/>
    </row>
    <row r="1063" spans="1:29">
      <c r="A1063" s="13" t="s">
        <v>2238</v>
      </c>
      <c r="B1063" s="13" t="s">
        <v>471</v>
      </c>
      <c r="C1063" s="139">
        <v>46279</v>
      </c>
      <c r="D1063" s="139" t="s">
        <v>441</v>
      </c>
      <c r="E1063" s="28">
        <v>0.95599807999999997</v>
      </c>
      <c r="F1063" s="13"/>
      <c r="G1063" s="18">
        <v>1579236</v>
      </c>
      <c r="H1063" s="18">
        <v>1509746.59</v>
      </c>
      <c r="I1063" s="18">
        <v>1579236</v>
      </c>
      <c r="J1063" s="18">
        <v>1509746.59</v>
      </c>
      <c r="K1063" s="15">
        <v>1563</v>
      </c>
      <c r="L1063" s="13" t="s">
        <v>102</v>
      </c>
      <c r="M1063" s="13" t="s">
        <v>103</v>
      </c>
      <c r="N1063" s="139" t="s">
        <v>441</v>
      </c>
      <c r="O1063" s="139" t="s">
        <v>441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2477</v>
      </c>
      <c r="V1063" s="13" t="s">
        <v>2477</v>
      </c>
      <c r="W1063" s="59">
        <f t="shared" si="16"/>
        <v>2.8843120040157615E-5</v>
      </c>
    </row>
    <row r="1064" spans="1:29">
      <c r="A1064" s="13" t="s">
        <v>2488</v>
      </c>
      <c r="B1064" s="13" t="s">
        <v>471</v>
      </c>
      <c r="C1064" s="139">
        <v>46279</v>
      </c>
      <c r="D1064" s="139" t="s">
        <v>441</v>
      </c>
      <c r="E1064" s="28">
        <v>0.95599809000000002</v>
      </c>
      <c r="F1064" s="13"/>
      <c r="G1064" s="18">
        <v>2870567.11</v>
      </c>
      <c r="H1064" s="18">
        <v>2744256.66</v>
      </c>
      <c r="I1064" s="18">
        <v>2870567.11</v>
      </c>
      <c r="J1064" s="18">
        <v>2744256.66</v>
      </c>
      <c r="K1064" s="15">
        <v>102</v>
      </c>
      <c r="L1064" s="13" t="s">
        <v>102</v>
      </c>
      <c r="M1064" s="13" t="s">
        <v>103</v>
      </c>
      <c r="N1064" s="139" t="s">
        <v>441</v>
      </c>
      <c r="O1064" s="139" t="s">
        <v>441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2460</v>
      </c>
      <c r="V1064" s="13" t="s">
        <v>2460</v>
      </c>
      <c r="W1064" s="59">
        <f t="shared" si="16"/>
        <v>5.242795366431793E-5</v>
      </c>
    </row>
    <row r="1065" spans="1:29">
      <c r="A1065" s="13" t="s">
        <v>2408</v>
      </c>
      <c r="B1065" s="13" t="s">
        <v>471</v>
      </c>
      <c r="C1065" s="139">
        <v>46280</v>
      </c>
      <c r="D1065" s="139" t="s">
        <v>441</v>
      </c>
      <c r="E1065" s="28">
        <v>0.95932603000000005</v>
      </c>
      <c r="F1065" s="13"/>
      <c r="G1065" s="18">
        <v>500000000</v>
      </c>
      <c r="H1065" s="18">
        <v>479663014.89999998</v>
      </c>
      <c r="I1065" s="18">
        <v>500000000</v>
      </c>
      <c r="J1065" s="18">
        <v>479663014.89999998</v>
      </c>
      <c r="K1065" s="15">
        <v>60855163</v>
      </c>
      <c r="L1065" s="13" t="s">
        <v>102</v>
      </c>
      <c r="M1065" s="13" t="s">
        <v>103</v>
      </c>
      <c r="N1065" s="139" t="s">
        <v>382</v>
      </c>
      <c r="O1065" s="139" t="s">
        <v>382</v>
      </c>
      <c r="P1065" s="28">
        <v>27.15</v>
      </c>
      <c r="Q1065" s="13" t="s">
        <v>54</v>
      </c>
      <c r="R1065" s="13" t="s">
        <v>28</v>
      </c>
      <c r="S1065" s="13"/>
      <c r="T1065" s="13"/>
      <c r="U1065" s="13" t="s">
        <v>2375</v>
      </c>
      <c r="V1065" s="13" t="s">
        <v>2375</v>
      </c>
      <c r="W1065" s="59">
        <f t="shared" si="16"/>
        <v>9.1637749071416079E-3</v>
      </c>
      <c r="AC1065" s="56"/>
    </row>
    <row r="1066" spans="1:29">
      <c r="A1066" s="13" t="s">
        <v>2408</v>
      </c>
      <c r="B1066" s="13" t="s">
        <v>471</v>
      </c>
      <c r="C1066" s="139">
        <v>46280</v>
      </c>
      <c r="D1066" s="139" t="s">
        <v>441</v>
      </c>
      <c r="E1066" s="28">
        <v>0.95932603000000005</v>
      </c>
      <c r="F1066" s="13"/>
      <c r="G1066" s="18">
        <v>1000000000</v>
      </c>
      <c r="H1066" s="18">
        <v>959326029.79999995</v>
      </c>
      <c r="I1066" s="18">
        <v>1000000000</v>
      </c>
      <c r="J1066" s="18">
        <v>959326029.79999995</v>
      </c>
      <c r="K1066" s="15">
        <v>60855162</v>
      </c>
      <c r="L1066" s="13" t="s">
        <v>102</v>
      </c>
      <c r="M1066" s="13" t="s">
        <v>103</v>
      </c>
      <c r="N1066" s="139" t="s">
        <v>382</v>
      </c>
      <c r="O1066" s="139" t="s">
        <v>382</v>
      </c>
      <c r="P1066" s="28">
        <v>27.15</v>
      </c>
      <c r="Q1066" s="13" t="s">
        <v>54</v>
      </c>
      <c r="R1066" s="13" t="s">
        <v>28</v>
      </c>
      <c r="S1066" s="13"/>
      <c r="T1066" s="13"/>
      <c r="U1066" s="13" t="s">
        <v>2376</v>
      </c>
      <c r="V1066" s="13" t="s">
        <v>2376</v>
      </c>
      <c r="W1066" s="59">
        <f t="shared" si="16"/>
        <v>1.8327549814283216E-2</v>
      </c>
    </row>
    <row r="1067" spans="1:29">
      <c r="A1067" s="13" t="s">
        <v>1107</v>
      </c>
      <c r="B1067" s="13" t="s">
        <v>471</v>
      </c>
      <c r="C1067" s="139">
        <v>46280</v>
      </c>
      <c r="D1067" s="139" t="s">
        <v>441</v>
      </c>
      <c r="E1067" s="28">
        <v>0.95099146000000001</v>
      </c>
      <c r="F1067" s="13"/>
      <c r="G1067" s="18">
        <v>1070000</v>
      </c>
      <c r="H1067" s="18">
        <v>1017560.86</v>
      </c>
      <c r="I1067" s="18">
        <v>1070000</v>
      </c>
      <c r="J1067" s="18">
        <v>1017560.86</v>
      </c>
      <c r="K1067" s="15">
        <v>478</v>
      </c>
      <c r="L1067" s="13" t="s">
        <v>102</v>
      </c>
      <c r="M1067" s="13" t="s">
        <v>103</v>
      </c>
      <c r="N1067" s="139" t="s">
        <v>392</v>
      </c>
      <c r="O1067" s="139" t="s">
        <v>392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2264</v>
      </c>
      <c r="V1067" s="13" t="s">
        <v>2264</v>
      </c>
      <c r="W1067" s="59">
        <f t="shared" si="16"/>
        <v>1.9440103542903855E-5</v>
      </c>
    </row>
    <row r="1068" spans="1:29">
      <c r="A1068" s="13" t="s">
        <v>1107</v>
      </c>
      <c r="B1068" s="13" t="s">
        <v>471</v>
      </c>
      <c r="C1068" s="139">
        <v>46280</v>
      </c>
      <c r="D1068" s="139" t="s">
        <v>441</v>
      </c>
      <c r="E1068" s="28">
        <v>0.95099146000000001</v>
      </c>
      <c r="F1068" s="13"/>
      <c r="G1068" s="18">
        <v>1070000</v>
      </c>
      <c r="H1068" s="18">
        <v>1017560.86</v>
      </c>
      <c r="I1068" s="18">
        <v>1070000</v>
      </c>
      <c r="J1068" s="18">
        <v>1017560.86</v>
      </c>
      <c r="K1068" s="15">
        <v>477</v>
      </c>
      <c r="L1068" s="13" t="s">
        <v>102</v>
      </c>
      <c r="M1068" s="13" t="s">
        <v>103</v>
      </c>
      <c r="N1068" s="139" t="s">
        <v>392</v>
      </c>
      <c r="O1068" s="139" t="s">
        <v>392</v>
      </c>
      <c r="P1068" s="28">
        <v>33</v>
      </c>
      <c r="Q1068" s="13" t="s">
        <v>54</v>
      </c>
      <c r="R1068" s="13" t="s">
        <v>28</v>
      </c>
      <c r="S1068" s="13"/>
      <c r="T1068" s="13"/>
      <c r="U1068" s="13" t="s">
        <v>2265</v>
      </c>
      <c r="V1068" s="13" t="s">
        <v>2265</v>
      </c>
      <c r="W1068" s="59">
        <f t="shared" si="16"/>
        <v>1.9440103542903855E-5</v>
      </c>
    </row>
    <row r="1069" spans="1:29">
      <c r="A1069" s="13" t="s">
        <v>1467</v>
      </c>
      <c r="B1069" s="13" t="s">
        <v>471</v>
      </c>
      <c r="C1069" s="139">
        <v>46280</v>
      </c>
      <c r="D1069" s="139" t="s">
        <v>441</v>
      </c>
      <c r="E1069" s="28">
        <v>0.95240592000000002</v>
      </c>
      <c r="F1069" s="13"/>
      <c r="G1069" s="18">
        <v>1000000</v>
      </c>
      <c r="H1069" s="18">
        <v>952405.92</v>
      </c>
      <c r="I1069" s="18">
        <v>1000000</v>
      </c>
      <c r="J1069" s="18">
        <v>952405.92</v>
      </c>
      <c r="K1069" s="15">
        <v>67381897</v>
      </c>
      <c r="L1069" s="13" t="s">
        <v>102</v>
      </c>
      <c r="M1069" s="13" t="s">
        <v>103</v>
      </c>
      <c r="N1069" s="139" t="s">
        <v>373</v>
      </c>
      <c r="O1069" s="139" t="s">
        <v>373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1469</v>
      </c>
      <c r="V1069" s="13" t="s">
        <v>1469</v>
      </c>
      <c r="W1069" s="59">
        <f t="shared" si="16"/>
        <v>1.8195343814299823E-5</v>
      </c>
    </row>
    <row r="1070" spans="1:29">
      <c r="A1070" s="13" t="s">
        <v>486</v>
      </c>
      <c r="B1070" s="13" t="s">
        <v>471</v>
      </c>
      <c r="C1070" s="139">
        <v>46280</v>
      </c>
      <c r="D1070" s="139" t="s">
        <v>441</v>
      </c>
      <c r="E1070" s="28">
        <v>0.95099146999999995</v>
      </c>
      <c r="F1070" s="13"/>
      <c r="G1070" s="18">
        <v>16005575.68</v>
      </c>
      <c r="H1070" s="18">
        <v>15221165.880000001</v>
      </c>
      <c r="I1070" s="18">
        <v>16005575.68</v>
      </c>
      <c r="J1070" s="18">
        <v>15221165.880000001</v>
      </c>
      <c r="K1070" s="15">
        <v>30720</v>
      </c>
      <c r="L1070" s="13" t="s">
        <v>102</v>
      </c>
      <c r="M1070" s="13" t="s">
        <v>103</v>
      </c>
      <c r="N1070" s="139" t="s">
        <v>458</v>
      </c>
      <c r="O1070" s="139" t="s">
        <v>458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1143</v>
      </c>
      <c r="V1070" s="13" t="s">
        <v>1143</v>
      </c>
      <c r="W1070" s="59">
        <f t="shared" si="16"/>
        <v>2.907944402960972E-4</v>
      </c>
    </row>
    <row r="1071" spans="1:29">
      <c r="A1071" s="13" t="s">
        <v>486</v>
      </c>
      <c r="B1071" s="13" t="s">
        <v>471</v>
      </c>
      <c r="C1071" s="139">
        <v>46280</v>
      </c>
      <c r="D1071" s="139" t="s">
        <v>441</v>
      </c>
      <c r="E1071" s="28">
        <v>0.95240592999999996</v>
      </c>
      <c r="F1071" s="13"/>
      <c r="G1071" s="18">
        <v>15355310.449999999</v>
      </c>
      <c r="H1071" s="18">
        <v>14624488.699999999</v>
      </c>
      <c r="I1071" s="18">
        <v>15355310.449999999</v>
      </c>
      <c r="J1071" s="18">
        <v>14624488.699999999</v>
      </c>
      <c r="K1071" s="15">
        <v>30744</v>
      </c>
      <c r="L1071" s="13" t="s">
        <v>102</v>
      </c>
      <c r="M1071" s="13" t="s">
        <v>103</v>
      </c>
      <c r="N1071" s="139" t="s">
        <v>373</v>
      </c>
      <c r="O1071" s="139" t="s">
        <v>373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1413</v>
      </c>
      <c r="V1071" s="13" t="s">
        <v>1413</v>
      </c>
      <c r="W1071" s="59">
        <f t="shared" si="16"/>
        <v>2.7939515538169123E-4</v>
      </c>
    </row>
    <row r="1072" spans="1:29">
      <c r="A1072" s="13" t="s">
        <v>1016</v>
      </c>
      <c r="B1072" s="13" t="s">
        <v>471</v>
      </c>
      <c r="C1072" s="139">
        <v>46280</v>
      </c>
      <c r="D1072" s="139" t="s">
        <v>441</v>
      </c>
      <c r="E1072" s="28">
        <v>0.95954158000000001</v>
      </c>
      <c r="F1072" s="13"/>
      <c r="G1072" s="18">
        <v>150000000</v>
      </c>
      <c r="H1072" s="18">
        <v>143931236.46000001</v>
      </c>
      <c r="I1072" s="18">
        <v>150000000</v>
      </c>
      <c r="J1072" s="18">
        <v>143931236.46000001</v>
      </c>
      <c r="K1072" s="15">
        <v>67980</v>
      </c>
      <c r="L1072" s="13" t="s">
        <v>102</v>
      </c>
      <c r="M1072" s="13" t="s">
        <v>103</v>
      </c>
      <c r="N1072" s="139" t="s">
        <v>349</v>
      </c>
      <c r="O1072" s="139" t="s">
        <v>349</v>
      </c>
      <c r="P1072" s="28">
        <v>27</v>
      </c>
      <c r="Q1072" s="13" t="s">
        <v>54</v>
      </c>
      <c r="R1072" s="13" t="s">
        <v>28</v>
      </c>
      <c r="S1072" s="13"/>
      <c r="T1072" s="13"/>
      <c r="U1072" s="13" t="s">
        <v>1004</v>
      </c>
      <c r="V1072" s="13" t="s">
        <v>1004</v>
      </c>
      <c r="W1072" s="59">
        <f t="shared" si="16"/>
        <v>2.7497501622070829E-3</v>
      </c>
    </row>
    <row r="1073" spans="1:29">
      <c r="A1073" s="13" t="s">
        <v>582</v>
      </c>
      <c r="B1073" s="13" t="s">
        <v>471</v>
      </c>
      <c r="C1073" s="139">
        <v>46280</v>
      </c>
      <c r="D1073" s="139" t="s">
        <v>441</v>
      </c>
      <c r="E1073" s="28">
        <v>0.94120685000000004</v>
      </c>
      <c r="F1073" s="13"/>
      <c r="G1073" s="18">
        <v>9975100.8000000007</v>
      </c>
      <c r="H1073" s="18">
        <v>9388633.25</v>
      </c>
      <c r="I1073" s="18">
        <v>9975100.8000000007</v>
      </c>
      <c r="J1073" s="18">
        <v>9388633.25</v>
      </c>
      <c r="K1073" s="15">
        <v>1179209</v>
      </c>
      <c r="L1073" s="13" t="s">
        <v>102</v>
      </c>
      <c r="M1073" s="13" t="s">
        <v>103</v>
      </c>
      <c r="N1073" s="139" t="s">
        <v>346</v>
      </c>
      <c r="O1073" s="139" t="s">
        <v>346</v>
      </c>
      <c r="P1073" s="28">
        <v>40</v>
      </c>
      <c r="Q1073" s="13" t="s">
        <v>54</v>
      </c>
      <c r="R1073" s="13" t="s">
        <v>28</v>
      </c>
      <c r="S1073" s="13"/>
      <c r="T1073" s="13"/>
      <c r="U1073" s="13" t="s">
        <v>562</v>
      </c>
      <c r="V1073" s="13" t="s">
        <v>562</v>
      </c>
      <c r="W1073" s="59">
        <f t="shared" si="16"/>
        <v>1.7936617816289625E-4</v>
      </c>
    </row>
    <row r="1074" spans="1:29">
      <c r="A1074" s="13" t="s">
        <v>197</v>
      </c>
      <c r="B1074" s="13" t="s">
        <v>471</v>
      </c>
      <c r="C1074" s="139">
        <v>46280</v>
      </c>
      <c r="D1074" s="139" t="s">
        <v>441</v>
      </c>
      <c r="E1074" s="28">
        <v>0.95667449000000004</v>
      </c>
      <c r="F1074" s="13"/>
      <c r="G1074" s="18">
        <v>42000000</v>
      </c>
      <c r="H1074" s="18">
        <v>40180328.5</v>
      </c>
      <c r="I1074" s="18">
        <v>42000000</v>
      </c>
      <c r="J1074" s="18">
        <v>40180328.5</v>
      </c>
      <c r="K1074" s="15">
        <v>7579</v>
      </c>
      <c r="L1074" s="13" t="s">
        <v>102</v>
      </c>
      <c r="M1074" s="13" t="s">
        <v>103</v>
      </c>
      <c r="N1074" s="139" t="s">
        <v>397</v>
      </c>
      <c r="O1074" s="139" t="s">
        <v>397</v>
      </c>
      <c r="P1074" s="28">
        <v>29</v>
      </c>
      <c r="Q1074" s="13" t="s">
        <v>54</v>
      </c>
      <c r="R1074" s="13" t="s">
        <v>28</v>
      </c>
      <c r="S1074" s="13"/>
      <c r="T1074" s="13"/>
      <c r="U1074" s="13" t="s">
        <v>671</v>
      </c>
      <c r="V1074" s="13" t="s">
        <v>671</v>
      </c>
      <c r="W1074" s="59">
        <f t="shared" si="16"/>
        <v>7.6762951203517276E-4</v>
      </c>
    </row>
    <row r="1075" spans="1:29">
      <c r="A1075" s="13" t="s">
        <v>737</v>
      </c>
      <c r="B1075" s="13" t="s">
        <v>471</v>
      </c>
      <c r="C1075" s="139">
        <v>46280</v>
      </c>
      <c r="D1075" s="139" t="s">
        <v>441</v>
      </c>
      <c r="E1075" s="28">
        <v>0.95954163999999997</v>
      </c>
      <c r="F1075" s="13"/>
      <c r="G1075" s="18">
        <v>20000000</v>
      </c>
      <c r="H1075" s="18">
        <v>19190832.760000002</v>
      </c>
      <c r="I1075" s="18">
        <v>20000000</v>
      </c>
      <c r="J1075" s="18">
        <v>19190832.760000002</v>
      </c>
      <c r="K1075" s="15">
        <v>67970034</v>
      </c>
      <c r="L1075" s="13" t="s">
        <v>102</v>
      </c>
      <c r="M1075" s="13" t="s">
        <v>103</v>
      </c>
      <c r="N1075" s="139" t="s">
        <v>460</v>
      </c>
      <c r="O1075" s="139" t="s">
        <v>460</v>
      </c>
      <c r="P1075" s="28">
        <v>27</v>
      </c>
      <c r="Q1075" s="13" t="s">
        <v>54</v>
      </c>
      <c r="R1075" s="13" t="s">
        <v>28</v>
      </c>
      <c r="S1075" s="13"/>
      <c r="T1075" s="13"/>
      <c r="U1075" s="13" t="s">
        <v>1765</v>
      </c>
      <c r="V1075" s="13" t="s">
        <v>1765</v>
      </c>
      <c r="W1075" s="59">
        <f t="shared" si="16"/>
        <v>3.6663337849782412E-4</v>
      </c>
    </row>
    <row r="1076" spans="1:29">
      <c r="A1076" s="13" t="s">
        <v>737</v>
      </c>
      <c r="B1076" s="13" t="s">
        <v>471</v>
      </c>
      <c r="C1076" s="139">
        <v>46280</v>
      </c>
      <c r="D1076" s="139" t="s">
        <v>441</v>
      </c>
      <c r="E1076" s="28">
        <v>0.95954163999999997</v>
      </c>
      <c r="F1076" s="13"/>
      <c r="G1076" s="18">
        <v>10000000</v>
      </c>
      <c r="H1076" s="18">
        <v>9595416.3800000008</v>
      </c>
      <c r="I1076" s="18">
        <v>10000000</v>
      </c>
      <c r="J1076" s="18">
        <v>9595416.3800000008</v>
      </c>
      <c r="K1076" s="15">
        <v>67936487</v>
      </c>
      <c r="L1076" s="13" t="s">
        <v>102</v>
      </c>
      <c r="M1076" s="13" t="s">
        <v>103</v>
      </c>
      <c r="N1076" s="139" t="s">
        <v>460</v>
      </c>
      <c r="O1076" s="139" t="s">
        <v>460</v>
      </c>
      <c r="P1076" s="28">
        <v>27</v>
      </c>
      <c r="Q1076" s="13" t="s">
        <v>54</v>
      </c>
      <c r="R1076" s="13" t="s">
        <v>28</v>
      </c>
      <c r="S1076" s="13"/>
      <c r="T1076" s="13"/>
      <c r="U1076" s="13" t="s">
        <v>1771</v>
      </c>
      <c r="V1076" s="13" t="s">
        <v>1771</v>
      </c>
      <c r="W1076" s="59">
        <f t="shared" si="16"/>
        <v>1.8331668924891206E-4</v>
      </c>
    </row>
    <row r="1077" spans="1:29">
      <c r="A1077" s="13" t="s">
        <v>209</v>
      </c>
      <c r="B1077" s="13" t="s">
        <v>471</v>
      </c>
      <c r="C1077" s="139">
        <v>46280</v>
      </c>
      <c r="D1077" s="139" t="s">
        <v>441</v>
      </c>
      <c r="E1077" s="28">
        <v>0.96460060000000003</v>
      </c>
      <c r="F1077" s="13"/>
      <c r="G1077" s="18">
        <v>32857753.120000001</v>
      </c>
      <c r="H1077" s="18">
        <v>31694608.370000001</v>
      </c>
      <c r="I1077" s="18">
        <v>32857753.120000001</v>
      </c>
      <c r="J1077" s="18">
        <v>31694608.370000001</v>
      </c>
      <c r="K1077" s="15">
        <v>89</v>
      </c>
      <c r="L1077" s="13" t="s">
        <v>102</v>
      </c>
      <c r="M1077" s="13" t="s">
        <v>103</v>
      </c>
      <c r="N1077" s="139" t="s">
        <v>382</v>
      </c>
      <c r="O1077" s="139" t="s">
        <v>382</v>
      </c>
      <c r="P1077" s="28">
        <v>23.5</v>
      </c>
      <c r="Q1077" s="13" t="s">
        <v>54</v>
      </c>
      <c r="R1077" s="13" t="s">
        <v>28</v>
      </c>
      <c r="S1077" s="13"/>
      <c r="T1077" s="13"/>
      <c r="U1077" s="13" t="s">
        <v>2397</v>
      </c>
      <c r="V1077" s="13" t="s">
        <v>2397</v>
      </c>
      <c r="W1077" s="59">
        <f t="shared" si="16"/>
        <v>6.05513137036921E-4</v>
      </c>
    </row>
    <row r="1078" spans="1:29">
      <c r="A1078" s="13" t="s">
        <v>472</v>
      </c>
      <c r="B1078" s="13" t="s">
        <v>471</v>
      </c>
      <c r="C1078" s="139">
        <v>46280</v>
      </c>
      <c r="D1078" s="139" t="s">
        <v>441</v>
      </c>
      <c r="E1078" s="28">
        <v>0.95524732999999995</v>
      </c>
      <c r="F1078" s="13"/>
      <c r="G1078" s="18">
        <v>10000000</v>
      </c>
      <c r="H1078" s="18">
        <v>9552473.2899999991</v>
      </c>
      <c r="I1078" s="18">
        <v>10000000</v>
      </c>
      <c r="J1078" s="18">
        <v>9552473.2899999991</v>
      </c>
      <c r="K1078" s="15">
        <v>638</v>
      </c>
      <c r="L1078" s="13" t="s">
        <v>102</v>
      </c>
      <c r="M1078" s="13" t="s">
        <v>103</v>
      </c>
      <c r="N1078" s="139" t="s">
        <v>389</v>
      </c>
      <c r="O1078" s="139" t="s">
        <v>389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1607</v>
      </c>
      <c r="V1078" s="13" t="s">
        <v>1607</v>
      </c>
      <c r="W1078" s="59">
        <f t="shared" si="16"/>
        <v>1.8249627825545829E-4</v>
      </c>
    </row>
    <row r="1079" spans="1:29">
      <c r="A1079" s="13" t="s">
        <v>481</v>
      </c>
      <c r="B1079" s="13" t="s">
        <v>471</v>
      </c>
      <c r="C1079" s="139">
        <v>46280</v>
      </c>
      <c r="D1079" s="139" t="s">
        <v>441</v>
      </c>
      <c r="E1079" s="28">
        <v>0.94398201999999998</v>
      </c>
      <c r="F1079" s="13"/>
      <c r="G1079" s="18">
        <v>25000000</v>
      </c>
      <c r="H1079" s="18">
        <v>23599550.489999998</v>
      </c>
      <c r="I1079" s="18">
        <v>25000000</v>
      </c>
      <c r="J1079" s="18">
        <v>23599550.489999998</v>
      </c>
      <c r="K1079" s="15">
        <v>155476</v>
      </c>
      <c r="L1079" s="13" t="s">
        <v>102</v>
      </c>
      <c r="M1079" s="13" t="s">
        <v>103</v>
      </c>
      <c r="N1079" s="139" t="s">
        <v>494</v>
      </c>
      <c r="O1079" s="139" t="s">
        <v>494</v>
      </c>
      <c r="P1079" s="28">
        <v>38</v>
      </c>
      <c r="Q1079" s="13" t="s">
        <v>54</v>
      </c>
      <c r="R1079" s="13" t="s">
        <v>28</v>
      </c>
      <c r="S1079" s="13"/>
      <c r="T1079" s="13"/>
      <c r="U1079" s="13" t="s">
        <v>1988</v>
      </c>
      <c r="V1079" s="13" t="s">
        <v>1988</v>
      </c>
      <c r="W1079" s="59">
        <f t="shared" si="16"/>
        <v>4.5086021202858309E-4</v>
      </c>
    </row>
    <row r="1080" spans="1:29">
      <c r="A1080" s="13" t="s">
        <v>432</v>
      </c>
      <c r="B1080" s="13" t="s">
        <v>471</v>
      </c>
      <c r="C1080" s="139">
        <v>46280</v>
      </c>
      <c r="D1080" s="139" t="s">
        <v>441</v>
      </c>
      <c r="E1080" s="28">
        <v>0.94537554000000001</v>
      </c>
      <c r="F1080" s="13"/>
      <c r="G1080" s="18">
        <v>2687954.26</v>
      </c>
      <c r="H1080" s="18">
        <v>2541126.21</v>
      </c>
      <c r="I1080" s="18">
        <v>2687954.26</v>
      </c>
      <c r="J1080" s="18">
        <v>2541126.21</v>
      </c>
      <c r="K1080" s="15">
        <v>2818</v>
      </c>
      <c r="L1080" s="13" t="s">
        <v>102</v>
      </c>
      <c r="M1080" s="13" t="s">
        <v>103</v>
      </c>
      <c r="N1080" s="139" t="s">
        <v>402</v>
      </c>
      <c r="O1080" s="139" t="s">
        <v>402</v>
      </c>
      <c r="P1080" s="28">
        <v>37</v>
      </c>
      <c r="Q1080" s="13" t="s">
        <v>54</v>
      </c>
      <c r="R1080" s="13" t="s">
        <v>28</v>
      </c>
      <c r="S1080" s="13"/>
      <c r="T1080" s="13"/>
      <c r="U1080" s="13" t="s">
        <v>1890</v>
      </c>
      <c r="V1080" s="13" t="s">
        <v>1890</v>
      </c>
      <c r="W1080" s="59">
        <f t="shared" si="16"/>
        <v>4.85472256057361E-5</v>
      </c>
    </row>
    <row r="1081" spans="1:29">
      <c r="A1081" s="13" t="s">
        <v>2202</v>
      </c>
      <c r="B1081" s="13" t="s">
        <v>471</v>
      </c>
      <c r="C1081" s="139">
        <v>46280</v>
      </c>
      <c r="D1081" s="139" t="s">
        <v>441</v>
      </c>
      <c r="E1081" s="28">
        <v>0.95240599999999997</v>
      </c>
      <c r="F1081" s="13"/>
      <c r="G1081" s="18">
        <v>3580581.29</v>
      </c>
      <c r="H1081" s="18">
        <v>3410167.09</v>
      </c>
      <c r="I1081" s="18">
        <v>3580581.29</v>
      </c>
      <c r="J1081" s="18">
        <v>3410167.09</v>
      </c>
      <c r="K1081" s="15">
        <v>10030703</v>
      </c>
      <c r="L1081" s="13" t="s">
        <v>102</v>
      </c>
      <c r="M1081" s="13" t="s">
        <v>103</v>
      </c>
      <c r="N1081" s="139" t="s">
        <v>495</v>
      </c>
      <c r="O1081" s="139" t="s">
        <v>495</v>
      </c>
      <c r="P1081" s="28">
        <v>32</v>
      </c>
      <c r="Q1081" s="13" t="s">
        <v>54</v>
      </c>
      <c r="R1081" s="13" t="s">
        <v>28</v>
      </c>
      <c r="S1081" s="13"/>
      <c r="T1081" s="13"/>
      <c r="U1081" s="13" t="s">
        <v>2153</v>
      </c>
      <c r="V1081" s="13" t="s">
        <v>2153</v>
      </c>
      <c r="W1081" s="59">
        <f t="shared" si="16"/>
        <v>6.5149912829983581E-5</v>
      </c>
    </row>
    <row r="1082" spans="1:29">
      <c r="A1082" s="13" t="s">
        <v>461</v>
      </c>
      <c r="B1082" s="13" t="s">
        <v>471</v>
      </c>
      <c r="C1082" s="139">
        <v>46280</v>
      </c>
      <c r="D1082" s="139" t="s">
        <v>441</v>
      </c>
      <c r="E1082" s="28">
        <v>0.94958127000000003</v>
      </c>
      <c r="F1082" s="13"/>
      <c r="G1082" s="18">
        <v>42000000</v>
      </c>
      <c r="H1082" s="18">
        <v>39882413.359999999</v>
      </c>
      <c r="I1082" s="18">
        <v>42000000</v>
      </c>
      <c r="J1082" s="18">
        <v>39882413.359999999</v>
      </c>
      <c r="K1082" s="15">
        <v>179</v>
      </c>
      <c r="L1082" s="13" t="s">
        <v>102</v>
      </c>
      <c r="M1082" s="13" t="s">
        <v>103</v>
      </c>
      <c r="N1082" s="139" t="s">
        <v>400</v>
      </c>
      <c r="O1082" s="139" t="s">
        <v>400</v>
      </c>
      <c r="P1082" s="28">
        <v>34</v>
      </c>
      <c r="Q1082" s="13" t="s">
        <v>54</v>
      </c>
      <c r="R1082" s="13" t="s">
        <v>28</v>
      </c>
      <c r="S1082" s="13"/>
      <c r="T1082" s="13"/>
      <c r="U1082" s="13" t="s">
        <v>1535</v>
      </c>
      <c r="V1082" s="13" t="s">
        <v>1535</v>
      </c>
      <c r="W1082" s="59">
        <f t="shared" si="16"/>
        <v>7.619379594251414E-4</v>
      </c>
    </row>
    <row r="1083" spans="1:29">
      <c r="A1083" s="13" t="s">
        <v>1862</v>
      </c>
      <c r="B1083" s="13" t="s">
        <v>471</v>
      </c>
      <c r="C1083" s="139">
        <v>46280</v>
      </c>
      <c r="D1083" s="139" t="s">
        <v>441</v>
      </c>
      <c r="E1083" s="28">
        <v>0.95882325000000002</v>
      </c>
      <c r="F1083" s="13"/>
      <c r="G1083" s="18">
        <v>25000000</v>
      </c>
      <c r="H1083" s="18">
        <v>23970581.34</v>
      </c>
      <c r="I1083" s="18">
        <v>25000000</v>
      </c>
      <c r="J1083" s="18">
        <v>23970581.34</v>
      </c>
      <c r="K1083" s="15">
        <v>325</v>
      </c>
      <c r="L1083" s="13" t="s">
        <v>102</v>
      </c>
      <c r="M1083" s="13" t="s">
        <v>103</v>
      </c>
      <c r="N1083" s="139" t="s">
        <v>493</v>
      </c>
      <c r="O1083" s="139" t="s">
        <v>493</v>
      </c>
      <c r="P1083" s="28">
        <v>27.5</v>
      </c>
      <c r="Q1083" s="13" t="s">
        <v>54</v>
      </c>
      <c r="R1083" s="13" t="s">
        <v>28</v>
      </c>
      <c r="S1083" s="13"/>
      <c r="T1083" s="13"/>
      <c r="U1083" s="13" t="s">
        <v>1967</v>
      </c>
      <c r="V1083" s="13" t="s">
        <v>1967</v>
      </c>
      <c r="W1083" s="59">
        <f t="shared" si="16"/>
        <v>4.5794861177463043E-4</v>
      </c>
    </row>
    <row r="1084" spans="1:29">
      <c r="A1084" s="13" t="s">
        <v>323</v>
      </c>
      <c r="B1084" s="13" t="s">
        <v>471</v>
      </c>
      <c r="C1084" s="139">
        <v>46280</v>
      </c>
      <c r="D1084" s="139" t="s">
        <v>441</v>
      </c>
      <c r="E1084" s="28">
        <v>0.96242596000000002</v>
      </c>
      <c r="F1084" s="13"/>
      <c r="G1084" s="18">
        <v>5000000</v>
      </c>
      <c r="H1084" s="18">
        <v>4812129.82</v>
      </c>
      <c r="I1084" s="18">
        <v>5000000</v>
      </c>
      <c r="J1084" s="18">
        <v>4812129.82</v>
      </c>
      <c r="K1084" s="15">
        <v>8742</v>
      </c>
      <c r="L1084" s="13" t="s">
        <v>102</v>
      </c>
      <c r="M1084" s="13" t="s">
        <v>103</v>
      </c>
      <c r="N1084" s="139" t="s">
        <v>382</v>
      </c>
      <c r="O1084" s="139" t="s">
        <v>382</v>
      </c>
      <c r="P1084" s="28">
        <v>25</v>
      </c>
      <c r="Q1084" s="13" t="s">
        <v>54</v>
      </c>
      <c r="R1084" s="13" t="s">
        <v>28</v>
      </c>
      <c r="S1084" s="13"/>
      <c r="T1084" s="13"/>
      <c r="U1084" s="13" t="s">
        <v>2380</v>
      </c>
      <c r="V1084" s="13" t="s">
        <v>2380</v>
      </c>
      <c r="W1084" s="59">
        <f t="shared" si="16"/>
        <v>9.193386424345694E-5</v>
      </c>
    </row>
    <row r="1085" spans="1:29">
      <c r="A1085" s="13" t="s">
        <v>1516</v>
      </c>
      <c r="B1085" s="13" t="s">
        <v>471</v>
      </c>
      <c r="C1085" s="139">
        <v>46280</v>
      </c>
      <c r="D1085" s="139" t="s">
        <v>441</v>
      </c>
      <c r="E1085" s="28">
        <v>0.94398194999999996</v>
      </c>
      <c r="F1085" s="13"/>
      <c r="G1085" s="18">
        <v>60000000</v>
      </c>
      <c r="H1085" s="18">
        <v>56638917.25</v>
      </c>
      <c r="I1085" s="18">
        <v>60000000</v>
      </c>
      <c r="J1085" s="18">
        <v>56638917.25</v>
      </c>
      <c r="K1085" s="15">
        <v>70379071</v>
      </c>
      <c r="L1085" s="13" t="s">
        <v>102</v>
      </c>
      <c r="M1085" s="13" t="s">
        <v>103</v>
      </c>
      <c r="N1085" s="139" t="s">
        <v>383</v>
      </c>
      <c r="O1085" s="139" t="s">
        <v>383</v>
      </c>
      <c r="P1085" s="28">
        <v>38</v>
      </c>
      <c r="Q1085" s="13" t="s">
        <v>54</v>
      </c>
      <c r="R1085" s="13" t="s">
        <v>28</v>
      </c>
      <c r="S1085" s="13"/>
      <c r="T1085" s="13"/>
      <c r="U1085" s="13" t="s">
        <v>1675</v>
      </c>
      <c r="V1085" s="13" t="s">
        <v>1675</v>
      </c>
      <c r="W1085" s="59">
        <f t="shared" si="16"/>
        <v>1.0820644338639001E-3</v>
      </c>
    </row>
    <row r="1086" spans="1:29">
      <c r="A1086" s="13" t="s">
        <v>1657</v>
      </c>
      <c r="B1086" s="13" t="s">
        <v>471</v>
      </c>
      <c r="C1086" s="139">
        <v>46280</v>
      </c>
      <c r="D1086" s="139" t="s">
        <v>441</v>
      </c>
      <c r="E1086" s="28">
        <v>0.95524737000000004</v>
      </c>
      <c r="F1086" s="13"/>
      <c r="G1086" s="18">
        <v>2700000</v>
      </c>
      <c r="H1086" s="18">
        <v>2579167.91</v>
      </c>
      <c r="I1086" s="18">
        <v>2700000</v>
      </c>
      <c r="J1086" s="18">
        <v>2579167.91</v>
      </c>
      <c r="K1086" s="15">
        <v>6277</v>
      </c>
      <c r="L1086" s="13" t="s">
        <v>102</v>
      </c>
      <c r="M1086" s="13" t="s">
        <v>103</v>
      </c>
      <c r="N1086" s="139" t="s">
        <v>170</v>
      </c>
      <c r="O1086" s="139" t="s">
        <v>170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1626</v>
      </c>
      <c r="V1086" s="13" t="s">
        <v>1626</v>
      </c>
      <c r="W1086" s="59">
        <f t="shared" si="16"/>
        <v>4.9273997454004802E-5</v>
      </c>
      <c r="AC1086" s="56"/>
    </row>
    <row r="1087" spans="1:29">
      <c r="A1087" s="13" t="s">
        <v>344</v>
      </c>
      <c r="B1087" s="13" t="s">
        <v>471</v>
      </c>
      <c r="C1087" s="139">
        <v>46280</v>
      </c>
      <c r="D1087" s="139" t="s">
        <v>441</v>
      </c>
      <c r="E1087" s="28">
        <v>0.95810583999999999</v>
      </c>
      <c r="F1087" s="13"/>
      <c r="G1087" s="18">
        <v>500000000</v>
      </c>
      <c r="H1087" s="18">
        <v>479052920.39999998</v>
      </c>
      <c r="I1087" s="18">
        <v>500000000</v>
      </c>
      <c r="J1087" s="18">
        <v>479052920.39999998</v>
      </c>
      <c r="K1087" s="15">
        <v>156966</v>
      </c>
      <c r="L1087" s="13" t="s">
        <v>102</v>
      </c>
      <c r="M1087" s="13" t="s">
        <v>103</v>
      </c>
      <c r="N1087" s="139" t="s">
        <v>388</v>
      </c>
      <c r="O1087" s="139" t="s">
        <v>388</v>
      </c>
      <c r="P1087" s="28">
        <v>28</v>
      </c>
      <c r="Q1087" s="13" t="s">
        <v>54</v>
      </c>
      <c r="R1087" s="13" t="s">
        <v>28</v>
      </c>
      <c r="S1087" s="13"/>
      <c r="T1087" s="13"/>
      <c r="U1087" s="13" t="s">
        <v>2233</v>
      </c>
      <c r="V1087" s="13" t="s">
        <v>2233</v>
      </c>
      <c r="W1087" s="59">
        <f t="shared" si="16"/>
        <v>9.1521192895592293E-3</v>
      </c>
      <c r="AC1087" s="56"/>
    </row>
    <row r="1088" spans="1:29">
      <c r="A1088" s="13" t="s">
        <v>1597</v>
      </c>
      <c r="B1088" s="13" t="s">
        <v>471</v>
      </c>
      <c r="C1088" s="139">
        <v>46280</v>
      </c>
      <c r="D1088" s="139" t="s">
        <v>441</v>
      </c>
      <c r="E1088" s="28">
        <v>0.95099138999999999</v>
      </c>
      <c r="F1088" s="13"/>
      <c r="G1088" s="18">
        <v>19470985</v>
      </c>
      <c r="H1088" s="18">
        <v>18516739.059999999</v>
      </c>
      <c r="I1088" s="18">
        <v>19470985</v>
      </c>
      <c r="J1088" s="18">
        <v>18516739.059999999</v>
      </c>
      <c r="K1088" s="15">
        <v>1064</v>
      </c>
      <c r="L1088" s="13" t="s">
        <v>102</v>
      </c>
      <c r="M1088" s="13" t="s">
        <v>103</v>
      </c>
      <c r="N1088" s="139" t="s">
        <v>389</v>
      </c>
      <c r="O1088" s="139" t="s">
        <v>389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1598</v>
      </c>
      <c r="V1088" s="13" t="s">
        <v>1598</v>
      </c>
      <c r="W1088" s="59">
        <f t="shared" si="16"/>
        <v>3.5375508114898622E-4</v>
      </c>
      <c r="AC1088"/>
    </row>
    <row r="1089" spans="1:29">
      <c r="A1089" s="13" t="s">
        <v>1594</v>
      </c>
      <c r="B1089" s="13" t="s">
        <v>471</v>
      </c>
      <c r="C1089" s="139">
        <v>46280</v>
      </c>
      <c r="D1089" s="139" t="s">
        <v>441</v>
      </c>
      <c r="E1089" s="28">
        <v>0.95524732000000001</v>
      </c>
      <c r="F1089" s="13"/>
      <c r="G1089" s="18">
        <v>2500000</v>
      </c>
      <c r="H1089" s="18">
        <v>2388118.2999999998</v>
      </c>
      <c r="I1089" s="18">
        <v>2500000</v>
      </c>
      <c r="J1089" s="18">
        <v>2388118.2999999998</v>
      </c>
      <c r="K1089" s="15">
        <v>346</v>
      </c>
      <c r="L1089" s="13" t="s">
        <v>102</v>
      </c>
      <c r="M1089" s="13" t="s">
        <v>103</v>
      </c>
      <c r="N1089" s="139" t="s">
        <v>388</v>
      </c>
      <c r="O1089" s="139" t="s">
        <v>388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2253</v>
      </c>
      <c r="V1089" s="13" t="s">
        <v>2253</v>
      </c>
      <c r="W1089" s="59">
        <f t="shared" si="16"/>
        <v>4.5624069134010842E-5</v>
      </c>
    </row>
    <row r="1090" spans="1:29">
      <c r="A1090" s="13" t="s">
        <v>2238</v>
      </c>
      <c r="B1090" s="13" t="s">
        <v>471</v>
      </c>
      <c r="C1090" s="139">
        <v>46280</v>
      </c>
      <c r="D1090" s="139" t="s">
        <v>441</v>
      </c>
      <c r="E1090" s="28">
        <v>0.95524741999999996</v>
      </c>
      <c r="F1090" s="13"/>
      <c r="G1090" s="18">
        <v>1579238.43</v>
      </c>
      <c r="H1090" s="18">
        <v>1508563.44</v>
      </c>
      <c r="I1090" s="18">
        <v>1579238.43</v>
      </c>
      <c r="J1090" s="18">
        <v>1508563.44</v>
      </c>
      <c r="K1090" s="15">
        <v>1564</v>
      </c>
      <c r="L1090" s="13" t="s">
        <v>102</v>
      </c>
      <c r="M1090" s="13" t="s">
        <v>103</v>
      </c>
      <c r="N1090" s="139" t="s">
        <v>441</v>
      </c>
      <c r="O1090" s="139" t="s">
        <v>441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2478</v>
      </c>
      <c r="V1090" s="13" t="s">
        <v>2478</v>
      </c>
      <c r="W1090" s="59">
        <f t="shared" si="16"/>
        <v>2.8820516420648515E-5</v>
      </c>
    </row>
    <row r="1091" spans="1:29">
      <c r="A1091" s="13" t="s">
        <v>1107</v>
      </c>
      <c r="B1091" s="13" t="s">
        <v>471</v>
      </c>
      <c r="C1091" s="139">
        <v>46281</v>
      </c>
      <c r="D1091" s="139" t="s">
        <v>441</v>
      </c>
      <c r="E1091" s="28">
        <v>0.95017441999999996</v>
      </c>
      <c r="F1091" s="13"/>
      <c r="G1091" s="18">
        <v>1070000</v>
      </c>
      <c r="H1091" s="18">
        <v>1016686.63</v>
      </c>
      <c r="I1091" s="18">
        <v>1070000</v>
      </c>
      <c r="J1091" s="18">
        <v>1016686.63</v>
      </c>
      <c r="K1091" s="15">
        <v>479</v>
      </c>
      <c r="L1091" s="13" t="s">
        <v>102</v>
      </c>
      <c r="M1091" s="13" t="s">
        <v>103</v>
      </c>
      <c r="N1091" s="139" t="s">
        <v>392</v>
      </c>
      <c r="O1091" s="139" t="s">
        <v>392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2266</v>
      </c>
      <c r="V1091" s="13" t="s">
        <v>2266</v>
      </c>
      <c r="W1091" s="59">
        <f t="shared" si="16"/>
        <v>1.9423401719564942E-5</v>
      </c>
    </row>
    <row r="1092" spans="1:29">
      <c r="A1092" s="13" t="s">
        <v>1107</v>
      </c>
      <c r="B1092" s="13" t="s">
        <v>471</v>
      </c>
      <c r="C1092" s="139">
        <v>46281</v>
      </c>
      <c r="D1092" s="139" t="s">
        <v>441</v>
      </c>
      <c r="E1092" s="28">
        <v>0.95017441999999996</v>
      </c>
      <c r="F1092" s="13"/>
      <c r="G1092" s="18">
        <v>1070000</v>
      </c>
      <c r="H1092" s="18">
        <v>1016686.63</v>
      </c>
      <c r="I1092" s="18">
        <v>1070000</v>
      </c>
      <c r="J1092" s="18">
        <v>1016686.63</v>
      </c>
      <c r="K1092" s="15">
        <v>480</v>
      </c>
      <c r="L1092" s="13" t="s">
        <v>102</v>
      </c>
      <c r="M1092" s="13" t="s">
        <v>103</v>
      </c>
      <c r="N1092" s="139" t="s">
        <v>392</v>
      </c>
      <c r="O1092" s="139" t="s">
        <v>392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2267</v>
      </c>
      <c r="V1092" s="13" t="s">
        <v>2267</v>
      </c>
      <c r="W1092" s="59">
        <f t="shared" si="16"/>
        <v>1.9423401719564942E-5</v>
      </c>
    </row>
    <row r="1093" spans="1:29">
      <c r="A1093" s="13" t="s">
        <v>1107</v>
      </c>
      <c r="B1093" s="13" t="s">
        <v>471</v>
      </c>
      <c r="C1093" s="139">
        <v>46281</v>
      </c>
      <c r="D1093" s="139" t="s">
        <v>441</v>
      </c>
      <c r="E1093" s="28">
        <v>0.95017441999999996</v>
      </c>
      <c r="F1093" s="13"/>
      <c r="G1093" s="18">
        <v>1200000</v>
      </c>
      <c r="H1093" s="18">
        <v>1140209.31</v>
      </c>
      <c r="I1093" s="18">
        <v>1200000</v>
      </c>
      <c r="J1093" s="18">
        <v>1140209.31</v>
      </c>
      <c r="K1093" s="15">
        <v>481</v>
      </c>
      <c r="L1093" s="13" t="s">
        <v>102</v>
      </c>
      <c r="M1093" s="13" t="s">
        <v>103</v>
      </c>
      <c r="N1093" s="139" t="s">
        <v>392</v>
      </c>
      <c r="O1093" s="139" t="s">
        <v>392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2268</v>
      </c>
      <c r="V1093" s="13" t="s">
        <v>2268</v>
      </c>
      <c r="W1093" s="59">
        <f t="shared" ref="W1093:W1156" si="17">+J1093/$W$2</f>
        <v>2.1783254366704869E-5</v>
      </c>
    </row>
    <row r="1094" spans="1:29">
      <c r="A1094" s="13" t="s">
        <v>1159</v>
      </c>
      <c r="B1094" s="13" t="s">
        <v>471</v>
      </c>
      <c r="C1094" s="139">
        <v>46281</v>
      </c>
      <c r="D1094" s="139" t="s">
        <v>441</v>
      </c>
      <c r="E1094" s="28">
        <v>0.95017446000000005</v>
      </c>
      <c r="F1094" s="13"/>
      <c r="G1094" s="18">
        <v>3424300</v>
      </c>
      <c r="H1094" s="18">
        <v>3253682.41</v>
      </c>
      <c r="I1094" s="18">
        <v>3424300</v>
      </c>
      <c r="J1094" s="18">
        <v>3253682.41</v>
      </c>
      <c r="K1094" s="15">
        <v>1391</v>
      </c>
      <c r="L1094" s="13" t="s">
        <v>102</v>
      </c>
      <c r="M1094" s="13" t="s">
        <v>103</v>
      </c>
      <c r="N1094" s="139" t="s">
        <v>458</v>
      </c>
      <c r="O1094" s="139" t="s">
        <v>458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1160</v>
      </c>
      <c r="V1094" s="13" t="s">
        <v>1160</v>
      </c>
      <c r="W1094" s="59">
        <f t="shared" si="17"/>
        <v>6.2160334022797378E-5</v>
      </c>
      <c r="AC1094" s="56"/>
    </row>
    <row r="1095" spans="1:29">
      <c r="A1095" s="13" t="s">
        <v>1461</v>
      </c>
      <c r="B1095" s="13" t="s">
        <v>471</v>
      </c>
      <c r="C1095" s="139">
        <v>46281</v>
      </c>
      <c r="D1095" s="139" t="s">
        <v>441</v>
      </c>
      <c r="E1095" s="28">
        <v>0.95161130000000005</v>
      </c>
      <c r="F1095" s="13"/>
      <c r="G1095" s="18">
        <v>13000000</v>
      </c>
      <c r="H1095" s="18">
        <v>12370946.939999999</v>
      </c>
      <c r="I1095" s="18">
        <v>13000000</v>
      </c>
      <c r="J1095" s="18">
        <v>12370946.939999999</v>
      </c>
      <c r="K1095" s="15">
        <v>547</v>
      </c>
      <c r="L1095" s="13" t="s">
        <v>102</v>
      </c>
      <c r="M1095" s="13" t="s">
        <v>103</v>
      </c>
      <c r="N1095" s="139" t="s">
        <v>373</v>
      </c>
      <c r="O1095" s="139" t="s">
        <v>373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1463</v>
      </c>
      <c r="V1095" s="13" t="s">
        <v>1463</v>
      </c>
      <c r="W1095" s="59">
        <f t="shared" si="17"/>
        <v>2.3634211858086757E-4</v>
      </c>
    </row>
    <row r="1096" spans="1:29">
      <c r="A1096" s="13" t="s">
        <v>486</v>
      </c>
      <c r="B1096" s="13" t="s">
        <v>471</v>
      </c>
      <c r="C1096" s="139">
        <v>46281</v>
      </c>
      <c r="D1096" s="139" t="s">
        <v>441</v>
      </c>
      <c r="E1096" s="28">
        <v>0.95161130000000005</v>
      </c>
      <c r="F1096" s="13"/>
      <c r="G1096" s="18">
        <v>15355310.449999999</v>
      </c>
      <c r="H1096" s="18">
        <v>14612286.99</v>
      </c>
      <c r="I1096" s="18">
        <v>15355310.449999999</v>
      </c>
      <c r="J1096" s="18">
        <v>14612286.99</v>
      </c>
      <c r="K1096" s="15">
        <v>30745</v>
      </c>
      <c r="L1096" s="13" t="s">
        <v>102</v>
      </c>
      <c r="M1096" s="13" t="s">
        <v>103</v>
      </c>
      <c r="N1096" s="139" t="s">
        <v>373</v>
      </c>
      <c r="O1096" s="139" t="s">
        <v>373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1426</v>
      </c>
      <c r="V1096" s="13" t="s">
        <v>1426</v>
      </c>
      <c r="W1096" s="59">
        <f t="shared" si="17"/>
        <v>2.7916204646887352E-4</v>
      </c>
    </row>
    <row r="1097" spans="1:29">
      <c r="A1097" s="13" t="s">
        <v>403</v>
      </c>
      <c r="B1097" s="13" t="s">
        <v>471</v>
      </c>
      <c r="C1097" s="139">
        <v>46281</v>
      </c>
      <c r="D1097" s="139" t="s">
        <v>441</v>
      </c>
      <c r="E1097" s="28">
        <v>0.95161130000000005</v>
      </c>
      <c r="F1097" s="13"/>
      <c r="G1097" s="18">
        <v>10000000</v>
      </c>
      <c r="H1097" s="18">
        <v>9516113.0299999993</v>
      </c>
      <c r="I1097" s="18">
        <v>10000000</v>
      </c>
      <c r="J1097" s="18">
        <v>9516113.0299999993</v>
      </c>
      <c r="K1097" s="15">
        <v>13795877</v>
      </c>
      <c r="L1097" s="13" t="s">
        <v>102</v>
      </c>
      <c r="M1097" s="13" t="s">
        <v>103</v>
      </c>
      <c r="N1097" s="139" t="s">
        <v>373</v>
      </c>
      <c r="O1097" s="139" t="s">
        <v>373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1417</v>
      </c>
      <c r="V1097" s="13" t="s">
        <v>1417</v>
      </c>
      <c r="W1097" s="59">
        <f t="shared" si="17"/>
        <v>1.818016296628946E-4</v>
      </c>
    </row>
    <row r="1098" spans="1:29">
      <c r="A1098" s="13" t="s">
        <v>403</v>
      </c>
      <c r="B1098" s="13" t="s">
        <v>471</v>
      </c>
      <c r="C1098" s="139">
        <v>46281</v>
      </c>
      <c r="D1098" s="139" t="s">
        <v>441</v>
      </c>
      <c r="E1098" s="28">
        <v>0.95017454999999995</v>
      </c>
      <c r="F1098" s="13"/>
      <c r="G1098" s="18">
        <v>40000000</v>
      </c>
      <c r="H1098" s="18">
        <v>38006982.079999998</v>
      </c>
      <c r="I1098" s="18">
        <v>40000000</v>
      </c>
      <c r="J1098" s="18">
        <v>38006982.079999998</v>
      </c>
      <c r="K1098" s="15">
        <v>13662782</v>
      </c>
      <c r="L1098" s="13" t="s">
        <v>102</v>
      </c>
      <c r="M1098" s="13" t="s">
        <v>103</v>
      </c>
      <c r="N1098" s="139" t="s">
        <v>319</v>
      </c>
      <c r="O1098" s="139" t="s">
        <v>319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1253</v>
      </c>
      <c r="V1098" s="13" t="s">
        <v>1253</v>
      </c>
      <c r="W1098" s="59">
        <f t="shared" si="17"/>
        <v>7.261085759415818E-4</v>
      </c>
    </row>
    <row r="1099" spans="1:29">
      <c r="A1099" s="13" t="s">
        <v>371</v>
      </c>
      <c r="B1099" s="13" t="s">
        <v>471</v>
      </c>
      <c r="C1099" s="139">
        <v>46281</v>
      </c>
      <c r="D1099" s="139" t="s">
        <v>441</v>
      </c>
      <c r="E1099" s="28">
        <v>0.94874199999999997</v>
      </c>
      <c r="F1099" s="13"/>
      <c r="G1099" s="18">
        <v>22500000</v>
      </c>
      <c r="H1099" s="18">
        <v>21346695.02</v>
      </c>
      <c r="I1099" s="18">
        <v>22500000</v>
      </c>
      <c r="J1099" s="18">
        <v>21346695.02</v>
      </c>
      <c r="K1099" s="15">
        <v>90000088</v>
      </c>
      <c r="L1099" s="13" t="s">
        <v>102</v>
      </c>
      <c r="M1099" s="13" t="s">
        <v>103</v>
      </c>
      <c r="N1099" s="139" t="s">
        <v>362</v>
      </c>
      <c r="O1099" s="139" t="s">
        <v>362</v>
      </c>
      <c r="P1099" s="28">
        <v>34</v>
      </c>
      <c r="Q1099" s="13" t="s">
        <v>54</v>
      </c>
      <c r="R1099" s="13" t="s">
        <v>28</v>
      </c>
      <c r="S1099" s="13"/>
      <c r="T1099" s="13"/>
      <c r="U1099" s="13" t="s">
        <v>1104</v>
      </c>
      <c r="V1099" s="13" t="s">
        <v>1104</v>
      </c>
      <c r="W1099" s="59">
        <f t="shared" si="17"/>
        <v>4.0782028653066517E-4</v>
      </c>
    </row>
    <row r="1100" spans="1:29">
      <c r="A1100" s="13" t="s">
        <v>582</v>
      </c>
      <c r="B1100" s="13" t="s">
        <v>471</v>
      </c>
      <c r="C1100" s="139">
        <v>46281</v>
      </c>
      <c r="D1100" s="139" t="s">
        <v>441</v>
      </c>
      <c r="E1100" s="28">
        <v>0.94023699999999999</v>
      </c>
      <c r="F1100" s="13"/>
      <c r="G1100" s="18">
        <v>9974100</v>
      </c>
      <c r="H1100" s="18">
        <v>9378017.8900000006</v>
      </c>
      <c r="I1100" s="18">
        <v>9974100</v>
      </c>
      <c r="J1100" s="18">
        <v>9378017.8900000006</v>
      </c>
      <c r="K1100" s="15">
        <v>1179211</v>
      </c>
      <c r="L1100" s="13" t="s">
        <v>102</v>
      </c>
      <c r="M1100" s="13" t="s">
        <v>103</v>
      </c>
      <c r="N1100" s="139" t="s">
        <v>346</v>
      </c>
      <c r="O1100" s="139" t="s">
        <v>346</v>
      </c>
      <c r="P1100" s="28">
        <v>40</v>
      </c>
      <c r="Q1100" s="13" t="s">
        <v>54</v>
      </c>
      <c r="R1100" s="13" t="s">
        <v>28</v>
      </c>
      <c r="S1100" s="13"/>
      <c r="T1100" s="13"/>
      <c r="U1100" s="13" t="s">
        <v>556</v>
      </c>
      <c r="V1100" s="13" t="s">
        <v>556</v>
      </c>
      <c r="W1100" s="59">
        <f t="shared" si="17"/>
        <v>1.7916337584840354E-4</v>
      </c>
    </row>
    <row r="1101" spans="1:29">
      <c r="A1101" s="13" t="s">
        <v>582</v>
      </c>
      <c r="B1101" s="13" t="s">
        <v>471</v>
      </c>
      <c r="C1101" s="139">
        <v>46281</v>
      </c>
      <c r="D1101" s="139" t="s">
        <v>441</v>
      </c>
      <c r="E1101" s="28">
        <v>0.94023699999999999</v>
      </c>
      <c r="F1101" s="13"/>
      <c r="G1101" s="18">
        <v>9973400</v>
      </c>
      <c r="H1101" s="18">
        <v>9377359.7200000007</v>
      </c>
      <c r="I1101" s="18">
        <v>9973400</v>
      </c>
      <c r="J1101" s="18">
        <v>9377359.7200000007</v>
      </c>
      <c r="K1101" s="15">
        <v>1179210</v>
      </c>
      <c r="L1101" s="13" t="s">
        <v>102</v>
      </c>
      <c r="M1101" s="13" t="s">
        <v>103</v>
      </c>
      <c r="N1101" s="139" t="s">
        <v>346</v>
      </c>
      <c r="O1101" s="139" t="s">
        <v>346</v>
      </c>
      <c r="P1101" s="28">
        <v>40</v>
      </c>
      <c r="Q1101" s="13" t="s">
        <v>54</v>
      </c>
      <c r="R1101" s="13" t="s">
        <v>28</v>
      </c>
      <c r="S1101" s="13"/>
      <c r="T1101" s="13"/>
      <c r="U1101" s="13" t="s">
        <v>564</v>
      </c>
      <c r="V1101" s="13" t="s">
        <v>564</v>
      </c>
      <c r="W1101" s="59">
        <f t="shared" si="17"/>
        <v>1.791508017671355E-4</v>
      </c>
    </row>
    <row r="1102" spans="1:29">
      <c r="A1102" s="13" t="s">
        <v>582</v>
      </c>
      <c r="B1102" s="13" t="s">
        <v>471</v>
      </c>
      <c r="C1102" s="139">
        <v>46281</v>
      </c>
      <c r="D1102" s="139" t="s">
        <v>441</v>
      </c>
      <c r="E1102" s="28">
        <v>0.94023699999999999</v>
      </c>
      <c r="F1102" s="13"/>
      <c r="G1102" s="18">
        <v>9973360.4700000007</v>
      </c>
      <c r="H1102" s="18">
        <v>9377322.5500000007</v>
      </c>
      <c r="I1102" s="18">
        <v>9973360.4700000007</v>
      </c>
      <c r="J1102" s="18">
        <v>9377322.5500000007</v>
      </c>
      <c r="K1102" s="15">
        <v>1179212</v>
      </c>
      <c r="L1102" s="13" t="s">
        <v>102</v>
      </c>
      <c r="M1102" s="13" t="s">
        <v>103</v>
      </c>
      <c r="N1102" s="139" t="s">
        <v>346</v>
      </c>
      <c r="O1102" s="139" t="s">
        <v>346</v>
      </c>
      <c r="P1102" s="28">
        <v>40</v>
      </c>
      <c r="Q1102" s="13" t="s">
        <v>54</v>
      </c>
      <c r="R1102" s="13" t="s">
        <v>28</v>
      </c>
      <c r="S1102" s="13"/>
      <c r="T1102" s="13"/>
      <c r="U1102" s="13" t="s">
        <v>569</v>
      </c>
      <c r="V1102" s="13" t="s">
        <v>569</v>
      </c>
      <c r="W1102" s="59">
        <f t="shared" si="17"/>
        <v>1.7915009164877591E-4</v>
      </c>
    </row>
    <row r="1103" spans="1:29">
      <c r="A1103" s="13" t="s">
        <v>737</v>
      </c>
      <c r="B1103" s="13" t="s">
        <v>471</v>
      </c>
      <c r="C1103" s="139">
        <v>46281</v>
      </c>
      <c r="D1103" s="139" t="s">
        <v>441</v>
      </c>
      <c r="E1103" s="28">
        <v>0.96179183000000001</v>
      </c>
      <c r="F1103" s="13"/>
      <c r="G1103" s="18">
        <v>32000000</v>
      </c>
      <c r="H1103" s="18">
        <v>30777338.699999999</v>
      </c>
      <c r="I1103" s="18">
        <v>32000000</v>
      </c>
      <c r="J1103" s="18">
        <v>30777338.699999999</v>
      </c>
      <c r="K1103" s="15">
        <v>5310</v>
      </c>
      <c r="L1103" s="13" t="s">
        <v>102</v>
      </c>
      <c r="M1103" s="13" t="s">
        <v>103</v>
      </c>
      <c r="N1103" s="139" t="s">
        <v>392</v>
      </c>
      <c r="O1103" s="139" t="s">
        <v>392</v>
      </c>
      <c r="P1103" s="28">
        <v>25</v>
      </c>
      <c r="Q1103" s="13" t="s">
        <v>54</v>
      </c>
      <c r="R1103" s="13" t="s">
        <v>28</v>
      </c>
      <c r="S1103" s="13"/>
      <c r="T1103" s="13"/>
      <c r="U1103" s="13" t="s">
        <v>2310</v>
      </c>
      <c r="V1103" s="13" t="s">
        <v>2310</v>
      </c>
      <c r="W1103" s="59">
        <f t="shared" si="17"/>
        <v>5.8798905758130466E-4</v>
      </c>
    </row>
    <row r="1104" spans="1:29">
      <c r="A1104" s="13" t="s">
        <v>486</v>
      </c>
      <c r="B1104" s="13" t="s">
        <v>471</v>
      </c>
      <c r="C1104" s="139">
        <v>46281</v>
      </c>
      <c r="D1104" s="139" t="s">
        <v>441</v>
      </c>
      <c r="E1104" s="28">
        <v>0.95017446000000005</v>
      </c>
      <c r="F1104" s="13"/>
      <c r="G1104" s="18">
        <v>16005575.68</v>
      </c>
      <c r="H1104" s="18">
        <v>15208089.300000001</v>
      </c>
      <c r="I1104" s="18">
        <v>16005575.68</v>
      </c>
      <c r="J1104" s="18">
        <v>15208089.300000001</v>
      </c>
      <c r="K1104" s="15">
        <v>30721</v>
      </c>
      <c r="L1104" s="13" t="s">
        <v>102</v>
      </c>
      <c r="M1104" s="13" t="s">
        <v>103</v>
      </c>
      <c r="N1104" s="139" t="s">
        <v>458</v>
      </c>
      <c r="O1104" s="139" t="s">
        <v>458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1142</v>
      </c>
      <c r="V1104" s="13" t="s">
        <v>1142</v>
      </c>
      <c r="W1104" s="59">
        <f t="shared" si="17"/>
        <v>2.9054461733299001E-4</v>
      </c>
    </row>
    <row r="1105" spans="1:29">
      <c r="A1105" s="13" t="s">
        <v>472</v>
      </c>
      <c r="B1105" s="13" t="s">
        <v>471</v>
      </c>
      <c r="C1105" s="139">
        <v>46281</v>
      </c>
      <c r="D1105" s="139" t="s">
        <v>441</v>
      </c>
      <c r="E1105" s="28">
        <v>0.95449804999999999</v>
      </c>
      <c r="F1105" s="13"/>
      <c r="G1105" s="18">
        <v>10000000</v>
      </c>
      <c r="H1105" s="18">
        <v>9544980.5099999998</v>
      </c>
      <c r="I1105" s="18">
        <v>10000000</v>
      </c>
      <c r="J1105" s="18">
        <v>9544980.5099999998</v>
      </c>
      <c r="K1105" s="15">
        <v>579</v>
      </c>
      <c r="L1105" s="13" t="s">
        <v>102</v>
      </c>
      <c r="M1105" s="13" t="s">
        <v>103</v>
      </c>
      <c r="N1105" s="139" t="s">
        <v>174</v>
      </c>
      <c r="O1105" s="139" t="s">
        <v>174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1312</v>
      </c>
      <c r="V1105" s="13" t="s">
        <v>1312</v>
      </c>
      <c r="W1105" s="59">
        <f t="shared" si="17"/>
        <v>1.8235313161455447E-4</v>
      </c>
    </row>
    <row r="1106" spans="1:29">
      <c r="A1106" s="13" t="s">
        <v>472</v>
      </c>
      <c r="B1106" s="13" t="s">
        <v>471</v>
      </c>
      <c r="C1106" s="139">
        <v>46281</v>
      </c>
      <c r="D1106" s="139" t="s">
        <v>441</v>
      </c>
      <c r="E1106" s="28">
        <v>0.95449801999999995</v>
      </c>
      <c r="F1106" s="13"/>
      <c r="G1106" s="18">
        <v>7500000</v>
      </c>
      <c r="H1106" s="18">
        <v>7158735.1500000004</v>
      </c>
      <c r="I1106" s="18">
        <v>7500000</v>
      </c>
      <c r="J1106" s="18">
        <v>7158735.1500000004</v>
      </c>
      <c r="K1106" s="15">
        <v>512</v>
      </c>
      <c r="L1106" s="13" t="s">
        <v>102</v>
      </c>
      <c r="M1106" s="13" t="s">
        <v>103</v>
      </c>
      <c r="N1106" s="139" t="s">
        <v>369</v>
      </c>
      <c r="O1106" s="139" t="s">
        <v>369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1069</v>
      </c>
      <c r="V1106" s="13" t="s">
        <v>1069</v>
      </c>
      <c r="W1106" s="59">
        <f t="shared" si="17"/>
        <v>1.36764844269094E-4</v>
      </c>
      <c r="AC1106" s="56"/>
    </row>
    <row r="1107" spans="1:29">
      <c r="A1107" s="13" t="s">
        <v>2202</v>
      </c>
      <c r="B1107" s="13" t="s">
        <v>471</v>
      </c>
      <c r="C1107" s="139">
        <v>46281</v>
      </c>
      <c r="D1107" s="139" t="s">
        <v>441</v>
      </c>
      <c r="E1107" s="28">
        <v>0.95161134000000003</v>
      </c>
      <c r="F1107" s="13"/>
      <c r="G1107" s="18">
        <v>2994166.19</v>
      </c>
      <c r="H1107" s="18">
        <v>2849282.51</v>
      </c>
      <c r="I1107" s="18">
        <v>2994166.19</v>
      </c>
      <c r="J1107" s="18">
        <v>2849282.51</v>
      </c>
      <c r="K1107" s="15">
        <v>10030705</v>
      </c>
      <c r="L1107" s="13" t="s">
        <v>102</v>
      </c>
      <c r="M1107" s="13" t="s">
        <v>103</v>
      </c>
      <c r="N1107" s="139" t="s">
        <v>495</v>
      </c>
      <c r="O1107" s="139" t="s">
        <v>495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2154</v>
      </c>
      <c r="V1107" s="13" t="s">
        <v>2154</v>
      </c>
      <c r="W1107" s="59">
        <f t="shared" si="17"/>
        <v>5.4434431585138783E-5</v>
      </c>
    </row>
    <row r="1108" spans="1:29">
      <c r="A1108" s="13" t="s">
        <v>323</v>
      </c>
      <c r="B1108" s="13" t="s">
        <v>471</v>
      </c>
      <c r="C1108" s="139">
        <v>46281</v>
      </c>
      <c r="D1108" s="139" t="s">
        <v>441</v>
      </c>
      <c r="E1108" s="28">
        <v>0.96179188999999998</v>
      </c>
      <c r="F1108" s="13"/>
      <c r="G1108" s="18">
        <v>10000000</v>
      </c>
      <c r="H1108" s="18">
        <v>9617918.9499999993</v>
      </c>
      <c r="I1108" s="18">
        <v>10000000</v>
      </c>
      <c r="J1108" s="18">
        <v>9617918.9499999993</v>
      </c>
      <c r="K1108" s="15">
        <v>187</v>
      </c>
      <c r="L1108" s="13" t="s">
        <v>102</v>
      </c>
      <c r="M1108" s="13" t="s">
        <v>103</v>
      </c>
      <c r="N1108" s="139" t="s">
        <v>382</v>
      </c>
      <c r="O1108" s="139" t="s">
        <v>382</v>
      </c>
      <c r="P1108" s="28">
        <v>25</v>
      </c>
      <c r="Q1108" s="13" t="s">
        <v>54</v>
      </c>
      <c r="R1108" s="13" t="s">
        <v>28</v>
      </c>
      <c r="S1108" s="13"/>
      <c r="T1108" s="13"/>
      <c r="U1108" s="13" t="s">
        <v>2345</v>
      </c>
      <c r="V1108" s="13" t="s">
        <v>2345</v>
      </c>
      <c r="W1108" s="59">
        <f t="shared" si="17"/>
        <v>1.8374659207632762E-4</v>
      </c>
    </row>
    <row r="1109" spans="1:29">
      <c r="A1109" s="13" t="s">
        <v>1065</v>
      </c>
      <c r="B1109" s="13" t="s">
        <v>471</v>
      </c>
      <c r="C1109" s="139">
        <v>46281</v>
      </c>
      <c r="D1109" s="139" t="s">
        <v>441</v>
      </c>
      <c r="E1109" s="28">
        <v>0.94164387999999999</v>
      </c>
      <c r="F1109" s="13"/>
      <c r="G1109" s="18">
        <v>12825509.390000001</v>
      </c>
      <c r="H1109" s="18">
        <v>12077062.449999999</v>
      </c>
      <c r="I1109" s="18">
        <v>12825509.390000001</v>
      </c>
      <c r="J1109" s="18">
        <v>12077062.449999999</v>
      </c>
      <c r="K1109" s="15">
        <v>53243196</v>
      </c>
      <c r="L1109" s="13" t="s">
        <v>102</v>
      </c>
      <c r="M1109" s="13" t="s">
        <v>103</v>
      </c>
      <c r="N1109" s="139" t="s">
        <v>427</v>
      </c>
      <c r="O1109" s="139" t="s">
        <v>427</v>
      </c>
      <c r="P1109" s="28">
        <v>39</v>
      </c>
      <c r="Q1109" s="13" t="s">
        <v>54</v>
      </c>
      <c r="R1109" s="13" t="s">
        <v>28</v>
      </c>
      <c r="S1109" s="13"/>
      <c r="T1109" s="13"/>
      <c r="U1109" s="13" t="s">
        <v>1058</v>
      </c>
      <c r="V1109" s="13" t="s">
        <v>1058</v>
      </c>
      <c r="W1109" s="59">
        <f t="shared" si="17"/>
        <v>2.3072756996777186E-4</v>
      </c>
    </row>
    <row r="1110" spans="1:29">
      <c r="A1110" s="13" t="s">
        <v>2113</v>
      </c>
      <c r="B1110" s="13" t="s">
        <v>471</v>
      </c>
      <c r="C1110" s="139">
        <v>46281</v>
      </c>
      <c r="D1110" s="139" t="s">
        <v>441</v>
      </c>
      <c r="E1110" s="28">
        <v>0.95449795999999998</v>
      </c>
      <c r="F1110" s="13"/>
      <c r="G1110" s="18">
        <v>2200000</v>
      </c>
      <c r="H1110" s="18">
        <v>2099895.5</v>
      </c>
      <c r="I1110" s="18">
        <v>2200000</v>
      </c>
      <c r="J1110" s="18">
        <v>2099895.5</v>
      </c>
      <c r="K1110" s="15">
        <v>9794</v>
      </c>
      <c r="L1110" s="13" t="s">
        <v>102</v>
      </c>
      <c r="M1110" s="13" t="s">
        <v>103</v>
      </c>
      <c r="N1110" s="139" t="s">
        <v>783</v>
      </c>
      <c r="O1110" s="139" t="s">
        <v>783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2098</v>
      </c>
      <c r="V1110" s="13" t="s">
        <v>2098</v>
      </c>
      <c r="W1110" s="59">
        <f t="shared" si="17"/>
        <v>4.0117684901203713E-5</v>
      </c>
    </row>
    <row r="1111" spans="1:29">
      <c r="A1111" s="13" t="s">
        <v>322</v>
      </c>
      <c r="B1111" s="13" t="s">
        <v>471</v>
      </c>
      <c r="C1111" s="139">
        <v>46281</v>
      </c>
      <c r="D1111" s="139" t="s">
        <v>441</v>
      </c>
      <c r="E1111" s="28">
        <v>0.96032430999999996</v>
      </c>
      <c r="F1111" s="13"/>
      <c r="G1111" s="18">
        <v>73000000</v>
      </c>
      <c r="H1111" s="18">
        <v>70103674.269999996</v>
      </c>
      <c r="I1111" s="18">
        <v>73000000</v>
      </c>
      <c r="J1111" s="18">
        <v>70103674.269999996</v>
      </c>
      <c r="K1111" s="15">
        <v>68343292</v>
      </c>
      <c r="L1111" s="13" t="s">
        <v>102</v>
      </c>
      <c r="M1111" s="13" t="s">
        <v>103</v>
      </c>
      <c r="N1111" s="139" t="s">
        <v>388</v>
      </c>
      <c r="O1111" s="139" t="s">
        <v>388</v>
      </c>
      <c r="P1111" s="28">
        <v>26</v>
      </c>
      <c r="Q1111" s="13" t="s">
        <v>54</v>
      </c>
      <c r="R1111" s="13" t="s">
        <v>28</v>
      </c>
      <c r="S1111" s="13"/>
      <c r="T1111" s="13"/>
      <c r="U1111" s="13" t="s">
        <v>2250</v>
      </c>
      <c r="V1111" s="13" t="s">
        <v>2250</v>
      </c>
      <c r="W1111" s="59">
        <f t="shared" si="17"/>
        <v>1.3393033676106652E-3</v>
      </c>
    </row>
    <row r="1112" spans="1:29">
      <c r="A1112" s="13" t="s">
        <v>581</v>
      </c>
      <c r="B1112" s="13" t="s">
        <v>471</v>
      </c>
      <c r="C1112" s="139">
        <v>46281</v>
      </c>
      <c r="D1112" s="139" t="s">
        <v>441</v>
      </c>
      <c r="E1112" s="28">
        <v>0.95740221000000003</v>
      </c>
      <c r="F1112" s="13"/>
      <c r="G1112" s="18">
        <v>10000000</v>
      </c>
      <c r="H1112" s="18">
        <v>9574022.0700000003</v>
      </c>
      <c r="I1112" s="18">
        <v>10000000</v>
      </c>
      <c r="J1112" s="18">
        <v>9574022.0700000003</v>
      </c>
      <c r="K1112" s="15">
        <v>360564</v>
      </c>
      <c r="L1112" s="13" t="s">
        <v>102</v>
      </c>
      <c r="M1112" s="13" t="s">
        <v>103</v>
      </c>
      <c r="N1112" s="139" t="s">
        <v>348</v>
      </c>
      <c r="O1112" s="139" t="s">
        <v>348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714</v>
      </c>
      <c r="V1112" s="13" t="s">
        <v>714</v>
      </c>
      <c r="W1112" s="59">
        <f t="shared" si="17"/>
        <v>1.8290795929675076E-4</v>
      </c>
    </row>
    <row r="1113" spans="1:29">
      <c r="A1113" s="13" t="s">
        <v>360</v>
      </c>
      <c r="B1113" s="13" t="s">
        <v>471</v>
      </c>
      <c r="C1113" s="139">
        <v>46281</v>
      </c>
      <c r="D1113" s="139" t="s">
        <v>441</v>
      </c>
      <c r="E1113" s="28">
        <v>0.96179192999999996</v>
      </c>
      <c r="F1113" s="13"/>
      <c r="G1113" s="18">
        <v>9600000</v>
      </c>
      <c r="H1113" s="18">
        <v>9233202.5099999998</v>
      </c>
      <c r="I1113" s="18">
        <v>9600000</v>
      </c>
      <c r="J1113" s="18">
        <v>9233202.5099999998</v>
      </c>
      <c r="K1113" s="15">
        <v>33950</v>
      </c>
      <c r="L1113" s="13" t="s">
        <v>102</v>
      </c>
      <c r="M1113" s="13" t="s">
        <v>103</v>
      </c>
      <c r="N1113" s="139" t="s">
        <v>381</v>
      </c>
      <c r="O1113" s="139" t="s">
        <v>381</v>
      </c>
      <c r="P1113" s="28">
        <v>25</v>
      </c>
      <c r="Q1113" s="13" t="s">
        <v>54</v>
      </c>
      <c r="R1113" s="13" t="s">
        <v>28</v>
      </c>
      <c r="S1113" s="13"/>
      <c r="T1113" s="13"/>
      <c r="U1113" s="13" t="s">
        <v>1582</v>
      </c>
      <c r="V1113" s="13" t="s">
        <v>1582</v>
      </c>
      <c r="W1113" s="59">
        <f t="shared" si="17"/>
        <v>1.7639673446854056E-4</v>
      </c>
    </row>
    <row r="1114" spans="1:29">
      <c r="A1114" s="13" t="s">
        <v>360</v>
      </c>
      <c r="B1114" s="13" t="s">
        <v>471</v>
      </c>
      <c r="C1114" s="139">
        <v>46281</v>
      </c>
      <c r="D1114" s="139" t="s">
        <v>441</v>
      </c>
      <c r="E1114" s="28">
        <v>0.96179192999999996</v>
      </c>
      <c r="F1114" s="13"/>
      <c r="G1114" s="18">
        <v>9600000</v>
      </c>
      <c r="H1114" s="18">
        <v>9233202.5099999998</v>
      </c>
      <c r="I1114" s="18">
        <v>9600000</v>
      </c>
      <c r="J1114" s="18">
        <v>9233202.5099999998</v>
      </c>
      <c r="K1114" s="15">
        <v>33951</v>
      </c>
      <c r="L1114" s="13" t="s">
        <v>102</v>
      </c>
      <c r="M1114" s="13" t="s">
        <v>103</v>
      </c>
      <c r="N1114" s="139" t="s">
        <v>381</v>
      </c>
      <c r="O1114" s="139" t="s">
        <v>381</v>
      </c>
      <c r="P1114" s="28">
        <v>25</v>
      </c>
      <c r="Q1114" s="13" t="s">
        <v>54</v>
      </c>
      <c r="R1114" s="13" t="s">
        <v>28</v>
      </c>
      <c r="S1114" s="13"/>
      <c r="T1114" s="13"/>
      <c r="U1114" s="13" t="s">
        <v>1583</v>
      </c>
      <c r="V1114" s="13" t="s">
        <v>1583</v>
      </c>
      <c r="W1114" s="59">
        <f t="shared" si="17"/>
        <v>1.7639673446854056E-4</v>
      </c>
    </row>
    <row r="1115" spans="1:29">
      <c r="A1115" s="13" t="s">
        <v>395</v>
      </c>
      <c r="B1115" s="13" t="s">
        <v>471</v>
      </c>
      <c r="C1115" s="139">
        <v>46281</v>
      </c>
      <c r="D1115" s="139" t="s">
        <v>441</v>
      </c>
      <c r="E1115" s="28">
        <v>0.95161134000000003</v>
      </c>
      <c r="F1115" s="13"/>
      <c r="G1115" s="18">
        <v>6428571.6600000001</v>
      </c>
      <c r="H1115" s="18">
        <v>6117501.71</v>
      </c>
      <c r="I1115" s="18">
        <v>6428571.6600000001</v>
      </c>
      <c r="J1115" s="18">
        <v>6117501.71</v>
      </c>
      <c r="K1115" s="15">
        <v>3486</v>
      </c>
      <c r="L1115" s="13" t="s">
        <v>102</v>
      </c>
      <c r="M1115" s="13" t="s">
        <v>103</v>
      </c>
      <c r="N1115" s="139" t="s">
        <v>495</v>
      </c>
      <c r="O1115" s="139" t="s">
        <v>495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2143</v>
      </c>
      <c r="V1115" s="13" t="s">
        <v>2143</v>
      </c>
      <c r="W1115" s="59">
        <f t="shared" si="17"/>
        <v>1.1687248531384293E-4</v>
      </c>
    </row>
    <row r="1116" spans="1:29">
      <c r="A1116" s="13" t="s">
        <v>661</v>
      </c>
      <c r="B1116" s="13" t="s">
        <v>471</v>
      </c>
      <c r="C1116" s="139">
        <v>46281</v>
      </c>
      <c r="D1116" s="139" t="s">
        <v>441</v>
      </c>
      <c r="E1116" s="28">
        <v>0.96032424999999999</v>
      </c>
      <c r="F1116" s="13"/>
      <c r="G1116" s="18">
        <v>9000000</v>
      </c>
      <c r="H1116" s="18">
        <v>8642918.2599999998</v>
      </c>
      <c r="I1116" s="18">
        <v>9000000</v>
      </c>
      <c r="J1116" s="18">
        <v>8642918.2599999998</v>
      </c>
      <c r="K1116" s="15">
        <v>3385281</v>
      </c>
      <c r="L1116" s="13" t="s">
        <v>102</v>
      </c>
      <c r="M1116" s="13" t="s">
        <v>103</v>
      </c>
      <c r="N1116" s="139" t="s">
        <v>319</v>
      </c>
      <c r="O1116" s="139" t="s">
        <v>319</v>
      </c>
      <c r="P1116" s="28">
        <v>26</v>
      </c>
      <c r="Q1116" s="13" t="s">
        <v>54</v>
      </c>
      <c r="R1116" s="13" t="s">
        <v>28</v>
      </c>
      <c r="S1116" s="13"/>
      <c r="T1116" s="13"/>
      <c r="U1116" s="13" t="s">
        <v>1187</v>
      </c>
      <c r="V1116" s="13" t="s">
        <v>1187</v>
      </c>
      <c r="W1116" s="59">
        <f t="shared" si="17"/>
        <v>1.6511958398955558E-4</v>
      </c>
    </row>
    <row r="1117" spans="1:29">
      <c r="A1117" s="13" t="s">
        <v>661</v>
      </c>
      <c r="B1117" s="13" t="s">
        <v>471</v>
      </c>
      <c r="C1117" s="139">
        <v>46281</v>
      </c>
      <c r="D1117" s="139" t="s">
        <v>441</v>
      </c>
      <c r="E1117" s="28">
        <v>0.95740219000000004</v>
      </c>
      <c r="F1117" s="13"/>
      <c r="G1117" s="18">
        <v>10000000</v>
      </c>
      <c r="H1117" s="18">
        <v>9574021.9299999997</v>
      </c>
      <c r="I1117" s="18">
        <v>10000000</v>
      </c>
      <c r="J1117" s="18">
        <v>9574021.9299999997</v>
      </c>
      <c r="K1117" s="15">
        <v>3487822</v>
      </c>
      <c r="L1117" s="13" t="s">
        <v>102</v>
      </c>
      <c r="M1117" s="13" t="s">
        <v>103</v>
      </c>
      <c r="N1117" s="139" t="s">
        <v>326</v>
      </c>
      <c r="O1117" s="139" t="s">
        <v>326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974</v>
      </c>
      <c r="V1117" s="13" t="s">
        <v>974</v>
      </c>
      <c r="W1117" s="59">
        <f t="shared" si="17"/>
        <v>1.8290795662210534E-4</v>
      </c>
    </row>
    <row r="1118" spans="1:29">
      <c r="A1118" s="13" t="s">
        <v>2194</v>
      </c>
      <c r="B1118" s="13" t="s">
        <v>471</v>
      </c>
      <c r="C1118" s="139">
        <v>46281</v>
      </c>
      <c r="D1118" s="139" t="s">
        <v>441</v>
      </c>
      <c r="E1118" s="28">
        <v>0.95161132999999998</v>
      </c>
      <c r="F1118" s="13"/>
      <c r="G1118" s="18">
        <v>1099546.98</v>
      </c>
      <c r="H1118" s="18">
        <v>1046341.37</v>
      </c>
      <c r="I1118" s="18">
        <v>1099546.98</v>
      </c>
      <c r="J1118" s="18">
        <v>1046341.37</v>
      </c>
      <c r="K1118" s="15">
        <v>30001148</v>
      </c>
      <c r="L1118" s="13" t="s">
        <v>102</v>
      </c>
      <c r="M1118" s="13" t="s">
        <v>103</v>
      </c>
      <c r="N1118" s="139" t="s">
        <v>495</v>
      </c>
      <c r="O1118" s="139" t="s">
        <v>495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2156</v>
      </c>
      <c r="V1118" s="13" t="s">
        <v>2156</v>
      </c>
      <c r="W1118" s="59">
        <f t="shared" si="17"/>
        <v>1.9989943966618245E-5</v>
      </c>
    </row>
    <row r="1119" spans="1:29">
      <c r="A1119" s="13" t="s">
        <v>1075</v>
      </c>
      <c r="B1119" s="13" t="s">
        <v>471</v>
      </c>
      <c r="C1119" s="139">
        <v>46282</v>
      </c>
      <c r="D1119" s="139" t="s">
        <v>441</v>
      </c>
      <c r="E1119" s="28">
        <v>0.94356717000000001</v>
      </c>
      <c r="F1119" s="13"/>
      <c r="G1119" s="18">
        <v>3345657.98</v>
      </c>
      <c r="H1119" s="18">
        <v>3156853.03</v>
      </c>
      <c r="I1119" s="18">
        <v>3345657.98</v>
      </c>
      <c r="J1119" s="18">
        <v>3156853.03</v>
      </c>
      <c r="K1119" s="15">
        <v>251</v>
      </c>
      <c r="L1119" s="13" t="s">
        <v>102</v>
      </c>
      <c r="M1119" s="13" t="s">
        <v>103</v>
      </c>
      <c r="N1119" s="139" t="s">
        <v>402</v>
      </c>
      <c r="O1119" s="139" t="s">
        <v>402</v>
      </c>
      <c r="P1119" s="28">
        <v>37</v>
      </c>
      <c r="Q1119" s="13" t="s">
        <v>54</v>
      </c>
      <c r="R1119" s="13" t="s">
        <v>28</v>
      </c>
      <c r="S1119" s="13"/>
      <c r="T1119" s="13"/>
      <c r="U1119" s="13" t="s">
        <v>1897</v>
      </c>
      <c r="V1119" s="13" t="s">
        <v>1897</v>
      </c>
      <c r="W1119" s="59">
        <f t="shared" si="17"/>
        <v>6.0310446466002796E-5</v>
      </c>
    </row>
    <row r="1120" spans="1:29">
      <c r="A1120" s="13" t="s">
        <v>1467</v>
      </c>
      <c r="B1120" s="13" t="s">
        <v>471</v>
      </c>
      <c r="C1120" s="139">
        <v>46282</v>
      </c>
      <c r="D1120" s="139" t="s">
        <v>441</v>
      </c>
      <c r="E1120" s="28">
        <v>0.95081799</v>
      </c>
      <c r="F1120" s="13"/>
      <c r="G1120" s="18">
        <v>1000000</v>
      </c>
      <c r="H1120" s="18">
        <v>950817.99</v>
      </c>
      <c r="I1120" s="18">
        <v>1000000</v>
      </c>
      <c r="J1120" s="18">
        <v>950817.99</v>
      </c>
      <c r="K1120" s="15">
        <v>67381734</v>
      </c>
      <c r="L1120" s="13" t="s">
        <v>102</v>
      </c>
      <c r="M1120" s="13" t="s">
        <v>103</v>
      </c>
      <c r="N1120" s="139" t="s">
        <v>373</v>
      </c>
      <c r="O1120" s="139" t="s">
        <v>373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1478</v>
      </c>
      <c r="V1120" s="13" t="s">
        <v>1478</v>
      </c>
      <c r="W1120" s="59">
        <f t="shared" si="17"/>
        <v>1.8165007030690747E-5</v>
      </c>
    </row>
    <row r="1121" spans="1:29">
      <c r="A1121" s="13" t="s">
        <v>486</v>
      </c>
      <c r="B1121" s="13" t="s">
        <v>471</v>
      </c>
      <c r="C1121" s="139">
        <v>46282</v>
      </c>
      <c r="D1121" s="139" t="s">
        <v>441</v>
      </c>
      <c r="E1121" s="28">
        <v>0.95081800000000005</v>
      </c>
      <c r="F1121" s="13"/>
      <c r="G1121" s="18">
        <v>15355310.449999999</v>
      </c>
      <c r="H1121" s="18">
        <v>14600105.6</v>
      </c>
      <c r="I1121" s="18">
        <v>15355310.449999999</v>
      </c>
      <c r="J1121" s="18">
        <v>14600105.6</v>
      </c>
      <c r="K1121" s="15">
        <v>30746</v>
      </c>
      <c r="L1121" s="13" t="s">
        <v>102</v>
      </c>
      <c r="M1121" s="13" t="s">
        <v>103</v>
      </c>
      <c r="N1121" s="139" t="s">
        <v>373</v>
      </c>
      <c r="O1121" s="139" t="s">
        <v>373</v>
      </c>
      <c r="P1121" s="28">
        <v>32</v>
      </c>
      <c r="Q1121" s="13" t="s">
        <v>54</v>
      </c>
      <c r="R1121" s="13" t="s">
        <v>28</v>
      </c>
      <c r="S1121" s="13"/>
      <c r="T1121" s="13"/>
      <c r="U1121" s="13" t="s">
        <v>1427</v>
      </c>
      <c r="V1121" s="13" t="s">
        <v>1427</v>
      </c>
      <c r="W1121" s="59">
        <f t="shared" si="17"/>
        <v>2.7892932576173418E-4</v>
      </c>
    </row>
    <row r="1122" spans="1:29">
      <c r="A1122" s="13" t="s">
        <v>403</v>
      </c>
      <c r="B1122" s="13" t="s">
        <v>471</v>
      </c>
      <c r="C1122" s="139">
        <v>46282</v>
      </c>
      <c r="D1122" s="139" t="s">
        <v>441</v>
      </c>
      <c r="E1122" s="28">
        <v>0.95081800000000005</v>
      </c>
      <c r="F1122" s="13"/>
      <c r="G1122" s="18">
        <v>10000000</v>
      </c>
      <c r="H1122" s="18">
        <v>9508180.0199999996</v>
      </c>
      <c r="I1122" s="18">
        <v>10000000</v>
      </c>
      <c r="J1122" s="18">
        <v>9508180.0199999996</v>
      </c>
      <c r="K1122" s="15">
        <v>13795878</v>
      </c>
      <c r="L1122" s="13" t="s">
        <v>102</v>
      </c>
      <c r="M1122" s="13" t="s">
        <v>103</v>
      </c>
      <c r="N1122" s="139" t="s">
        <v>373</v>
      </c>
      <c r="O1122" s="139" t="s">
        <v>373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1418</v>
      </c>
      <c r="V1122" s="13" t="s">
        <v>1418</v>
      </c>
      <c r="W1122" s="59">
        <f t="shared" si="17"/>
        <v>1.8165007259946067E-4</v>
      </c>
    </row>
    <row r="1123" spans="1:29">
      <c r="A1123" s="13" t="s">
        <v>403</v>
      </c>
      <c r="B1123" s="13" t="s">
        <v>471</v>
      </c>
      <c r="C1123" s="139">
        <v>46282</v>
      </c>
      <c r="D1123" s="139" t="s">
        <v>441</v>
      </c>
      <c r="E1123" s="28">
        <v>0.94935895000000003</v>
      </c>
      <c r="F1123" s="13"/>
      <c r="G1123" s="18">
        <v>40000000</v>
      </c>
      <c r="H1123" s="18">
        <v>37974358.039999999</v>
      </c>
      <c r="I1123" s="18">
        <v>40000000</v>
      </c>
      <c r="J1123" s="18">
        <v>37974358.039999999</v>
      </c>
      <c r="K1123" s="15">
        <v>13662783</v>
      </c>
      <c r="L1123" s="13" t="s">
        <v>102</v>
      </c>
      <c r="M1123" s="13" t="s">
        <v>103</v>
      </c>
      <c r="N1123" s="139" t="s">
        <v>319</v>
      </c>
      <c r="O1123" s="139" t="s">
        <v>319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1254</v>
      </c>
      <c r="V1123" s="13" t="s">
        <v>1254</v>
      </c>
      <c r="W1123" s="59">
        <f t="shared" si="17"/>
        <v>7.2548530637558473E-4</v>
      </c>
    </row>
    <row r="1124" spans="1:29">
      <c r="A1124" s="13" t="s">
        <v>582</v>
      </c>
      <c r="B1124" s="13" t="s">
        <v>471</v>
      </c>
      <c r="C1124" s="139">
        <v>46282</v>
      </c>
      <c r="D1124" s="139" t="s">
        <v>441</v>
      </c>
      <c r="E1124" s="28">
        <v>0.93926927999999998</v>
      </c>
      <c r="F1124" s="13"/>
      <c r="G1124" s="18">
        <v>9972899.9900000002</v>
      </c>
      <c r="H1124" s="18">
        <v>9367238.5899999999</v>
      </c>
      <c r="I1124" s="18">
        <v>9972899.9900000002</v>
      </c>
      <c r="J1124" s="18">
        <v>9367238.5899999999</v>
      </c>
      <c r="K1124" s="15">
        <v>1179213</v>
      </c>
      <c r="L1124" s="13" t="s">
        <v>102</v>
      </c>
      <c r="M1124" s="13" t="s">
        <v>103</v>
      </c>
      <c r="N1124" s="139" t="s">
        <v>346</v>
      </c>
      <c r="O1124" s="139" t="s">
        <v>346</v>
      </c>
      <c r="P1124" s="28">
        <v>40</v>
      </c>
      <c r="Q1124" s="13" t="s">
        <v>54</v>
      </c>
      <c r="R1124" s="13" t="s">
        <v>28</v>
      </c>
      <c r="S1124" s="13"/>
      <c r="T1124" s="13"/>
      <c r="U1124" s="13" t="s">
        <v>560</v>
      </c>
      <c r="V1124" s="13" t="s">
        <v>560</v>
      </c>
      <c r="W1124" s="59">
        <f t="shared" si="17"/>
        <v>1.7895744152412142E-4</v>
      </c>
    </row>
    <row r="1125" spans="1:29">
      <c r="A1125" s="13" t="s">
        <v>486</v>
      </c>
      <c r="B1125" s="13" t="s">
        <v>471</v>
      </c>
      <c r="C1125" s="139">
        <v>46282</v>
      </c>
      <c r="D1125" s="139" t="s">
        <v>441</v>
      </c>
      <c r="E1125" s="28">
        <v>0.94935886000000003</v>
      </c>
      <c r="F1125" s="13"/>
      <c r="G1125" s="18">
        <v>16005575.68</v>
      </c>
      <c r="H1125" s="18">
        <v>15195035.140000001</v>
      </c>
      <c r="I1125" s="18">
        <v>16005575.68</v>
      </c>
      <c r="J1125" s="18">
        <v>15195035.140000001</v>
      </c>
      <c r="K1125" s="15">
        <v>30722</v>
      </c>
      <c r="L1125" s="13" t="s">
        <v>102</v>
      </c>
      <c r="M1125" s="13" t="s">
        <v>103</v>
      </c>
      <c r="N1125" s="139" t="s">
        <v>458</v>
      </c>
      <c r="O1125" s="139" t="s">
        <v>458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1141</v>
      </c>
      <c r="V1125" s="13" t="s">
        <v>1141</v>
      </c>
      <c r="W1125" s="59">
        <f t="shared" si="17"/>
        <v>2.902952226952426E-4</v>
      </c>
    </row>
    <row r="1126" spans="1:29">
      <c r="A1126" s="13" t="s">
        <v>472</v>
      </c>
      <c r="B1126" s="13" t="s">
        <v>471</v>
      </c>
      <c r="C1126" s="139">
        <v>46282</v>
      </c>
      <c r="D1126" s="139" t="s">
        <v>441</v>
      </c>
      <c r="E1126" s="28">
        <v>0.95374976</v>
      </c>
      <c r="F1126" s="13"/>
      <c r="G1126" s="18">
        <v>10000000</v>
      </c>
      <c r="H1126" s="18">
        <v>9537497.6300000008</v>
      </c>
      <c r="I1126" s="18">
        <v>10000000</v>
      </c>
      <c r="J1126" s="18">
        <v>9537497.6300000008</v>
      </c>
      <c r="K1126" s="15">
        <v>639</v>
      </c>
      <c r="L1126" s="13" t="s">
        <v>102</v>
      </c>
      <c r="M1126" s="13" t="s">
        <v>103</v>
      </c>
      <c r="N1126" s="139" t="s">
        <v>389</v>
      </c>
      <c r="O1126" s="139" t="s">
        <v>389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1610</v>
      </c>
      <c r="V1126" s="13" t="s">
        <v>1610</v>
      </c>
      <c r="W1126" s="59">
        <f t="shared" si="17"/>
        <v>1.8221017410929125E-4</v>
      </c>
    </row>
    <row r="1127" spans="1:29">
      <c r="A1127" s="13" t="s">
        <v>472</v>
      </c>
      <c r="B1127" s="13" t="s">
        <v>471</v>
      </c>
      <c r="C1127" s="139">
        <v>46282</v>
      </c>
      <c r="D1127" s="139" t="s">
        <v>441</v>
      </c>
      <c r="E1127" s="28">
        <v>0.95374972000000002</v>
      </c>
      <c r="F1127" s="13"/>
      <c r="G1127" s="18">
        <v>5000000</v>
      </c>
      <c r="H1127" s="18">
        <v>4768748.6100000003</v>
      </c>
      <c r="I1127" s="18">
        <v>5000000</v>
      </c>
      <c r="J1127" s="18">
        <v>4768748.6100000003</v>
      </c>
      <c r="K1127" s="15">
        <v>780</v>
      </c>
      <c r="L1127" s="13" t="s">
        <v>102</v>
      </c>
      <c r="M1127" s="13" t="s">
        <v>103</v>
      </c>
      <c r="N1127" s="139" t="s">
        <v>495</v>
      </c>
      <c r="O1127" s="139" t="s">
        <v>495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2176</v>
      </c>
      <c r="V1127" s="13" t="s">
        <v>2176</v>
      </c>
      <c r="W1127" s="59">
        <f t="shared" si="17"/>
        <v>9.1105083138200537E-5</v>
      </c>
    </row>
    <row r="1128" spans="1:29">
      <c r="A1128" s="13" t="s">
        <v>491</v>
      </c>
      <c r="B1128" s="13" t="s">
        <v>471</v>
      </c>
      <c r="C1128" s="139">
        <v>46282</v>
      </c>
      <c r="D1128" s="139" t="s">
        <v>441</v>
      </c>
      <c r="E1128" s="28">
        <v>0.94645413</v>
      </c>
      <c r="F1128" s="13"/>
      <c r="G1128" s="18">
        <v>1500000</v>
      </c>
      <c r="H1128" s="18">
        <v>1419681.19</v>
      </c>
      <c r="I1128" s="18">
        <v>1500000</v>
      </c>
      <c r="J1128" s="18">
        <v>1419681.19</v>
      </c>
      <c r="K1128" s="15">
        <v>3</v>
      </c>
      <c r="L1128" s="13" t="s">
        <v>102</v>
      </c>
      <c r="M1128" s="13" t="s">
        <v>103</v>
      </c>
      <c r="N1128" s="139" t="s">
        <v>399</v>
      </c>
      <c r="O1128" s="139" t="s">
        <v>399</v>
      </c>
      <c r="P1128" s="28">
        <v>35</v>
      </c>
      <c r="Q1128" s="13" t="s">
        <v>54</v>
      </c>
      <c r="R1128" s="13" t="s">
        <v>28</v>
      </c>
      <c r="S1128" s="13"/>
      <c r="T1128" s="13"/>
      <c r="U1128" s="13" t="s">
        <v>827</v>
      </c>
      <c r="V1128" s="13" t="s">
        <v>827</v>
      </c>
      <c r="W1128" s="59">
        <f t="shared" si="17"/>
        <v>2.7122455684383302E-5</v>
      </c>
    </row>
    <row r="1129" spans="1:29">
      <c r="A1129" s="13" t="s">
        <v>472</v>
      </c>
      <c r="B1129" s="13" t="s">
        <v>471</v>
      </c>
      <c r="C1129" s="139">
        <v>46282</v>
      </c>
      <c r="D1129" s="139" t="s">
        <v>441</v>
      </c>
      <c r="E1129" s="28">
        <v>0.94935888999999996</v>
      </c>
      <c r="F1129" s="13"/>
      <c r="G1129" s="18">
        <v>10000000</v>
      </c>
      <c r="H1129" s="18">
        <v>9493588.9100000001</v>
      </c>
      <c r="I1129" s="18">
        <v>10000000</v>
      </c>
      <c r="J1129" s="18">
        <v>9493588.9100000001</v>
      </c>
      <c r="K1129" s="15">
        <v>667</v>
      </c>
      <c r="L1129" s="13" t="s">
        <v>102</v>
      </c>
      <c r="M1129" s="13" t="s">
        <v>103</v>
      </c>
      <c r="N1129" s="139" t="s">
        <v>383</v>
      </c>
      <c r="O1129" s="139" t="s">
        <v>383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1684</v>
      </c>
      <c r="V1129" s="13" t="s">
        <v>1684</v>
      </c>
      <c r="W1129" s="59">
        <f t="shared" si="17"/>
        <v>1.8137131513113009E-4</v>
      </c>
      <c r="AC1129"/>
    </row>
    <row r="1130" spans="1:29">
      <c r="A1130" s="13" t="s">
        <v>254</v>
      </c>
      <c r="B1130" s="13" t="s">
        <v>471</v>
      </c>
      <c r="C1130" s="139">
        <v>46282</v>
      </c>
      <c r="D1130" s="139" t="s">
        <v>441</v>
      </c>
      <c r="E1130" s="28">
        <v>0.95081800000000005</v>
      </c>
      <c r="F1130" s="13"/>
      <c r="G1130" s="18">
        <v>50000000</v>
      </c>
      <c r="H1130" s="18">
        <v>47540900.100000001</v>
      </c>
      <c r="I1130" s="18">
        <v>50000000</v>
      </c>
      <c r="J1130" s="18">
        <v>47540900.100000001</v>
      </c>
      <c r="K1130" s="15">
        <v>4775</v>
      </c>
      <c r="L1130" s="13" t="s">
        <v>102</v>
      </c>
      <c r="M1130" s="13" t="s">
        <v>103</v>
      </c>
      <c r="N1130" s="139" t="s">
        <v>373</v>
      </c>
      <c r="O1130" s="139" t="s">
        <v>373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1449</v>
      </c>
      <c r="V1130" s="13" t="s">
        <v>1449</v>
      </c>
      <c r="W1130" s="59">
        <f t="shared" si="17"/>
        <v>9.0825036299730343E-4</v>
      </c>
    </row>
    <row r="1131" spans="1:29">
      <c r="A1131" s="13" t="s">
        <v>347</v>
      </c>
      <c r="B1131" s="13" t="s">
        <v>471</v>
      </c>
      <c r="C1131" s="139">
        <v>46282</v>
      </c>
      <c r="D1131" s="139" t="s">
        <v>441</v>
      </c>
      <c r="E1131" s="28">
        <v>0.94935892</v>
      </c>
      <c r="F1131" s="13"/>
      <c r="G1131" s="18">
        <v>10000000</v>
      </c>
      <c r="H1131" s="18">
        <v>9493589.25</v>
      </c>
      <c r="I1131" s="18">
        <v>10000000</v>
      </c>
      <c r="J1131" s="18">
        <v>9493589.25</v>
      </c>
      <c r="K1131" s="15">
        <v>327</v>
      </c>
      <c r="L1131" s="13" t="s">
        <v>102</v>
      </c>
      <c r="M1131" s="13" t="s">
        <v>103</v>
      </c>
      <c r="N1131" s="139" t="s">
        <v>363</v>
      </c>
      <c r="O1131" s="139" t="s">
        <v>363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1056</v>
      </c>
      <c r="V1131" s="13" t="s">
        <v>1056</v>
      </c>
      <c r="W1131" s="59">
        <f t="shared" si="17"/>
        <v>1.8137132162669755E-4</v>
      </c>
      <c r="AC1131"/>
    </row>
    <row r="1132" spans="1:29">
      <c r="A1132" s="13" t="s">
        <v>478</v>
      </c>
      <c r="B1132" s="13" t="s">
        <v>471</v>
      </c>
      <c r="C1132" s="139">
        <v>46282</v>
      </c>
      <c r="D1132" s="139" t="s">
        <v>441</v>
      </c>
      <c r="E1132" s="28">
        <v>0.94935892</v>
      </c>
      <c r="F1132" s="13"/>
      <c r="G1132" s="18">
        <v>12500000</v>
      </c>
      <c r="H1132" s="18">
        <v>11866986.449999999</v>
      </c>
      <c r="I1132" s="18">
        <v>12500000</v>
      </c>
      <c r="J1132" s="18">
        <v>11866986.449999999</v>
      </c>
      <c r="K1132" s="15">
        <v>1359</v>
      </c>
      <c r="L1132" s="13" t="s">
        <v>102</v>
      </c>
      <c r="M1132" s="13" t="s">
        <v>103</v>
      </c>
      <c r="N1132" s="139" t="s">
        <v>428</v>
      </c>
      <c r="O1132" s="139" t="s">
        <v>428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1112</v>
      </c>
      <c r="V1132" s="13" t="s">
        <v>1112</v>
      </c>
      <c r="W1132" s="59">
        <f t="shared" si="17"/>
        <v>2.2671414988410327E-4</v>
      </c>
    </row>
    <row r="1133" spans="1:29">
      <c r="A1133" s="13" t="s">
        <v>380</v>
      </c>
      <c r="B1133" s="13" t="s">
        <v>471</v>
      </c>
      <c r="C1133" s="139">
        <v>46282</v>
      </c>
      <c r="D1133" s="139" t="s">
        <v>441</v>
      </c>
      <c r="E1133" s="28">
        <v>0.95374974999999995</v>
      </c>
      <c r="F1133" s="13"/>
      <c r="G1133" s="18">
        <v>100000000</v>
      </c>
      <c r="H1133" s="18">
        <v>95374974.980000004</v>
      </c>
      <c r="I1133" s="18">
        <v>100000000</v>
      </c>
      <c r="J1133" s="18">
        <v>95374974.980000004</v>
      </c>
      <c r="K1133" s="15">
        <v>6601</v>
      </c>
      <c r="L1133" s="13" t="s">
        <v>102</v>
      </c>
      <c r="M1133" s="13" t="s">
        <v>103</v>
      </c>
      <c r="N1133" s="139" t="s">
        <v>369</v>
      </c>
      <c r="O1133" s="139" t="s">
        <v>369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1067</v>
      </c>
      <c r="V1133" s="13" t="s">
        <v>1067</v>
      </c>
      <c r="W1133" s="59">
        <f t="shared" si="17"/>
        <v>1.8221017158748271E-3</v>
      </c>
    </row>
    <row r="1134" spans="1:29">
      <c r="A1134" s="13" t="s">
        <v>1065</v>
      </c>
      <c r="B1134" s="13" t="s">
        <v>471</v>
      </c>
      <c r="C1134" s="139">
        <v>46282</v>
      </c>
      <c r="D1134" s="139" t="s">
        <v>441</v>
      </c>
      <c r="E1134" s="28">
        <v>0.94069753</v>
      </c>
      <c r="F1134" s="13"/>
      <c r="G1134" s="18">
        <v>12825509.390000001</v>
      </c>
      <c r="H1134" s="18">
        <v>12064924.970000001</v>
      </c>
      <c r="I1134" s="18">
        <v>12825509.390000001</v>
      </c>
      <c r="J1134" s="18">
        <v>12064924.970000001</v>
      </c>
      <c r="K1134" s="15">
        <v>53243197</v>
      </c>
      <c r="L1134" s="13" t="s">
        <v>102</v>
      </c>
      <c r="M1134" s="13" t="s">
        <v>103</v>
      </c>
      <c r="N1134" s="139" t="s">
        <v>427</v>
      </c>
      <c r="O1134" s="139" t="s">
        <v>427</v>
      </c>
      <c r="P1134" s="28">
        <v>39</v>
      </c>
      <c r="Q1134" s="13" t="s">
        <v>54</v>
      </c>
      <c r="R1134" s="13" t="s">
        <v>28</v>
      </c>
      <c r="S1134" s="13"/>
      <c r="T1134" s="13"/>
      <c r="U1134" s="13" t="s">
        <v>1059</v>
      </c>
      <c r="V1134" s="13" t="s">
        <v>1059</v>
      </c>
      <c r="W1134" s="59">
        <f t="shared" si="17"/>
        <v>2.3049568814406462E-4</v>
      </c>
    </row>
    <row r="1135" spans="1:29">
      <c r="A1135" s="13" t="s">
        <v>522</v>
      </c>
      <c r="B1135" s="13" t="s">
        <v>471</v>
      </c>
      <c r="C1135" s="139">
        <v>46282</v>
      </c>
      <c r="D1135" s="139" t="s">
        <v>441</v>
      </c>
      <c r="E1135" s="28">
        <v>0.95081797999999995</v>
      </c>
      <c r="F1135" s="13"/>
      <c r="G1135" s="18">
        <v>3243208.42</v>
      </c>
      <c r="H1135" s="18">
        <v>3083700.87</v>
      </c>
      <c r="I1135" s="18">
        <v>3243208.42</v>
      </c>
      <c r="J1135" s="18">
        <v>3083700.87</v>
      </c>
      <c r="K1135" s="15">
        <v>143911</v>
      </c>
      <c r="L1135" s="13" t="s">
        <v>102</v>
      </c>
      <c r="M1135" s="13" t="s">
        <v>103</v>
      </c>
      <c r="N1135" s="139" t="s">
        <v>358</v>
      </c>
      <c r="O1135" s="139" t="s">
        <v>358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588</v>
      </c>
      <c r="V1135" s="13" t="s">
        <v>588</v>
      </c>
      <c r="W1135" s="59">
        <f t="shared" si="17"/>
        <v>5.891290296694657E-5</v>
      </c>
      <c r="AC1135" s="56"/>
    </row>
    <row r="1136" spans="1:29">
      <c r="A1136" s="13" t="s">
        <v>141</v>
      </c>
      <c r="B1136" s="13" t="s">
        <v>471</v>
      </c>
      <c r="C1136" s="139">
        <v>46282</v>
      </c>
      <c r="D1136" s="139" t="s">
        <v>441</v>
      </c>
      <c r="E1136" s="28">
        <v>0.94500832000000001</v>
      </c>
      <c r="F1136" s="13"/>
      <c r="G1136" s="18">
        <v>85000000</v>
      </c>
      <c r="H1136" s="18">
        <v>80325707.290000007</v>
      </c>
      <c r="I1136" s="18">
        <v>85000000</v>
      </c>
      <c r="J1136" s="18">
        <v>80325707.290000007</v>
      </c>
      <c r="K1136" s="15">
        <v>8434</v>
      </c>
      <c r="L1136" s="13" t="s">
        <v>102</v>
      </c>
      <c r="M1136" s="13" t="s">
        <v>103</v>
      </c>
      <c r="N1136" s="139" t="s">
        <v>383</v>
      </c>
      <c r="O1136" s="139" t="s">
        <v>383</v>
      </c>
      <c r="P1136" s="28">
        <v>36</v>
      </c>
      <c r="Q1136" s="13" t="s">
        <v>54</v>
      </c>
      <c r="R1136" s="13" t="s">
        <v>28</v>
      </c>
      <c r="S1136" s="13"/>
      <c r="T1136" s="13"/>
      <c r="U1136" s="13" t="s">
        <v>1674</v>
      </c>
      <c r="V1136" s="13" t="s">
        <v>1674</v>
      </c>
      <c r="W1136" s="59">
        <f t="shared" si="17"/>
        <v>1.5345913234856411E-3</v>
      </c>
    </row>
    <row r="1137" spans="1:29">
      <c r="A1137" s="13" t="s">
        <v>300</v>
      </c>
      <c r="B1137" s="13" t="s">
        <v>471</v>
      </c>
      <c r="C1137" s="139">
        <v>46282</v>
      </c>
      <c r="D1137" s="139" t="s">
        <v>441</v>
      </c>
      <c r="E1137" s="28">
        <v>0.95228166000000003</v>
      </c>
      <c r="F1137" s="13"/>
      <c r="G1137" s="18">
        <v>16500000</v>
      </c>
      <c r="H1137" s="18">
        <v>15712647.35</v>
      </c>
      <c r="I1137" s="18">
        <v>16500000</v>
      </c>
      <c r="J1137" s="18">
        <v>15712647.35</v>
      </c>
      <c r="K1137" s="15">
        <v>28674</v>
      </c>
      <c r="L1137" s="13" t="s">
        <v>102</v>
      </c>
      <c r="M1137" s="13" t="s">
        <v>103</v>
      </c>
      <c r="N1137" s="139" t="s">
        <v>374</v>
      </c>
      <c r="O1137" s="139" t="s">
        <v>374</v>
      </c>
      <c r="P1137" s="28">
        <v>31</v>
      </c>
      <c r="Q1137" s="13" t="s">
        <v>54</v>
      </c>
      <c r="R1137" s="13" t="s">
        <v>28</v>
      </c>
      <c r="S1137" s="13"/>
      <c r="T1137" s="13"/>
      <c r="U1137" s="13" t="s">
        <v>884</v>
      </c>
      <c r="V1137" s="13" t="s">
        <v>884</v>
      </c>
      <c r="W1137" s="59">
        <f t="shared" si="17"/>
        <v>3.0018400218060064E-4</v>
      </c>
    </row>
    <row r="1138" spans="1:29">
      <c r="A1138" s="13" t="s">
        <v>395</v>
      </c>
      <c r="B1138" s="13" t="s">
        <v>471</v>
      </c>
      <c r="C1138" s="139">
        <v>46282</v>
      </c>
      <c r="D1138" s="139" t="s">
        <v>441</v>
      </c>
      <c r="E1138" s="28">
        <v>0.95081800999999999</v>
      </c>
      <c r="F1138" s="13"/>
      <c r="G1138" s="18">
        <v>6428571.6600000001</v>
      </c>
      <c r="H1138" s="18">
        <v>6112401.7400000002</v>
      </c>
      <c r="I1138" s="18">
        <v>6428571.6600000001</v>
      </c>
      <c r="J1138" s="18">
        <v>6112401.7400000002</v>
      </c>
      <c r="K1138" s="15">
        <v>3487</v>
      </c>
      <c r="L1138" s="13" t="s">
        <v>102</v>
      </c>
      <c r="M1138" s="13" t="s">
        <v>103</v>
      </c>
      <c r="N1138" s="139" t="s">
        <v>495</v>
      </c>
      <c r="O1138" s="139" t="s">
        <v>495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2142</v>
      </c>
      <c r="V1138" s="13" t="s">
        <v>2142</v>
      </c>
      <c r="W1138" s="59">
        <f t="shared" si="17"/>
        <v>1.1677505237517262E-4</v>
      </c>
    </row>
    <row r="1139" spans="1:29">
      <c r="A1139" s="13" t="s">
        <v>257</v>
      </c>
      <c r="B1139" s="13" t="s">
        <v>471</v>
      </c>
      <c r="C1139" s="139">
        <v>46282</v>
      </c>
      <c r="D1139" s="139" t="s">
        <v>441</v>
      </c>
      <c r="E1139" s="28">
        <v>0.95081806999999996</v>
      </c>
      <c r="F1139" s="13"/>
      <c r="G1139" s="18">
        <v>25000000</v>
      </c>
      <c r="H1139" s="18">
        <v>23770451.66</v>
      </c>
      <c r="I1139" s="18">
        <v>25000000</v>
      </c>
      <c r="J1139" s="18">
        <v>23770451.66</v>
      </c>
      <c r="K1139" s="15">
        <v>1215681</v>
      </c>
      <c r="L1139" s="13" t="s">
        <v>102</v>
      </c>
      <c r="M1139" s="13" t="s">
        <v>103</v>
      </c>
      <c r="N1139" s="139" t="s">
        <v>427</v>
      </c>
      <c r="O1139" s="139" t="s">
        <v>427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1061</v>
      </c>
      <c r="V1139" s="13" t="s">
        <v>1061</v>
      </c>
      <c r="W1139" s="59">
        <f t="shared" si="17"/>
        <v>4.5412521225707405E-4</v>
      </c>
    </row>
    <row r="1140" spans="1:29">
      <c r="A1140" s="13" t="s">
        <v>2488</v>
      </c>
      <c r="B1140" s="13" t="s">
        <v>471</v>
      </c>
      <c r="C1140" s="139">
        <v>46282</v>
      </c>
      <c r="D1140" s="139" t="s">
        <v>441</v>
      </c>
      <c r="E1140" s="28">
        <v>0.95374990000000004</v>
      </c>
      <c r="F1140" s="13"/>
      <c r="G1140" s="18">
        <v>2870567.11</v>
      </c>
      <c r="H1140" s="18">
        <v>2737803.1</v>
      </c>
      <c r="I1140" s="18">
        <v>2870567.11</v>
      </c>
      <c r="J1140" s="18">
        <v>2737803.1</v>
      </c>
      <c r="K1140" s="15">
        <v>103</v>
      </c>
      <c r="L1140" s="13" t="s">
        <v>102</v>
      </c>
      <c r="M1140" s="13" t="s">
        <v>103</v>
      </c>
      <c r="N1140" s="139" t="s">
        <v>441</v>
      </c>
      <c r="O1140" s="139" t="s">
        <v>441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2461</v>
      </c>
      <c r="V1140" s="13" t="s">
        <v>2461</v>
      </c>
      <c r="W1140" s="59">
        <f t="shared" si="17"/>
        <v>5.2304660916383083E-5</v>
      </c>
    </row>
    <row r="1141" spans="1:29">
      <c r="A1141" s="13" t="s">
        <v>698</v>
      </c>
      <c r="B1141" s="13" t="s">
        <v>471</v>
      </c>
      <c r="C1141" s="139">
        <v>46283</v>
      </c>
      <c r="D1141" s="139" t="s">
        <v>441</v>
      </c>
      <c r="E1141" s="28">
        <v>0.95151200999999996</v>
      </c>
      <c r="F1141" s="13"/>
      <c r="G1141" s="18">
        <v>3000000</v>
      </c>
      <c r="H1141" s="18">
        <v>2854536.04</v>
      </c>
      <c r="I1141" s="18">
        <v>3000000</v>
      </c>
      <c r="J1141" s="18">
        <v>2854536.04</v>
      </c>
      <c r="K1141" s="15">
        <v>90003467</v>
      </c>
      <c r="L1141" s="13" t="s">
        <v>102</v>
      </c>
      <c r="M1141" s="13" t="s">
        <v>103</v>
      </c>
      <c r="N1141" s="139" t="s">
        <v>327</v>
      </c>
      <c r="O1141" s="139" t="s">
        <v>327</v>
      </c>
      <c r="P1141" s="28">
        <v>31</v>
      </c>
      <c r="Q1141" s="13" t="s">
        <v>54</v>
      </c>
      <c r="R1141" s="13" t="s">
        <v>28</v>
      </c>
      <c r="S1141" s="13"/>
      <c r="T1141" s="13"/>
      <c r="U1141" s="13" t="s">
        <v>786</v>
      </c>
      <c r="V1141" s="13" t="s">
        <v>786</v>
      </c>
      <c r="W1141" s="59">
        <f t="shared" si="17"/>
        <v>5.4534798227745062E-5</v>
      </c>
      <c r="AC1141" s="56"/>
    </row>
    <row r="1142" spans="1:29">
      <c r="A1142" s="13" t="s">
        <v>1075</v>
      </c>
      <c r="B1142" s="13" t="s">
        <v>471</v>
      </c>
      <c r="C1142" s="139">
        <v>46283</v>
      </c>
      <c r="D1142" s="139" t="s">
        <v>441</v>
      </c>
      <c r="E1142" s="28">
        <v>0.94266545000000002</v>
      </c>
      <c r="F1142" s="13"/>
      <c r="G1142" s="18">
        <v>3345657.98</v>
      </c>
      <c r="H1142" s="18">
        <v>3153836.19</v>
      </c>
      <c r="I1142" s="18">
        <v>3345657.98</v>
      </c>
      <c r="J1142" s="18">
        <v>3153836.19</v>
      </c>
      <c r="K1142" s="15">
        <v>252</v>
      </c>
      <c r="L1142" s="13" t="s">
        <v>102</v>
      </c>
      <c r="M1142" s="13" t="s">
        <v>103</v>
      </c>
      <c r="N1142" s="139" t="s">
        <v>402</v>
      </c>
      <c r="O1142" s="139" t="s">
        <v>402</v>
      </c>
      <c r="P1142" s="28">
        <v>37</v>
      </c>
      <c r="Q1142" s="13" t="s">
        <v>54</v>
      </c>
      <c r="R1142" s="13" t="s">
        <v>28</v>
      </c>
      <c r="S1142" s="13"/>
      <c r="T1142" s="13"/>
      <c r="U1142" s="13" t="s">
        <v>1898</v>
      </c>
      <c r="V1142" s="13" t="s">
        <v>1898</v>
      </c>
      <c r="W1142" s="59">
        <f t="shared" si="17"/>
        <v>6.0252810913892064E-5</v>
      </c>
    </row>
    <row r="1143" spans="1:29">
      <c r="A1143" s="13" t="s">
        <v>486</v>
      </c>
      <c r="B1143" s="13" t="s">
        <v>471</v>
      </c>
      <c r="C1143" s="139">
        <v>46283</v>
      </c>
      <c r="D1143" s="139" t="s">
        <v>441</v>
      </c>
      <c r="E1143" s="28">
        <v>0.95002618999999999</v>
      </c>
      <c r="F1143" s="13"/>
      <c r="G1143" s="18">
        <v>15355310.449999999</v>
      </c>
      <c r="H1143" s="18">
        <v>14587947.01</v>
      </c>
      <c r="I1143" s="18">
        <v>15355310.449999999</v>
      </c>
      <c r="J1143" s="18">
        <v>14587947.01</v>
      </c>
      <c r="K1143" s="15">
        <v>30747</v>
      </c>
      <c r="L1143" s="13" t="s">
        <v>102</v>
      </c>
      <c r="M1143" s="13" t="s">
        <v>103</v>
      </c>
      <c r="N1143" s="139" t="s">
        <v>373</v>
      </c>
      <c r="O1143" s="139" t="s">
        <v>373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1428</v>
      </c>
      <c r="V1143" s="13" t="s">
        <v>1428</v>
      </c>
      <c r="W1143" s="59">
        <f t="shared" si="17"/>
        <v>2.786970406397065E-4</v>
      </c>
    </row>
    <row r="1144" spans="1:29">
      <c r="A1144" s="13" t="s">
        <v>403</v>
      </c>
      <c r="B1144" s="13" t="s">
        <v>471</v>
      </c>
      <c r="C1144" s="139">
        <v>46283</v>
      </c>
      <c r="D1144" s="139" t="s">
        <v>441</v>
      </c>
      <c r="E1144" s="28">
        <v>0.95002618999999999</v>
      </c>
      <c r="F1144" s="13"/>
      <c r="G1144" s="18">
        <v>10000000</v>
      </c>
      <c r="H1144" s="18">
        <v>9500261.8499999996</v>
      </c>
      <c r="I1144" s="18">
        <v>10000000</v>
      </c>
      <c r="J1144" s="18">
        <v>9500261.8499999996</v>
      </c>
      <c r="K1144" s="15">
        <v>13795879</v>
      </c>
      <c r="L1144" s="13" t="s">
        <v>102</v>
      </c>
      <c r="M1144" s="13" t="s">
        <v>103</v>
      </c>
      <c r="N1144" s="139" t="s">
        <v>373</v>
      </c>
      <c r="O1144" s="139" t="s">
        <v>373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1419</v>
      </c>
      <c r="V1144" s="13" t="s">
        <v>1419</v>
      </c>
      <c r="W1144" s="59">
        <f t="shared" si="17"/>
        <v>1.8149879904844152E-4</v>
      </c>
    </row>
    <row r="1145" spans="1:29">
      <c r="A1145" s="13" t="s">
        <v>208</v>
      </c>
      <c r="B1145" s="13" t="s">
        <v>471</v>
      </c>
      <c r="C1145" s="139">
        <v>46283</v>
      </c>
      <c r="D1145" s="139" t="s">
        <v>441</v>
      </c>
      <c r="E1145" s="28">
        <v>0.95901216</v>
      </c>
      <c r="F1145" s="13"/>
      <c r="G1145" s="18">
        <v>215007207.40000001</v>
      </c>
      <c r="H1145" s="18">
        <v>206194525.78</v>
      </c>
      <c r="I1145" s="18">
        <v>215007207.40000001</v>
      </c>
      <c r="J1145" s="18">
        <v>206194525.78</v>
      </c>
      <c r="K1145" s="15">
        <v>568286</v>
      </c>
      <c r="L1145" s="13" t="s">
        <v>102</v>
      </c>
      <c r="M1145" s="13" t="s">
        <v>103</v>
      </c>
      <c r="N1145" s="139" t="s">
        <v>355</v>
      </c>
      <c r="O1145" s="139" t="s">
        <v>355</v>
      </c>
      <c r="P1145" s="28">
        <v>26</v>
      </c>
      <c r="Q1145" s="13" t="s">
        <v>54</v>
      </c>
      <c r="R1145" s="13" t="s">
        <v>28</v>
      </c>
      <c r="S1145" s="13"/>
      <c r="T1145" s="13"/>
      <c r="U1145" s="13" t="s">
        <v>858</v>
      </c>
      <c r="V1145" s="13" t="s">
        <v>858</v>
      </c>
      <c r="W1145" s="59">
        <f t="shared" si="17"/>
        <v>3.9392660318549972E-3</v>
      </c>
    </row>
    <row r="1146" spans="1:29">
      <c r="A1146" s="13" t="s">
        <v>208</v>
      </c>
      <c r="B1146" s="13" t="s">
        <v>471</v>
      </c>
      <c r="C1146" s="139">
        <v>46283</v>
      </c>
      <c r="D1146" s="139" t="s">
        <v>441</v>
      </c>
      <c r="E1146" s="28">
        <v>0.95901216</v>
      </c>
      <c r="F1146" s="13"/>
      <c r="G1146" s="18">
        <v>29857329.09</v>
      </c>
      <c r="H1146" s="18">
        <v>28633541.579999998</v>
      </c>
      <c r="I1146" s="18">
        <v>29857329.09</v>
      </c>
      <c r="J1146" s="18">
        <v>28633541.579999998</v>
      </c>
      <c r="K1146" s="15">
        <v>568285</v>
      </c>
      <c r="L1146" s="13" t="s">
        <v>102</v>
      </c>
      <c r="M1146" s="13" t="s">
        <v>103</v>
      </c>
      <c r="N1146" s="139" t="s">
        <v>355</v>
      </c>
      <c r="O1146" s="139" t="s">
        <v>355</v>
      </c>
      <c r="P1146" s="28">
        <v>26</v>
      </c>
      <c r="Q1146" s="13" t="s">
        <v>54</v>
      </c>
      <c r="R1146" s="13" t="s">
        <v>28</v>
      </c>
      <c r="S1146" s="13"/>
      <c r="T1146" s="13"/>
      <c r="U1146" s="13" t="s">
        <v>859</v>
      </c>
      <c r="V1146" s="13" t="s">
        <v>859</v>
      </c>
      <c r="W1146" s="59">
        <f t="shared" si="17"/>
        <v>5.4703264934467192E-4</v>
      </c>
    </row>
    <row r="1147" spans="1:29">
      <c r="A1147" s="13" t="s">
        <v>208</v>
      </c>
      <c r="B1147" s="13" t="s">
        <v>471</v>
      </c>
      <c r="C1147" s="139">
        <v>46283</v>
      </c>
      <c r="D1147" s="139" t="s">
        <v>441</v>
      </c>
      <c r="E1147" s="28">
        <v>0.95901216</v>
      </c>
      <c r="F1147" s="13"/>
      <c r="G1147" s="18">
        <v>92806889.260000005</v>
      </c>
      <c r="H1147" s="18">
        <v>89002935.069999993</v>
      </c>
      <c r="I1147" s="18">
        <v>92806889.260000005</v>
      </c>
      <c r="J1147" s="18">
        <v>89002935.069999993</v>
      </c>
      <c r="K1147" s="15">
        <v>568306</v>
      </c>
      <c r="L1147" s="13" t="s">
        <v>102</v>
      </c>
      <c r="M1147" s="13" t="s">
        <v>103</v>
      </c>
      <c r="N1147" s="139" t="s">
        <v>355</v>
      </c>
      <c r="O1147" s="139" t="s">
        <v>355</v>
      </c>
      <c r="P1147" s="28">
        <v>26</v>
      </c>
      <c r="Q1147" s="13" t="s">
        <v>54</v>
      </c>
      <c r="R1147" s="13" t="s">
        <v>28</v>
      </c>
      <c r="S1147" s="13"/>
      <c r="T1147" s="13"/>
      <c r="U1147" s="13" t="s">
        <v>860</v>
      </c>
      <c r="V1147" s="13" t="s">
        <v>860</v>
      </c>
      <c r="W1147" s="59">
        <f t="shared" si="17"/>
        <v>1.7003663774795236E-3</v>
      </c>
    </row>
    <row r="1148" spans="1:29">
      <c r="A1148" s="13" t="s">
        <v>208</v>
      </c>
      <c r="B1148" s="13" t="s">
        <v>471</v>
      </c>
      <c r="C1148" s="139">
        <v>46283</v>
      </c>
      <c r="D1148" s="139" t="s">
        <v>441</v>
      </c>
      <c r="E1148" s="28">
        <v>0.95901216</v>
      </c>
      <c r="F1148" s="13"/>
      <c r="G1148" s="18">
        <v>20411147.440000001</v>
      </c>
      <c r="H1148" s="18">
        <v>19574538.539999999</v>
      </c>
      <c r="I1148" s="18">
        <v>20411147.440000001</v>
      </c>
      <c r="J1148" s="18">
        <v>19574538.539999999</v>
      </c>
      <c r="K1148" s="15">
        <v>568296</v>
      </c>
      <c r="L1148" s="13" t="s">
        <v>102</v>
      </c>
      <c r="M1148" s="13" t="s">
        <v>103</v>
      </c>
      <c r="N1148" s="139" t="s">
        <v>355</v>
      </c>
      <c r="O1148" s="139" t="s">
        <v>355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861</v>
      </c>
      <c r="V1148" s="13" t="s">
        <v>861</v>
      </c>
      <c r="W1148" s="59">
        <f t="shared" si="17"/>
        <v>3.7396392784030827E-4</v>
      </c>
      <c r="AC1148" s="56"/>
    </row>
    <row r="1149" spans="1:29">
      <c r="A1149" s="13" t="s">
        <v>208</v>
      </c>
      <c r="B1149" s="13" t="s">
        <v>471</v>
      </c>
      <c r="C1149" s="139">
        <v>46283</v>
      </c>
      <c r="D1149" s="139" t="s">
        <v>441</v>
      </c>
      <c r="E1149" s="28">
        <v>0.95901216</v>
      </c>
      <c r="F1149" s="13"/>
      <c r="G1149" s="18">
        <v>68728608.280000001</v>
      </c>
      <c r="H1149" s="18">
        <v>65911570.890000001</v>
      </c>
      <c r="I1149" s="18">
        <v>68728608.280000001</v>
      </c>
      <c r="J1149" s="18">
        <v>65911570.890000001</v>
      </c>
      <c r="K1149" s="15">
        <v>568281</v>
      </c>
      <c r="L1149" s="13" t="s">
        <v>102</v>
      </c>
      <c r="M1149" s="13" t="s">
        <v>103</v>
      </c>
      <c r="N1149" s="139" t="s">
        <v>355</v>
      </c>
      <c r="O1149" s="139" t="s">
        <v>355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866</v>
      </c>
      <c r="V1149" s="13" t="s">
        <v>866</v>
      </c>
      <c r="W1149" s="59">
        <f t="shared" si="17"/>
        <v>1.2592148667914052E-3</v>
      </c>
    </row>
    <row r="1150" spans="1:29">
      <c r="A1150" s="13" t="s">
        <v>208</v>
      </c>
      <c r="B1150" s="13" t="s">
        <v>471</v>
      </c>
      <c r="C1150" s="139">
        <v>46283</v>
      </c>
      <c r="D1150" s="139" t="s">
        <v>441</v>
      </c>
      <c r="E1150" s="28">
        <v>0.95901216</v>
      </c>
      <c r="F1150" s="13"/>
      <c r="G1150" s="18">
        <v>6875275.0899999999</v>
      </c>
      <c r="H1150" s="18">
        <v>6593472.4000000004</v>
      </c>
      <c r="I1150" s="18">
        <v>6875275.0899999999</v>
      </c>
      <c r="J1150" s="18">
        <v>6593472.4000000004</v>
      </c>
      <c r="K1150" s="15">
        <v>568310</v>
      </c>
      <c r="L1150" s="13" t="s">
        <v>102</v>
      </c>
      <c r="M1150" s="13" t="s">
        <v>103</v>
      </c>
      <c r="N1150" s="139" t="s">
        <v>355</v>
      </c>
      <c r="O1150" s="139" t="s">
        <v>355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867</v>
      </c>
      <c r="V1150" s="13" t="s">
        <v>867</v>
      </c>
      <c r="W1150" s="59">
        <f t="shared" si="17"/>
        <v>1.2596571979319132E-4</v>
      </c>
    </row>
    <row r="1151" spans="1:29">
      <c r="A1151" s="13" t="s">
        <v>208</v>
      </c>
      <c r="B1151" s="13" t="s">
        <v>471</v>
      </c>
      <c r="C1151" s="139">
        <v>46283</v>
      </c>
      <c r="D1151" s="139" t="s">
        <v>441</v>
      </c>
      <c r="E1151" s="28">
        <v>0.95901216</v>
      </c>
      <c r="F1151" s="13"/>
      <c r="G1151" s="18">
        <v>6937722.3200000003</v>
      </c>
      <c r="H1151" s="18">
        <v>6653360.0499999998</v>
      </c>
      <c r="I1151" s="18">
        <v>6937722.3200000003</v>
      </c>
      <c r="J1151" s="18">
        <v>6653360.0499999998</v>
      </c>
      <c r="K1151" s="15">
        <v>568313</v>
      </c>
      <c r="L1151" s="13" t="s">
        <v>102</v>
      </c>
      <c r="M1151" s="13" t="s">
        <v>103</v>
      </c>
      <c r="N1151" s="139" t="s">
        <v>355</v>
      </c>
      <c r="O1151" s="139" t="s">
        <v>355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868</v>
      </c>
      <c r="V1151" s="13" t="s">
        <v>868</v>
      </c>
      <c r="W1151" s="59">
        <f t="shared" si="17"/>
        <v>1.2710984999975329E-4</v>
      </c>
    </row>
    <row r="1152" spans="1:29">
      <c r="A1152" s="13" t="s">
        <v>208</v>
      </c>
      <c r="B1152" s="13" t="s">
        <v>471</v>
      </c>
      <c r="C1152" s="139">
        <v>46283</v>
      </c>
      <c r="D1152" s="139" t="s">
        <v>441</v>
      </c>
      <c r="E1152" s="28">
        <v>0.95901216</v>
      </c>
      <c r="F1152" s="13"/>
      <c r="G1152" s="18">
        <v>3090146.07</v>
      </c>
      <c r="H1152" s="18">
        <v>2963487.65</v>
      </c>
      <c r="I1152" s="18">
        <v>3090146.07</v>
      </c>
      <c r="J1152" s="18">
        <v>2963487.65</v>
      </c>
      <c r="K1152" s="15">
        <v>568383</v>
      </c>
      <c r="L1152" s="13" t="s">
        <v>102</v>
      </c>
      <c r="M1152" s="13" t="s">
        <v>103</v>
      </c>
      <c r="N1152" s="139" t="s">
        <v>355</v>
      </c>
      <c r="O1152" s="139" t="s">
        <v>355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869</v>
      </c>
      <c r="V1152" s="13" t="s">
        <v>869</v>
      </c>
      <c r="W1152" s="59">
        <f t="shared" si="17"/>
        <v>5.6616276262941974E-5</v>
      </c>
    </row>
    <row r="1153" spans="1:29">
      <c r="A1153" s="13" t="s">
        <v>208</v>
      </c>
      <c r="B1153" s="13" t="s">
        <v>471</v>
      </c>
      <c r="C1153" s="139">
        <v>46283</v>
      </c>
      <c r="D1153" s="139" t="s">
        <v>441</v>
      </c>
      <c r="E1153" s="28">
        <v>0.95901216</v>
      </c>
      <c r="F1153" s="13"/>
      <c r="G1153" s="18">
        <v>7075968.3200000003</v>
      </c>
      <c r="H1153" s="18">
        <v>6785939.6399999997</v>
      </c>
      <c r="I1153" s="18">
        <v>7075968.3200000003</v>
      </c>
      <c r="J1153" s="18">
        <v>6785939.6399999997</v>
      </c>
      <c r="K1153" s="15">
        <v>568319</v>
      </c>
      <c r="L1153" s="13" t="s">
        <v>102</v>
      </c>
      <c r="M1153" s="13" t="s">
        <v>103</v>
      </c>
      <c r="N1153" s="139" t="s">
        <v>355</v>
      </c>
      <c r="O1153" s="139" t="s">
        <v>355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877</v>
      </c>
      <c r="V1153" s="13" t="s">
        <v>877</v>
      </c>
      <c r="W1153" s="59">
        <f t="shared" si="17"/>
        <v>1.2964273138168434E-4</v>
      </c>
    </row>
    <row r="1154" spans="1:29">
      <c r="A1154" s="13" t="s">
        <v>208</v>
      </c>
      <c r="B1154" s="13" t="s">
        <v>471</v>
      </c>
      <c r="C1154" s="139">
        <v>46283</v>
      </c>
      <c r="D1154" s="139" t="s">
        <v>441</v>
      </c>
      <c r="E1154" s="28">
        <v>0.95901216</v>
      </c>
      <c r="F1154" s="13"/>
      <c r="G1154" s="18">
        <v>11809132.970000001</v>
      </c>
      <c r="H1154" s="18">
        <v>11325102.08</v>
      </c>
      <c r="I1154" s="18">
        <v>11809132.970000001</v>
      </c>
      <c r="J1154" s="18">
        <v>11325102.08</v>
      </c>
      <c r="K1154" s="15">
        <v>568322</v>
      </c>
      <c r="L1154" s="13" t="s">
        <v>102</v>
      </c>
      <c r="M1154" s="13" t="s">
        <v>103</v>
      </c>
      <c r="N1154" s="139" t="s">
        <v>355</v>
      </c>
      <c r="O1154" s="139" t="s">
        <v>355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878</v>
      </c>
      <c r="V1154" s="13" t="s">
        <v>878</v>
      </c>
      <c r="W1154" s="59">
        <f t="shared" si="17"/>
        <v>2.1636166024423918E-4</v>
      </c>
    </row>
    <row r="1155" spans="1:29">
      <c r="A1155" s="13" t="s">
        <v>208</v>
      </c>
      <c r="B1155" s="13" t="s">
        <v>471</v>
      </c>
      <c r="C1155" s="139">
        <v>46283</v>
      </c>
      <c r="D1155" s="139" t="s">
        <v>441</v>
      </c>
      <c r="E1155" s="28">
        <v>0.95901216</v>
      </c>
      <c r="F1155" s="13"/>
      <c r="G1155" s="18">
        <v>31694713.280000001</v>
      </c>
      <c r="H1155" s="18">
        <v>30395615.350000001</v>
      </c>
      <c r="I1155" s="18">
        <v>31694713.280000001</v>
      </c>
      <c r="J1155" s="18">
        <v>30395615.350000001</v>
      </c>
      <c r="K1155" s="15">
        <v>568350</v>
      </c>
      <c r="L1155" s="13" t="s">
        <v>102</v>
      </c>
      <c r="M1155" s="13" t="s">
        <v>103</v>
      </c>
      <c r="N1155" s="139" t="s">
        <v>355</v>
      </c>
      <c r="O1155" s="139" t="s">
        <v>355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879</v>
      </c>
      <c r="V1155" s="13" t="s">
        <v>879</v>
      </c>
      <c r="W1155" s="59">
        <f t="shared" si="17"/>
        <v>5.8069638179113713E-4</v>
      </c>
    </row>
    <row r="1156" spans="1:29">
      <c r="A1156" s="13" t="s">
        <v>208</v>
      </c>
      <c r="B1156" s="13" t="s">
        <v>471</v>
      </c>
      <c r="C1156" s="139">
        <v>46283</v>
      </c>
      <c r="D1156" s="139" t="s">
        <v>441</v>
      </c>
      <c r="E1156" s="28">
        <v>0.95901216</v>
      </c>
      <c r="F1156" s="13"/>
      <c r="G1156" s="18">
        <v>20011620.16</v>
      </c>
      <c r="H1156" s="18">
        <v>19191387.02</v>
      </c>
      <c r="I1156" s="18">
        <v>20011620.16</v>
      </c>
      <c r="J1156" s="18">
        <v>19191387.02</v>
      </c>
      <c r="K1156" s="15">
        <v>568324</v>
      </c>
      <c r="L1156" s="13" t="s">
        <v>102</v>
      </c>
      <c r="M1156" s="13" t="s">
        <v>103</v>
      </c>
      <c r="N1156" s="139" t="s">
        <v>355</v>
      </c>
      <c r="O1156" s="139" t="s">
        <v>355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880</v>
      </c>
      <c r="V1156" s="13" t="s">
        <v>880</v>
      </c>
      <c r="W1156" s="59">
        <f t="shared" si="17"/>
        <v>3.6664396741905057E-4</v>
      </c>
    </row>
    <row r="1157" spans="1:29">
      <c r="A1157" s="13" t="s">
        <v>208</v>
      </c>
      <c r="B1157" s="13" t="s">
        <v>471</v>
      </c>
      <c r="C1157" s="139">
        <v>46283</v>
      </c>
      <c r="D1157" s="139" t="s">
        <v>441</v>
      </c>
      <c r="E1157" s="28">
        <v>0.95901216</v>
      </c>
      <c r="F1157" s="13"/>
      <c r="G1157" s="18">
        <v>34118781</v>
      </c>
      <c r="H1157" s="18">
        <v>32720325.77</v>
      </c>
      <c r="I1157" s="18">
        <v>34118781</v>
      </c>
      <c r="J1157" s="18">
        <v>32720325.77</v>
      </c>
      <c r="K1157" s="15">
        <v>568355</v>
      </c>
      <c r="L1157" s="13" t="s">
        <v>102</v>
      </c>
      <c r="M1157" s="13" t="s">
        <v>103</v>
      </c>
      <c r="N1157" s="139" t="s">
        <v>355</v>
      </c>
      <c r="O1157" s="139" t="s">
        <v>355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881</v>
      </c>
      <c r="V1157" s="13" t="s">
        <v>881</v>
      </c>
      <c r="W1157" s="59">
        <f t="shared" ref="W1157:W1220" si="18">+J1157/$W$2</f>
        <v>6.2510906809676748E-4</v>
      </c>
    </row>
    <row r="1158" spans="1:29">
      <c r="A1158" s="13" t="s">
        <v>472</v>
      </c>
      <c r="B1158" s="13" t="s">
        <v>471</v>
      </c>
      <c r="C1158" s="139">
        <v>46283</v>
      </c>
      <c r="D1158" s="139" t="s">
        <v>441</v>
      </c>
      <c r="E1158" s="28">
        <v>0.95300280000000004</v>
      </c>
      <c r="F1158" s="13"/>
      <c r="G1158" s="18">
        <v>5000000</v>
      </c>
      <c r="H1158" s="18">
        <v>4765014.0199999996</v>
      </c>
      <c r="I1158" s="18">
        <v>5000000</v>
      </c>
      <c r="J1158" s="18">
        <v>4765014.0199999996</v>
      </c>
      <c r="K1158" s="15">
        <v>683</v>
      </c>
      <c r="L1158" s="13" t="s">
        <v>102</v>
      </c>
      <c r="M1158" s="13" t="s">
        <v>103</v>
      </c>
      <c r="N1158" s="139" t="s">
        <v>439</v>
      </c>
      <c r="O1158" s="139" t="s">
        <v>439</v>
      </c>
      <c r="P1158" s="28">
        <v>30</v>
      </c>
      <c r="Q1158" s="13" t="s">
        <v>54</v>
      </c>
      <c r="R1158" s="13" t="s">
        <v>28</v>
      </c>
      <c r="S1158" s="13"/>
      <c r="T1158" s="13"/>
      <c r="U1158" s="13" t="s">
        <v>1747</v>
      </c>
      <c r="V1158" s="13" t="s">
        <v>1747</v>
      </c>
      <c r="W1158" s="59">
        <f t="shared" si="18"/>
        <v>9.1033735252148493E-5</v>
      </c>
    </row>
    <row r="1159" spans="1:29">
      <c r="A1159" s="13" t="s">
        <v>472</v>
      </c>
      <c r="B1159" s="13" t="s">
        <v>471</v>
      </c>
      <c r="C1159" s="139">
        <v>46283</v>
      </c>
      <c r="D1159" s="139" t="s">
        <v>441</v>
      </c>
      <c r="E1159" s="28">
        <v>0.95300262999999996</v>
      </c>
      <c r="F1159" s="13"/>
      <c r="G1159" s="18">
        <v>10000000</v>
      </c>
      <c r="H1159" s="18">
        <v>9530026.2699999996</v>
      </c>
      <c r="I1159" s="18">
        <v>10000000</v>
      </c>
      <c r="J1159" s="18">
        <v>9530026.2699999996</v>
      </c>
      <c r="K1159" s="15">
        <v>724</v>
      </c>
      <c r="L1159" s="13" t="s">
        <v>102</v>
      </c>
      <c r="M1159" s="13" t="s">
        <v>103</v>
      </c>
      <c r="N1159" s="139" t="s">
        <v>172</v>
      </c>
      <c r="O1159" s="139" t="s">
        <v>172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1775</v>
      </c>
      <c r="V1159" s="13" t="s">
        <v>1775</v>
      </c>
      <c r="W1159" s="59">
        <f t="shared" si="18"/>
        <v>1.82067436689137E-4</v>
      </c>
    </row>
    <row r="1160" spans="1:29">
      <c r="A1160" s="13" t="s">
        <v>472</v>
      </c>
      <c r="B1160" s="13" t="s">
        <v>471</v>
      </c>
      <c r="C1160" s="139">
        <v>46283</v>
      </c>
      <c r="D1160" s="139" t="s">
        <v>441</v>
      </c>
      <c r="E1160" s="28">
        <v>0.95300262999999996</v>
      </c>
      <c r="F1160" s="13"/>
      <c r="G1160" s="18">
        <v>10000000</v>
      </c>
      <c r="H1160" s="18">
        <v>9530026.3200000003</v>
      </c>
      <c r="I1160" s="18">
        <v>10000000</v>
      </c>
      <c r="J1160" s="18">
        <v>9530026.3200000003</v>
      </c>
      <c r="K1160" s="15">
        <v>569</v>
      </c>
      <c r="L1160" s="13" t="s">
        <v>102</v>
      </c>
      <c r="M1160" s="13" t="s">
        <v>103</v>
      </c>
      <c r="N1160" s="139" t="s">
        <v>368</v>
      </c>
      <c r="O1160" s="139" t="s">
        <v>368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1283</v>
      </c>
      <c r="V1160" s="13" t="s">
        <v>1283</v>
      </c>
      <c r="W1160" s="59">
        <f t="shared" si="18"/>
        <v>1.8206743764436753E-4</v>
      </c>
    </row>
    <row r="1161" spans="1:29">
      <c r="A1161" s="13" t="s">
        <v>481</v>
      </c>
      <c r="B1161" s="13" t="s">
        <v>471</v>
      </c>
      <c r="C1161" s="139">
        <v>46283</v>
      </c>
      <c r="D1161" s="139" t="s">
        <v>441</v>
      </c>
      <c r="E1161" s="28">
        <v>0.94120705000000005</v>
      </c>
      <c r="F1161" s="13"/>
      <c r="G1161" s="18">
        <v>15000000</v>
      </c>
      <c r="H1161" s="18">
        <v>14118105.68</v>
      </c>
      <c r="I1161" s="18">
        <v>15000000</v>
      </c>
      <c r="J1161" s="18">
        <v>14118105.68</v>
      </c>
      <c r="K1161" s="15">
        <v>70219557</v>
      </c>
      <c r="L1161" s="13" t="s">
        <v>102</v>
      </c>
      <c r="M1161" s="13" t="s">
        <v>103</v>
      </c>
      <c r="N1161" s="139" t="s">
        <v>382</v>
      </c>
      <c r="O1161" s="139" t="s">
        <v>382</v>
      </c>
      <c r="P1161" s="28">
        <v>38</v>
      </c>
      <c r="Q1161" s="13" t="s">
        <v>54</v>
      </c>
      <c r="R1161" s="13" t="s">
        <v>28</v>
      </c>
      <c r="S1161" s="13"/>
      <c r="T1161" s="13"/>
      <c r="U1161" s="13" t="s">
        <v>2374</v>
      </c>
      <c r="V1161" s="13" t="s">
        <v>2374</v>
      </c>
      <c r="W1161" s="59">
        <f t="shared" si="18"/>
        <v>2.6972090519367955E-4</v>
      </c>
    </row>
    <row r="1162" spans="1:29">
      <c r="A1162" s="13" t="s">
        <v>472</v>
      </c>
      <c r="B1162" s="13" t="s">
        <v>471</v>
      </c>
      <c r="C1162" s="139">
        <v>46283</v>
      </c>
      <c r="D1162" s="139" t="s">
        <v>441</v>
      </c>
      <c r="E1162" s="28">
        <v>0.95300264000000001</v>
      </c>
      <c r="F1162" s="13"/>
      <c r="G1162" s="18">
        <v>10000000</v>
      </c>
      <c r="H1162" s="18">
        <v>9530026.4199999999</v>
      </c>
      <c r="I1162" s="18">
        <v>10000000</v>
      </c>
      <c r="J1162" s="18">
        <v>9530026.4199999999</v>
      </c>
      <c r="K1162" s="15">
        <v>673</v>
      </c>
      <c r="L1162" s="13" t="s">
        <v>102</v>
      </c>
      <c r="M1162" s="13" t="s">
        <v>103</v>
      </c>
      <c r="N1162" s="139" t="s">
        <v>354</v>
      </c>
      <c r="O1162" s="139" t="s">
        <v>354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1695</v>
      </c>
      <c r="V1162" s="13" t="s">
        <v>1695</v>
      </c>
      <c r="W1162" s="59">
        <f t="shared" si="18"/>
        <v>1.8206743955482855E-4</v>
      </c>
    </row>
    <row r="1163" spans="1:29">
      <c r="A1163" s="13" t="s">
        <v>511</v>
      </c>
      <c r="B1163" s="13" t="s">
        <v>471</v>
      </c>
      <c r="C1163" s="139">
        <v>46283</v>
      </c>
      <c r="D1163" s="139" t="s">
        <v>441</v>
      </c>
      <c r="E1163" s="28">
        <v>0.94559590000000004</v>
      </c>
      <c r="F1163" s="13"/>
      <c r="G1163" s="18">
        <v>50000000</v>
      </c>
      <c r="H1163" s="18">
        <v>47279795.25</v>
      </c>
      <c r="I1163" s="18">
        <v>50000000</v>
      </c>
      <c r="J1163" s="18">
        <v>47279795.25</v>
      </c>
      <c r="K1163" s="15">
        <v>2873</v>
      </c>
      <c r="L1163" s="13" t="s">
        <v>102</v>
      </c>
      <c r="M1163" s="13" t="s">
        <v>103</v>
      </c>
      <c r="N1163" s="139" t="s">
        <v>389</v>
      </c>
      <c r="O1163" s="139" t="s">
        <v>389</v>
      </c>
      <c r="P1163" s="28">
        <v>35</v>
      </c>
      <c r="Q1163" s="13" t="s">
        <v>54</v>
      </c>
      <c r="R1163" s="13" t="s">
        <v>28</v>
      </c>
      <c r="S1163" s="13"/>
      <c r="T1163" s="13"/>
      <c r="U1163" s="13" t="s">
        <v>1596</v>
      </c>
      <c r="V1163" s="13" t="s">
        <v>1596</v>
      </c>
      <c r="W1163" s="59">
        <f t="shared" si="18"/>
        <v>9.0326205662754548E-4</v>
      </c>
    </row>
    <row r="1164" spans="1:29">
      <c r="A1164" s="13" t="s">
        <v>242</v>
      </c>
      <c r="B1164" s="13" t="s">
        <v>471</v>
      </c>
      <c r="C1164" s="139">
        <v>46283</v>
      </c>
      <c r="D1164" s="139" t="s">
        <v>441</v>
      </c>
      <c r="E1164" s="28">
        <v>0.94854477999999998</v>
      </c>
      <c r="F1164" s="13"/>
      <c r="G1164" s="18">
        <v>2500000</v>
      </c>
      <c r="H1164" s="18">
        <v>2371361.96</v>
      </c>
      <c r="I1164" s="18">
        <v>2500000</v>
      </c>
      <c r="J1164" s="18">
        <v>2371361.96</v>
      </c>
      <c r="K1164" s="15">
        <v>1200</v>
      </c>
      <c r="L1164" s="13" t="s">
        <v>102</v>
      </c>
      <c r="M1164" s="13" t="s">
        <v>103</v>
      </c>
      <c r="N1164" s="139" t="s">
        <v>162</v>
      </c>
      <c r="O1164" s="139" t="s">
        <v>162</v>
      </c>
      <c r="P1164" s="28">
        <v>33</v>
      </c>
      <c r="Q1164" s="13" t="s">
        <v>54</v>
      </c>
      <c r="R1164" s="13" t="s">
        <v>28</v>
      </c>
      <c r="S1164" s="13"/>
      <c r="T1164" s="13"/>
      <c r="U1164" s="13" t="s">
        <v>1087</v>
      </c>
      <c r="V1164" s="13" t="s">
        <v>1087</v>
      </c>
      <c r="W1164" s="59">
        <f t="shared" si="18"/>
        <v>4.5303945790626646E-5</v>
      </c>
    </row>
    <row r="1165" spans="1:29">
      <c r="A1165" s="13" t="s">
        <v>1516</v>
      </c>
      <c r="B1165" s="13" t="s">
        <v>471</v>
      </c>
      <c r="C1165" s="139">
        <v>46283</v>
      </c>
      <c r="D1165" s="139" t="s">
        <v>441</v>
      </c>
      <c r="E1165" s="28">
        <v>0.94120700999999996</v>
      </c>
      <c r="F1165" s="13"/>
      <c r="G1165" s="18">
        <v>60000000</v>
      </c>
      <c r="H1165" s="18">
        <v>56472420.689999998</v>
      </c>
      <c r="I1165" s="18">
        <v>60000000</v>
      </c>
      <c r="J1165" s="18">
        <v>56472420.689999998</v>
      </c>
      <c r="K1165" s="15">
        <v>70379072</v>
      </c>
      <c r="L1165" s="13" t="s">
        <v>102</v>
      </c>
      <c r="M1165" s="13" t="s">
        <v>103</v>
      </c>
      <c r="N1165" s="139" t="s">
        <v>383</v>
      </c>
      <c r="O1165" s="139" t="s">
        <v>383</v>
      </c>
      <c r="P1165" s="28">
        <v>38</v>
      </c>
      <c r="Q1165" s="13" t="s">
        <v>54</v>
      </c>
      <c r="R1165" s="13" t="s">
        <v>28</v>
      </c>
      <c r="S1165" s="13"/>
      <c r="T1165" s="13"/>
      <c r="U1165" s="13" t="s">
        <v>1678</v>
      </c>
      <c r="V1165" s="13" t="s">
        <v>1678</v>
      </c>
      <c r="W1165" s="59">
        <f t="shared" si="18"/>
        <v>1.0788835819923596E-3</v>
      </c>
    </row>
    <row r="1166" spans="1:29">
      <c r="A1166" s="13" t="s">
        <v>1657</v>
      </c>
      <c r="B1166" s="13" t="s">
        <v>471</v>
      </c>
      <c r="C1166" s="139">
        <v>46283</v>
      </c>
      <c r="D1166" s="139" t="s">
        <v>441</v>
      </c>
      <c r="E1166" s="28">
        <v>0.95300269999999998</v>
      </c>
      <c r="F1166" s="13"/>
      <c r="G1166" s="18">
        <v>2868835.67</v>
      </c>
      <c r="H1166" s="18">
        <v>2734008.14</v>
      </c>
      <c r="I1166" s="18">
        <v>2868835.67</v>
      </c>
      <c r="J1166" s="18">
        <v>2734008.14</v>
      </c>
      <c r="K1166" s="15">
        <v>6278</v>
      </c>
      <c r="L1166" s="13" t="s">
        <v>102</v>
      </c>
      <c r="M1166" s="13" t="s">
        <v>103</v>
      </c>
      <c r="N1166" s="139" t="s">
        <v>170</v>
      </c>
      <c r="O1166" s="139" t="s">
        <v>170</v>
      </c>
      <c r="P1166" s="28">
        <v>30</v>
      </c>
      <c r="Q1166" s="13" t="s">
        <v>54</v>
      </c>
      <c r="R1166" s="13" t="s">
        <v>28</v>
      </c>
      <c r="S1166" s="13"/>
      <c r="T1166" s="13"/>
      <c r="U1166" s="13" t="s">
        <v>1628</v>
      </c>
      <c r="V1166" s="13" t="s">
        <v>1628</v>
      </c>
      <c r="W1166" s="59">
        <f t="shared" si="18"/>
        <v>5.2232159685015777E-5</v>
      </c>
      <c r="AC1166" s="56"/>
    </row>
    <row r="1167" spans="1:29">
      <c r="A1167" s="13" t="s">
        <v>581</v>
      </c>
      <c r="B1167" s="13" t="s">
        <v>471</v>
      </c>
      <c r="C1167" s="139">
        <v>46283</v>
      </c>
      <c r="D1167" s="139" t="s">
        <v>441</v>
      </c>
      <c r="E1167" s="28">
        <v>0.95599800000000001</v>
      </c>
      <c r="F1167" s="13"/>
      <c r="G1167" s="18">
        <v>10000000</v>
      </c>
      <c r="H1167" s="18">
        <v>9559979.9600000009</v>
      </c>
      <c r="I1167" s="18">
        <v>10000000</v>
      </c>
      <c r="J1167" s="18">
        <v>9559979.9600000009</v>
      </c>
      <c r="K1167" s="15">
        <v>360565</v>
      </c>
      <c r="L1167" s="13" t="s">
        <v>102</v>
      </c>
      <c r="M1167" s="13" t="s">
        <v>103</v>
      </c>
      <c r="N1167" s="139" t="s">
        <v>348</v>
      </c>
      <c r="O1167" s="139" t="s">
        <v>348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717</v>
      </c>
      <c r="V1167" s="13" t="s">
        <v>717</v>
      </c>
      <c r="W1167" s="59">
        <f t="shared" si="18"/>
        <v>1.8263969025939723E-4</v>
      </c>
    </row>
    <row r="1168" spans="1:29">
      <c r="A1168" s="13" t="s">
        <v>395</v>
      </c>
      <c r="B1168" s="13" t="s">
        <v>471</v>
      </c>
      <c r="C1168" s="139">
        <v>46283</v>
      </c>
      <c r="D1168" s="139" t="s">
        <v>441</v>
      </c>
      <c r="E1168" s="28">
        <v>0.95002626999999995</v>
      </c>
      <c r="F1168" s="13"/>
      <c r="G1168" s="18">
        <v>6428571.6799999997</v>
      </c>
      <c r="H1168" s="18">
        <v>6107311.9699999997</v>
      </c>
      <c r="I1168" s="18">
        <v>6428571.6799999997</v>
      </c>
      <c r="J1168" s="18">
        <v>6107311.9699999997</v>
      </c>
      <c r="K1168" s="15">
        <v>3488</v>
      </c>
      <c r="L1168" s="13" t="s">
        <v>102</v>
      </c>
      <c r="M1168" s="13" t="s">
        <v>103</v>
      </c>
      <c r="N1168" s="139" t="s">
        <v>495</v>
      </c>
      <c r="O1168" s="139" t="s">
        <v>495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2141</v>
      </c>
      <c r="V1168" s="13" t="s">
        <v>2141</v>
      </c>
      <c r="W1168" s="59">
        <f t="shared" si="18"/>
        <v>1.166778143035259E-4</v>
      </c>
    </row>
    <row r="1169" spans="1:29">
      <c r="A1169" s="13" t="s">
        <v>2192</v>
      </c>
      <c r="B1169" s="13" t="s">
        <v>471</v>
      </c>
      <c r="C1169" s="139">
        <v>46283</v>
      </c>
      <c r="D1169" s="139" t="s">
        <v>441</v>
      </c>
      <c r="E1169" s="28">
        <v>0.95002626999999995</v>
      </c>
      <c r="F1169" s="13"/>
      <c r="G1169" s="18">
        <v>1444027.42</v>
      </c>
      <c r="H1169" s="18">
        <v>1371863.98</v>
      </c>
      <c r="I1169" s="18">
        <v>1444027.42</v>
      </c>
      <c r="J1169" s="18">
        <v>1371863.98</v>
      </c>
      <c r="K1169" s="15">
        <v>68156242</v>
      </c>
      <c r="L1169" s="13" t="s">
        <v>102</v>
      </c>
      <c r="M1169" s="13" t="s">
        <v>103</v>
      </c>
      <c r="N1169" s="139" t="s">
        <v>495</v>
      </c>
      <c r="O1169" s="139" t="s">
        <v>495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2149</v>
      </c>
      <c r="V1169" s="13" t="s">
        <v>2149</v>
      </c>
      <c r="W1169" s="59">
        <f t="shared" si="18"/>
        <v>2.6208926528463548E-5</v>
      </c>
    </row>
    <row r="1170" spans="1:29">
      <c r="A1170" s="13" t="s">
        <v>1075</v>
      </c>
      <c r="B1170" s="13" t="s">
        <v>471</v>
      </c>
      <c r="C1170" s="139">
        <v>46286</v>
      </c>
      <c r="D1170" s="139" t="s">
        <v>441</v>
      </c>
      <c r="E1170" s="28">
        <v>0.93997085000000002</v>
      </c>
      <c r="F1170" s="13"/>
      <c r="G1170" s="18">
        <v>3345657.98</v>
      </c>
      <c r="H1170" s="18">
        <v>3144820.97</v>
      </c>
      <c r="I1170" s="18">
        <v>3345657.98</v>
      </c>
      <c r="J1170" s="18">
        <v>3144820.97</v>
      </c>
      <c r="K1170" s="15">
        <v>253</v>
      </c>
      <c r="L1170" s="13" t="s">
        <v>102</v>
      </c>
      <c r="M1170" s="13" t="s">
        <v>103</v>
      </c>
      <c r="N1170" s="139" t="s">
        <v>402</v>
      </c>
      <c r="O1170" s="139" t="s">
        <v>402</v>
      </c>
      <c r="P1170" s="28">
        <v>37</v>
      </c>
      <c r="Q1170" s="13" t="s">
        <v>54</v>
      </c>
      <c r="R1170" s="13" t="s">
        <v>28</v>
      </c>
      <c r="S1170" s="13"/>
      <c r="T1170" s="13"/>
      <c r="U1170" s="13" t="s">
        <v>1893</v>
      </c>
      <c r="V1170" s="13" t="s">
        <v>1893</v>
      </c>
      <c r="W1170" s="59">
        <f t="shared" si="18"/>
        <v>6.0080578650298461E-5</v>
      </c>
    </row>
    <row r="1171" spans="1:29">
      <c r="A1171" s="13" t="s">
        <v>486</v>
      </c>
      <c r="B1171" s="13" t="s">
        <v>471</v>
      </c>
      <c r="C1171" s="139">
        <v>46286</v>
      </c>
      <c r="D1171" s="139" t="s">
        <v>441</v>
      </c>
      <c r="E1171" s="28">
        <v>0.94765814000000004</v>
      </c>
      <c r="F1171" s="13"/>
      <c r="G1171" s="18">
        <v>15355310.449999999</v>
      </c>
      <c r="H1171" s="18">
        <v>14551584.93</v>
      </c>
      <c r="I1171" s="18">
        <v>15355310.449999999</v>
      </c>
      <c r="J1171" s="18">
        <v>14551584.93</v>
      </c>
      <c r="K1171" s="15">
        <v>30748</v>
      </c>
      <c r="L1171" s="13" t="s">
        <v>102</v>
      </c>
      <c r="M1171" s="13" t="s">
        <v>103</v>
      </c>
      <c r="N1171" s="139" t="s">
        <v>373</v>
      </c>
      <c r="O1171" s="139" t="s">
        <v>373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1408</v>
      </c>
      <c r="V1171" s="13" t="s">
        <v>1408</v>
      </c>
      <c r="W1171" s="59">
        <f t="shared" si="18"/>
        <v>2.780023572767523E-4</v>
      </c>
    </row>
    <row r="1172" spans="1:29">
      <c r="A1172" s="13" t="s">
        <v>403</v>
      </c>
      <c r="B1172" s="13" t="s">
        <v>471</v>
      </c>
      <c r="C1172" s="139">
        <v>46286</v>
      </c>
      <c r="D1172" s="139" t="s">
        <v>441</v>
      </c>
      <c r="E1172" s="28">
        <v>0.94765814000000004</v>
      </c>
      <c r="F1172" s="13"/>
      <c r="G1172" s="18">
        <v>10000000</v>
      </c>
      <c r="H1172" s="18">
        <v>9476581.3900000006</v>
      </c>
      <c r="I1172" s="18">
        <v>10000000</v>
      </c>
      <c r="J1172" s="18">
        <v>9476581.3900000006</v>
      </c>
      <c r="K1172" s="15">
        <v>13795884</v>
      </c>
      <c r="L1172" s="13" t="s">
        <v>102</v>
      </c>
      <c r="M1172" s="13" t="s">
        <v>103</v>
      </c>
      <c r="N1172" s="139" t="s">
        <v>373</v>
      </c>
      <c r="O1172" s="139" t="s">
        <v>373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1420</v>
      </c>
      <c r="V1172" s="13" t="s">
        <v>1420</v>
      </c>
      <c r="W1172" s="59">
        <f t="shared" si="18"/>
        <v>1.8104639309176628E-4</v>
      </c>
    </row>
    <row r="1173" spans="1:29">
      <c r="A1173" s="13" t="s">
        <v>403</v>
      </c>
      <c r="B1173" s="13" t="s">
        <v>471</v>
      </c>
      <c r="C1173" s="139">
        <v>46286</v>
      </c>
      <c r="D1173" s="139" t="s">
        <v>441</v>
      </c>
      <c r="E1173" s="28">
        <v>0.94765814000000004</v>
      </c>
      <c r="F1173" s="13"/>
      <c r="G1173" s="18">
        <v>10000000</v>
      </c>
      <c r="H1173" s="18">
        <v>9476581.3900000006</v>
      </c>
      <c r="I1173" s="18">
        <v>10000000</v>
      </c>
      <c r="J1173" s="18">
        <v>9476581.3900000006</v>
      </c>
      <c r="K1173" s="15">
        <v>13795880</v>
      </c>
      <c r="L1173" s="13" t="s">
        <v>102</v>
      </c>
      <c r="M1173" s="13" t="s">
        <v>103</v>
      </c>
      <c r="N1173" s="139" t="s">
        <v>373</v>
      </c>
      <c r="O1173" s="139" t="s">
        <v>373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1421</v>
      </c>
      <c r="V1173" s="13" t="s">
        <v>1421</v>
      </c>
      <c r="W1173" s="59">
        <f t="shared" si="18"/>
        <v>1.8104639309176628E-4</v>
      </c>
    </row>
    <row r="1174" spans="1:29">
      <c r="A1174" s="13" t="s">
        <v>403</v>
      </c>
      <c r="B1174" s="13" t="s">
        <v>471</v>
      </c>
      <c r="C1174" s="139">
        <v>46286</v>
      </c>
      <c r="D1174" s="139" t="s">
        <v>441</v>
      </c>
      <c r="E1174" s="28">
        <v>0.94765814000000004</v>
      </c>
      <c r="F1174" s="13"/>
      <c r="G1174" s="18">
        <v>40000000</v>
      </c>
      <c r="H1174" s="18">
        <v>37906325.579999998</v>
      </c>
      <c r="I1174" s="18">
        <v>40000000</v>
      </c>
      <c r="J1174" s="18">
        <v>37906325.579999998</v>
      </c>
      <c r="K1174" s="15">
        <v>13662785</v>
      </c>
      <c r="L1174" s="13" t="s">
        <v>102</v>
      </c>
      <c r="M1174" s="13" t="s">
        <v>103</v>
      </c>
      <c r="N1174" s="139" t="s">
        <v>373</v>
      </c>
      <c r="O1174" s="139" t="s">
        <v>373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1422</v>
      </c>
      <c r="V1174" s="13" t="s">
        <v>1422</v>
      </c>
      <c r="W1174" s="59">
        <f t="shared" si="18"/>
        <v>7.2418557274915726E-4</v>
      </c>
    </row>
    <row r="1175" spans="1:29">
      <c r="A1175" s="13" t="s">
        <v>655</v>
      </c>
      <c r="B1175" s="13" t="s">
        <v>471</v>
      </c>
      <c r="C1175" s="139">
        <v>46286</v>
      </c>
      <c r="D1175" s="139" t="s">
        <v>441</v>
      </c>
      <c r="E1175" s="28">
        <v>0.93844822000000006</v>
      </c>
      <c r="F1175" s="13"/>
      <c r="G1175" s="18">
        <v>4463318.82</v>
      </c>
      <c r="H1175" s="18">
        <v>4188593.62</v>
      </c>
      <c r="I1175" s="18">
        <v>4463318.82</v>
      </c>
      <c r="J1175" s="18">
        <v>4188593.62</v>
      </c>
      <c r="K1175" s="15">
        <v>347</v>
      </c>
      <c r="L1175" s="13" t="s">
        <v>102</v>
      </c>
      <c r="M1175" s="13" t="s">
        <v>103</v>
      </c>
      <c r="N1175" s="139" t="s">
        <v>358</v>
      </c>
      <c r="O1175" s="139" t="s">
        <v>358</v>
      </c>
      <c r="P1175" s="28">
        <v>38</v>
      </c>
      <c r="Q1175" s="13" t="s">
        <v>54</v>
      </c>
      <c r="R1175" s="13" t="s">
        <v>28</v>
      </c>
      <c r="S1175" s="13"/>
      <c r="T1175" s="13"/>
      <c r="U1175" s="13" t="s">
        <v>611</v>
      </c>
      <c r="V1175" s="13" t="s">
        <v>611</v>
      </c>
      <c r="W1175" s="59">
        <f t="shared" si="18"/>
        <v>8.0021448222710221E-5</v>
      </c>
    </row>
    <row r="1176" spans="1:29">
      <c r="A1176" s="13" t="s">
        <v>655</v>
      </c>
      <c r="B1176" s="13" t="s">
        <v>471</v>
      </c>
      <c r="C1176" s="139">
        <v>46286</v>
      </c>
      <c r="D1176" s="139" t="s">
        <v>441</v>
      </c>
      <c r="E1176" s="28">
        <v>0.93844813999999999</v>
      </c>
      <c r="F1176" s="13"/>
      <c r="G1176" s="18">
        <v>4500000</v>
      </c>
      <c r="H1176" s="18">
        <v>4223016.6100000003</v>
      </c>
      <c r="I1176" s="18">
        <v>4500000</v>
      </c>
      <c r="J1176" s="18">
        <v>4223016.6100000003</v>
      </c>
      <c r="K1176" s="15">
        <v>559</v>
      </c>
      <c r="L1176" s="13" t="s">
        <v>102</v>
      </c>
      <c r="M1176" s="13" t="s">
        <v>103</v>
      </c>
      <c r="N1176" s="139" t="s">
        <v>327</v>
      </c>
      <c r="O1176" s="139" t="s">
        <v>327</v>
      </c>
      <c r="P1176" s="28">
        <v>38</v>
      </c>
      <c r="Q1176" s="13" t="s">
        <v>54</v>
      </c>
      <c r="R1176" s="13" t="s">
        <v>28</v>
      </c>
      <c r="S1176" s="13"/>
      <c r="T1176" s="13"/>
      <c r="U1176" s="13" t="s">
        <v>807</v>
      </c>
      <c r="V1176" s="13" t="s">
        <v>807</v>
      </c>
      <c r="W1176" s="59">
        <f t="shared" si="18"/>
        <v>8.0679086027152068E-5</v>
      </c>
    </row>
    <row r="1177" spans="1:29">
      <c r="A1177" s="13" t="s">
        <v>739</v>
      </c>
      <c r="B1177" s="13" t="s">
        <v>471</v>
      </c>
      <c r="C1177" s="139">
        <v>46286</v>
      </c>
      <c r="D1177" s="139" t="s">
        <v>441</v>
      </c>
      <c r="E1177" s="28">
        <v>0.94611060000000002</v>
      </c>
      <c r="F1177" s="13"/>
      <c r="G1177" s="18">
        <v>150000000</v>
      </c>
      <c r="H1177" s="18">
        <v>141916589.52000001</v>
      </c>
      <c r="I1177" s="18">
        <v>150000000</v>
      </c>
      <c r="J1177" s="18">
        <v>141916589.52000001</v>
      </c>
      <c r="K1177" s="15">
        <v>70389147</v>
      </c>
      <c r="L1177" s="13" t="s">
        <v>102</v>
      </c>
      <c r="M1177" s="13" t="s">
        <v>103</v>
      </c>
      <c r="N1177" s="139" t="s">
        <v>431</v>
      </c>
      <c r="O1177" s="139" t="s">
        <v>431</v>
      </c>
      <c r="P1177" s="28">
        <v>33</v>
      </c>
      <c r="Q1177" s="13" t="s">
        <v>54</v>
      </c>
      <c r="R1177" s="13" t="s">
        <v>28</v>
      </c>
      <c r="S1177" s="13"/>
      <c r="T1177" s="13"/>
      <c r="U1177" s="13" t="s">
        <v>1934</v>
      </c>
      <c r="V1177" s="13" t="s">
        <v>1934</v>
      </c>
      <c r="W1177" s="59">
        <f t="shared" si="18"/>
        <v>2.7112611178112572E-3</v>
      </c>
    </row>
    <row r="1178" spans="1:29">
      <c r="A1178" s="13" t="s">
        <v>472</v>
      </c>
      <c r="B1178" s="13" t="s">
        <v>471</v>
      </c>
      <c r="C1178" s="139">
        <v>46286</v>
      </c>
      <c r="D1178" s="139" t="s">
        <v>441</v>
      </c>
      <c r="E1178" s="28">
        <v>0.95076863</v>
      </c>
      <c r="F1178" s="13"/>
      <c r="G1178" s="18">
        <v>10000000</v>
      </c>
      <c r="H1178" s="18">
        <v>9507686.2899999991</v>
      </c>
      <c r="I1178" s="18">
        <v>10000000</v>
      </c>
      <c r="J1178" s="18">
        <v>9507686.2899999991</v>
      </c>
      <c r="K1178" s="15">
        <v>702</v>
      </c>
      <c r="L1178" s="13" t="s">
        <v>102</v>
      </c>
      <c r="M1178" s="13" t="s">
        <v>103</v>
      </c>
      <c r="N1178" s="139" t="s">
        <v>460</v>
      </c>
      <c r="O1178" s="139" t="s">
        <v>460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1762</v>
      </c>
      <c r="V1178" s="13" t="s">
        <v>1762</v>
      </c>
      <c r="W1178" s="59">
        <f t="shared" si="18"/>
        <v>1.8164064008028709E-4</v>
      </c>
    </row>
    <row r="1179" spans="1:29">
      <c r="A1179" s="13" t="s">
        <v>472</v>
      </c>
      <c r="B1179" s="13" t="s">
        <v>471</v>
      </c>
      <c r="C1179" s="139">
        <v>46286</v>
      </c>
      <c r="D1179" s="139" t="s">
        <v>441</v>
      </c>
      <c r="E1179" s="28">
        <v>0.95076852999999995</v>
      </c>
      <c r="F1179" s="13"/>
      <c r="G1179" s="18">
        <v>10000000</v>
      </c>
      <c r="H1179" s="18">
        <v>9507685.3200000003</v>
      </c>
      <c r="I1179" s="18">
        <v>10000000</v>
      </c>
      <c r="J1179" s="18">
        <v>9507685.3200000003</v>
      </c>
      <c r="K1179" s="15">
        <v>739</v>
      </c>
      <c r="L1179" s="13" t="s">
        <v>102</v>
      </c>
      <c r="M1179" s="13" t="s">
        <v>103</v>
      </c>
      <c r="N1179" s="139" t="s">
        <v>509</v>
      </c>
      <c r="O1179" s="139" t="s">
        <v>509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2040</v>
      </c>
      <c r="V1179" s="13" t="s">
        <v>2040</v>
      </c>
      <c r="W1179" s="59">
        <f t="shared" si="18"/>
        <v>1.8164062154881524E-4</v>
      </c>
    </row>
    <row r="1180" spans="1:29">
      <c r="A1180" s="13" t="s">
        <v>472</v>
      </c>
      <c r="B1180" s="13" t="s">
        <v>471</v>
      </c>
      <c r="C1180" s="139">
        <v>46286</v>
      </c>
      <c r="D1180" s="139" t="s">
        <v>441</v>
      </c>
      <c r="E1180" s="28">
        <v>0.95076846000000004</v>
      </c>
      <c r="F1180" s="13"/>
      <c r="G1180" s="18">
        <v>5000000</v>
      </c>
      <c r="H1180" s="18">
        <v>4753842.28</v>
      </c>
      <c r="I1180" s="18">
        <v>5000000</v>
      </c>
      <c r="J1180" s="18">
        <v>4753842.28</v>
      </c>
      <c r="K1180" s="15">
        <v>781</v>
      </c>
      <c r="L1180" s="13" t="s">
        <v>102</v>
      </c>
      <c r="M1180" s="13" t="s">
        <v>103</v>
      </c>
      <c r="N1180" s="139" t="s">
        <v>495</v>
      </c>
      <c r="O1180" s="139" t="s">
        <v>495</v>
      </c>
      <c r="P1180" s="28">
        <v>30</v>
      </c>
      <c r="Q1180" s="13" t="s">
        <v>54</v>
      </c>
      <c r="R1180" s="13" t="s">
        <v>28</v>
      </c>
      <c r="S1180" s="13"/>
      <c r="T1180" s="13"/>
      <c r="U1180" s="13" t="s">
        <v>2178</v>
      </c>
      <c r="V1180" s="13" t="s">
        <v>2178</v>
      </c>
      <c r="W1180" s="59">
        <f t="shared" si="18"/>
        <v>9.0820303514655765E-5</v>
      </c>
    </row>
    <row r="1181" spans="1:29">
      <c r="A1181" s="13" t="s">
        <v>323</v>
      </c>
      <c r="B1181" s="13" t="s">
        <v>471</v>
      </c>
      <c r="C1181" s="139">
        <v>46286</v>
      </c>
      <c r="D1181" s="139" t="s">
        <v>441</v>
      </c>
      <c r="E1181" s="28">
        <v>0.95863447999999996</v>
      </c>
      <c r="F1181" s="13"/>
      <c r="G1181" s="18">
        <v>25000000</v>
      </c>
      <c r="H1181" s="18">
        <v>23965861.899999999</v>
      </c>
      <c r="I1181" s="18">
        <v>25000000</v>
      </c>
      <c r="J1181" s="18">
        <v>23965861.899999999</v>
      </c>
      <c r="K1181" s="15">
        <v>68393693</v>
      </c>
      <c r="L1181" s="13" t="s">
        <v>102</v>
      </c>
      <c r="M1181" s="13" t="s">
        <v>103</v>
      </c>
      <c r="N1181" s="139" t="s">
        <v>382</v>
      </c>
      <c r="O1181" s="139" t="s">
        <v>382</v>
      </c>
      <c r="P1181" s="28">
        <v>25</v>
      </c>
      <c r="Q1181" s="13" t="s">
        <v>54</v>
      </c>
      <c r="R1181" s="13" t="s">
        <v>28</v>
      </c>
      <c r="S1181" s="13"/>
      <c r="T1181" s="13"/>
      <c r="U1181" s="13" t="s">
        <v>2392</v>
      </c>
      <c r="V1181" s="13" t="s">
        <v>2392</v>
      </c>
      <c r="W1181" s="59">
        <f t="shared" si="18"/>
        <v>4.5785844871326371E-4</v>
      </c>
    </row>
    <row r="1182" spans="1:29">
      <c r="A1182" s="13" t="s">
        <v>323</v>
      </c>
      <c r="B1182" s="13" t="s">
        <v>471</v>
      </c>
      <c r="C1182" s="139">
        <v>46286</v>
      </c>
      <c r="D1182" s="139" t="s">
        <v>441</v>
      </c>
      <c r="E1182" s="28">
        <v>0.95547238999999995</v>
      </c>
      <c r="F1182" s="13"/>
      <c r="G1182" s="18">
        <v>10000000</v>
      </c>
      <c r="H1182" s="18">
        <v>9554723.8900000006</v>
      </c>
      <c r="I1182" s="18">
        <v>10000000</v>
      </c>
      <c r="J1182" s="18">
        <v>9554723.8900000006</v>
      </c>
      <c r="K1182" s="15">
        <v>67205341</v>
      </c>
      <c r="L1182" s="13" t="s">
        <v>102</v>
      </c>
      <c r="M1182" s="13" t="s">
        <v>103</v>
      </c>
      <c r="N1182" s="139" t="s">
        <v>373</v>
      </c>
      <c r="O1182" s="139" t="s">
        <v>373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1390</v>
      </c>
      <c r="V1182" s="13" t="s">
        <v>1390</v>
      </c>
      <c r="W1182" s="59">
        <f t="shared" si="18"/>
        <v>1.8253927509108116E-4</v>
      </c>
      <c r="AC1182" s="56"/>
    </row>
    <row r="1183" spans="1:29">
      <c r="A1183" s="13" t="s">
        <v>323</v>
      </c>
      <c r="B1183" s="13" t="s">
        <v>471</v>
      </c>
      <c r="C1183" s="139">
        <v>46286</v>
      </c>
      <c r="D1183" s="139" t="s">
        <v>441</v>
      </c>
      <c r="E1183" s="28">
        <v>0.95547238999999995</v>
      </c>
      <c r="F1183" s="13"/>
      <c r="G1183" s="18">
        <v>10000000</v>
      </c>
      <c r="H1183" s="18">
        <v>9554723.8900000006</v>
      </c>
      <c r="I1183" s="18">
        <v>10000000</v>
      </c>
      <c r="J1183" s="18">
        <v>9554723.8900000006</v>
      </c>
      <c r="K1183" s="15">
        <v>67280466</v>
      </c>
      <c r="L1183" s="13" t="s">
        <v>102</v>
      </c>
      <c r="M1183" s="13" t="s">
        <v>103</v>
      </c>
      <c r="N1183" s="139" t="s">
        <v>373</v>
      </c>
      <c r="O1183" s="139" t="s">
        <v>373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1395</v>
      </c>
      <c r="V1183" s="13" t="s">
        <v>1395</v>
      </c>
      <c r="W1183" s="59">
        <f t="shared" si="18"/>
        <v>1.8253927509108116E-4</v>
      </c>
    </row>
    <row r="1184" spans="1:29">
      <c r="A1184" s="13" t="s">
        <v>323</v>
      </c>
      <c r="B1184" s="13" t="s">
        <v>471</v>
      </c>
      <c r="C1184" s="139">
        <v>46286</v>
      </c>
      <c r="D1184" s="139" t="s">
        <v>441</v>
      </c>
      <c r="E1184" s="28">
        <v>0.95547238999999995</v>
      </c>
      <c r="F1184" s="13"/>
      <c r="G1184" s="18">
        <v>5000000</v>
      </c>
      <c r="H1184" s="18">
        <v>4777361.95</v>
      </c>
      <c r="I1184" s="18">
        <v>5000000</v>
      </c>
      <c r="J1184" s="18">
        <v>4777361.95</v>
      </c>
      <c r="K1184" s="15">
        <v>67193052</v>
      </c>
      <c r="L1184" s="13" t="s">
        <v>102</v>
      </c>
      <c r="M1184" s="13" t="s">
        <v>103</v>
      </c>
      <c r="N1184" s="139" t="s">
        <v>373</v>
      </c>
      <c r="O1184" s="139" t="s">
        <v>373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1404</v>
      </c>
      <c r="V1184" s="13" t="s">
        <v>1404</v>
      </c>
      <c r="W1184" s="59">
        <f t="shared" si="18"/>
        <v>9.1269637641063631E-5</v>
      </c>
    </row>
    <row r="1185" spans="1:29">
      <c r="A1185" s="13" t="s">
        <v>1597</v>
      </c>
      <c r="B1185" s="13" t="s">
        <v>471</v>
      </c>
      <c r="C1185" s="139">
        <v>46286</v>
      </c>
      <c r="D1185" s="139" t="s">
        <v>441</v>
      </c>
      <c r="E1185" s="28">
        <v>0.94611065999999999</v>
      </c>
      <c r="F1185" s="13"/>
      <c r="G1185" s="18">
        <v>19470985</v>
      </c>
      <c r="H1185" s="18">
        <v>18421706.469999999</v>
      </c>
      <c r="I1185" s="18">
        <v>19470985</v>
      </c>
      <c r="J1185" s="18">
        <v>18421706.469999999</v>
      </c>
      <c r="K1185" s="15">
        <v>1065</v>
      </c>
      <c r="L1185" s="13" t="s">
        <v>102</v>
      </c>
      <c r="M1185" s="13" t="s">
        <v>103</v>
      </c>
      <c r="N1185" s="139" t="s">
        <v>389</v>
      </c>
      <c r="O1185" s="139" t="s">
        <v>389</v>
      </c>
      <c r="P1185" s="28">
        <v>33</v>
      </c>
      <c r="Q1185" s="13" t="s">
        <v>54</v>
      </c>
      <c r="R1185" s="13" t="s">
        <v>28</v>
      </c>
      <c r="S1185" s="13"/>
      <c r="T1185" s="13"/>
      <c r="U1185" s="13" t="s">
        <v>1599</v>
      </c>
      <c r="V1185" s="13" t="s">
        <v>1599</v>
      </c>
      <c r="W1185" s="59">
        <f t="shared" si="18"/>
        <v>3.5193952056467839E-4</v>
      </c>
    </row>
    <row r="1186" spans="1:29">
      <c r="A1186" s="13" t="s">
        <v>2488</v>
      </c>
      <c r="B1186" s="13" t="s">
        <v>471</v>
      </c>
      <c r="C1186" s="139">
        <v>46286</v>
      </c>
      <c r="D1186" s="139" t="s">
        <v>441</v>
      </c>
      <c r="E1186" s="28">
        <v>0.95076863</v>
      </c>
      <c r="F1186" s="13"/>
      <c r="G1186" s="18">
        <v>2870567.11</v>
      </c>
      <c r="H1186" s="18">
        <v>2729245.16</v>
      </c>
      <c r="I1186" s="18">
        <v>2870567.11</v>
      </c>
      <c r="J1186" s="18">
        <v>2729245.16</v>
      </c>
      <c r="K1186" s="15">
        <v>104</v>
      </c>
      <c r="L1186" s="13" t="s">
        <v>102</v>
      </c>
      <c r="M1186" s="13" t="s">
        <v>103</v>
      </c>
      <c r="N1186" s="139" t="s">
        <v>441</v>
      </c>
      <c r="O1186" s="139" t="s">
        <v>441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2462</v>
      </c>
      <c r="V1186" s="13" t="s">
        <v>2462</v>
      </c>
      <c r="W1186" s="59">
        <f t="shared" si="18"/>
        <v>5.2141164808922783E-5</v>
      </c>
    </row>
    <row r="1187" spans="1:29">
      <c r="A1187" s="13" t="s">
        <v>698</v>
      </c>
      <c r="B1187" s="13" t="s">
        <v>471</v>
      </c>
      <c r="C1187" s="139">
        <v>46287</v>
      </c>
      <c r="D1187" s="139" t="s">
        <v>441</v>
      </c>
      <c r="E1187" s="28">
        <v>0.95320172999999997</v>
      </c>
      <c r="F1187" s="13"/>
      <c r="G1187" s="18">
        <v>10000000</v>
      </c>
      <c r="H1187" s="18">
        <v>9532017.3399999999</v>
      </c>
      <c r="I1187" s="18">
        <v>10000000</v>
      </c>
      <c r="J1187" s="18">
        <v>9532017.3399999999</v>
      </c>
      <c r="K1187" s="15">
        <v>1406548</v>
      </c>
      <c r="L1187" s="13" t="s">
        <v>102</v>
      </c>
      <c r="M1187" s="13" t="s">
        <v>103</v>
      </c>
      <c r="N1187" s="139" t="s">
        <v>343</v>
      </c>
      <c r="O1187" s="139" t="s">
        <v>343</v>
      </c>
      <c r="P1187" s="28">
        <v>28</v>
      </c>
      <c r="Q1187" s="13" t="s">
        <v>54</v>
      </c>
      <c r="R1187" s="13" t="s">
        <v>28</v>
      </c>
      <c r="S1187" s="13"/>
      <c r="T1187" s="13"/>
      <c r="U1187" s="13" t="s">
        <v>1497</v>
      </c>
      <c r="V1187" s="13" t="s">
        <v>1497</v>
      </c>
      <c r="W1187" s="59">
        <f t="shared" si="18"/>
        <v>1.821054753052854E-4</v>
      </c>
    </row>
    <row r="1188" spans="1:29">
      <c r="A1188" s="13" t="s">
        <v>1075</v>
      </c>
      <c r="B1188" s="13" t="s">
        <v>471</v>
      </c>
      <c r="C1188" s="139">
        <v>46287</v>
      </c>
      <c r="D1188" s="139" t="s">
        <v>441</v>
      </c>
      <c r="E1188" s="28">
        <v>0.93907598000000003</v>
      </c>
      <c r="F1188" s="13"/>
      <c r="G1188" s="18">
        <v>3345657.98</v>
      </c>
      <c r="H1188" s="18">
        <v>3141827.04</v>
      </c>
      <c r="I1188" s="18">
        <v>3345657.98</v>
      </c>
      <c r="J1188" s="18">
        <v>3141827.04</v>
      </c>
      <c r="K1188" s="15">
        <v>254</v>
      </c>
      <c r="L1188" s="13" t="s">
        <v>102</v>
      </c>
      <c r="M1188" s="13" t="s">
        <v>103</v>
      </c>
      <c r="N1188" s="139" t="s">
        <v>402</v>
      </c>
      <c r="O1188" s="139" t="s">
        <v>402</v>
      </c>
      <c r="P1188" s="28">
        <v>37</v>
      </c>
      <c r="Q1188" s="13" t="s">
        <v>54</v>
      </c>
      <c r="R1188" s="13" t="s">
        <v>28</v>
      </c>
      <c r="S1188" s="13"/>
      <c r="T1188" s="13"/>
      <c r="U1188" s="13" t="s">
        <v>1896</v>
      </c>
      <c r="V1188" s="13" t="s">
        <v>1896</v>
      </c>
      <c r="W1188" s="59">
        <f t="shared" si="18"/>
        <v>6.0023380784806455E-5</v>
      </c>
    </row>
    <row r="1189" spans="1:29">
      <c r="A1189" s="13" t="s">
        <v>1346</v>
      </c>
      <c r="B1189" s="13" t="s">
        <v>471</v>
      </c>
      <c r="C1189" s="139">
        <v>46287</v>
      </c>
      <c r="D1189" s="139" t="s">
        <v>441</v>
      </c>
      <c r="E1189" s="28">
        <v>0.94530203000000002</v>
      </c>
      <c r="F1189" s="13"/>
      <c r="G1189" s="18">
        <v>5134985.93</v>
      </c>
      <c r="H1189" s="18">
        <v>4854112.63</v>
      </c>
      <c r="I1189" s="18">
        <v>5134985.93</v>
      </c>
      <c r="J1189" s="18">
        <v>4854112.63</v>
      </c>
      <c r="K1189" s="15">
        <v>403</v>
      </c>
      <c r="L1189" s="13" t="s">
        <v>102</v>
      </c>
      <c r="M1189" s="13" t="s">
        <v>103</v>
      </c>
      <c r="N1189" s="139" t="s">
        <v>174</v>
      </c>
      <c r="O1189" s="139" t="s">
        <v>174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1337</v>
      </c>
      <c r="V1189" s="13" t="s">
        <v>1337</v>
      </c>
      <c r="W1189" s="59">
        <f t="shared" si="18"/>
        <v>9.2735929461867619E-5</v>
      </c>
    </row>
    <row r="1190" spans="1:29">
      <c r="A1190" s="13" t="s">
        <v>1467</v>
      </c>
      <c r="B1190" s="13" t="s">
        <v>471</v>
      </c>
      <c r="C1190" s="139">
        <v>46287</v>
      </c>
      <c r="D1190" s="139" t="s">
        <v>441</v>
      </c>
      <c r="E1190" s="28">
        <v>0.94687155999999995</v>
      </c>
      <c r="F1190" s="13"/>
      <c r="G1190" s="18">
        <v>1000000</v>
      </c>
      <c r="H1190" s="18">
        <v>946871.56</v>
      </c>
      <c r="I1190" s="18">
        <v>1000000</v>
      </c>
      <c r="J1190" s="18">
        <v>946871.56</v>
      </c>
      <c r="K1190" s="15">
        <v>67381776</v>
      </c>
      <c r="L1190" s="13" t="s">
        <v>102</v>
      </c>
      <c r="M1190" s="13" t="s">
        <v>103</v>
      </c>
      <c r="N1190" s="139" t="s">
        <v>373</v>
      </c>
      <c r="O1190" s="139" t="s">
        <v>373</v>
      </c>
      <c r="P1190" s="28">
        <v>32</v>
      </c>
      <c r="Q1190" s="13" t="s">
        <v>54</v>
      </c>
      <c r="R1190" s="13" t="s">
        <v>28</v>
      </c>
      <c r="S1190" s="13"/>
      <c r="T1190" s="13"/>
      <c r="U1190" s="13" t="s">
        <v>1470</v>
      </c>
      <c r="V1190" s="13" t="s">
        <v>1470</v>
      </c>
      <c r="W1190" s="59">
        <f t="shared" si="18"/>
        <v>1.8089612024022722E-5</v>
      </c>
    </row>
    <row r="1191" spans="1:29">
      <c r="A1191" s="13" t="s">
        <v>1507</v>
      </c>
      <c r="B1191" s="13" t="s">
        <v>471</v>
      </c>
      <c r="C1191" s="139">
        <v>46287</v>
      </c>
      <c r="D1191" s="139" t="s">
        <v>441</v>
      </c>
      <c r="E1191" s="28">
        <v>0.94687146</v>
      </c>
      <c r="F1191" s="13"/>
      <c r="G1191" s="18">
        <v>10000000</v>
      </c>
      <c r="H1191" s="18">
        <v>9468714.5700000003</v>
      </c>
      <c r="I1191" s="18">
        <v>10000000</v>
      </c>
      <c r="J1191" s="18">
        <v>9468714.5700000003</v>
      </c>
      <c r="K1191" s="15">
        <v>67448929</v>
      </c>
      <c r="L1191" s="13" t="s">
        <v>102</v>
      </c>
      <c r="M1191" s="13" t="s">
        <v>103</v>
      </c>
      <c r="N1191" s="139" t="s">
        <v>343</v>
      </c>
      <c r="O1191" s="139" t="s">
        <v>343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1505</v>
      </c>
      <c r="V1191" s="13" t="s">
        <v>1505</v>
      </c>
      <c r="W1191" s="59">
        <f t="shared" si="18"/>
        <v>1.8089610056247875E-4</v>
      </c>
    </row>
    <row r="1192" spans="1:29">
      <c r="A1192" s="13" t="s">
        <v>486</v>
      </c>
      <c r="B1192" s="13" t="s">
        <v>471</v>
      </c>
      <c r="C1192" s="139">
        <v>46287</v>
      </c>
      <c r="D1192" s="139" t="s">
        <v>441</v>
      </c>
      <c r="E1192" s="28">
        <v>0.94687158000000005</v>
      </c>
      <c r="F1192" s="13"/>
      <c r="G1192" s="18">
        <v>15355310.449999999</v>
      </c>
      <c r="H1192" s="18">
        <v>14539507.029999999</v>
      </c>
      <c r="I1192" s="18">
        <v>15355310.449999999</v>
      </c>
      <c r="J1192" s="18">
        <v>14539507.029999999</v>
      </c>
      <c r="K1192" s="15">
        <v>30749</v>
      </c>
      <c r="L1192" s="13" t="s">
        <v>102</v>
      </c>
      <c r="M1192" s="13" t="s">
        <v>103</v>
      </c>
      <c r="N1192" s="139" t="s">
        <v>373</v>
      </c>
      <c r="O1192" s="139" t="s">
        <v>373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1409</v>
      </c>
      <c r="V1192" s="13" t="s">
        <v>1409</v>
      </c>
      <c r="W1192" s="59">
        <f t="shared" si="18"/>
        <v>2.777716137057183E-4</v>
      </c>
    </row>
    <row r="1193" spans="1:29">
      <c r="A1193" s="13" t="s">
        <v>403</v>
      </c>
      <c r="B1193" s="13" t="s">
        <v>471</v>
      </c>
      <c r="C1193" s="139">
        <v>46287</v>
      </c>
      <c r="D1193" s="139" t="s">
        <v>441</v>
      </c>
      <c r="E1193" s="28">
        <v>0.94687158000000005</v>
      </c>
      <c r="F1193" s="13"/>
      <c r="G1193" s="18">
        <v>40000000</v>
      </c>
      <c r="H1193" s="18">
        <v>37874863.100000001</v>
      </c>
      <c r="I1193" s="18">
        <v>40000000</v>
      </c>
      <c r="J1193" s="18">
        <v>37874863.100000001</v>
      </c>
      <c r="K1193" s="15">
        <v>13662787</v>
      </c>
      <c r="L1193" s="13" t="s">
        <v>102</v>
      </c>
      <c r="M1193" s="13" t="s">
        <v>103</v>
      </c>
      <c r="N1193" s="139" t="s">
        <v>373</v>
      </c>
      <c r="O1193" s="139" t="s">
        <v>373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1423</v>
      </c>
      <c r="V1193" s="13" t="s">
        <v>1423</v>
      </c>
      <c r="W1193" s="59">
        <f t="shared" si="18"/>
        <v>7.2358449433413601E-4</v>
      </c>
    </row>
    <row r="1194" spans="1:29">
      <c r="A1194" s="13" t="s">
        <v>699</v>
      </c>
      <c r="B1194" s="13" t="s">
        <v>471</v>
      </c>
      <c r="C1194" s="139">
        <v>46287</v>
      </c>
      <c r="D1194" s="139" t="s">
        <v>441</v>
      </c>
      <c r="E1194" s="28">
        <v>0.94530208000000004</v>
      </c>
      <c r="F1194" s="13"/>
      <c r="G1194" s="18">
        <v>10000000</v>
      </c>
      <c r="H1194" s="18">
        <v>9453020.8200000003</v>
      </c>
      <c r="I1194" s="18">
        <v>10000000</v>
      </c>
      <c r="J1194" s="18">
        <v>9453020.8200000003</v>
      </c>
      <c r="K1194" s="15">
        <v>29692618</v>
      </c>
      <c r="L1194" s="13" t="s">
        <v>102</v>
      </c>
      <c r="M1194" s="13" t="s">
        <v>103</v>
      </c>
      <c r="N1194" s="139" t="s">
        <v>392</v>
      </c>
      <c r="O1194" s="139" t="s">
        <v>392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2302</v>
      </c>
      <c r="V1194" s="13" t="s">
        <v>2302</v>
      </c>
      <c r="W1194" s="59">
        <f t="shared" si="18"/>
        <v>1.8059627758680293E-4</v>
      </c>
      <c r="AC1194" s="56"/>
    </row>
    <row r="1195" spans="1:29">
      <c r="A1195" s="13" t="s">
        <v>985</v>
      </c>
      <c r="B1195" s="13" t="s">
        <v>471</v>
      </c>
      <c r="C1195" s="139">
        <v>46287</v>
      </c>
      <c r="D1195" s="139" t="s">
        <v>441</v>
      </c>
      <c r="E1195" s="28">
        <v>0.94530203000000002</v>
      </c>
      <c r="F1195" s="13"/>
      <c r="G1195" s="18">
        <v>17106704.170000002</v>
      </c>
      <c r="H1195" s="18">
        <v>16171002.210000001</v>
      </c>
      <c r="I1195" s="18">
        <v>17106704.170000002</v>
      </c>
      <c r="J1195" s="18">
        <v>16171002.210000001</v>
      </c>
      <c r="K1195" s="15">
        <v>940</v>
      </c>
      <c r="L1195" s="13" t="s">
        <v>102</v>
      </c>
      <c r="M1195" s="13" t="s">
        <v>103</v>
      </c>
      <c r="N1195" s="139" t="s">
        <v>174</v>
      </c>
      <c r="O1195" s="139" t="s">
        <v>174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1331</v>
      </c>
      <c r="V1195" s="13" t="s">
        <v>1331</v>
      </c>
      <c r="W1195" s="59">
        <f t="shared" si="18"/>
        <v>3.0894069309517967E-4</v>
      </c>
    </row>
    <row r="1196" spans="1:29">
      <c r="A1196" s="13" t="s">
        <v>737</v>
      </c>
      <c r="B1196" s="13" t="s">
        <v>471</v>
      </c>
      <c r="C1196" s="139">
        <v>46287</v>
      </c>
      <c r="D1196" s="139" t="s">
        <v>441</v>
      </c>
      <c r="E1196" s="28">
        <v>0.95479765999999999</v>
      </c>
      <c r="F1196" s="13"/>
      <c r="G1196" s="18">
        <v>20000000</v>
      </c>
      <c r="H1196" s="18">
        <v>19095953.27</v>
      </c>
      <c r="I1196" s="18">
        <v>20000000</v>
      </c>
      <c r="J1196" s="18">
        <v>19095953.27</v>
      </c>
      <c r="K1196" s="15">
        <v>67970080</v>
      </c>
      <c r="L1196" s="13" t="s">
        <v>102</v>
      </c>
      <c r="M1196" s="13" t="s">
        <v>103</v>
      </c>
      <c r="N1196" s="139" t="s">
        <v>460</v>
      </c>
      <c r="O1196" s="139" t="s">
        <v>460</v>
      </c>
      <c r="P1196" s="28">
        <v>27</v>
      </c>
      <c r="Q1196" s="13" t="s">
        <v>54</v>
      </c>
      <c r="R1196" s="13" t="s">
        <v>28</v>
      </c>
      <c r="S1196" s="13"/>
      <c r="T1196" s="13"/>
      <c r="U1196" s="13" t="s">
        <v>1766</v>
      </c>
      <c r="V1196" s="13" t="s">
        <v>1766</v>
      </c>
      <c r="W1196" s="59">
        <f t="shared" si="18"/>
        <v>3.6482074282933154E-4</v>
      </c>
      <c r="AC1196" s="56"/>
    </row>
    <row r="1197" spans="1:29">
      <c r="A1197" s="13" t="s">
        <v>737</v>
      </c>
      <c r="B1197" s="13" t="s">
        <v>471</v>
      </c>
      <c r="C1197" s="139">
        <v>46287</v>
      </c>
      <c r="D1197" s="139" t="s">
        <v>441</v>
      </c>
      <c r="E1197" s="28">
        <v>0.95961733999999999</v>
      </c>
      <c r="F1197" s="13"/>
      <c r="G1197" s="18">
        <v>2500000</v>
      </c>
      <c r="H1197" s="18">
        <v>2399043.35</v>
      </c>
      <c r="I1197" s="18">
        <v>2500000</v>
      </c>
      <c r="J1197" s="18">
        <v>2399043.35</v>
      </c>
      <c r="K1197" s="15">
        <v>16821014</v>
      </c>
      <c r="L1197" s="13" t="s">
        <v>102</v>
      </c>
      <c r="M1197" s="13" t="s">
        <v>103</v>
      </c>
      <c r="N1197" s="139" t="s">
        <v>382</v>
      </c>
      <c r="O1197" s="139" t="s">
        <v>382</v>
      </c>
      <c r="P1197" s="28">
        <v>24</v>
      </c>
      <c r="Q1197" s="13" t="s">
        <v>54</v>
      </c>
      <c r="R1197" s="13" t="s">
        <v>28</v>
      </c>
      <c r="S1197" s="13"/>
      <c r="T1197" s="13"/>
      <c r="U1197" s="13" t="s">
        <v>2367</v>
      </c>
      <c r="V1197" s="13" t="s">
        <v>2367</v>
      </c>
      <c r="W1197" s="59">
        <f t="shared" si="18"/>
        <v>4.5832787955223568E-5</v>
      </c>
    </row>
    <row r="1198" spans="1:29">
      <c r="A1198" s="13" t="s">
        <v>737</v>
      </c>
      <c r="B1198" s="13" t="s">
        <v>471</v>
      </c>
      <c r="C1198" s="139">
        <v>46287</v>
      </c>
      <c r="D1198" s="139" t="s">
        <v>441</v>
      </c>
      <c r="E1198" s="28">
        <v>0.95961733999999999</v>
      </c>
      <c r="F1198" s="13"/>
      <c r="G1198" s="18">
        <v>4000000</v>
      </c>
      <c r="H1198" s="18">
        <v>3838469.36</v>
      </c>
      <c r="I1198" s="18">
        <v>4000000</v>
      </c>
      <c r="J1198" s="18">
        <v>3838469.36</v>
      </c>
      <c r="K1198" s="15">
        <v>16821012</v>
      </c>
      <c r="L1198" s="13" t="s">
        <v>102</v>
      </c>
      <c r="M1198" s="13" t="s">
        <v>103</v>
      </c>
      <c r="N1198" s="139" t="s">
        <v>382</v>
      </c>
      <c r="O1198" s="139" t="s">
        <v>382</v>
      </c>
      <c r="P1198" s="28">
        <v>24</v>
      </c>
      <c r="Q1198" s="13" t="s">
        <v>54</v>
      </c>
      <c r="R1198" s="13" t="s">
        <v>28</v>
      </c>
      <c r="S1198" s="13"/>
      <c r="T1198" s="13"/>
      <c r="U1198" s="13" t="s">
        <v>2368</v>
      </c>
      <c r="V1198" s="13" t="s">
        <v>2368</v>
      </c>
      <c r="W1198" s="59">
        <f t="shared" si="18"/>
        <v>7.3332460728357709E-5</v>
      </c>
      <c r="AC1198" s="56"/>
    </row>
    <row r="1199" spans="1:29">
      <c r="A1199" s="13" t="s">
        <v>209</v>
      </c>
      <c r="B1199" s="13" t="s">
        <v>471</v>
      </c>
      <c r="C1199" s="139">
        <v>46287</v>
      </c>
      <c r="D1199" s="139" t="s">
        <v>441</v>
      </c>
      <c r="E1199" s="28">
        <v>0.96042534999999996</v>
      </c>
      <c r="F1199" s="13"/>
      <c r="G1199" s="18">
        <v>6005225.8799999999</v>
      </c>
      <c r="H1199" s="18">
        <v>5767571.1799999997</v>
      </c>
      <c r="I1199" s="18">
        <v>6005225.8799999999</v>
      </c>
      <c r="J1199" s="18">
        <v>5767571.1799999997</v>
      </c>
      <c r="K1199" s="15">
        <v>95</v>
      </c>
      <c r="L1199" s="13" t="s">
        <v>102</v>
      </c>
      <c r="M1199" s="13" t="s">
        <v>103</v>
      </c>
      <c r="N1199" s="139" t="s">
        <v>382</v>
      </c>
      <c r="O1199" s="139" t="s">
        <v>382</v>
      </c>
      <c r="P1199" s="28">
        <v>23.5</v>
      </c>
      <c r="Q1199" s="13" t="s">
        <v>54</v>
      </c>
      <c r="R1199" s="13" t="s">
        <v>28</v>
      </c>
      <c r="S1199" s="13"/>
      <c r="T1199" s="13"/>
      <c r="U1199" s="13" t="s">
        <v>2403</v>
      </c>
      <c r="V1199" s="13" t="s">
        <v>2403</v>
      </c>
      <c r="W1199" s="59">
        <f t="shared" si="18"/>
        <v>1.1018719895561643E-4</v>
      </c>
    </row>
    <row r="1200" spans="1:29">
      <c r="A1200" s="13" t="s">
        <v>511</v>
      </c>
      <c r="B1200" s="13" t="s">
        <v>471</v>
      </c>
      <c r="C1200" s="139">
        <v>46287</v>
      </c>
      <c r="D1200" s="139" t="s">
        <v>441</v>
      </c>
      <c r="E1200" s="28">
        <v>0.94217883000000002</v>
      </c>
      <c r="F1200" s="13"/>
      <c r="G1200" s="18">
        <v>50000000</v>
      </c>
      <c r="H1200" s="18">
        <v>47108941.530000001</v>
      </c>
      <c r="I1200" s="18">
        <v>50000000</v>
      </c>
      <c r="J1200" s="18">
        <v>47108941.530000001</v>
      </c>
      <c r="K1200" s="15">
        <v>2885</v>
      </c>
      <c r="L1200" s="13" t="s">
        <v>102</v>
      </c>
      <c r="M1200" s="13" t="s">
        <v>103</v>
      </c>
      <c r="N1200" s="139" t="s">
        <v>477</v>
      </c>
      <c r="O1200" s="139" t="s">
        <v>477</v>
      </c>
      <c r="P1200" s="28">
        <v>35</v>
      </c>
      <c r="Q1200" s="13" t="s">
        <v>54</v>
      </c>
      <c r="R1200" s="13" t="s">
        <v>28</v>
      </c>
      <c r="S1200" s="13"/>
      <c r="T1200" s="13"/>
      <c r="U1200" s="13" t="s">
        <v>1662</v>
      </c>
      <c r="V1200" s="13" t="s">
        <v>1662</v>
      </c>
      <c r="W1200" s="59">
        <f t="shared" si="18"/>
        <v>8.999979629128066E-4</v>
      </c>
    </row>
    <row r="1201" spans="1:29">
      <c r="A1201" s="13" t="s">
        <v>323</v>
      </c>
      <c r="B1201" s="13" t="s">
        <v>471</v>
      </c>
      <c r="C1201" s="139">
        <v>46287</v>
      </c>
      <c r="D1201" s="139" t="s">
        <v>441</v>
      </c>
      <c r="E1201" s="28">
        <v>0.95479765999999999</v>
      </c>
      <c r="F1201" s="13"/>
      <c r="G1201" s="18">
        <v>5000000</v>
      </c>
      <c r="H1201" s="18">
        <v>4773988.28</v>
      </c>
      <c r="I1201" s="18">
        <v>5000000</v>
      </c>
      <c r="J1201" s="18">
        <v>4773988.28</v>
      </c>
      <c r="K1201" s="15">
        <v>67193053</v>
      </c>
      <c r="L1201" s="13" t="s">
        <v>102</v>
      </c>
      <c r="M1201" s="13" t="s">
        <v>103</v>
      </c>
      <c r="N1201" s="139" t="s">
        <v>373</v>
      </c>
      <c r="O1201" s="139" t="s">
        <v>373</v>
      </c>
      <c r="P1201" s="28">
        <v>27</v>
      </c>
      <c r="Q1201" s="13" t="s">
        <v>54</v>
      </c>
      <c r="R1201" s="13" t="s">
        <v>28</v>
      </c>
      <c r="S1201" s="13"/>
      <c r="T1201" s="13"/>
      <c r="U1201" s="13" t="s">
        <v>1396</v>
      </c>
      <c r="V1201" s="13" t="s">
        <v>1396</v>
      </c>
      <c r="W1201" s="59">
        <f t="shared" si="18"/>
        <v>9.120518499091002E-5</v>
      </c>
    </row>
    <row r="1202" spans="1:29">
      <c r="A1202" s="13" t="s">
        <v>323</v>
      </c>
      <c r="B1202" s="13" t="s">
        <v>471</v>
      </c>
      <c r="C1202" s="139">
        <v>46287</v>
      </c>
      <c r="D1202" s="139" t="s">
        <v>441</v>
      </c>
      <c r="E1202" s="28">
        <v>0.95800538999999996</v>
      </c>
      <c r="F1202" s="13"/>
      <c r="G1202" s="18">
        <v>5000000</v>
      </c>
      <c r="H1202" s="18">
        <v>4790026.95</v>
      </c>
      <c r="I1202" s="18">
        <v>5000000</v>
      </c>
      <c r="J1202" s="18">
        <v>4790026.95</v>
      </c>
      <c r="K1202" s="15">
        <v>8744</v>
      </c>
      <c r="L1202" s="13" t="s">
        <v>102</v>
      </c>
      <c r="M1202" s="13" t="s">
        <v>103</v>
      </c>
      <c r="N1202" s="139" t="s">
        <v>382</v>
      </c>
      <c r="O1202" s="139" t="s">
        <v>382</v>
      </c>
      <c r="P1202" s="28">
        <v>25</v>
      </c>
      <c r="Q1202" s="13" t="s">
        <v>54</v>
      </c>
      <c r="R1202" s="13" t="s">
        <v>28</v>
      </c>
      <c r="S1202" s="13"/>
      <c r="T1202" s="13"/>
      <c r="U1202" s="13" t="s">
        <v>2381</v>
      </c>
      <c r="V1202" s="13" t="s">
        <v>2381</v>
      </c>
      <c r="W1202" s="59">
        <f t="shared" si="18"/>
        <v>9.1511597528721718E-5</v>
      </c>
    </row>
    <row r="1203" spans="1:29">
      <c r="A1203" s="13" t="s">
        <v>661</v>
      </c>
      <c r="B1203" s="13" t="s">
        <v>471</v>
      </c>
      <c r="C1203" s="139">
        <v>46287</v>
      </c>
      <c r="D1203" s="139" t="s">
        <v>441</v>
      </c>
      <c r="E1203" s="28">
        <v>0.95800536000000003</v>
      </c>
      <c r="F1203" s="13"/>
      <c r="G1203" s="18">
        <v>20000000</v>
      </c>
      <c r="H1203" s="18">
        <v>19160107.109999999</v>
      </c>
      <c r="I1203" s="18">
        <v>20000000</v>
      </c>
      <c r="J1203" s="18">
        <v>19160107.109999999</v>
      </c>
      <c r="K1203" s="15">
        <v>157021</v>
      </c>
      <c r="L1203" s="13" t="s">
        <v>102</v>
      </c>
      <c r="M1203" s="13" t="s">
        <v>103</v>
      </c>
      <c r="N1203" s="139" t="s">
        <v>441</v>
      </c>
      <c r="O1203" s="139" t="s">
        <v>441</v>
      </c>
      <c r="P1203" s="28">
        <v>25</v>
      </c>
      <c r="Q1203" s="13" t="s">
        <v>54</v>
      </c>
      <c r="R1203" s="13" t="s">
        <v>28</v>
      </c>
      <c r="S1203" s="13"/>
      <c r="T1203" s="13"/>
      <c r="U1203" s="13" t="s">
        <v>2441</v>
      </c>
      <c r="V1203" s="13" t="s">
        <v>2441</v>
      </c>
      <c r="W1203" s="59">
        <f t="shared" si="18"/>
        <v>3.6604637693270583E-4</v>
      </c>
    </row>
    <row r="1204" spans="1:29">
      <c r="A1204" s="13" t="s">
        <v>478</v>
      </c>
      <c r="B1204" s="13" t="s">
        <v>471</v>
      </c>
      <c r="C1204" s="139">
        <v>46287</v>
      </c>
      <c r="D1204" s="139" t="s">
        <v>441</v>
      </c>
      <c r="E1204" s="28">
        <v>0.94530197999999999</v>
      </c>
      <c r="F1204" s="13"/>
      <c r="G1204" s="18">
        <v>12500000</v>
      </c>
      <c r="H1204" s="18">
        <v>11816274.789999999</v>
      </c>
      <c r="I1204" s="18">
        <v>12500000</v>
      </c>
      <c r="J1204" s="18">
        <v>11816274.789999999</v>
      </c>
      <c r="K1204" s="15">
        <v>1360</v>
      </c>
      <c r="L1204" s="13" t="s">
        <v>102</v>
      </c>
      <c r="M1204" s="13" t="s">
        <v>103</v>
      </c>
      <c r="N1204" s="139" t="s">
        <v>428</v>
      </c>
      <c r="O1204" s="139" t="s">
        <v>428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1116</v>
      </c>
      <c r="V1204" s="13" t="s">
        <v>1116</v>
      </c>
      <c r="W1204" s="59">
        <f t="shared" si="18"/>
        <v>2.2574532338931008E-4</v>
      </c>
    </row>
    <row r="1205" spans="1:29">
      <c r="A1205" s="13" t="s">
        <v>163</v>
      </c>
      <c r="B1205" s="13" t="s">
        <v>471</v>
      </c>
      <c r="C1205" s="139">
        <v>46287</v>
      </c>
      <c r="D1205" s="139" t="s">
        <v>441</v>
      </c>
      <c r="E1205" s="28">
        <v>0.95161123000000003</v>
      </c>
      <c r="F1205" s="13"/>
      <c r="G1205" s="18">
        <v>25000000</v>
      </c>
      <c r="H1205" s="18">
        <v>23790280.77</v>
      </c>
      <c r="I1205" s="18">
        <v>25000000</v>
      </c>
      <c r="J1205" s="18">
        <v>23790280.77</v>
      </c>
      <c r="K1205" s="15">
        <v>66410159</v>
      </c>
      <c r="L1205" s="13" t="s">
        <v>102</v>
      </c>
      <c r="M1205" s="13" t="s">
        <v>103</v>
      </c>
      <c r="N1205" s="139" t="s">
        <v>327</v>
      </c>
      <c r="O1205" s="139" t="s">
        <v>327</v>
      </c>
      <c r="P1205" s="28">
        <v>29</v>
      </c>
      <c r="Q1205" s="13" t="s">
        <v>54</v>
      </c>
      <c r="R1205" s="13" t="s">
        <v>28</v>
      </c>
      <c r="S1205" s="13"/>
      <c r="T1205" s="13"/>
      <c r="U1205" s="13" t="s">
        <v>791</v>
      </c>
      <c r="V1205" s="13" t="s">
        <v>791</v>
      </c>
      <c r="W1205" s="59">
        <f t="shared" si="18"/>
        <v>4.5450403967341516E-4</v>
      </c>
    </row>
    <row r="1206" spans="1:29">
      <c r="A1206" s="13" t="s">
        <v>360</v>
      </c>
      <c r="B1206" s="13" t="s">
        <v>471</v>
      </c>
      <c r="C1206" s="139">
        <v>46287</v>
      </c>
      <c r="D1206" s="139" t="s">
        <v>441</v>
      </c>
      <c r="E1206" s="28">
        <v>0.95800527000000002</v>
      </c>
      <c r="F1206" s="13"/>
      <c r="G1206" s="18">
        <v>7250000</v>
      </c>
      <c r="H1206" s="18">
        <v>6945538.2199999997</v>
      </c>
      <c r="I1206" s="18">
        <v>7250000</v>
      </c>
      <c r="J1206" s="18">
        <v>6945538.2199999997</v>
      </c>
      <c r="K1206" s="15">
        <v>33954</v>
      </c>
      <c r="L1206" s="13" t="s">
        <v>102</v>
      </c>
      <c r="M1206" s="13" t="s">
        <v>103</v>
      </c>
      <c r="N1206" s="139" t="s">
        <v>389</v>
      </c>
      <c r="O1206" s="139" t="s">
        <v>389</v>
      </c>
      <c r="P1206" s="28">
        <v>25</v>
      </c>
      <c r="Q1206" s="13" t="s">
        <v>54</v>
      </c>
      <c r="R1206" s="13" t="s">
        <v>28</v>
      </c>
      <c r="S1206" s="13"/>
      <c r="T1206" s="13"/>
      <c r="U1206" s="13" t="s">
        <v>1618</v>
      </c>
      <c r="V1206" s="13" t="s">
        <v>1618</v>
      </c>
      <c r="W1206" s="59">
        <f t="shared" si="18"/>
        <v>1.3269180003444328E-4</v>
      </c>
    </row>
    <row r="1207" spans="1:29">
      <c r="A1207" s="13" t="s">
        <v>1594</v>
      </c>
      <c r="B1207" s="13" t="s">
        <v>471</v>
      </c>
      <c r="C1207" s="139">
        <v>46287</v>
      </c>
      <c r="D1207" s="139" t="s">
        <v>441</v>
      </c>
      <c r="E1207" s="28">
        <v>0.95002606000000001</v>
      </c>
      <c r="F1207" s="13"/>
      <c r="G1207" s="18">
        <v>2500000</v>
      </c>
      <c r="H1207" s="18">
        <v>2375065.14</v>
      </c>
      <c r="I1207" s="18">
        <v>2500000</v>
      </c>
      <c r="J1207" s="18">
        <v>2375065.14</v>
      </c>
      <c r="K1207" s="15">
        <v>347</v>
      </c>
      <c r="L1207" s="13" t="s">
        <v>102</v>
      </c>
      <c r="M1207" s="13" t="s">
        <v>103</v>
      </c>
      <c r="N1207" s="139" t="s">
        <v>388</v>
      </c>
      <c r="O1207" s="139" t="s">
        <v>388</v>
      </c>
      <c r="P1207" s="28">
        <v>30</v>
      </c>
      <c r="Q1207" s="13" t="s">
        <v>54</v>
      </c>
      <c r="R1207" s="13" t="s">
        <v>28</v>
      </c>
      <c r="S1207" s="13"/>
      <c r="T1207" s="13"/>
      <c r="U1207" s="13" t="s">
        <v>2252</v>
      </c>
      <c r="V1207" s="13" t="s">
        <v>2252</v>
      </c>
      <c r="W1207" s="59">
        <f t="shared" si="18"/>
        <v>4.5374693600873604E-5</v>
      </c>
    </row>
    <row r="1208" spans="1:29">
      <c r="A1208" s="13" t="s">
        <v>2116</v>
      </c>
      <c r="B1208" s="13" t="s">
        <v>471</v>
      </c>
      <c r="C1208" s="139">
        <v>46287</v>
      </c>
      <c r="D1208" s="139" t="s">
        <v>441</v>
      </c>
      <c r="E1208" s="28">
        <v>0.95002615999999995</v>
      </c>
      <c r="F1208" s="13"/>
      <c r="G1208" s="18">
        <v>5628480.1799999997</v>
      </c>
      <c r="H1208" s="18">
        <v>5347203.43</v>
      </c>
      <c r="I1208" s="18">
        <v>5628480.1799999997</v>
      </c>
      <c r="J1208" s="18">
        <v>5347203.43</v>
      </c>
      <c r="K1208" s="15">
        <v>68199746</v>
      </c>
      <c r="L1208" s="13" t="s">
        <v>102</v>
      </c>
      <c r="M1208" s="13" t="s">
        <v>103</v>
      </c>
      <c r="N1208" s="139" t="s">
        <v>783</v>
      </c>
      <c r="O1208" s="139" t="s">
        <v>783</v>
      </c>
      <c r="P1208" s="28">
        <v>30</v>
      </c>
      <c r="Q1208" s="13" t="s">
        <v>54</v>
      </c>
      <c r="R1208" s="13" t="s">
        <v>28</v>
      </c>
      <c r="S1208" s="13"/>
      <c r="T1208" s="13"/>
      <c r="U1208" s="13" t="s">
        <v>2106</v>
      </c>
      <c r="V1208" s="13" t="s">
        <v>2106</v>
      </c>
      <c r="W1208" s="59">
        <f t="shared" si="18"/>
        <v>1.0215623696863757E-4</v>
      </c>
    </row>
    <row r="1209" spans="1:29">
      <c r="A1209" s="13" t="s">
        <v>2242</v>
      </c>
      <c r="B1209" s="13" t="s">
        <v>471</v>
      </c>
      <c r="C1209" s="139">
        <v>46287</v>
      </c>
      <c r="D1209" s="139" t="s">
        <v>441</v>
      </c>
      <c r="E1209" s="28">
        <v>0.95002606000000001</v>
      </c>
      <c r="F1209" s="13"/>
      <c r="G1209" s="18">
        <v>2500000</v>
      </c>
      <c r="H1209" s="18">
        <v>2375065.14</v>
      </c>
      <c r="I1209" s="18">
        <v>2500000</v>
      </c>
      <c r="J1209" s="18">
        <v>2375065.14</v>
      </c>
      <c r="K1209" s="15">
        <v>382</v>
      </c>
      <c r="L1209" s="13" t="s">
        <v>102</v>
      </c>
      <c r="M1209" s="13" t="s">
        <v>103</v>
      </c>
      <c r="N1209" s="139" t="s">
        <v>388</v>
      </c>
      <c r="O1209" s="139" t="s">
        <v>388</v>
      </c>
      <c r="P1209" s="28">
        <v>30</v>
      </c>
      <c r="Q1209" s="13" t="s">
        <v>54</v>
      </c>
      <c r="R1209" s="13" t="s">
        <v>28</v>
      </c>
      <c r="S1209" s="13"/>
      <c r="T1209" s="13"/>
      <c r="U1209" s="13" t="s">
        <v>2244</v>
      </c>
      <c r="V1209" s="13" t="s">
        <v>2244</v>
      </c>
      <c r="W1209" s="59">
        <f t="shared" si="18"/>
        <v>4.5374693600873604E-5</v>
      </c>
    </row>
    <row r="1210" spans="1:29">
      <c r="A1210" s="13" t="s">
        <v>698</v>
      </c>
      <c r="B1210" s="13" t="s">
        <v>471</v>
      </c>
      <c r="C1210" s="139">
        <v>46288</v>
      </c>
      <c r="D1210" s="139" t="s">
        <v>441</v>
      </c>
      <c r="E1210" s="28">
        <v>0.94768282999999998</v>
      </c>
      <c r="F1210" s="13"/>
      <c r="G1210" s="18">
        <v>3000000</v>
      </c>
      <c r="H1210" s="18">
        <v>2843048.48</v>
      </c>
      <c r="I1210" s="18">
        <v>3000000</v>
      </c>
      <c r="J1210" s="18">
        <v>2843048.48</v>
      </c>
      <c r="K1210" s="15">
        <v>90003468</v>
      </c>
      <c r="L1210" s="13" t="s">
        <v>102</v>
      </c>
      <c r="M1210" s="13" t="s">
        <v>103</v>
      </c>
      <c r="N1210" s="139" t="s">
        <v>327</v>
      </c>
      <c r="O1210" s="139" t="s">
        <v>327</v>
      </c>
      <c r="P1210" s="28">
        <v>31</v>
      </c>
      <c r="Q1210" s="13" t="s">
        <v>54</v>
      </c>
      <c r="R1210" s="13" t="s">
        <v>28</v>
      </c>
      <c r="S1210" s="13"/>
      <c r="T1210" s="13"/>
      <c r="U1210" s="13" t="s">
        <v>787</v>
      </c>
      <c r="V1210" s="13" t="s">
        <v>787</v>
      </c>
      <c r="W1210" s="59">
        <f t="shared" si="18"/>
        <v>5.4315332872272055E-5</v>
      </c>
      <c r="AC1210" s="56"/>
    </row>
    <row r="1211" spans="1:29">
      <c r="A1211" s="13" t="s">
        <v>1075</v>
      </c>
      <c r="B1211" s="13" t="s">
        <v>471</v>
      </c>
      <c r="C1211" s="139">
        <v>46288</v>
      </c>
      <c r="D1211" s="139" t="s">
        <v>441</v>
      </c>
      <c r="E1211" s="28">
        <v>0.93818281000000003</v>
      </c>
      <c r="F1211" s="13"/>
      <c r="G1211" s="18">
        <v>3345657.98</v>
      </c>
      <c r="H1211" s="18">
        <v>3138838.81</v>
      </c>
      <c r="I1211" s="18">
        <v>3345657.98</v>
      </c>
      <c r="J1211" s="18">
        <v>3138838.81</v>
      </c>
      <c r="K1211" s="15">
        <v>255</v>
      </c>
      <c r="L1211" s="13" t="s">
        <v>102</v>
      </c>
      <c r="M1211" s="13" t="s">
        <v>103</v>
      </c>
      <c r="N1211" s="139" t="s">
        <v>402</v>
      </c>
      <c r="O1211" s="139" t="s">
        <v>402</v>
      </c>
      <c r="P1211" s="28">
        <v>37</v>
      </c>
      <c r="Q1211" s="13" t="s">
        <v>54</v>
      </c>
      <c r="R1211" s="13" t="s">
        <v>28</v>
      </c>
      <c r="S1211" s="13"/>
      <c r="T1211" s="13"/>
      <c r="U1211" s="13" t="s">
        <v>1894</v>
      </c>
      <c r="V1211" s="13" t="s">
        <v>1894</v>
      </c>
      <c r="W1211" s="59">
        <f t="shared" si="18"/>
        <v>5.9966291815592356E-5</v>
      </c>
    </row>
    <row r="1212" spans="1:29">
      <c r="A1212" s="13" t="s">
        <v>1348</v>
      </c>
      <c r="B1212" s="13" t="s">
        <v>471</v>
      </c>
      <c r="C1212" s="139">
        <v>46288</v>
      </c>
      <c r="D1212" s="139" t="s">
        <v>441</v>
      </c>
      <c r="E1212" s="28">
        <v>0.94449477000000004</v>
      </c>
      <c r="F1212" s="13"/>
      <c r="G1212" s="18">
        <v>6625114.5199999996</v>
      </c>
      <c r="H1212" s="18">
        <v>6257386</v>
      </c>
      <c r="I1212" s="18">
        <v>6625114.5199999996</v>
      </c>
      <c r="J1212" s="18">
        <v>6257386</v>
      </c>
      <c r="K1212" s="15">
        <v>90000979</v>
      </c>
      <c r="L1212" s="13" t="s">
        <v>102</v>
      </c>
      <c r="M1212" s="13" t="s">
        <v>103</v>
      </c>
      <c r="N1212" s="139" t="s">
        <v>174</v>
      </c>
      <c r="O1212" s="139" t="s">
        <v>174</v>
      </c>
      <c r="P1212" s="28">
        <v>33</v>
      </c>
      <c r="Q1212" s="13" t="s">
        <v>54</v>
      </c>
      <c r="R1212" s="13" t="s">
        <v>28</v>
      </c>
      <c r="S1212" s="13"/>
      <c r="T1212" s="13"/>
      <c r="U1212" s="13" t="s">
        <v>1344</v>
      </c>
      <c r="V1212" s="13" t="s">
        <v>1344</v>
      </c>
      <c r="W1212" s="59">
        <f t="shared" si="18"/>
        <v>1.1954492014159918E-4</v>
      </c>
    </row>
    <row r="1213" spans="1:29">
      <c r="A1213" s="13" t="s">
        <v>1507</v>
      </c>
      <c r="B1213" s="13" t="s">
        <v>471</v>
      </c>
      <c r="C1213" s="139">
        <v>46288</v>
      </c>
      <c r="D1213" s="139" t="s">
        <v>441</v>
      </c>
      <c r="E1213" s="28">
        <v>0.94608619999999999</v>
      </c>
      <c r="F1213" s="13"/>
      <c r="G1213" s="18">
        <v>10000000</v>
      </c>
      <c r="H1213" s="18">
        <v>9460862.0199999996</v>
      </c>
      <c r="I1213" s="18">
        <v>10000000</v>
      </c>
      <c r="J1213" s="18">
        <v>9460862.0199999996</v>
      </c>
      <c r="K1213" s="15">
        <v>67448971</v>
      </c>
      <c r="L1213" s="13" t="s">
        <v>102</v>
      </c>
      <c r="M1213" s="13" t="s">
        <v>103</v>
      </c>
      <c r="N1213" s="139" t="s">
        <v>343</v>
      </c>
      <c r="O1213" s="139" t="s">
        <v>343</v>
      </c>
      <c r="P1213" s="28">
        <v>32</v>
      </c>
      <c r="Q1213" s="13" t="s">
        <v>54</v>
      </c>
      <c r="R1213" s="13" t="s">
        <v>28</v>
      </c>
      <c r="S1213" s="13"/>
      <c r="T1213" s="13"/>
      <c r="U1213" s="13" t="s">
        <v>1503</v>
      </c>
      <c r="V1213" s="13" t="s">
        <v>1503</v>
      </c>
      <c r="W1213" s="59">
        <f t="shared" si="18"/>
        <v>1.8074608065597817E-4</v>
      </c>
    </row>
    <row r="1214" spans="1:29">
      <c r="A1214" s="13" t="s">
        <v>486</v>
      </c>
      <c r="B1214" s="13" t="s">
        <v>471</v>
      </c>
      <c r="C1214" s="139">
        <v>46288</v>
      </c>
      <c r="D1214" s="139" t="s">
        <v>441</v>
      </c>
      <c r="E1214" s="28">
        <v>0.94608614999999996</v>
      </c>
      <c r="F1214" s="13"/>
      <c r="G1214" s="18">
        <v>15355310.449999999</v>
      </c>
      <c r="H1214" s="18">
        <v>14527446.6</v>
      </c>
      <c r="I1214" s="18">
        <v>15355310.449999999</v>
      </c>
      <c r="J1214" s="18">
        <v>14527446.6</v>
      </c>
      <c r="K1214" s="15">
        <v>30750</v>
      </c>
      <c r="L1214" s="13" t="s">
        <v>102</v>
      </c>
      <c r="M1214" s="13" t="s">
        <v>103</v>
      </c>
      <c r="N1214" s="139" t="s">
        <v>373</v>
      </c>
      <c r="O1214" s="139" t="s">
        <v>373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1410</v>
      </c>
      <c r="V1214" s="13" t="s">
        <v>1410</v>
      </c>
      <c r="W1214" s="59">
        <f t="shared" si="18"/>
        <v>2.7754120389222376E-4</v>
      </c>
    </row>
    <row r="1215" spans="1:29">
      <c r="A1215" s="13" t="s">
        <v>208</v>
      </c>
      <c r="B1215" s="13" t="s">
        <v>471</v>
      </c>
      <c r="C1215" s="139">
        <v>46288</v>
      </c>
      <c r="D1215" s="139" t="s">
        <v>441</v>
      </c>
      <c r="E1215" s="28">
        <v>0.95901221000000003</v>
      </c>
      <c r="F1215" s="13"/>
      <c r="G1215" s="18">
        <v>685765.71</v>
      </c>
      <c r="H1215" s="18">
        <v>657657.68999999994</v>
      </c>
      <c r="I1215" s="18">
        <v>685765.71</v>
      </c>
      <c r="J1215" s="18">
        <v>657657.68999999994</v>
      </c>
      <c r="K1215" s="15">
        <v>612096</v>
      </c>
      <c r="L1215" s="13" t="s">
        <v>102</v>
      </c>
      <c r="M1215" s="13" t="s">
        <v>103</v>
      </c>
      <c r="N1215" s="139" t="s">
        <v>319</v>
      </c>
      <c r="O1215" s="139" t="s">
        <v>319</v>
      </c>
      <c r="P1215" s="28">
        <v>24</v>
      </c>
      <c r="Q1215" s="13" t="s">
        <v>54</v>
      </c>
      <c r="R1215" s="13" t="s">
        <v>28</v>
      </c>
      <c r="S1215" s="13"/>
      <c r="T1215" s="13"/>
      <c r="U1215" s="13" t="s">
        <v>1210</v>
      </c>
      <c r="V1215" s="13" t="s">
        <v>1210</v>
      </c>
      <c r="W1215" s="59">
        <f t="shared" si="18"/>
        <v>1.2564293785225744E-5</v>
      </c>
    </row>
    <row r="1216" spans="1:29">
      <c r="A1216" s="13" t="s">
        <v>208</v>
      </c>
      <c r="B1216" s="13" t="s">
        <v>471</v>
      </c>
      <c r="C1216" s="139">
        <v>46288</v>
      </c>
      <c r="D1216" s="139" t="s">
        <v>441</v>
      </c>
      <c r="E1216" s="28">
        <v>0.95901219000000004</v>
      </c>
      <c r="F1216" s="13"/>
      <c r="G1216" s="18">
        <v>535280.22</v>
      </c>
      <c r="H1216" s="18">
        <v>513340.26</v>
      </c>
      <c r="I1216" s="18">
        <v>535280.22</v>
      </c>
      <c r="J1216" s="18">
        <v>513340.26</v>
      </c>
      <c r="K1216" s="15">
        <v>612233</v>
      </c>
      <c r="L1216" s="13" t="s">
        <v>102</v>
      </c>
      <c r="M1216" s="13" t="s">
        <v>103</v>
      </c>
      <c r="N1216" s="139" t="s">
        <v>319</v>
      </c>
      <c r="O1216" s="139" t="s">
        <v>319</v>
      </c>
      <c r="P1216" s="28">
        <v>24</v>
      </c>
      <c r="Q1216" s="13" t="s">
        <v>54</v>
      </c>
      <c r="R1216" s="13" t="s">
        <v>28</v>
      </c>
      <c r="S1216" s="13"/>
      <c r="T1216" s="13"/>
      <c r="U1216" s="13" t="s">
        <v>1214</v>
      </c>
      <c r="V1216" s="13" t="s">
        <v>1214</v>
      </c>
      <c r="W1216" s="59">
        <f t="shared" si="18"/>
        <v>9.8071655459912112E-6</v>
      </c>
    </row>
    <row r="1217" spans="1:29">
      <c r="A1217" s="13" t="s">
        <v>208</v>
      </c>
      <c r="B1217" s="13" t="s">
        <v>471</v>
      </c>
      <c r="C1217" s="139">
        <v>46288</v>
      </c>
      <c r="D1217" s="139" t="s">
        <v>441</v>
      </c>
      <c r="E1217" s="28">
        <v>0.95901219000000004</v>
      </c>
      <c r="F1217" s="13"/>
      <c r="G1217" s="18">
        <v>535280.22</v>
      </c>
      <c r="H1217" s="18">
        <v>513340.26</v>
      </c>
      <c r="I1217" s="18">
        <v>535280.22</v>
      </c>
      <c r="J1217" s="18">
        <v>513340.26</v>
      </c>
      <c r="K1217" s="15">
        <v>612235</v>
      </c>
      <c r="L1217" s="13" t="s">
        <v>102</v>
      </c>
      <c r="M1217" s="13" t="s">
        <v>103</v>
      </c>
      <c r="N1217" s="139" t="s">
        <v>319</v>
      </c>
      <c r="O1217" s="139" t="s">
        <v>319</v>
      </c>
      <c r="P1217" s="28">
        <v>24</v>
      </c>
      <c r="Q1217" s="13" t="s">
        <v>54</v>
      </c>
      <c r="R1217" s="13" t="s">
        <v>28</v>
      </c>
      <c r="S1217" s="13"/>
      <c r="T1217" s="13"/>
      <c r="U1217" s="13" t="s">
        <v>1215</v>
      </c>
      <c r="V1217" s="13" t="s">
        <v>1215</v>
      </c>
      <c r="W1217" s="59">
        <f t="shared" si="18"/>
        <v>9.8071655459912112E-6</v>
      </c>
    </row>
    <row r="1218" spans="1:29">
      <c r="A1218" s="13" t="s">
        <v>208</v>
      </c>
      <c r="B1218" s="13" t="s">
        <v>471</v>
      </c>
      <c r="C1218" s="139">
        <v>46288</v>
      </c>
      <c r="D1218" s="139" t="s">
        <v>441</v>
      </c>
      <c r="E1218" s="28">
        <v>0.95901221000000003</v>
      </c>
      <c r="F1218" s="13"/>
      <c r="G1218" s="18">
        <v>689115.82</v>
      </c>
      <c r="H1218" s="18">
        <v>660870.49</v>
      </c>
      <c r="I1218" s="18">
        <v>689115.82</v>
      </c>
      <c r="J1218" s="18">
        <v>660870.49</v>
      </c>
      <c r="K1218" s="15">
        <v>612121</v>
      </c>
      <c r="L1218" s="13" t="s">
        <v>102</v>
      </c>
      <c r="M1218" s="13" t="s">
        <v>103</v>
      </c>
      <c r="N1218" s="139" t="s">
        <v>319</v>
      </c>
      <c r="O1218" s="139" t="s">
        <v>319</v>
      </c>
      <c r="P1218" s="28">
        <v>24</v>
      </c>
      <c r="Q1218" s="13" t="s">
        <v>54</v>
      </c>
      <c r="R1218" s="13" t="s">
        <v>28</v>
      </c>
      <c r="S1218" s="13"/>
      <c r="T1218" s="13"/>
      <c r="U1218" s="13" t="s">
        <v>1216</v>
      </c>
      <c r="V1218" s="13" t="s">
        <v>1216</v>
      </c>
      <c r="W1218" s="59">
        <f t="shared" si="18"/>
        <v>1.2625673076743151E-5</v>
      </c>
    </row>
    <row r="1219" spans="1:29">
      <c r="A1219" s="13" t="s">
        <v>208</v>
      </c>
      <c r="B1219" s="13" t="s">
        <v>471</v>
      </c>
      <c r="C1219" s="139">
        <v>46288</v>
      </c>
      <c r="D1219" s="139" t="s">
        <v>441</v>
      </c>
      <c r="E1219" s="28">
        <v>0.95901219999999998</v>
      </c>
      <c r="F1219" s="13"/>
      <c r="G1219" s="18">
        <v>2688265.68</v>
      </c>
      <c r="H1219" s="18">
        <v>2578079.59</v>
      </c>
      <c r="I1219" s="18">
        <v>2688265.68</v>
      </c>
      <c r="J1219" s="18">
        <v>2578079.59</v>
      </c>
      <c r="K1219" s="15">
        <v>612240</v>
      </c>
      <c r="L1219" s="13" t="s">
        <v>102</v>
      </c>
      <c r="M1219" s="13" t="s">
        <v>103</v>
      </c>
      <c r="N1219" s="139" t="s">
        <v>319</v>
      </c>
      <c r="O1219" s="139" t="s">
        <v>319</v>
      </c>
      <c r="P1219" s="28">
        <v>24</v>
      </c>
      <c r="Q1219" s="13" t="s">
        <v>54</v>
      </c>
      <c r="R1219" s="13" t="s">
        <v>28</v>
      </c>
      <c r="S1219" s="13"/>
      <c r="T1219" s="13"/>
      <c r="U1219" s="13" t="s">
        <v>1217</v>
      </c>
      <c r="V1219" s="13" t="s">
        <v>1217</v>
      </c>
      <c r="W1219" s="59">
        <f t="shared" si="18"/>
        <v>4.9253205524677034E-5</v>
      </c>
    </row>
    <row r="1220" spans="1:29">
      <c r="A1220" s="13" t="s">
        <v>208</v>
      </c>
      <c r="B1220" s="13" t="s">
        <v>471</v>
      </c>
      <c r="C1220" s="139">
        <v>46288</v>
      </c>
      <c r="D1220" s="139" t="s">
        <v>441</v>
      </c>
      <c r="E1220" s="28">
        <v>0.96560853000000002</v>
      </c>
      <c r="F1220" s="13"/>
      <c r="G1220" s="18">
        <v>603640.62</v>
      </c>
      <c r="H1220" s="18">
        <v>582880.53</v>
      </c>
      <c r="I1220" s="18">
        <v>603640.62</v>
      </c>
      <c r="J1220" s="18">
        <v>582880.53</v>
      </c>
      <c r="K1220" s="15">
        <v>612100</v>
      </c>
      <c r="L1220" s="13" t="s">
        <v>102</v>
      </c>
      <c r="M1220" s="13" t="s">
        <v>103</v>
      </c>
      <c r="N1220" s="139" t="s">
        <v>383</v>
      </c>
      <c r="O1220" s="139" t="s">
        <v>383</v>
      </c>
      <c r="P1220" s="28">
        <v>20</v>
      </c>
      <c r="Q1220" s="13" t="s">
        <v>54</v>
      </c>
      <c r="R1220" s="13" t="s">
        <v>28</v>
      </c>
      <c r="S1220" s="13"/>
      <c r="T1220" s="13"/>
      <c r="U1220" s="13" t="s">
        <v>1672</v>
      </c>
      <c r="V1220" s="13" t="s">
        <v>1672</v>
      </c>
      <c r="W1220" s="59">
        <f t="shared" si="18"/>
        <v>1.1135705294661862E-5</v>
      </c>
    </row>
    <row r="1221" spans="1:29">
      <c r="A1221" s="13" t="s">
        <v>737</v>
      </c>
      <c r="B1221" s="13" t="s">
        <v>471</v>
      </c>
      <c r="C1221" s="139">
        <v>46288</v>
      </c>
      <c r="D1221" s="139" t="s">
        <v>441</v>
      </c>
      <c r="E1221" s="28">
        <v>0.95901216</v>
      </c>
      <c r="F1221" s="13"/>
      <c r="G1221" s="18">
        <v>10000000</v>
      </c>
      <c r="H1221" s="18">
        <v>9590121.6500000004</v>
      </c>
      <c r="I1221" s="18">
        <v>10000000</v>
      </c>
      <c r="J1221" s="18">
        <v>9590121.6500000004</v>
      </c>
      <c r="K1221" s="15">
        <v>90000402</v>
      </c>
      <c r="L1221" s="13" t="s">
        <v>102</v>
      </c>
      <c r="M1221" s="13" t="s">
        <v>103</v>
      </c>
      <c r="N1221" s="139" t="s">
        <v>382</v>
      </c>
      <c r="O1221" s="139" t="s">
        <v>382</v>
      </c>
      <c r="P1221" s="28">
        <v>24</v>
      </c>
      <c r="Q1221" s="13" t="s">
        <v>54</v>
      </c>
      <c r="R1221" s="13" t="s">
        <v>28</v>
      </c>
      <c r="S1221" s="13"/>
      <c r="T1221" s="13"/>
      <c r="U1221" s="13" t="s">
        <v>2371</v>
      </c>
      <c r="V1221" s="13" t="s">
        <v>2371</v>
      </c>
      <c r="W1221" s="59">
        <f t="shared" ref="W1221:W1284" si="19">+J1221/$W$2</f>
        <v>1.8321553549636725E-4</v>
      </c>
    </row>
    <row r="1222" spans="1:29">
      <c r="A1222" s="13" t="s">
        <v>472</v>
      </c>
      <c r="B1222" s="13" t="s">
        <v>471</v>
      </c>
      <c r="C1222" s="139">
        <v>46288</v>
      </c>
      <c r="D1222" s="139" t="s">
        <v>441</v>
      </c>
      <c r="E1222" s="28">
        <v>0.94928478999999999</v>
      </c>
      <c r="F1222" s="13"/>
      <c r="G1222" s="18">
        <v>10000000</v>
      </c>
      <c r="H1222" s="18">
        <v>9492847.9199999999</v>
      </c>
      <c r="I1222" s="18">
        <v>10000000</v>
      </c>
      <c r="J1222" s="18">
        <v>9492847.9199999999</v>
      </c>
      <c r="K1222" s="15">
        <v>580</v>
      </c>
      <c r="L1222" s="13" t="s">
        <v>102</v>
      </c>
      <c r="M1222" s="13" t="s">
        <v>103</v>
      </c>
      <c r="N1222" s="139" t="s">
        <v>174</v>
      </c>
      <c r="O1222" s="139" t="s">
        <v>174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1313</v>
      </c>
      <c r="V1222" s="13" t="s">
        <v>1313</v>
      </c>
      <c r="W1222" s="59">
        <f t="shared" si="19"/>
        <v>1.8135715880604871E-4</v>
      </c>
    </row>
    <row r="1223" spans="1:29">
      <c r="A1223" s="13" t="s">
        <v>472</v>
      </c>
      <c r="B1223" s="13" t="s">
        <v>471</v>
      </c>
      <c r="C1223" s="139">
        <v>46288</v>
      </c>
      <c r="D1223" s="139" t="s">
        <v>441</v>
      </c>
      <c r="E1223" s="28">
        <v>0.94928491000000004</v>
      </c>
      <c r="F1223" s="13"/>
      <c r="G1223" s="18">
        <v>7500000</v>
      </c>
      <c r="H1223" s="18">
        <v>7119636.8399999999</v>
      </c>
      <c r="I1223" s="18">
        <v>7500000</v>
      </c>
      <c r="J1223" s="18">
        <v>7119636.8399999999</v>
      </c>
      <c r="K1223" s="15">
        <v>513</v>
      </c>
      <c r="L1223" s="13" t="s">
        <v>102</v>
      </c>
      <c r="M1223" s="13" t="s">
        <v>103</v>
      </c>
      <c r="N1223" s="139" t="s">
        <v>369</v>
      </c>
      <c r="O1223" s="139" t="s">
        <v>369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1070</v>
      </c>
      <c r="V1223" s="13" t="s">
        <v>1070</v>
      </c>
      <c r="W1223" s="59">
        <f t="shared" si="19"/>
        <v>1.3601788629868567E-4</v>
      </c>
    </row>
    <row r="1224" spans="1:29">
      <c r="A1224" s="13" t="s">
        <v>242</v>
      </c>
      <c r="B1224" s="13" t="s">
        <v>471</v>
      </c>
      <c r="C1224" s="139">
        <v>46288</v>
      </c>
      <c r="D1224" s="139" t="s">
        <v>441</v>
      </c>
      <c r="E1224" s="28">
        <v>0.94449477999999998</v>
      </c>
      <c r="F1224" s="13"/>
      <c r="G1224" s="18">
        <v>2500000</v>
      </c>
      <c r="H1224" s="18">
        <v>2361236.9500000002</v>
      </c>
      <c r="I1224" s="18">
        <v>2500000</v>
      </c>
      <c r="J1224" s="18">
        <v>2361236.9500000002</v>
      </c>
      <c r="K1224" s="15">
        <v>1201</v>
      </c>
      <c r="L1224" s="13" t="s">
        <v>102</v>
      </c>
      <c r="M1224" s="13" t="s">
        <v>103</v>
      </c>
      <c r="N1224" s="139" t="s">
        <v>162</v>
      </c>
      <c r="O1224" s="139" t="s">
        <v>162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1089</v>
      </c>
      <c r="V1224" s="13" t="s">
        <v>1089</v>
      </c>
      <c r="W1224" s="59">
        <f t="shared" si="19"/>
        <v>4.511051142172518E-5</v>
      </c>
    </row>
    <row r="1225" spans="1:29">
      <c r="A1225" s="13" t="s">
        <v>323</v>
      </c>
      <c r="B1225" s="13" t="s">
        <v>471</v>
      </c>
      <c r="C1225" s="139">
        <v>46288</v>
      </c>
      <c r="D1225" s="139" t="s">
        <v>441</v>
      </c>
      <c r="E1225" s="28">
        <v>0.95412370000000002</v>
      </c>
      <c r="F1225" s="13"/>
      <c r="G1225" s="18">
        <v>35000000</v>
      </c>
      <c r="H1225" s="18">
        <v>33394329.640000001</v>
      </c>
      <c r="I1225" s="18">
        <v>35000000</v>
      </c>
      <c r="J1225" s="18">
        <v>33394329.640000001</v>
      </c>
      <c r="K1225" s="15">
        <v>54027795</v>
      </c>
      <c r="L1225" s="13" t="s">
        <v>102</v>
      </c>
      <c r="M1225" s="13" t="s">
        <v>103</v>
      </c>
      <c r="N1225" s="139" t="s">
        <v>457</v>
      </c>
      <c r="O1225" s="139" t="s">
        <v>457</v>
      </c>
      <c r="P1225" s="28">
        <v>27</v>
      </c>
      <c r="Q1225" s="13" t="s">
        <v>54</v>
      </c>
      <c r="R1225" s="13" t="s">
        <v>28</v>
      </c>
      <c r="S1225" s="13"/>
      <c r="T1225" s="13"/>
      <c r="U1225" s="13" t="s">
        <v>1718</v>
      </c>
      <c r="V1225" s="13" t="s">
        <v>1718</v>
      </c>
      <c r="W1225" s="59">
        <f t="shared" si="19"/>
        <v>6.3798564927847483E-4</v>
      </c>
    </row>
    <row r="1226" spans="1:29">
      <c r="A1226" s="13" t="s">
        <v>323</v>
      </c>
      <c r="B1226" s="13" t="s">
        <v>471</v>
      </c>
      <c r="C1226" s="139">
        <v>46288</v>
      </c>
      <c r="D1226" s="139" t="s">
        <v>441</v>
      </c>
      <c r="E1226" s="28">
        <v>0.95412372999999995</v>
      </c>
      <c r="F1226" s="13"/>
      <c r="G1226" s="18">
        <v>10000000</v>
      </c>
      <c r="H1226" s="18">
        <v>9541237.2799999993</v>
      </c>
      <c r="I1226" s="18">
        <v>10000000</v>
      </c>
      <c r="J1226" s="18">
        <v>9541237.2799999993</v>
      </c>
      <c r="K1226" s="15">
        <v>67280581</v>
      </c>
      <c r="L1226" s="13" t="s">
        <v>102</v>
      </c>
      <c r="M1226" s="13" t="s">
        <v>103</v>
      </c>
      <c r="N1226" s="139" t="s">
        <v>373</v>
      </c>
      <c r="O1226" s="139" t="s">
        <v>373</v>
      </c>
      <c r="P1226" s="28">
        <v>27</v>
      </c>
      <c r="Q1226" s="13" t="s">
        <v>54</v>
      </c>
      <c r="R1226" s="13" t="s">
        <v>28</v>
      </c>
      <c r="S1226" s="13"/>
      <c r="T1226" s="13"/>
      <c r="U1226" s="13" t="s">
        <v>1391</v>
      </c>
      <c r="V1226" s="13" t="s">
        <v>1391</v>
      </c>
      <c r="W1226" s="59">
        <f t="shared" si="19"/>
        <v>1.8228161866467067E-4</v>
      </c>
    </row>
    <row r="1227" spans="1:29">
      <c r="A1227" s="13" t="s">
        <v>323</v>
      </c>
      <c r="B1227" s="13" t="s">
        <v>471</v>
      </c>
      <c r="C1227" s="139">
        <v>46288</v>
      </c>
      <c r="D1227" s="139" t="s">
        <v>441</v>
      </c>
      <c r="E1227" s="28">
        <v>0.95412372999999995</v>
      </c>
      <c r="F1227" s="13"/>
      <c r="G1227" s="18">
        <v>10000000</v>
      </c>
      <c r="H1227" s="18">
        <v>9541237.2799999993</v>
      </c>
      <c r="I1227" s="18">
        <v>10000000</v>
      </c>
      <c r="J1227" s="18">
        <v>9541237.2799999993</v>
      </c>
      <c r="K1227" s="15">
        <v>67280500</v>
      </c>
      <c r="L1227" s="13" t="s">
        <v>102</v>
      </c>
      <c r="M1227" s="13" t="s">
        <v>103</v>
      </c>
      <c r="N1227" s="139" t="s">
        <v>373</v>
      </c>
      <c r="O1227" s="139" t="s">
        <v>373</v>
      </c>
      <c r="P1227" s="28">
        <v>27</v>
      </c>
      <c r="Q1227" s="13" t="s">
        <v>54</v>
      </c>
      <c r="R1227" s="13" t="s">
        <v>28</v>
      </c>
      <c r="S1227" s="13"/>
      <c r="T1227" s="13"/>
      <c r="U1227" s="13" t="s">
        <v>1394</v>
      </c>
      <c r="V1227" s="13" t="s">
        <v>1394</v>
      </c>
      <c r="W1227" s="59">
        <f t="shared" si="19"/>
        <v>1.8228161866467067E-4</v>
      </c>
    </row>
    <row r="1228" spans="1:29">
      <c r="A1228" s="13" t="s">
        <v>323</v>
      </c>
      <c r="B1228" s="13" t="s">
        <v>471</v>
      </c>
      <c r="C1228" s="139">
        <v>46288</v>
      </c>
      <c r="D1228" s="139" t="s">
        <v>441</v>
      </c>
      <c r="E1228" s="28">
        <v>0.95412372999999995</v>
      </c>
      <c r="F1228" s="13"/>
      <c r="G1228" s="18">
        <v>5000000</v>
      </c>
      <c r="H1228" s="18">
        <v>4770618.66</v>
      </c>
      <c r="I1228" s="18">
        <v>5000000</v>
      </c>
      <c r="J1228" s="18">
        <v>4770618.66</v>
      </c>
      <c r="K1228" s="15">
        <v>67193054</v>
      </c>
      <c r="L1228" s="13" t="s">
        <v>102</v>
      </c>
      <c r="M1228" s="13" t="s">
        <v>103</v>
      </c>
      <c r="N1228" s="139" t="s">
        <v>373</v>
      </c>
      <c r="O1228" s="139" t="s">
        <v>373</v>
      </c>
      <c r="P1228" s="28">
        <v>27</v>
      </c>
      <c r="Q1228" s="13" t="s">
        <v>54</v>
      </c>
      <c r="R1228" s="13" t="s">
        <v>28</v>
      </c>
      <c r="S1228" s="13"/>
      <c r="T1228" s="13"/>
      <c r="U1228" s="13" t="s">
        <v>1397</v>
      </c>
      <c r="V1228" s="13" t="s">
        <v>1397</v>
      </c>
      <c r="W1228" s="59">
        <f t="shared" si="19"/>
        <v>9.1140809714427545E-5</v>
      </c>
      <c r="AC1228" s="56"/>
    </row>
    <row r="1229" spans="1:29">
      <c r="A1229" s="13" t="s">
        <v>323</v>
      </c>
      <c r="B1229" s="13" t="s">
        <v>471</v>
      </c>
      <c r="C1229" s="139">
        <v>46288</v>
      </c>
      <c r="D1229" s="139" t="s">
        <v>441</v>
      </c>
      <c r="E1229" s="28">
        <v>0.95412372999999995</v>
      </c>
      <c r="F1229" s="13"/>
      <c r="G1229" s="18">
        <v>5000000</v>
      </c>
      <c r="H1229" s="18">
        <v>4770618.66</v>
      </c>
      <c r="I1229" s="18">
        <v>5000000</v>
      </c>
      <c r="J1229" s="18">
        <v>4770618.66</v>
      </c>
      <c r="K1229" s="15">
        <v>67193055</v>
      </c>
      <c r="L1229" s="13" t="s">
        <v>102</v>
      </c>
      <c r="M1229" s="13" t="s">
        <v>103</v>
      </c>
      <c r="N1229" s="139" t="s">
        <v>373</v>
      </c>
      <c r="O1229" s="139" t="s">
        <v>373</v>
      </c>
      <c r="P1229" s="28">
        <v>27</v>
      </c>
      <c r="Q1229" s="13" t="s">
        <v>54</v>
      </c>
      <c r="R1229" s="13" t="s">
        <v>28</v>
      </c>
      <c r="S1229" s="13"/>
      <c r="T1229" s="13"/>
      <c r="U1229" s="13" t="s">
        <v>1399</v>
      </c>
      <c r="V1229" s="13" t="s">
        <v>1399</v>
      </c>
      <c r="W1229" s="59">
        <f t="shared" si="19"/>
        <v>9.1140809714427545E-5</v>
      </c>
    </row>
    <row r="1230" spans="1:29">
      <c r="A1230" s="13" t="s">
        <v>2113</v>
      </c>
      <c r="B1230" s="13" t="s">
        <v>471</v>
      </c>
      <c r="C1230" s="139">
        <v>46288</v>
      </c>
      <c r="D1230" s="139" t="s">
        <v>441</v>
      </c>
      <c r="E1230" s="28">
        <v>0.94928484999999996</v>
      </c>
      <c r="F1230" s="13"/>
      <c r="G1230" s="18">
        <v>1961936.49</v>
      </c>
      <c r="H1230" s="18">
        <v>1862436.58</v>
      </c>
      <c r="I1230" s="18">
        <v>1961936.49</v>
      </c>
      <c r="J1230" s="18">
        <v>1862436.58</v>
      </c>
      <c r="K1230" s="15">
        <v>9795</v>
      </c>
      <c r="L1230" s="13" t="s">
        <v>102</v>
      </c>
      <c r="M1230" s="13" t="s">
        <v>103</v>
      </c>
      <c r="N1230" s="139" t="s">
        <v>783</v>
      </c>
      <c r="O1230" s="139" t="s">
        <v>783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2100</v>
      </c>
      <c r="V1230" s="13" t="s">
        <v>2100</v>
      </c>
      <c r="W1230" s="59">
        <f t="shared" si="19"/>
        <v>3.5581124805932235E-5</v>
      </c>
    </row>
    <row r="1231" spans="1:29">
      <c r="A1231" s="13" t="s">
        <v>581</v>
      </c>
      <c r="B1231" s="13" t="s">
        <v>471</v>
      </c>
      <c r="C1231" s="139">
        <v>46288</v>
      </c>
      <c r="D1231" s="139" t="s">
        <v>441</v>
      </c>
      <c r="E1231" s="28">
        <v>0.95250528000000001</v>
      </c>
      <c r="F1231" s="13"/>
      <c r="G1231" s="18">
        <v>10000000</v>
      </c>
      <c r="H1231" s="18">
        <v>9525052.7599999998</v>
      </c>
      <c r="I1231" s="18">
        <v>10000000</v>
      </c>
      <c r="J1231" s="18">
        <v>9525052.7599999998</v>
      </c>
      <c r="K1231" s="15">
        <v>360566</v>
      </c>
      <c r="L1231" s="13" t="s">
        <v>102</v>
      </c>
      <c r="M1231" s="13" t="s">
        <v>103</v>
      </c>
      <c r="N1231" s="139" t="s">
        <v>348</v>
      </c>
      <c r="O1231" s="139" t="s">
        <v>348</v>
      </c>
      <c r="P1231" s="28">
        <v>28</v>
      </c>
      <c r="Q1231" s="13" t="s">
        <v>54</v>
      </c>
      <c r="R1231" s="13" t="s">
        <v>28</v>
      </c>
      <c r="S1231" s="13"/>
      <c r="T1231" s="13"/>
      <c r="U1231" s="13" t="s">
        <v>724</v>
      </c>
      <c r="V1231" s="13" t="s">
        <v>724</v>
      </c>
      <c r="W1231" s="59">
        <f t="shared" si="19"/>
        <v>1.8197241971946732E-4</v>
      </c>
      <c r="AC1231"/>
    </row>
    <row r="1232" spans="1:29">
      <c r="A1232" s="13" t="s">
        <v>661</v>
      </c>
      <c r="B1232" s="13" t="s">
        <v>471</v>
      </c>
      <c r="C1232" s="139">
        <v>46288</v>
      </c>
      <c r="D1232" s="139" t="s">
        <v>441</v>
      </c>
      <c r="E1232" s="28">
        <v>0.94928480999999998</v>
      </c>
      <c r="F1232" s="13"/>
      <c r="G1232" s="18">
        <v>6000000</v>
      </c>
      <c r="H1232" s="18">
        <v>5695708.8899999997</v>
      </c>
      <c r="I1232" s="18">
        <v>6000000</v>
      </c>
      <c r="J1232" s="18">
        <v>5695708.8899999997</v>
      </c>
      <c r="K1232" s="15">
        <v>10926497</v>
      </c>
      <c r="L1232" s="13" t="s">
        <v>102</v>
      </c>
      <c r="M1232" s="13" t="s">
        <v>103</v>
      </c>
      <c r="N1232" s="139" t="s">
        <v>397</v>
      </c>
      <c r="O1232" s="139" t="s">
        <v>397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676</v>
      </c>
      <c r="V1232" s="13" t="s">
        <v>676</v>
      </c>
      <c r="W1232" s="59">
        <f t="shared" si="19"/>
        <v>1.0881429792006541E-4</v>
      </c>
    </row>
    <row r="1233" spans="1:29">
      <c r="A1233" s="13" t="s">
        <v>661</v>
      </c>
      <c r="B1233" s="13" t="s">
        <v>471</v>
      </c>
      <c r="C1233" s="139">
        <v>46288</v>
      </c>
      <c r="D1233" s="139" t="s">
        <v>441</v>
      </c>
      <c r="E1233" s="28">
        <v>0.95574769999999998</v>
      </c>
      <c r="F1233" s="13"/>
      <c r="G1233" s="18">
        <v>9000000</v>
      </c>
      <c r="H1233" s="18">
        <v>8601729.3300000001</v>
      </c>
      <c r="I1233" s="18">
        <v>9000000</v>
      </c>
      <c r="J1233" s="18">
        <v>8601729.3300000001</v>
      </c>
      <c r="K1233" s="15">
        <v>3487869</v>
      </c>
      <c r="L1233" s="13" t="s">
        <v>102</v>
      </c>
      <c r="M1233" s="13" t="s">
        <v>103</v>
      </c>
      <c r="N1233" s="139" t="s">
        <v>319</v>
      </c>
      <c r="O1233" s="139" t="s">
        <v>319</v>
      </c>
      <c r="P1233" s="28">
        <v>26</v>
      </c>
      <c r="Q1233" s="13" t="s">
        <v>54</v>
      </c>
      <c r="R1233" s="13" t="s">
        <v>28</v>
      </c>
      <c r="S1233" s="13"/>
      <c r="T1233" s="13"/>
      <c r="U1233" s="13" t="s">
        <v>1185</v>
      </c>
      <c r="V1233" s="13" t="s">
        <v>1185</v>
      </c>
      <c r="W1233" s="59">
        <f t="shared" si="19"/>
        <v>1.6433268553905759E-4</v>
      </c>
    </row>
    <row r="1234" spans="1:29">
      <c r="A1234" s="13" t="s">
        <v>661</v>
      </c>
      <c r="B1234" s="13" t="s">
        <v>471</v>
      </c>
      <c r="C1234" s="139">
        <v>46288</v>
      </c>
      <c r="D1234" s="139" t="s">
        <v>441</v>
      </c>
      <c r="E1234" s="28">
        <v>0.95250526000000002</v>
      </c>
      <c r="F1234" s="13"/>
      <c r="G1234" s="18">
        <v>10000000</v>
      </c>
      <c r="H1234" s="18">
        <v>9525052.6300000008</v>
      </c>
      <c r="I1234" s="18">
        <v>10000000</v>
      </c>
      <c r="J1234" s="18">
        <v>9525052.6300000008</v>
      </c>
      <c r="K1234" s="15">
        <v>3487823</v>
      </c>
      <c r="L1234" s="13" t="s">
        <v>102</v>
      </c>
      <c r="M1234" s="13" t="s">
        <v>103</v>
      </c>
      <c r="N1234" s="139" t="s">
        <v>326</v>
      </c>
      <c r="O1234" s="139" t="s">
        <v>326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975</v>
      </c>
      <c r="V1234" s="13" t="s">
        <v>975</v>
      </c>
      <c r="W1234" s="59">
        <f t="shared" si="19"/>
        <v>1.8197241723586803E-4</v>
      </c>
    </row>
    <row r="1235" spans="1:29">
      <c r="A1235" s="13" t="s">
        <v>1944</v>
      </c>
      <c r="B1235" s="13" t="s">
        <v>471</v>
      </c>
      <c r="C1235" s="139">
        <v>46288</v>
      </c>
      <c r="D1235" s="139" t="s">
        <v>441</v>
      </c>
      <c r="E1235" s="28">
        <v>0.94928486000000001</v>
      </c>
      <c r="F1235" s="13"/>
      <c r="G1235" s="18">
        <v>30000000</v>
      </c>
      <c r="H1235" s="18">
        <v>28478545.920000002</v>
      </c>
      <c r="I1235" s="18">
        <v>30000000</v>
      </c>
      <c r="J1235" s="18">
        <v>28478545.920000002</v>
      </c>
      <c r="K1235" s="15">
        <v>738</v>
      </c>
      <c r="L1235" s="13" t="s">
        <v>102</v>
      </c>
      <c r="M1235" s="13" t="s">
        <v>103</v>
      </c>
      <c r="N1235" s="139" t="s">
        <v>493</v>
      </c>
      <c r="O1235" s="139" t="s">
        <v>493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1946</v>
      </c>
      <c r="V1235" s="13" t="s">
        <v>1946</v>
      </c>
      <c r="W1235" s="59">
        <f t="shared" si="19"/>
        <v>5.4407151768410406E-4</v>
      </c>
    </row>
    <row r="1236" spans="1:29">
      <c r="A1236" s="13" t="s">
        <v>2234</v>
      </c>
      <c r="B1236" s="13" t="s">
        <v>471</v>
      </c>
      <c r="C1236" s="139">
        <v>46288</v>
      </c>
      <c r="D1236" s="139" t="s">
        <v>441</v>
      </c>
      <c r="E1236" s="28">
        <v>0.94928499</v>
      </c>
      <c r="F1236" s="13"/>
      <c r="G1236" s="18">
        <v>830000</v>
      </c>
      <c r="H1236" s="18">
        <v>787906.54</v>
      </c>
      <c r="I1236" s="18">
        <v>830000</v>
      </c>
      <c r="J1236" s="18">
        <v>787906.54</v>
      </c>
      <c r="K1236" s="15">
        <v>64</v>
      </c>
      <c r="L1236" s="13" t="s">
        <v>102</v>
      </c>
      <c r="M1236" s="13" t="s">
        <v>103</v>
      </c>
      <c r="N1236" s="139" t="s">
        <v>388</v>
      </c>
      <c r="O1236" s="139" t="s">
        <v>388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2235</v>
      </c>
      <c r="V1236" s="13" t="s">
        <v>2235</v>
      </c>
      <c r="W1236" s="59">
        <f t="shared" si="19"/>
        <v>1.505264728807584E-5</v>
      </c>
    </row>
    <row r="1237" spans="1:29">
      <c r="A1237" s="13" t="s">
        <v>1467</v>
      </c>
      <c r="B1237" s="13" t="s">
        <v>471</v>
      </c>
      <c r="C1237" s="139">
        <v>46289</v>
      </c>
      <c r="D1237" s="139" t="s">
        <v>441</v>
      </c>
      <c r="E1237" s="28">
        <v>0.94530203000000002</v>
      </c>
      <c r="F1237" s="13"/>
      <c r="G1237" s="18">
        <v>1000000</v>
      </c>
      <c r="H1237" s="18">
        <v>945302.03</v>
      </c>
      <c r="I1237" s="18">
        <v>1000000</v>
      </c>
      <c r="J1237" s="18">
        <v>945302.03</v>
      </c>
      <c r="K1237" s="15">
        <v>67381805</v>
      </c>
      <c r="L1237" s="13" t="s">
        <v>102</v>
      </c>
      <c r="M1237" s="13" t="s">
        <v>103</v>
      </c>
      <c r="N1237" s="139" t="s">
        <v>373</v>
      </c>
      <c r="O1237" s="139" t="s">
        <v>373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1479</v>
      </c>
      <c r="V1237" s="13" t="s">
        <v>1479</v>
      </c>
      <c r="W1237" s="59">
        <f t="shared" si="19"/>
        <v>1.8059626765240566E-5</v>
      </c>
    </row>
    <row r="1238" spans="1:29">
      <c r="A1238" s="13" t="s">
        <v>486</v>
      </c>
      <c r="B1238" s="13" t="s">
        <v>471</v>
      </c>
      <c r="C1238" s="139">
        <v>46289</v>
      </c>
      <c r="D1238" s="139" t="s">
        <v>441</v>
      </c>
      <c r="E1238" s="28">
        <v>0.94530203000000002</v>
      </c>
      <c r="F1238" s="13"/>
      <c r="G1238" s="18">
        <v>15355310.449999999</v>
      </c>
      <c r="H1238" s="18">
        <v>14515406.17</v>
      </c>
      <c r="I1238" s="18">
        <v>15355310.449999999</v>
      </c>
      <c r="J1238" s="18">
        <v>14515406.17</v>
      </c>
      <c r="K1238" s="15">
        <v>30751</v>
      </c>
      <c r="L1238" s="13" t="s">
        <v>102</v>
      </c>
      <c r="M1238" s="13" t="s">
        <v>103</v>
      </c>
      <c r="N1238" s="139" t="s">
        <v>373</v>
      </c>
      <c r="O1238" s="139" t="s">
        <v>373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1411</v>
      </c>
      <c r="V1238" s="13" t="s">
        <v>1411</v>
      </c>
      <c r="W1238" s="59">
        <f t="shared" si="19"/>
        <v>2.7731117617093242E-4</v>
      </c>
      <c r="AC1238" s="56"/>
    </row>
    <row r="1239" spans="1:29">
      <c r="A1239" s="13" t="s">
        <v>737</v>
      </c>
      <c r="B1239" s="13" t="s">
        <v>471</v>
      </c>
      <c r="C1239" s="139">
        <v>46289</v>
      </c>
      <c r="D1239" s="139" t="s">
        <v>441</v>
      </c>
      <c r="E1239" s="28">
        <v>0.95509736000000001</v>
      </c>
      <c r="F1239" s="13"/>
      <c r="G1239" s="18">
        <v>20000000</v>
      </c>
      <c r="H1239" s="18">
        <v>19101947.260000002</v>
      </c>
      <c r="I1239" s="18">
        <v>20000000</v>
      </c>
      <c r="J1239" s="18">
        <v>19101947.260000002</v>
      </c>
      <c r="K1239" s="15">
        <v>9508919</v>
      </c>
      <c r="L1239" s="13" t="s">
        <v>102</v>
      </c>
      <c r="M1239" s="13" t="s">
        <v>103</v>
      </c>
      <c r="N1239" s="139" t="s">
        <v>382</v>
      </c>
      <c r="O1239" s="139" t="s">
        <v>382</v>
      </c>
      <c r="P1239" s="28">
        <v>26</v>
      </c>
      <c r="Q1239" s="13" t="s">
        <v>54</v>
      </c>
      <c r="R1239" s="13" t="s">
        <v>28</v>
      </c>
      <c r="S1239" s="13"/>
      <c r="T1239" s="13"/>
      <c r="U1239" s="13" t="s">
        <v>2358</v>
      </c>
      <c r="V1239" s="13" t="s">
        <v>2358</v>
      </c>
      <c r="W1239" s="59">
        <f t="shared" si="19"/>
        <v>3.6493525567157586E-4</v>
      </c>
    </row>
    <row r="1240" spans="1:29">
      <c r="A1240" s="13" t="s">
        <v>472</v>
      </c>
      <c r="B1240" s="13" t="s">
        <v>471</v>
      </c>
      <c r="C1240" s="139">
        <v>46289</v>
      </c>
      <c r="D1240" s="139" t="s">
        <v>441</v>
      </c>
      <c r="E1240" s="28">
        <v>0.94854477000000004</v>
      </c>
      <c r="F1240" s="13"/>
      <c r="G1240" s="18">
        <v>5000000</v>
      </c>
      <c r="H1240" s="18">
        <v>4742723.83</v>
      </c>
      <c r="I1240" s="18">
        <v>5000000</v>
      </c>
      <c r="J1240" s="18">
        <v>4742723.83</v>
      </c>
      <c r="K1240" s="15">
        <v>684</v>
      </c>
      <c r="L1240" s="13" t="s">
        <v>102</v>
      </c>
      <c r="M1240" s="13" t="s">
        <v>103</v>
      </c>
      <c r="N1240" s="139" t="s">
        <v>439</v>
      </c>
      <c r="O1240" s="139" t="s">
        <v>439</v>
      </c>
      <c r="P1240" s="28">
        <v>30</v>
      </c>
      <c r="Q1240" s="13" t="s">
        <v>54</v>
      </c>
      <c r="R1240" s="13" t="s">
        <v>28</v>
      </c>
      <c r="S1240" s="13"/>
      <c r="T1240" s="13"/>
      <c r="U1240" s="13" t="s">
        <v>1748</v>
      </c>
      <c r="V1240" s="13" t="s">
        <v>1748</v>
      </c>
      <c r="W1240" s="59">
        <f t="shared" si="19"/>
        <v>9.0607889861838385E-5</v>
      </c>
    </row>
    <row r="1241" spans="1:29">
      <c r="A1241" s="13" t="s">
        <v>472</v>
      </c>
      <c r="B1241" s="13" t="s">
        <v>471</v>
      </c>
      <c r="C1241" s="139">
        <v>46289</v>
      </c>
      <c r="D1241" s="139" t="s">
        <v>441</v>
      </c>
      <c r="E1241" s="28">
        <v>0.94854479000000003</v>
      </c>
      <c r="F1241" s="13"/>
      <c r="G1241" s="18">
        <v>10000000</v>
      </c>
      <c r="H1241" s="18">
        <v>9485447.9000000004</v>
      </c>
      <c r="I1241" s="18">
        <v>10000000</v>
      </c>
      <c r="J1241" s="18">
        <v>9485447.9000000004</v>
      </c>
      <c r="K1241" s="15">
        <v>725</v>
      </c>
      <c r="L1241" s="13" t="s">
        <v>102</v>
      </c>
      <c r="M1241" s="13" t="s">
        <v>103</v>
      </c>
      <c r="N1241" s="139" t="s">
        <v>172</v>
      </c>
      <c r="O1241" s="139" t="s">
        <v>172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1772</v>
      </c>
      <c r="V1241" s="13" t="s">
        <v>1772</v>
      </c>
      <c r="W1241" s="59">
        <f t="shared" si="19"/>
        <v>1.8121578430878321E-4</v>
      </c>
    </row>
    <row r="1242" spans="1:29">
      <c r="A1242" s="13" t="s">
        <v>472</v>
      </c>
      <c r="B1242" s="13" t="s">
        <v>471</v>
      </c>
      <c r="C1242" s="139">
        <v>46289</v>
      </c>
      <c r="D1242" s="139" t="s">
        <v>441</v>
      </c>
      <c r="E1242" s="28">
        <v>0.94854483999999994</v>
      </c>
      <c r="F1242" s="13"/>
      <c r="G1242" s="18">
        <v>10000000</v>
      </c>
      <c r="H1242" s="18">
        <v>9485448.4199999999</v>
      </c>
      <c r="I1242" s="18">
        <v>10000000</v>
      </c>
      <c r="J1242" s="18">
        <v>9485448.4199999999</v>
      </c>
      <c r="K1242" s="15">
        <v>740</v>
      </c>
      <c r="L1242" s="13" t="s">
        <v>102</v>
      </c>
      <c r="M1242" s="13" t="s">
        <v>103</v>
      </c>
      <c r="N1242" s="139" t="s">
        <v>509</v>
      </c>
      <c r="O1242" s="139" t="s">
        <v>509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2039</v>
      </c>
      <c r="V1242" s="13" t="s">
        <v>2039</v>
      </c>
      <c r="W1242" s="59">
        <f t="shared" si="19"/>
        <v>1.8121579424318048E-4</v>
      </c>
    </row>
    <row r="1243" spans="1:29">
      <c r="A1243" s="13" t="s">
        <v>472</v>
      </c>
      <c r="B1243" s="13" t="s">
        <v>471</v>
      </c>
      <c r="C1243" s="139">
        <v>46289</v>
      </c>
      <c r="D1243" s="139" t="s">
        <v>441</v>
      </c>
      <c r="E1243" s="28">
        <v>0.94854477000000004</v>
      </c>
      <c r="F1243" s="13"/>
      <c r="G1243" s="18">
        <v>5000000</v>
      </c>
      <c r="H1243" s="18">
        <v>4742723.83</v>
      </c>
      <c r="I1243" s="18">
        <v>5000000</v>
      </c>
      <c r="J1243" s="18">
        <v>4742723.83</v>
      </c>
      <c r="K1243" s="15">
        <v>782</v>
      </c>
      <c r="L1243" s="13" t="s">
        <v>102</v>
      </c>
      <c r="M1243" s="13" t="s">
        <v>103</v>
      </c>
      <c r="N1243" s="139" t="s">
        <v>495</v>
      </c>
      <c r="O1243" s="139" t="s">
        <v>495</v>
      </c>
      <c r="P1243" s="28">
        <v>30</v>
      </c>
      <c r="Q1243" s="13" t="s">
        <v>54</v>
      </c>
      <c r="R1243" s="13" t="s">
        <v>28</v>
      </c>
      <c r="S1243" s="13"/>
      <c r="T1243" s="13"/>
      <c r="U1243" s="13" t="s">
        <v>2180</v>
      </c>
      <c r="V1243" s="13" t="s">
        <v>2180</v>
      </c>
      <c r="W1243" s="59">
        <f t="shared" si="19"/>
        <v>9.0607889861838385E-5</v>
      </c>
    </row>
    <row r="1244" spans="1:29">
      <c r="A1244" s="13" t="s">
        <v>432</v>
      </c>
      <c r="B1244" s="13" t="s">
        <v>471</v>
      </c>
      <c r="C1244" s="139">
        <v>46289</v>
      </c>
      <c r="D1244" s="139" t="s">
        <v>441</v>
      </c>
      <c r="E1244" s="28">
        <v>0.93729161000000005</v>
      </c>
      <c r="F1244" s="13"/>
      <c r="G1244" s="18">
        <v>3076923.1</v>
      </c>
      <c r="H1244" s="18">
        <v>2883974.21</v>
      </c>
      <c r="I1244" s="18">
        <v>3076923.1</v>
      </c>
      <c r="J1244" s="18">
        <v>2883974.21</v>
      </c>
      <c r="K1244" s="15">
        <v>2781</v>
      </c>
      <c r="L1244" s="13" t="s">
        <v>102</v>
      </c>
      <c r="M1244" s="13" t="s">
        <v>103</v>
      </c>
      <c r="N1244" s="139" t="s">
        <v>402</v>
      </c>
      <c r="O1244" s="139" t="s">
        <v>402</v>
      </c>
      <c r="P1244" s="28">
        <v>37</v>
      </c>
      <c r="Q1244" s="13" t="s">
        <v>54</v>
      </c>
      <c r="R1244" s="13" t="s">
        <v>28</v>
      </c>
      <c r="S1244" s="13"/>
      <c r="T1244" s="13"/>
      <c r="U1244" s="13" t="s">
        <v>1889</v>
      </c>
      <c r="V1244" s="13" t="s">
        <v>1889</v>
      </c>
      <c r="W1244" s="59">
        <f t="shared" si="19"/>
        <v>5.509720298937633E-5</v>
      </c>
    </row>
    <row r="1245" spans="1:29">
      <c r="A1245" s="13" t="s">
        <v>473</v>
      </c>
      <c r="B1245" s="13" t="s">
        <v>471</v>
      </c>
      <c r="C1245" s="139">
        <v>46289</v>
      </c>
      <c r="D1245" s="139" t="s">
        <v>441</v>
      </c>
      <c r="E1245" s="28">
        <v>0.93729141000000005</v>
      </c>
      <c r="F1245" s="13"/>
      <c r="G1245" s="18">
        <v>50000000</v>
      </c>
      <c r="H1245" s="18">
        <v>46864570.600000001</v>
      </c>
      <c r="I1245" s="18">
        <v>50000000</v>
      </c>
      <c r="J1245" s="18">
        <v>46864570.600000001</v>
      </c>
      <c r="K1245" s="15">
        <v>67836059</v>
      </c>
      <c r="L1245" s="13" t="s">
        <v>102</v>
      </c>
      <c r="M1245" s="13" t="s">
        <v>103</v>
      </c>
      <c r="N1245" s="139" t="s">
        <v>383</v>
      </c>
      <c r="O1245" s="139" t="s">
        <v>383</v>
      </c>
      <c r="P1245" s="28">
        <v>37</v>
      </c>
      <c r="Q1245" s="13" t="s">
        <v>54</v>
      </c>
      <c r="R1245" s="13" t="s">
        <v>28</v>
      </c>
      <c r="S1245" s="13"/>
      <c r="T1245" s="13"/>
      <c r="U1245" s="13" t="s">
        <v>1671</v>
      </c>
      <c r="V1245" s="13" t="s">
        <v>1671</v>
      </c>
      <c r="W1245" s="59">
        <f t="shared" si="19"/>
        <v>8.9532935156107305E-4</v>
      </c>
    </row>
    <row r="1246" spans="1:29">
      <c r="A1246" s="13" t="s">
        <v>149</v>
      </c>
      <c r="B1246" s="13" t="s">
        <v>471</v>
      </c>
      <c r="C1246" s="139">
        <v>46289</v>
      </c>
      <c r="D1246" s="139" t="s">
        <v>441</v>
      </c>
      <c r="E1246" s="28">
        <v>0.95674968000000005</v>
      </c>
      <c r="F1246" s="13"/>
      <c r="G1246" s="18">
        <v>50000000</v>
      </c>
      <c r="H1246" s="18">
        <v>47837484.200000003</v>
      </c>
      <c r="I1246" s="18">
        <v>50000000</v>
      </c>
      <c r="J1246" s="18">
        <v>47837484.200000003</v>
      </c>
      <c r="K1246" s="15">
        <v>4900</v>
      </c>
      <c r="L1246" s="13" t="s">
        <v>102</v>
      </c>
      <c r="M1246" s="13" t="s">
        <v>103</v>
      </c>
      <c r="N1246" s="139" t="s">
        <v>457</v>
      </c>
      <c r="O1246" s="139" t="s">
        <v>457</v>
      </c>
      <c r="P1246" s="28">
        <v>25</v>
      </c>
      <c r="Q1246" s="13" t="s">
        <v>54</v>
      </c>
      <c r="R1246" s="13" t="s">
        <v>28</v>
      </c>
      <c r="S1246" s="13"/>
      <c r="T1246" s="13"/>
      <c r="U1246" s="13" t="s">
        <v>1739</v>
      </c>
      <c r="V1246" s="13" t="s">
        <v>1739</v>
      </c>
      <c r="W1246" s="59">
        <f t="shared" si="19"/>
        <v>9.1391648660702938E-4</v>
      </c>
    </row>
    <row r="1247" spans="1:29">
      <c r="A1247" s="13" t="s">
        <v>323</v>
      </c>
      <c r="B1247" s="13" t="s">
        <v>471</v>
      </c>
      <c r="C1247" s="139">
        <v>46289</v>
      </c>
      <c r="D1247" s="139" t="s">
        <v>441</v>
      </c>
      <c r="E1247" s="28">
        <v>0.95345075000000001</v>
      </c>
      <c r="F1247" s="13"/>
      <c r="G1247" s="18">
        <v>8000000</v>
      </c>
      <c r="H1247" s="18">
        <v>7627606.0300000003</v>
      </c>
      <c r="I1247" s="18">
        <v>8000000</v>
      </c>
      <c r="J1247" s="18">
        <v>7627606.0300000003</v>
      </c>
      <c r="K1247" s="15">
        <v>67280737</v>
      </c>
      <c r="L1247" s="13" t="s">
        <v>102</v>
      </c>
      <c r="M1247" s="13" t="s">
        <v>103</v>
      </c>
      <c r="N1247" s="139" t="s">
        <v>373</v>
      </c>
      <c r="O1247" s="139" t="s">
        <v>373</v>
      </c>
      <c r="P1247" s="28">
        <v>27</v>
      </c>
      <c r="Q1247" s="13" t="s">
        <v>54</v>
      </c>
      <c r="R1247" s="13" t="s">
        <v>28</v>
      </c>
      <c r="S1247" s="13"/>
      <c r="T1247" s="13"/>
      <c r="U1247" s="13" t="s">
        <v>1393</v>
      </c>
      <c r="V1247" s="13" t="s">
        <v>1393</v>
      </c>
      <c r="W1247" s="59">
        <f t="shared" si="19"/>
        <v>1.4572243964619256E-4</v>
      </c>
      <c r="AC1247" s="56"/>
    </row>
    <row r="1248" spans="1:29">
      <c r="A1248" s="13" t="s">
        <v>323</v>
      </c>
      <c r="B1248" s="13" t="s">
        <v>471</v>
      </c>
      <c r="C1248" s="139">
        <v>46289</v>
      </c>
      <c r="D1248" s="139" t="s">
        <v>441</v>
      </c>
      <c r="E1248" s="28">
        <v>0.95345075999999995</v>
      </c>
      <c r="F1248" s="13"/>
      <c r="G1248" s="18">
        <v>5000000</v>
      </c>
      <c r="H1248" s="18">
        <v>4767253.78</v>
      </c>
      <c r="I1248" s="18">
        <v>5000000</v>
      </c>
      <c r="J1248" s="18">
        <v>4767253.78</v>
      </c>
      <c r="K1248" s="15">
        <v>67193056</v>
      </c>
      <c r="L1248" s="13" t="s">
        <v>102</v>
      </c>
      <c r="M1248" s="13" t="s">
        <v>103</v>
      </c>
      <c r="N1248" s="139" t="s">
        <v>373</v>
      </c>
      <c r="O1248" s="139" t="s">
        <v>373</v>
      </c>
      <c r="P1248" s="28">
        <v>27</v>
      </c>
      <c r="Q1248" s="13" t="s">
        <v>54</v>
      </c>
      <c r="R1248" s="13" t="s">
        <v>28</v>
      </c>
      <c r="S1248" s="13"/>
      <c r="T1248" s="13"/>
      <c r="U1248" s="13" t="s">
        <v>1398</v>
      </c>
      <c r="V1248" s="13" t="s">
        <v>1398</v>
      </c>
      <c r="W1248" s="59">
        <f t="shared" si="19"/>
        <v>9.1076524993797221E-5</v>
      </c>
    </row>
    <row r="1249" spans="1:29">
      <c r="A1249" s="13" t="s">
        <v>141</v>
      </c>
      <c r="B1249" s="13" t="s">
        <v>471</v>
      </c>
      <c r="C1249" s="139">
        <v>46289</v>
      </c>
      <c r="D1249" s="139" t="s">
        <v>441</v>
      </c>
      <c r="E1249" s="28">
        <v>0.94047935999999999</v>
      </c>
      <c r="F1249" s="13"/>
      <c r="G1249" s="18">
        <v>115000000</v>
      </c>
      <c r="H1249" s="18">
        <v>108155126.06999999</v>
      </c>
      <c r="I1249" s="18">
        <v>115000000</v>
      </c>
      <c r="J1249" s="18">
        <v>108155126.06999999</v>
      </c>
      <c r="K1249" s="15">
        <v>8428</v>
      </c>
      <c r="L1249" s="13" t="s">
        <v>102</v>
      </c>
      <c r="M1249" s="13" t="s">
        <v>103</v>
      </c>
      <c r="N1249" s="139" t="s">
        <v>381</v>
      </c>
      <c r="O1249" s="139" t="s">
        <v>381</v>
      </c>
      <c r="P1249" s="28">
        <v>35</v>
      </c>
      <c r="Q1249" s="13" t="s">
        <v>54</v>
      </c>
      <c r="R1249" s="13" t="s">
        <v>28</v>
      </c>
      <c r="S1249" s="13"/>
      <c r="T1249" s="13"/>
      <c r="U1249" s="13" t="s">
        <v>1570</v>
      </c>
      <c r="V1249" s="13" t="s">
        <v>1570</v>
      </c>
      <c r="W1249" s="59">
        <f t="shared" si="19"/>
        <v>2.0662615202167072E-3</v>
      </c>
    </row>
    <row r="1250" spans="1:29">
      <c r="A1250" s="13" t="s">
        <v>2488</v>
      </c>
      <c r="B1250" s="13" t="s">
        <v>471</v>
      </c>
      <c r="C1250" s="139">
        <v>46289</v>
      </c>
      <c r="D1250" s="139" t="s">
        <v>441</v>
      </c>
      <c r="E1250" s="28">
        <v>0.94854495000000005</v>
      </c>
      <c r="F1250" s="13"/>
      <c r="G1250" s="18">
        <v>2870567.11</v>
      </c>
      <c r="H1250" s="18">
        <v>2722861.93</v>
      </c>
      <c r="I1250" s="18">
        <v>2870567.11</v>
      </c>
      <c r="J1250" s="18">
        <v>2722861.93</v>
      </c>
      <c r="K1250" s="15">
        <v>105</v>
      </c>
      <c r="L1250" s="13" t="s">
        <v>102</v>
      </c>
      <c r="M1250" s="13" t="s">
        <v>103</v>
      </c>
      <c r="N1250" s="139" t="s">
        <v>441</v>
      </c>
      <c r="O1250" s="139" t="s">
        <v>441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2463</v>
      </c>
      <c r="V1250" s="13" t="s">
        <v>2463</v>
      </c>
      <c r="W1250" s="59">
        <f t="shared" si="19"/>
        <v>5.2019215688220388E-5</v>
      </c>
    </row>
    <row r="1251" spans="1:29">
      <c r="A1251" s="13" t="s">
        <v>698</v>
      </c>
      <c r="B1251" s="13" t="s">
        <v>471</v>
      </c>
      <c r="C1251" s="139">
        <v>46290</v>
      </c>
      <c r="D1251" s="139" t="s">
        <v>441</v>
      </c>
      <c r="E1251" s="28">
        <v>0.95277891000000003</v>
      </c>
      <c r="F1251" s="13"/>
      <c r="G1251" s="18">
        <v>30000000</v>
      </c>
      <c r="H1251" s="18">
        <v>28583367.41</v>
      </c>
      <c r="I1251" s="18">
        <v>30000000</v>
      </c>
      <c r="J1251" s="18">
        <v>28583367.41</v>
      </c>
      <c r="K1251" s="15">
        <v>90000209</v>
      </c>
      <c r="L1251" s="13" t="s">
        <v>102</v>
      </c>
      <c r="M1251" s="13" t="s">
        <v>103</v>
      </c>
      <c r="N1251" s="139" t="s">
        <v>431</v>
      </c>
      <c r="O1251" s="139" t="s">
        <v>431</v>
      </c>
      <c r="P1251" s="28">
        <v>27</v>
      </c>
      <c r="Q1251" s="13" t="s">
        <v>54</v>
      </c>
      <c r="R1251" s="13" t="s">
        <v>28</v>
      </c>
      <c r="S1251" s="13"/>
      <c r="T1251" s="13"/>
      <c r="U1251" s="13" t="s">
        <v>1910</v>
      </c>
      <c r="V1251" s="13" t="s">
        <v>1910</v>
      </c>
      <c r="W1251" s="59">
        <f t="shared" si="19"/>
        <v>5.460740913867929E-4</v>
      </c>
      <c r="AC1251" s="56"/>
    </row>
    <row r="1252" spans="1:29">
      <c r="A1252" s="13" t="s">
        <v>698</v>
      </c>
      <c r="B1252" s="13" t="s">
        <v>471</v>
      </c>
      <c r="C1252" s="139">
        <v>46290</v>
      </c>
      <c r="D1252" s="139" t="s">
        <v>441</v>
      </c>
      <c r="E1252" s="28">
        <v>0.95277891000000003</v>
      </c>
      <c r="F1252" s="13"/>
      <c r="G1252" s="18">
        <v>22000000</v>
      </c>
      <c r="H1252" s="18">
        <v>20961136.100000001</v>
      </c>
      <c r="I1252" s="18">
        <v>22000000</v>
      </c>
      <c r="J1252" s="18">
        <v>20961136.100000001</v>
      </c>
      <c r="K1252" s="15">
        <v>90000343</v>
      </c>
      <c r="L1252" s="13" t="s">
        <v>102</v>
      </c>
      <c r="M1252" s="13" t="s">
        <v>103</v>
      </c>
      <c r="N1252" s="139" t="s">
        <v>431</v>
      </c>
      <c r="O1252" s="139" t="s">
        <v>431</v>
      </c>
      <c r="P1252" s="28">
        <v>27</v>
      </c>
      <c r="Q1252" s="13" t="s">
        <v>54</v>
      </c>
      <c r="R1252" s="13" t="s">
        <v>28</v>
      </c>
      <c r="S1252" s="13"/>
      <c r="T1252" s="13"/>
      <c r="U1252" s="13" t="s">
        <v>1911</v>
      </c>
      <c r="V1252" s="13" t="s">
        <v>1911</v>
      </c>
      <c r="W1252" s="59">
        <f t="shared" si="19"/>
        <v>4.0045433367091177E-4</v>
      </c>
    </row>
    <row r="1253" spans="1:29">
      <c r="A1253" s="13" t="s">
        <v>698</v>
      </c>
      <c r="B1253" s="13" t="s">
        <v>471</v>
      </c>
      <c r="C1253" s="139">
        <v>46290</v>
      </c>
      <c r="D1253" s="139" t="s">
        <v>441</v>
      </c>
      <c r="E1253" s="28">
        <v>0.95277891000000003</v>
      </c>
      <c r="F1253" s="13"/>
      <c r="G1253" s="18">
        <v>10000000</v>
      </c>
      <c r="H1253" s="18">
        <v>9527789.1400000006</v>
      </c>
      <c r="I1253" s="18">
        <v>10000000</v>
      </c>
      <c r="J1253" s="18">
        <v>9527789.1400000006</v>
      </c>
      <c r="K1253" s="15">
        <v>90000267</v>
      </c>
      <c r="L1253" s="13" t="s">
        <v>102</v>
      </c>
      <c r="M1253" s="13" t="s">
        <v>103</v>
      </c>
      <c r="N1253" s="139" t="s">
        <v>431</v>
      </c>
      <c r="O1253" s="139" t="s">
        <v>431</v>
      </c>
      <c r="P1253" s="28">
        <v>27</v>
      </c>
      <c r="Q1253" s="13" t="s">
        <v>54</v>
      </c>
      <c r="R1253" s="13" t="s">
        <v>28</v>
      </c>
      <c r="S1253" s="13"/>
      <c r="T1253" s="13"/>
      <c r="U1253" s="13" t="s">
        <v>1912</v>
      </c>
      <c r="V1253" s="13" t="s">
        <v>1912</v>
      </c>
      <c r="W1253" s="59">
        <f t="shared" si="19"/>
        <v>1.8202469719261303E-4</v>
      </c>
    </row>
    <row r="1254" spans="1:29">
      <c r="A1254" s="13" t="s">
        <v>698</v>
      </c>
      <c r="B1254" s="13" t="s">
        <v>471</v>
      </c>
      <c r="C1254" s="139">
        <v>46290</v>
      </c>
      <c r="D1254" s="139" t="s">
        <v>441</v>
      </c>
      <c r="E1254" s="28">
        <v>0.95277891000000003</v>
      </c>
      <c r="F1254" s="13"/>
      <c r="G1254" s="18">
        <v>24600000</v>
      </c>
      <c r="H1254" s="18">
        <v>23438361.280000001</v>
      </c>
      <c r="I1254" s="18">
        <v>24600000</v>
      </c>
      <c r="J1254" s="18">
        <v>23438361.280000001</v>
      </c>
      <c r="K1254" s="15">
        <v>90000306</v>
      </c>
      <c r="L1254" s="13" t="s">
        <v>102</v>
      </c>
      <c r="M1254" s="13" t="s">
        <v>103</v>
      </c>
      <c r="N1254" s="139" t="s">
        <v>431</v>
      </c>
      <c r="O1254" s="139" t="s">
        <v>431</v>
      </c>
      <c r="P1254" s="28">
        <v>27</v>
      </c>
      <c r="Q1254" s="13" t="s">
        <v>54</v>
      </c>
      <c r="R1254" s="13" t="s">
        <v>28</v>
      </c>
      <c r="S1254" s="13"/>
      <c r="T1254" s="13"/>
      <c r="U1254" s="13" t="s">
        <v>1913</v>
      </c>
      <c r="V1254" s="13" t="s">
        <v>1913</v>
      </c>
      <c r="W1254" s="59">
        <f t="shared" si="19"/>
        <v>4.4778075500976776E-4</v>
      </c>
    </row>
    <row r="1255" spans="1:29">
      <c r="A1255" s="13" t="s">
        <v>698</v>
      </c>
      <c r="B1255" s="13" t="s">
        <v>471</v>
      </c>
      <c r="C1255" s="139">
        <v>46290</v>
      </c>
      <c r="D1255" s="139" t="s">
        <v>441</v>
      </c>
      <c r="E1255" s="28">
        <v>0.95277891000000003</v>
      </c>
      <c r="F1255" s="13"/>
      <c r="G1255" s="18">
        <v>18000000</v>
      </c>
      <c r="H1255" s="18">
        <v>17150020.449999999</v>
      </c>
      <c r="I1255" s="18">
        <v>18000000</v>
      </c>
      <c r="J1255" s="18">
        <v>17150020.449999999</v>
      </c>
      <c r="K1255" s="15">
        <v>90000338</v>
      </c>
      <c r="L1255" s="13" t="s">
        <v>102</v>
      </c>
      <c r="M1255" s="13" t="s">
        <v>103</v>
      </c>
      <c r="N1255" s="139" t="s">
        <v>431</v>
      </c>
      <c r="O1255" s="139" t="s">
        <v>431</v>
      </c>
      <c r="P1255" s="28">
        <v>27</v>
      </c>
      <c r="Q1255" s="13" t="s">
        <v>54</v>
      </c>
      <c r="R1255" s="13" t="s">
        <v>28</v>
      </c>
      <c r="S1255" s="13"/>
      <c r="T1255" s="13"/>
      <c r="U1255" s="13" t="s">
        <v>1914</v>
      </c>
      <c r="V1255" s="13" t="s">
        <v>1914</v>
      </c>
      <c r="W1255" s="59">
        <f t="shared" si="19"/>
        <v>3.2764445490849416E-4</v>
      </c>
    </row>
    <row r="1256" spans="1:29">
      <c r="A1256" s="13" t="s">
        <v>698</v>
      </c>
      <c r="B1256" s="13" t="s">
        <v>471</v>
      </c>
      <c r="C1256" s="139">
        <v>46290</v>
      </c>
      <c r="D1256" s="139" t="s">
        <v>441</v>
      </c>
      <c r="E1256" s="28">
        <v>0.94615965999999996</v>
      </c>
      <c r="F1256" s="13"/>
      <c r="G1256" s="18">
        <v>3000000</v>
      </c>
      <c r="H1256" s="18">
        <v>2838478.98</v>
      </c>
      <c r="I1256" s="18">
        <v>3000000</v>
      </c>
      <c r="J1256" s="18">
        <v>2838478.98</v>
      </c>
      <c r="K1256" s="15">
        <v>90003469</v>
      </c>
      <c r="L1256" s="13" t="s">
        <v>102</v>
      </c>
      <c r="M1256" s="13" t="s">
        <v>103</v>
      </c>
      <c r="N1256" s="139" t="s">
        <v>327</v>
      </c>
      <c r="O1256" s="139" t="s">
        <v>327</v>
      </c>
      <c r="P1256" s="28">
        <v>31</v>
      </c>
      <c r="Q1256" s="13" t="s">
        <v>54</v>
      </c>
      <c r="R1256" s="13" t="s">
        <v>28</v>
      </c>
      <c r="S1256" s="13"/>
      <c r="T1256" s="13"/>
      <c r="U1256" s="13" t="s">
        <v>784</v>
      </c>
      <c r="V1256" s="13" t="s">
        <v>784</v>
      </c>
      <c r="W1256" s="59">
        <f t="shared" si="19"/>
        <v>5.4228034356152536E-5</v>
      </c>
    </row>
    <row r="1257" spans="1:29">
      <c r="A1257" s="13" t="s">
        <v>472</v>
      </c>
      <c r="B1257" s="13" t="s">
        <v>471</v>
      </c>
      <c r="C1257" s="139">
        <v>46290</v>
      </c>
      <c r="D1257" s="139" t="s">
        <v>441</v>
      </c>
      <c r="E1257" s="28">
        <v>0.94780580000000003</v>
      </c>
      <c r="F1257" s="13"/>
      <c r="G1257" s="18">
        <v>10000000</v>
      </c>
      <c r="H1257" s="18">
        <v>9478057.9900000002</v>
      </c>
      <c r="I1257" s="18">
        <v>10000000</v>
      </c>
      <c r="J1257" s="18">
        <v>9478057.9900000002</v>
      </c>
      <c r="K1257" s="15">
        <v>570</v>
      </c>
      <c r="L1257" s="13" t="s">
        <v>102</v>
      </c>
      <c r="M1257" s="13" t="s">
        <v>103</v>
      </c>
      <c r="N1257" s="139" t="s">
        <v>368</v>
      </c>
      <c r="O1257" s="139" t="s">
        <v>368</v>
      </c>
      <c r="P1257" s="28">
        <v>30</v>
      </c>
      <c r="Q1257" s="13" t="s">
        <v>54</v>
      </c>
      <c r="R1257" s="13" t="s">
        <v>28</v>
      </c>
      <c r="S1257" s="13"/>
      <c r="T1257" s="13"/>
      <c r="U1257" s="13" t="s">
        <v>1284</v>
      </c>
      <c r="V1257" s="13" t="s">
        <v>1284</v>
      </c>
      <c r="W1257" s="59">
        <f t="shared" si="19"/>
        <v>1.810746029591264E-4</v>
      </c>
    </row>
    <row r="1258" spans="1:29">
      <c r="A1258" s="13" t="s">
        <v>472</v>
      </c>
      <c r="B1258" s="13" t="s">
        <v>471</v>
      </c>
      <c r="C1258" s="139">
        <v>46290</v>
      </c>
      <c r="D1258" s="139" t="s">
        <v>441</v>
      </c>
      <c r="E1258" s="28">
        <v>0.94780584999999995</v>
      </c>
      <c r="F1258" s="13"/>
      <c r="G1258" s="18">
        <v>6500000</v>
      </c>
      <c r="H1258" s="18">
        <v>6160738</v>
      </c>
      <c r="I1258" s="18">
        <v>6500000</v>
      </c>
      <c r="J1258" s="18">
        <v>6160738</v>
      </c>
      <c r="K1258" s="15">
        <v>741</v>
      </c>
      <c r="L1258" s="13" t="s">
        <v>102</v>
      </c>
      <c r="M1258" s="13" t="s">
        <v>103</v>
      </c>
      <c r="N1258" s="139" t="s">
        <v>509</v>
      </c>
      <c r="O1258" s="139" t="s">
        <v>509</v>
      </c>
      <c r="P1258" s="28">
        <v>30</v>
      </c>
      <c r="Q1258" s="13" t="s">
        <v>54</v>
      </c>
      <c r="R1258" s="13" t="s">
        <v>28</v>
      </c>
      <c r="S1258" s="13"/>
      <c r="T1258" s="13"/>
      <c r="U1258" s="13" t="s">
        <v>2044</v>
      </c>
      <c r="V1258" s="13" t="s">
        <v>2044</v>
      </c>
      <c r="W1258" s="59">
        <f t="shared" si="19"/>
        <v>1.1769849777899517E-4</v>
      </c>
    </row>
    <row r="1259" spans="1:29">
      <c r="A1259" s="13" t="s">
        <v>472</v>
      </c>
      <c r="B1259" s="13" t="s">
        <v>471</v>
      </c>
      <c r="C1259" s="139">
        <v>46290</v>
      </c>
      <c r="D1259" s="139" t="s">
        <v>441</v>
      </c>
      <c r="E1259" s="28">
        <v>0.94780576000000005</v>
      </c>
      <c r="F1259" s="13"/>
      <c r="G1259" s="18">
        <v>5000000</v>
      </c>
      <c r="H1259" s="18">
        <v>4739028.82</v>
      </c>
      <c r="I1259" s="18">
        <v>5000000</v>
      </c>
      <c r="J1259" s="18">
        <v>4739028.82</v>
      </c>
      <c r="K1259" s="15">
        <v>783</v>
      </c>
      <c r="L1259" s="13" t="s">
        <v>102</v>
      </c>
      <c r="M1259" s="13" t="s">
        <v>103</v>
      </c>
      <c r="N1259" s="139" t="s">
        <v>495</v>
      </c>
      <c r="O1259" s="139" t="s">
        <v>495</v>
      </c>
      <c r="P1259" s="28">
        <v>30</v>
      </c>
      <c r="Q1259" s="13" t="s">
        <v>54</v>
      </c>
      <c r="R1259" s="13" t="s">
        <v>28</v>
      </c>
      <c r="S1259" s="13"/>
      <c r="T1259" s="13"/>
      <c r="U1259" s="13" t="s">
        <v>2181</v>
      </c>
      <c r="V1259" s="13" t="s">
        <v>2181</v>
      </c>
      <c r="W1259" s="59">
        <f t="shared" si="19"/>
        <v>9.0537298136256423E-5</v>
      </c>
      <c r="AC1259" s="56"/>
    </row>
    <row r="1260" spans="1:29">
      <c r="A1260" s="13" t="s">
        <v>432</v>
      </c>
      <c r="B1260" s="13" t="s">
        <v>471</v>
      </c>
      <c r="C1260" s="139">
        <v>46290</v>
      </c>
      <c r="D1260" s="139" t="s">
        <v>441</v>
      </c>
      <c r="E1260" s="28">
        <v>0.93640184000000004</v>
      </c>
      <c r="F1260" s="13"/>
      <c r="G1260" s="18">
        <v>3076923.1</v>
      </c>
      <c r="H1260" s="18">
        <v>2881236.44</v>
      </c>
      <c r="I1260" s="18">
        <v>3076923.1</v>
      </c>
      <c r="J1260" s="18">
        <v>2881236.44</v>
      </c>
      <c r="K1260" s="15">
        <v>2782</v>
      </c>
      <c r="L1260" s="13" t="s">
        <v>102</v>
      </c>
      <c r="M1260" s="13" t="s">
        <v>103</v>
      </c>
      <c r="N1260" s="139" t="s">
        <v>402</v>
      </c>
      <c r="O1260" s="139" t="s">
        <v>402</v>
      </c>
      <c r="P1260" s="28">
        <v>37</v>
      </c>
      <c r="Q1260" s="13" t="s">
        <v>54</v>
      </c>
      <c r="R1260" s="13" t="s">
        <v>28</v>
      </c>
      <c r="S1260" s="13"/>
      <c r="T1260" s="13"/>
      <c r="U1260" s="13" t="s">
        <v>1888</v>
      </c>
      <c r="V1260" s="13" t="s">
        <v>1888</v>
      </c>
      <c r="W1260" s="59">
        <f t="shared" si="19"/>
        <v>5.504489896082254E-5</v>
      </c>
    </row>
    <row r="1261" spans="1:29">
      <c r="A1261" s="13" t="s">
        <v>2189</v>
      </c>
      <c r="B1261" s="13" t="s">
        <v>471</v>
      </c>
      <c r="C1261" s="139">
        <v>46290</v>
      </c>
      <c r="D1261" s="139" t="s">
        <v>441</v>
      </c>
      <c r="E1261" s="28">
        <v>0.9445192</v>
      </c>
      <c r="F1261" s="13"/>
      <c r="G1261" s="18">
        <v>475000000</v>
      </c>
      <c r="H1261" s="18">
        <v>448646620.43000001</v>
      </c>
      <c r="I1261" s="18">
        <v>475000000</v>
      </c>
      <c r="J1261" s="18">
        <v>448646620.43000001</v>
      </c>
      <c r="K1261" s="15">
        <v>929</v>
      </c>
      <c r="L1261" s="13" t="s">
        <v>102</v>
      </c>
      <c r="M1261" s="13" t="s">
        <v>103</v>
      </c>
      <c r="N1261" s="139" t="s">
        <v>495</v>
      </c>
      <c r="O1261" s="139" t="s">
        <v>495</v>
      </c>
      <c r="P1261" s="28">
        <v>32</v>
      </c>
      <c r="Q1261" s="13" t="s">
        <v>54</v>
      </c>
      <c r="R1261" s="13" t="s">
        <v>28</v>
      </c>
      <c r="S1261" s="13"/>
      <c r="T1261" s="13"/>
      <c r="U1261" s="13" t="s">
        <v>2166</v>
      </c>
      <c r="V1261" s="13" t="s">
        <v>2166</v>
      </c>
      <c r="W1261" s="59">
        <f t="shared" si="19"/>
        <v>8.5712187822683007E-3</v>
      </c>
    </row>
    <row r="1262" spans="1:29">
      <c r="A1262" s="13" t="s">
        <v>254</v>
      </c>
      <c r="B1262" s="13" t="s">
        <v>471</v>
      </c>
      <c r="C1262" s="139">
        <v>46290</v>
      </c>
      <c r="D1262" s="139" t="s">
        <v>441</v>
      </c>
      <c r="E1262" s="28">
        <v>0.94451936999999997</v>
      </c>
      <c r="F1262" s="13"/>
      <c r="G1262" s="18">
        <v>50000000</v>
      </c>
      <c r="H1262" s="18">
        <v>47225968.32</v>
      </c>
      <c r="I1262" s="18">
        <v>50000000</v>
      </c>
      <c r="J1262" s="18">
        <v>47225968.32</v>
      </c>
      <c r="K1262" s="15">
        <v>4898</v>
      </c>
      <c r="L1262" s="13" t="s">
        <v>102</v>
      </c>
      <c r="M1262" s="13" t="s">
        <v>103</v>
      </c>
      <c r="N1262" s="139" t="s">
        <v>457</v>
      </c>
      <c r="O1262" s="139" t="s">
        <v>457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1738</v>
      </c>
      <c r="V1262" s="13" t="s">
        <v>1738</v>
      </c>
      <c r="W1262" s="59">
        <f t="shared" si="19"/>
        <v>9.0223371411386364E-4</v>
      </c>
    </row>
    <row r="1263" spans="1:29">
      <c r="A1263" s="13" t="s">
        <v>323</v>
      </c>
      <c r="B1263" s="13" t="s">
        <v>471</v>
      </c>
      <c r="C1263" s="139">
        <v>46290</v>
      </c>
      <c r="D1263" s="139" t="s">
        <v>441</v>
      </c>
      <c r="E1263" s="28">
        <v>0.95277886000000001</v>
      </c>
      <c r="F1263" s="13"/>
      <c r="G1263" s="18">
        <v>35000000</v>
      </c>
      <c r="H1263" s="18">
        <v>33347260.170000002</v>
      </c>
      <c r="I1263" s="18">
        <v>35000000</v>
      </c>
      <c r="J1263" s="18">
        <v>33347260.170000002</v>
      </c>
      <c r="K1263" s="15">
        <v>54027796</v>
      </c>
      <c r="L1263" s="13" t="s">
        <v>102</v>
      </c>
      <c r="M1263" s="13" t="s">
        <v>103</v>
      </c>
      <c r="N1263" s="139" t="s">
        <v>457</v>
      </c>
      <c r="O1263" s="139" t="s">
        <v>457</v>
      </c>
      <c r="P1263" s="28">
        <v>27</v>
      </c>
      <c r="Q1263" s="13" t="s">
        <v>54</v>
      </c>
      <c r="R1263" s="13" t="s">
        <v>28</v>
      </c>
      <c r="S1263" s="13"/>
      <c r="T1263" s="13"/>
      <c r="U1263" s="13" t="s">
        <v>1717</v>
      </c>
      <c r="V1263" s="13" t="s">
        <v>1717</v>
      </c>
      <c r="W1263" s="59">
        <f t="shared" si="19"/>
        <v>6.3708640540375509E-4</v>
      </c>
    </row>
    <row r="1264" spans="1:29">
      <c r="A1264" s="13" t="s">
        <v>323</v>
      </c>
      <c r="B1264" s="13" t="s">
        <v>471</v>
      </c>
      <c r="C1264" s="139">
        <v>46290</v>
      </c>
      <c r="D1264" s="139" t="s">
        <v>441</v>
      </c>
      <c r="E1264" s="28">
        <v>0.95277873000000002</v>
      </c>
      <c r="F1264" s="13"/>
      <c r="G1264" s="18">
        <v>5000000</v>
      </c>
      <c r="H1264" s="18">
        <v>4763893.63</v>
      </c>
      <c r="I1264" s="18">
        <v>5000000</v>
      </c>
      <c r="J1264" s="18">
        <v>4763893.63</v>
      </c>
      <c r="K1264" s="15">
        <v>67193057</v>
      </c>
      <c r="L1264" s="13" t="s">
        <v>102</v>
      </c>
      <c r="M1264" s="13" t="s">
        <v>103</v>
      </c>
      <c r="N1264" s="139" t="s">
        <v>373</v>
      </c>
      <c r="O1264" s="139" t="s">
        <v>373</v>
      </c>
      <c r="P1264" s="28">
        <v>27</v>
      </c>
      <c r="Q1264" s="13" t="s">
        <v>54</v>
      </c>
      <c r="R1264" s="13" t="s">
        <v>28</v>
      </c>
      <c r="S1264" s="13"/>
      <c r="T1264" s="13"/>
      <c r="U1264" s="13" t="s">
        <v>1401</v>
      </c>
      <c r="V1264" s="13" t="s">
        <v>1401</v>
      </c>
      <c r="W1264" s="59">
        <f t="shared" si="19"/>
        <v>9.1012330637972949E-5</v>
      </c>
    </row>
    <row r="1265" spans="1:23">
      <c r="A1265" s="13" t="s">
        <v>360</v>
      </c>
      <c r="B1265" s="13" t="s">
        <v>471</v>
      </c>
      <c r="C1265" s="139">
        <v>46290</v>
      </c>
      <c r="D1265" s="139" t="s">
        <v>441</v>
      </c>
      <c r="E1265" s="28">
        <v>0.95612317000000002</v>
      </c>
      <c r="F1265" s="13"/>
      <c r="G1265" s="18">
        <v>7250000</v>
      </c>
      <c r="H1265" s="18">
        <v>6931892.9500000002</v>
      </c>
      <c r="I1265" s="18">
        <v>7250000</v>
      </c>
      <c r="J1265" s="18">
        <v>6931892.9500000002</v>
      </c>
      <c r="K1265" s="15">
        <v>33955</v>
      </c>
      <c r="L1265" s="13" t="s">
        <v>102</v>
      </c>
      <c r="M1265" s="13" t="s">
        <v>103</v>
      </c>
      <c r="N1265" s="139" t="s">
        <v>389</v>
      </c>
      <c r="O1265" s="139" t="s">
        <v>389</v>
      </c>
      <c r="P1265" s="28">
        <v>25</v>
      </c>
      <c r="Q1265" s="13" t="s">
        <v>54</v>
      </c>
      <c r="R1265" s="13" t="s">
        <v>28</v>
      </c>
      <c r="S1265" s="13"/>
      <c r="T1265" s="13"/>
      <c r="U1265" s="13" t="s">
        <v>1619</v>
      </c>
      <c r="V1265" s="13" t="s">
        <v>1619</v>
      </c>
      <c r="W1265" s="59">
        <f t="shared" si="19"/>
        <v>1.3243111247058506E-4</v>
      </c>
    </row>
    <row r="1266" spans="1:23">
      <c r="A1266" s="13" t="s">
        <v>340</v>
      </c>
      <c r="B1266" s="13" t="s">
        <v>471</v>
      </c>
      <c r="C1266" s="139">
        <v>46290</v>
      </c>
      <c r="D1266" s="139" t="s">
        <v>441</v>
      </c>
      <c r="E1266" s="28">
        <v>0.93963202999999995</v>
      </c>
      <c r="F1266" s="13"/>
      <c r="G1266" s="18">
        <v>6000000</v>
      </c>
      <c r="H1266" s="18">
        <v>5637792.1799999997</v>
      </c>
      <c r="I1266" s="18">
        <v>6000000</v>
      </c>
      <c r="J1266" s="18">
        <v>5637792.1799999997</v>
      </c>
      <c r="K1266" s="15">
        <v>40761880</v>
      </c>
      <c r="L1266" s="13" t="s">
        <v>102</v>
      </c>
      <c r="M1266" s="13" t="s">
        <v>103</v>
      </c>
      <c r="N1266" s="139" t="s">
        <v>392</v>
      </c>
      <c r="O1266" s="139" t="s">
        <v>392</v>
      </c>
      <c r="P1266" s="28">
        <v>35</v>
      </c>
      <c r="Q1266" s="13" t="s">
        <v>54</v>
      </c>
      <c r="R1266" s="13" t="s">
        <v>28</v>
      </c>
      <c r="S1266" s="13"/>
      <c r="T1266" s="13"/>
      <c r="U1266" s="13" t="s">
        <v>2312</v>
      </c>
      <c r="V1266" s="13" t="s">
        <v>2312</v>
      </c>
      <c r="W1266" s="59">
        <f t="shared" si="19"/>
        <v>1.0770782175384934E-4</v>
      </c>
    </row>
    <row r="1267" spans="1:23">
      <c r="A1267" s="13" t="s">
        <v>1075</v>
      </c>
      <c r="B1267" s="13" t="s">
        <v>471</v>
      </c>
      <c r="C1267" s="139">
        <v>46293</v>
      </c>
      <c r="D1267" s="139" t="s">
        <v>441</v>
      </c>
      <c r="E1267" s="28">
        <v>0.93374288000000005</v>
      </c>
      <c r="F1267" s="13"/>
      <c r="G1267" s="18">
        <v>3345657.98</v>
      </c>
      <c r="H1267" s="18">
        <v>3123984.31</v>
      </c>
      <c r="I1267" s="18">
        <v>3345657.98</v>
      </c>
      <c r="J1267" s="18">
        <v>3123984.31</v>
      </c>
      <c r="K1267" s="15">
        <v>258</v>
      </c>
      <c r="L1267" s="13" t="s">
        <v>102</v>
      </c>
      <c r="M1267" s="13" t="s">
        <v>103</v>
      </c>
      <c r="N1267" s="139" t="s">
        <v>402</v>
      </c>
      <c r="O1267" s="139" t="s">
        <v>402</v>
      </c>
      <c r="P1267" s="28">
        <v>37</v>
      </c>
      <c r="Q1267" s="13" t="s">
        <v>54</v>
      </c>
      <c r="R1267" s="13" t="s">
        <v>28</v>
      </c>
      <c r="S1267" s="13"/>
      <c r="T1267" s="13"/>
      <c r="U1267" s="13" t="s">
        <v>1895</v>
      </c>
      <c r="V1267" s="13" t="s">
        <v>1895</v>
      </c>
      <c r="W1267" s="59">
        <f t="shared" si="19"/>
        <v>5.9682502383992102E-5</v>
      </c>
    </row>
    <row r="1268" spans="1:23">
      <c r="A1268" s="13" t="s">
        <v>403</v>
      </c>
      <c r="B1268" s="13" t="s">
        <v>471</v>
      </c>
      <c r="C1268" s="139">
        <v>46293</v>
      </c>
      <c r="D1268" s="139" t="s">
        <v>441</v>
      </c>
      <c r="E1268" s="28">
        <v>0.94217870000000004</v>
      </c>
      <c r="F1268" s="13"/>
      <c r="G1268" s="18">
        <v>40000000</v>
      </c>
      <c r="H1268" s="18">
        <v>37687148.060000002</v>
      </c>
      <c r="I1268" s="18">
        <v>40000000</v>
      </c>
      <c r="J1268" s="18">
        <v>37687148.060000002</v>
      </c>
      <c r="K1268" s="15">
        <v>13662790</v>
      </c>
      <c r="L1268" s="13" t="s">
        <v>102</v>
      </c>
      <c r="M1268" s="13" t="s">
        <v>103</v>
      </c>
      <c r="N1268" s="139" t="s">
        <v>381</v>
      </c>
      <c r="O1268" s="139" t="s">
        <v>381</v>
      </c>
      <c r="P1268" s="28">
        <v>32</v>
      </c>
      <c r="Q1268" s="13" t="s">
        <v>54</v>
      </c>
      <c r="R1268" s="13" t="s">
        <v>28</v>
      </c>
      <c r="S1268" s="13"/>
      <c r="T1268" s="13"/>
      <c r="U1268" s="13" t="s">
        <v>1557</v>
      </c>
      <c r="V1268" s="13" t="s">
        <v>1557</v>
      </c>
      <c r="W1268" s="59">
        <f t="shared" si="19"/>
        <v>7.1999827167403842E-4</v>
      </c>
    </row>
    <row r="1269" spans="1:23">
      <c r="A1269" s="13" t="s">
        <v>737</v>
      </c>
      <c r="B1269" s="13" t="s">
        <v>471</v>
      </c>
      <c r="C1269" s="139">
        <v>46293</v>
      </c>
      <c r="D1269" s="139" t="s">
        <v>441</v>
      </c>
      <c r="E1269" s="28">
        <v>0.95076855000000005</v>
      </c>
      <c r="F1269" s="13"/>
      <c r="G1269" s="18">
        <v>100000000</v>
      </c>
      <c r="H1269" s="18">
        <v>95076854.719999999</v>
      </c>
      <c r="I1269" s="18">
        <v>100000000</v>
      </c>
      <c r="J1269" s="18">
        <v>95076854.719999999</v>
      </c>
      <c r="K1269" s="15">
        <v>14032579</v>
      </c>
      <c r="L1269" s="13" t="s">
        <v>102</v>
      </c>
      <c r="M1269" s="13" t="s">
        <v>103</v>
      </c>
      <c r="N1269" s="139" t="s">
        <v>367</v>
      </c>
      <c r="O1269" s="139" t="s">
        <v>367</v>
      </c>
      <c r="P1269" s="28">
        <v>27</v>
      </c>
      <c r="Q1269" s="13" t="s">
        <v>54</v>
      </c>
      <c r="R1269" s="13" t="s">
        <v>28</v>
      </c>
      <c r="S1269" s="13"/>
      <c r="T1269" s="13"/>
      <c r="U1269" s="13" t="s">
        <v>1850</v>
      </c>
      <c r="V1269" s="13" t="s">
        <v>1850</v>
      </c>
      <c r="W1269" s="59">
        <f t="shared" si="19"/>
        <v>1.8164062445271598E-3</v>
      </c>
    </row>
    <row r="1270" spans="1:23">
      <c r="A1270" s="13" t="s">
        <v>737</v>
      </c>
      <c r="B1270" s="13" t="s">
        <v>471</v>
      </c>
      <c r="C1270" s="139">
        <v>46293</v>
      </c>
      <c r="D1270" s="139" t="s">
        <v>441</v>
      </c>
      <c r="E1270" s="28">
        <v>0.95424852999999998</v>
      </c>
      <c r="F1270" s="13"/>
      <c r="G1270" s="18">
        <v>25000000</v>
      </c>
      <c r="H1270" s="18">
        <v>23856213.170000002</v>
      </c>
      <c r="I1270" s="18">
        <v>25000000</v>
      </c>
      <c r="J1270" s="18">
        <v>23856213.170000002</v>
      </c>
      <c r="K1270" s="15">
        <v>928</v>
      </c>
      <c r="L1270" s="13" t="s">
        <v>102</v>
      </c>
      <c r="M1270" s="13" t="s">
        <v>103</v>
      </c>
      <c r="N1270" s="139" t="s">
        <v>402</v>
      </c>
      <c r="O1270" s="139" t="s">
        <v>402</v>
      </c>
      <c r="P1270" s="28">
        <v>25</v>
      </c>
      <c r="Q1270" s="13" t="s">
        <v>54</v>
      </c>
      <c r="R1270" s="13" t="s">
        <v>28</v>
      </c>
      <c r="S1270" s="13"/>
      <c r="T1270" s="13"/>
      <c r="U1270" s="13" t="s">
        <v>1867</v>
      </c>
      <c r="V1270" s="13" t="s">
        <v>1867</v>
      </c>
      <c r="W1270" s="59">
        <f t="shared" si="19"/>
        <v>4.5576365247223312E-4</v>
      </c>
    </row>
    <row r="1271" spans="1:23">
      <c r="A1271" s="13" t="s">
        <v>472</v>
      </c>
      <c r="B1271" s="13" t="s">
        <v>471</v>
      </c>
      <c r="C1271" s="139">
        <v>46293</v>
      </c>
      <c r="D1271" s="139" t="s">
        <v>441</v>
      </c>
      <c r="E1271" s="28">
        <v>0.94559599000000005</v>
      </c>
      <c r="F1271" s="13"/>
      <c r="G1271" s="18">
        <v>10000000</v>
      </c>
      <c r="H1271" s="18">
        <v>9455959.8499999996</v>
      </c>
      <c r="I1271" s="18">
        <v>10000000</v>
      </c>
      <c r="J1271" s="18">
        <v>9455959.8499999996</v>
      </c>
      <c r="K1271" s="15">
        <v>732</v>
      </c>
      <c r="L1271" s="13" t="s">
        <v>102</v>
      </c>
      <c r="M1271" s="13" t="s">
        <v>103</v>
      </c>
      <c r="N1271" s="139" t="s">
        <v>367</v>
      </c>
      <c r="O1271" s="139" t="s">
        <v>367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1853</v>
      </c>
      <c r="V1271" s="13" t="s">
        <v>1853</v>
      </c>
      <c r="W1271" s="59">
        <f t="shared" si="19"/>
        <v>1.8065242660919722E-4</v>
      </c>
    </row>
    <row r="1272" spans="1:23">
      <c r="A1272" s="13" t="s">
        <v>432</v>
      </c>
      <c r="B1272" s="13" t="s">
        <v>471</v>
      </c>
      <c r="C1272" s="139">
        <v>46293</v>
      </c>
      <c r="D1272" s="139" t="s">
        <v>441</v>
      </c>
      <c r="E1272" s="28">
        <v>0.93374287</v>
      </c>
      <c r="F1272" s="13"/>
      <c r="G1272" s="18">
        <v>3076923.1</v>
      </c>
      <c r="H1272" s="18">
        <v>2873055.01</v>
      </c>
      <c r="I1272" s="18">
        <v>3076923.1</v>
      </c>
      <c r="J1272" s="18">
        <v>2873055.01</v>
      </c>
      <c r="K1272" s="15">
        <v>2783</v>
      </c>
      <c r="L1272" s="13" t="s">
        <v>102</v>
      </c>
      <c r="M1272" s="13" t="s">
        <v>103</v>
      </c>
      <c r="N1272" s="139" t="s">
        <v>402</v>
      </c>
      <c r="O1272" s="139" t="s">
        <v>402</v>
      </c>
      <c r="P1272" s="28">
        <v>37</v>
      </c>
      <c r="Q1272" s="13" t="s">
        <v>54</v>
      </c>
      <c r="R1272" s="13" t="s">
        <v>28</v>
      </c>
      <c r="S1272" s="13"/>
      <c r="T1272" s="13"/>
      <c r="U1272" s="13" t="s">
        <v>1891</v>
      </c>
      <c r="V1272" s="13" t="s">
        <v>1891</v>
      </c>
      <c r="W1272" s="59">
        <f t="shared" si="19"/>
        <v>5.4888595930133034E-5</v>
      </c>
    </row>
    <row r="1273" spans="1:23">
      <c r="A1273" s="13" t="s">
        <v>472</v>
      </c>
      <c r="B1273" s="13" t="s">
        <v>471</v>
      </c>
      <c r="C1273" s="139">
        <v>46293</v>
      </c>
      <c r="D1273" s="139" t="s">
        <v>441</v>
      </c>
      <c r="E1273" s="28">
        <v>0.94559594000000002</v>
      </c>
      <c r="F1273" s="13"/>
      <c r="G1273" s="18">
        <v>10000000</v>
      </c>
      <c r="H1273" s="18">
        <v>9455959.3699999992</v>
      </c>
      <c r="I1273" s="18">
        <v>10000000</v>
      </c>
      <c r="J1273" s="18">
        <v>9455959.3699999992</v>
      </c>
      <c r="K1273" s="15">
        <v>674</v>
      </c>
      <c r="L1273" s="13" t="s">
        <v>102</v>
      </c>
      <c r="M1273" s="13" t="s">
        <v>103</v>
      </c>
      <c r="N1273" s="139" t="s">
        <v>354</v>
      </c>
      <c r="O1273" s="139" t="s">
        <v>354</v>
      </c>
      <c r="P1273" s="28">
        <v>30</v>
      </c>
      <c r="Q1273" s="13" t="s">
        <v>54</v>
      </c>
      <c r="R1273" s="13" t="s">
        <v>28</v>
      </c>
      <c r="S1273" s="13"/>
      <c r="T1273" s="13"/>
      <c r="U1273" s="13" t="s">
        <v>1692</v>
      </c>
      <c r="V1273" s="13" t="s">
        <v>1692</v>
      </c>
      <c r="W1273" s="59">
        <f t="shared" si="19"/>
        <v>1.8065241743898432E-4</v>
      </c>
    </row>
    <row r="1274" spans="1:23">
      <c r="A1274" s="13" t="s">
        <v>323</v>
      </c>
      <c r="B1274" s="13" t="s">
        <v>471</v>
      </c>
      <c r="C1274" s="139">
        <v>46293</v>
      </c>
      <c r="D1274" s="139" t="s">
        <v>441</v>
      </c>
      <c r="E1274" s="28">
        <v>0.95076846000000004</v>
      </c>
      <c r="F1274" s="13"/>
      <c r="G1274" s="18">
        <v>5000000</v>
      </c>
      <c r="H1274" s="18">
        <v>4753842.3099999996</v>
      </c>
      <c r="I1274" s="18">
        <v>5000000</v>
      </c>
      <c r="J1274" s="18">
        <v>4753842.3099999996</v>
      </c>
      <c r="K1274" s="15">
        <v>67193059</v>
      </c>
      <c r="L1274" s="13" t="s">
        <v>102</v>
      </c>
      <c r="M1274" s="13" t="s">
        <v>103</v>
      </c>
      <c r="N1274" s="139" t="s">
        <v>373</v>
      </c>
      <c r="O1274" s="139" t="s">
        <v>373</v>
      </c>
      <c r="P1274" s="28">
        <v>27</v>
      </c>
      <c r="Q1274" s="13" t="s">
        <v>54</v>
      </c>
      <c r="R1274" s="13" t="s">
        <v>28</v>
      </c>
      <c r="S1274" s="13"/>
      <c r="T1274" s="13"/>
      <c r="U1274" s="13" t="s">
        <v>1403</v>
      </c>
      <c r="V1274" s="13" t="s">
        <v>1403</v>
      </c>
      <c r="W1274" s="59">
        <f t="shared" si="19"/>
        <v>9.0820304087794063E-5</v>
      </c>
    </row>
    <row r="1275" spans="1:23">
      <c r="A1275" s="13" t="s">
        <v>1597</v>
      </c>
      <c r="B1275" s="13" t="s">
        <v>471</v>
      </c>
      <c r="C1275" s="139">
        <v>46293</v>
      </c>
      <c r="D1275" s="139" t="s">
        <v>441</v>
      </c>
      <c r="E1275" s="28">
        <v>0.94047935999999999</v>
      </c>
      <c r="F1275" s="13"/>
      <c r="G1275" s="18">
        <v>19470986.34</v>
      </c>
      <c r="H1275" s="18">
        <v>18312060.73</v>
      </c>
      <c r="I1275" s="18">
        <v>19470986.34</v>
      </c>
      <c r="J1275" s="18">
        <v>18312060.73</v>
      </c>
      <c r="K1275" s="15">
        <v>1067</v>
      </c>
      <c r="L1275" s="13" t="s">
        <v>102</v>
      </c>
      <c r="M1275" s="13" t="s">
        <v>103</v>
      </c>
      <c r="N1275" s="139" t="s">
        <v>389</v>
      </c>
      <c r="O1275" s="139" t="s">
        <v>389</v>
      </c>
      <c r="P1275" s="28">
        <v>33</v>
      </c>
      <c r="Q1275" s="13" t="s">
        <v>54</v>
      </c>
      <c r="R1275" s="13" t="s">
        <v>28</v>
      </c>
      <c r="S1275" s="13"/>
      <c r="T1275" s="13"/>
      <c r="U1275" s="13" t="s">
        <v>1600</v>
      </c>
      <c r="V1275" s="13" t="s">
        <v>1600</v>
      </c>
      <c r="W1275" s="59">
        <f t="shared" si="19"/>
        <v>3.4984478144643217E-4</v>
      </c>
    </row>
    <row r="1276" spans="1:23">
      <c r="A1276" s="13" t="s">
        <v>2488</v>
      </c>
      <c r="B1276" s="13" t="s">
        <v>471</v>
      </c>
      <c r="C1276" s="139">
        <v>46293</v>
      </c>
      <c r="D1276" s="139" t="s">
        <v>441</v>
      </c>
      <c r="E1276" s="28">
        <v>0.94559607000000001</v>
      </c>
      <c r="F1276" s="13"/>
      <c r="G1276" s="18">
        <v>2870567.11</v>
      </c>
      <c r="H1276" s="18">
        <v>2714396.99</v>
      </c>
      <c r="I1276" s="18">
        <v>2870567.11</v>
      </c>
      <c r="J1276" s="18">
        <v>2714396.99</v>
      </c>
      <c r="K1276" s="15">
        <v>106</v>
      </c>
      <c r="L1276" s="13" t="s">
        <v>102</v>
      </c>
      <c r="M1276" s="13" t="s">
        <v>103</v>
      </c>
      <c r="N1276" s="139" t="s">
        <v>441</v>
      </c>
      <c r="O1276" s="139" t="s">
        <v>441</v>
      </c>
      <c r="P1276" s="28">
        <v>30</v>
      </c>
      <c r="Q1276" s="13" t="s">
        <v>54</v>
      </c>
      <c r="R1276" s="13" t="s">
        <v>28</v>
      </c>
      <c r="S1276" s="13"/>
      <c r="T1276" s="13"/>
      <c r="U1276" s="13" t="s">
        <v>2464</v>
      </c>
      <c r="V1276" s="13" t="s">
        <v>2464</v>
      </c>
      <c r="W1276" s="59">
        <f t="shared" si="19"/>
        <v>5.1857496309504835E-5</v>
      </c>
    </row>
    <row r="1277" spans="1:23">
      <c r="A1277" s="13" t="s">
        <v>580</v>
      </c>
      <c r="B1277" s="13" t="s">
        <v>471</v>
      </c>
      <c r="C1277" s="139">
        <v>46294</v>
      </c>
      <c r="D1277" s="139" t="s">
        <v>441</v>
      </c>
      <c r="E1277" s="28">
        <v>0.94834772000000001</v>
      </c>
      <c r="F1277" s="13"/>
      <c r="G1277" s="18">
        <v>12500000</v>
      </c>
      <c r="H1277" s="18">
        <v>11854346.460000001</v>
      </c>
      <c r="I1277" s="18">
        <v>12500000</v>
      </c>
      <c r="J1277" s="18">
        <v>11854346.460000001</v>
      </c>
      <c r="K1277" s="15">
        <v>90027594</v>
      </c>
      <c r="L1277" s="13" t="s">
        <v>102</v>
      </c>
      <c r="M1277" s="13" t="s">
        <v>103</v>
      </c>
      <c r="N1277" s="139" t="s">
        <v>431</v>
      </c>
      <c r="O1277" s="139" t="s">
        <v>431</v>
      </c>
      <c r="P1277" s="28">
        <v>28</v>
      </c>
      <c r="Q1277" s="13" t="s">
        <v>54</v>
      </c>
      <c r="R1277" s="13" t="s">
        <v>28</v>
      </c>
      <c r="S1277" s="13"/>
      <c r="T1277" s="13"/>
      <c r="U1277" s="13" t="s">
        <v>1906</v>
      </c>
      <c r="V1277" s="13" t="s">
        <v>1906</v>
      </c>
      <c r="W1277" s="59">
        <f t="shared" si="19"/>
        <v>2.2647266780274528E-4</v>
      </c>
    </row>
    <row r="1278" spans="1:23">
      <c r="A1278" s="13" t="s">
        <v>1467</v>
      </c>
      <c r="B1278" s="13" t="s">
        <v>471</v>
      </c>
      <c r="C1278" s="139">
        <v>46294</v>
      </c>
      <c r="D1278" s="139" t="s">
        <v>441</v>
      </c>
      <c r="E1278" s="28">
        <v>0.94140117000000001</v>
      </c>
      <c r="F1278" s="13"/>
      <c r="G1278" s="18">
        <v>1008513.5</v>
      </c>
      <c r="H1278" s="18">
        <v>949415.79</v>
      </c>
      <c r="I1278" s="18">
        <v>1008513.5</v>
      </c>
      <c r="J1278" s="18">
        <v>949415.79</v>
      </c>
      <c r="K1278" s="15">
        <v>67381841</v>
      </c>
      <c r="L1278" s="13" t="s">
        <v>102</v>
      </c>
      <c r="M1278" s="13" t="s">
        <v>103</v>
      </c>
      <c r="N1278" s="139" t="s">
        <v>373</v>
      </c>
      <c r="O1278" s="139" t="s">
        <v>373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1473</v>
      </c>
      <c r="V1278" s="13" t="s">
        <v>1473</v>
      </c>
      <c r="W1278" s="59">
        <f t="shared" si="19"/>
        <v>1.8138218546326423E-5</v>
      </c>
    </row>
    <row r="1279" spans="1:23">
      <c r="A1279" s="13" t="s">
        <v>403</v>
      </c>
      <c r="B1279" s="13" t="s">
        <v>471</v>
      </c>
      <c r="C1279" s="139">
        <v>46294</v>
      </c>
      <c r="D1279" s="139" t="s">
        <v>441</v>
      </c>
      <c r="E1279" s="28">
        <v>0.94140104000000002</v>
      </c>
      <c r="F1279" s="13"/>
      <c r="G1279" s="18">
        <v>40000000</v>
      </c>
      <c r="H1279" s="18">
        <v>37656041.479999997</v>
      </c>
      <c r="I1279" s="18">
        <v>40000000</v>
      </c>
      <c r="J1279" s="18">
        <v>37656041.479999997</v>
      </c>
      <c r="K1279" s="15">
        <v>13662791</v>
      </c>
      <c r="L1279" s="13" t="s">
        <v>102</v>
      </c>
      <c r="M1279" s="13" t="s">
        <v>103</v>
      </c>
      <c r="N1279" s="139" t="s">
        <v>381</v>
      </c>
      <c r="O1279" s="139" t="s">
        <v>381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1558</v>
      </c>
      <c r="V1279" s="13" t="s">
        <v>1558</v>
      </c>
      <c r="W1279" s="59">
        <f t="shared" si="19"/>
        <v>7.1940399258977239E-4</v>
      </c>
    </row>
    <row r="1280" spans="1:23">
      <c r="A1280" s="13" t="s">
        <v>658</v>
      </c>
      <c r="B1280" s="13" t="s">
        <v>471</v>
      </c>
      <c r="C1280" s="139">
        <v>46294</v>
      </c>
      <c r="D1280" s="139" t="s">
        <v>441</v>
      </c>
      <c r="E1280" s="28">
        <v>0.93116997999999995</v>
      </c>
      <c r="F1280" s="13"/>
      <c r="G1280" s="18">
        <v>6899161.7699999996</v>
      </c>
      <c r="H1280" s="18">
        <v>6424292.3399999999</v>
      </c>
      <c r="I1280" s="18">
        <v>6899161.7699999996</v>
      </c>
      <c r="J1280" s="18">
        <v>6424292.3399999999</v>
      </c>
      <c r="K1280" s="15">
        <v>65964605</v>
      </c>
      <c r="L1280" s="13" t="s">
        <v>102</v>
      </c>
      <c r="M1280" s="13" t="s">
        <v>103</v>
      </c>
      <c r="N1280" s="139" t="s">
        <v>327</v>
      </c>
      <c r="O1280" s="139" t="s">
        <v>327</v>
      </c>
      <c r="P1280" s="28">
        <v>38</v>
      </c>
      <c r="Q1280" s="13" t="s">
        <v>54</v>
      </c>
      <c r="R1280" s="13" t="s">
        <v>28</v>
      </c>
      <c r="S1280" s="13"/>
      <c r="T1280" s="13"/>
      <c r="U1280" s="13" t="s">
        <v>811</v>
      </c>
      <c r="V1280" s="13" t="s">
        <v>811</v>
      </c>
      <c r="W1280" s="59">
        <f t="shared" si="19"/>
        <v>1.227336007002904E-4</v>
      </c>
    </row>
    <row r="1281" spans="1:29">
      <c r="A1281" s="13" t="s">
        <v>737</v>
      </c>
      <c r="B1281" s="13" t="s">
        <v>471</v>
      </c>
      <c r="C1281" s="139">
        <v>46294</v>
      </c>
      <c r="D1281" s="139" t="s">
        <v>441</v>
      </c>
      <c r="E1281" s="28">
        <v>0.95010037000000003</v>
      </c>
      <c r="F1281" s="13"/>
      <c r="G1281" s="18">
        <v>20000000</v>
      </c>
      <c r="H1281" s="18">
        <v>19002007.309999999</v>
      </c>
      <c r="I1281" s="18">
        <v>20000000</v>
      </c>
      <c r="J1281" s="18">
        <v>19002007.309999999</v>
      </c>
      <c r="K1281" s="15">
        <v>67970141</v>
      </c>
      <c r="L1281" s="13" t="s">
        <v>102</v>
      </c>
      <c r="M1281" s="13" t="s">
        <v>103</v>
      </c>
      <c r="N1281" s="139" t="s">
        <v>460</v>
      </c>
      <c r="O1281" s="139" t="s">
        <v>460</v>
      </c>
      <c r="P1281" s="28">
        <v>27</v>
      </c>
      <c r="Q1281" s="13" t="s">
        <v>54</v>
      </c>
      <c r="R1281" s="13" t="s">
        <v>28</v>
      </c>
      <c r="S1281" s="13"/>
      <c r="T1281" s="13"/>
      <c r="U1281" s="13" t="s">
        <v>1767</v>
      </c>
      <c r="V1281" s="13" t="s">
        <v>1767</v>
      </c>
      <c r="W1281" s="59">
        <f t="shared" si="19"/>
        <v>3.6302594188756035E-4</v>
      </c>
    </row>
    <row r="1282" spans="1:29">
      <c r="A1282" s="13" t="s">
        <v>737</v>
      </c>
      <c r="B1282" s="13" t="s">
        <v>471</v>
      </c>
      <c r="C1282" s="139">
        <v>46294</v>
      </c>
      <c r="D1282" s="139" t="s">
        <v>441</v>
      </c>
      <c r="E1282" s="28">
        <v>0.95539748999999996</v>
      </c>
      <c r="F1282" s="13"/>
      <c r="G1282" s="18">
        <v>4000000</v>
      </c>
      <c r="H1282" s="18">
        <v>3821589.97</v>
      </c>
      <c r="I1282" s="18">
        <v>4000000</v>
      </c>
      <c r="J1282" s="18">
        <v>3821589.97</v>
      </c>
      <c r="K1282" s="15">
        <v>16821013</v>
      </c>
      <c r="L1282" s="13" t="s">
        <v>102</v>
      </c>
      <c r="M1282" s="13" t="s">
        <v>103</v>
      </c>
      <c r="N1282" s="139" t="s">
        <v>382</v>
      </c>
      <c r="O1282" s="139" t="s">
        <v>382</v>
      </c>
      <c r="P1282" s="28">
        <v>24</v>
      </c>
      <c r="Q1282" s="13" t="s">
        <v>54</v>
      </c>
      <c r="R1282" s="13" t="s">
        <v>28</v>
      </c>
      <c r="S1282" s="13"/>
      <c r="T1282" s="13"/>
      <c r="U1282" s="13" t="s">
        <v>2370</v>
      </c>
      <c r="V1282" s="13" t="s">
        <v>2370</v>
      </c>
      <c r="W1282" s="59">
        <f t="shared" si="19"/>
        <v>7.3009986562693496E-5</v>
      </c>
    </row>
    <row r="1283" spans="1:29">
      <c r="A1283" s="13" t="s">
        <v>475</v>
      </c>
      <c r="B1283" s="13" t="s">
        <v>471</v>
      </c>
      <c r="C1283" s="139">
        <v>46294</v>
      </c>
      <c r="D1283" s="139" t="s">
        <v>441</v>
      </c>
      <c r="E1283" s="28">
        <v>0.94140122000000004</v>
      </c>
      <c r="F1283" s="13"/>
      <c r="G1283" s="18">
        <v>65000000</v>
      </c>
      <c r="H1283" s="18">
        <v>61191079.159999996</v>
      </c>
      <c r="I1283" s="18">
        <v>65000000</v>
      </c>
      <c r="J1283" s="18">
        <v>61191079.159999996</v>
      </c>
      <c r="K1283" s="15">
        <v>334</v>
      </c>
      <c r="L1283" s="13" t="s">
        <v>102</v>
      </c>
      <c r="M1283" s="13" t="s">
        <v>103</v>
      </c>
      <c r="N1283" s="139" t="s">
        <v>439</v>
      </c>
      <c r="O1283" s="139" t="s">
        <v>439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1753</v>
      </c>
      <c r="V1283" s="13" t="s">
        <v>1753</v>
      </c>
      <c r="W1283" s="59">
        <f t="shared" si="19"/>
        <v>1.1690317125330728E-3</v>
      </c>
    </row>
    <row r="1284" spans="1:29">
      <c r="A1284" s="13" t="s">
        <v>149</v>
      </c>
      <c r="B1284" s="13" t="s">
        <v>471</v>
      </c>
      <c r="C1284" s="139">
        <v>46294</v>
      </c>
      <c r="D1284" s="139" t="s">
        <v>441</v>
      </c>
      <c r="E1284" s="28">
        <v>0.95362519999999995</v>
      </c>
      <c r="F1284" s="13"/>
      <c r="G1284" s="18">
        <v>50000000</v>
      </c>
      <c r="H1284" s="18">
        <v>47681259.920000002</v>
      </c>
      <c r="I1284" s="18">
        <v>50000000</v>
      </c>
      <c r="J1284" s="18">
        <v>47681259.920000002</v>
      </c>
      <c r="K1284" s="15">
        <v>4899</v>
      </c>
      <c r="L1284" s="13" t="s">
        <v>102</v>
      </c>
      <c r="M1284" s="13" t="s">
        <v>103</v>
      </c>
      <c r="N1284" s="139" t="s">
        <v>457</v>
      </c>
      <c r="O1284" s="139" t="s">
        <v>457</v>
      </c>
      <c r="P1284" s="28">
        <v>25</v>
      </c>
      <c r="Q1284" s="13" t="s">
        <v>54</v>
      </c>
      <c r="R1284" s="13" t="s">
        <v>28</v>
      </c>
      <c r="S1284" s="13"/>
      <c r="T1284" s="13"/>
      <c r="U1284" s="13" t="s">
        <v>1742</v>
      </c>
      <c r="V1284" s="13" t="s">
        <v>1742</v>
      </c>
      <c r="W1284" s="59">
        <f t="shared" si="19"/>
        <v>9.1093188264032836E-4</v>
      </c>
    </row>
    <row r="1285" spans="1:29">
      <c r="A1285" s="13" t="s">
        <v>323</v>
      </c>
      <c r="B1285" s="13" t="s">
        <v>471</v>
      </c>
      <c r="C1285" s="139">
        <v>46294</v>
      </c>
      <c r="D1285" s="139" t="s">
        <v>441</v>
      </c>
      <c r="E1285" s="28">
        <v>0.95010033999999999</v>
      </c>
      <c r="F1285" s="13"/>
      <c r="G1285" s="18">
        <v>30000000</v>
      </c>
      <c r="H1285" s="18">
        <v>28503010.280000001</v>
      </c>
      <c r="I1285" s="18">
        <v>30000000</v>
      </c>
      <c r="J1285" s="18">
        <v>28503010.280000001</v>
      </c>
      <c r="K1285" s="15">
        <v>54027797</v>
      </c>
      <c r="L1285" s="13" t="s">
        <v>102</v>
      </c>
      <c r="M1285" s="13" t="s">
        <v>103</v>
      </c>
      <c r="N1285" s="139" t="s">
        <v>457</v>
      </c>
      <c r="O1285" s="139" t="s">
        <v>457</v>
      </c>
      <c r="P1285" s="28">
        <v>27</v>
      </c>
      <c r="Q1285" s="13" t="s">
        <v>54</v>
      </c>
      <c r="R1285" s="13" t="s">
        <v>28</v>
      </c>
      <c r="S1285" s="13"/>
      <c r="T1285" s="13"/>
      <c r="U1285" s="13" t="s">
        <v>1719</v>
      </c>
      <c r="V1285" s="13" t="s">
        <v>1719</v>
      </c>
      <c r="W1285" s="59">
        <f t="shared" ref="W1285:W1348" si="20">+J1285/$W$2</f>
        <v>5.4453889974468263E-4</v>
      </c>
    </row>
    <row r="1286" spans="1:29">
      <c r="A1286" s="13" t="s">
        <v>323</v>
      </c>
      <c r="B1286" s="13" t="s">
        <v>471</v>
      </c>
      <c r="C1286" s="139">
        <v>46294</v>
      </c>
      <c r="D1286" s="139" t="s">
        <v>441</v>
      </c>
      <c r="E1286" s="28">
        <v>0.95010035999999998</v>
      </c>
      <c r="F1286" s="13"/>
      <c r="G1286" s="18">
        <v>5000000</v>
      </c>
      <c r="H1286" s="18">
        <v>4750501.79</v>
      </c>
      <c r="I1286" s="18">
        <v>5000000</v>
      </c>
      <c r="J1286" s="18">
        <v>4750501.79</v>
      </c>
      <c r="K1286" s="15">
        <v>67193060</v>
      </c>
      <c r="L1286" s="13" t="s">
        <v>102</v>
      </c>
      <c r="M1286" s="13" t="s">
        <v>103</v>
      </c>
      <c r="N1286" s="139" t="s">
        <v>373</v>
      </c>
      <c r="O1286" s="139" t="s">
        <v>373</v>
      </c>
      <c r="P1286" s="28">
        <v>27</v>
      </c>
      <c r="Q1286" s="13" t="s">
        <v>54</v>
      </c>
      <c r="R1286" s="13" t="s">
        <v>28</v>
      </c>
      <c r="S1286" s="13"/>
      <c r="T1286" s="13"/>
      <c r="U1286" s="13" t="s">
        <v>1405</v>
      </c>
      <c r="V1286" s="13" t="s">
        <v>1405</v>
      </c>
      <c r="W1286" s="59">
        <f t="shared" si="20"/>
        <v>9.0756484755467209E-5</v>
      </c>
      <c r="AC1286" s="56"/>
    </row>
    <row r="1287" spans="1:29">
      <c r="A1287" s="13" t="s">
        <v>323</v>
      </c>
      <c r="B1287" s="13" t="s">
        <v>471</v>
      </c>
      <c r="C1287" s="139">
        <v>46294</v>
      </c>
      <c r="D1287" s="139" t="s">
        <v>441</v>
      </c>
      <c r="E1287" s="28">
        <v>0.95362524000000004</v>
      </c>
      <c r="F1287" s="13"/>
      <c r="G1287" s="18">
        <v>5000000</v>
      </c>
      <c r="H1287" s="18">
        <v>4768126.2</v>
      </c>
      <c r="I1287" s="18">
        <v>5000000</v>
      </c>
      <c r="J1287" s="18">
        <v>4768126.2</v>
      </c>
      <c r="K1287" s="15">
        <v>8743</v>
      </c>
      <c r="L1287" s="13" t="s">
        <v>102</v>
      </c>
      <c r="M1287" s="13" t="s">
        <v>103</v>
      </c>
      <c r="N1287" s="139" t="s">
        <v>382</v>
      </c>
      <c r="O1287" s="139" t="s">
        <v>382</v>
      </c>
      <c r="P1287" s="28">
        <v>25</v>
      </c>
      <c r="Q1287" s="13" t="s">
        <v>54</v>
      </c>
      <c r="R1287" s="13" t="s">
        <v>28</v>
      </c>
      <c r="S1287" s="13"/>
      <c r="T1287" s="13"/>
      <c r="U1287" s="13" t="s">
        <v>2382</v>
      </c>
      <c r="V1287" s="13" t="s">
        <v>2382</v>
      </c>
      <c r="W1287" s="59">
        <f t="shared" si="20"/>
        <v>9.1093192237791756E-5</v>
      </c>
      <c r="AC1287" s="56"/>
    </row>
    <row r="1288" spans="1:29">
      <c r="A1288" s="13" t="s">
        <v>478</v>
      </c>
      <c r="B1288" s="13" t="s">
        <v>471</v>
      </c>
      <c r="C1288" s="139">
        <v>46294</v>
      </c>
      <c r="D1288" s="139" t="s">
        <v>441</v>
      </c>
      <c r="E1288" s="28">
        <v>0.93968026999999998</v>
      </c>
      <c r="F1288" s="13"/>
      <c r="G1288" s="18">
        <v>12500000</v>
      </c>
      <c r="H1288" s="18">
        <v>11746003.359999999</v>
      </c>
      <c r="I1288" s="18">
        <v>12500000</v>
      </c>
      <c r="J1288" s="18">
        <v>11746003.359999999</v>
      </c>
      <c r="K1288" s="15">
        <v>1361</v>
      </c>
      <c r="L1288" s="13" t="s">
        <v>102</v>
      </c>
      <c r="M1288" s="13" t="s">
        <v>103</v>
      </c>
      <c r="N1288" s="139" t="s">
        <v>428</v>
      </c>
      <c r="O1288" s="139" t="s">
        <v>428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1117</v>
      </c>
      <c r="V1288" s="13" t="s">
        <v>1117</v>
      </c>
      <c r="W1288" s="59">
        <f t="shared" si="20"/>
        <v>2.2440281511387593E-4</v>
      </c>
    </row>
    <row r="1289" spans="1:29">
      <c r="A1289" s="13" t="s">
        <v>581</v>
      </c>
      <c r="B1289" s="13" t="s">
        <v>471</v>
      </c>
      <c r="C1289" s="139">
        <v>46294</v>
      </c>
      <c r="D1289" s="139" t="s">
        <v>441</v>
      </c>
      <c r="E1289" s="28">
        <v>0.94834764000000005</v>
      </c>
      <c r="F1289" s="13"/>
      <c r="G1289" s="18">
        <v>10000000</v>
      </c>
      <c r="H1289" s="18">
        <v>9483476.3699999992</v>
      </c>
      <c r="I1289" s="18">
        <v>10000000</v>
      </c>
      <c r="J1289" s="18">
        <v>9483476.3699999992</v>
      </c>
      <c r="K1289" s="15">
        <v>360567</v>
      </c>
      <c r="L1289" s="13" t="s">
        <v>102</v>
      </c>
      <c r="M1289" s="13" t="s">
        <v>103</v>
      </c>
      <c r="N1289" s="139" t="s">
        <v>348</v>
      </c>
      <c r="O1289" s="139" t="s">
        <v>348</v>
      </c>
      <c r="P1289" s="28">
        <v>28</v>
      </c>
      <c r="Q1289" s="13" t="s">
        <v>54</v>
      </c>
      <c r="R1289" s="13" t="s">
        <v>28</v>
      </c>
      <c r="S1289" s="13"/>
      <c r="T1289" s="13"/>
      <c r="U1289" s="13" t="s">
        <v>726</v>
      </c>
      <c r="V1289" s="13" t="s">
        <v>726</v>
      </c>
      <c r="W1289" s="59">
        <f t="shared" si="20"/>
        <v>1.8117811899671728E-4</v>
      </c>
    </row>
    <row r="1290" spans="1:29">
      <c r="A1290" s="13" t="s">
        <v>2195</v>
      </c>
      <c r="B1290" s="13" t="s">
        <v>471</v>
      </c>
      <c r="C1290" s="139">
        <v>46294</v>
      </c>
      <c r="D1290" s="139" t="s">
        <v>441</v>
      </c>
      <c r="E1290" s="28">
        <v>0.93968048999999998</v>
      </c>
      <c r="F1290" s="13"/>
      <c r="G1290" s="18">
        <v>9828483.25</v>
      </c>
      <c r="H1290" s="18">
        <v>9235633.9900000002</v>
      </c>
      <c r="I1290" s="18">
        <v>9828483.25</v>
      </c>
      <c r="J1290" s="18">
        <v>9235633.9900000002</v>
      </c>
      <c r="K1290" s="15">
        <v>33</v>
      </c>
      <c r="L1290" s="13" t="s">
        <v>102</v>
      </c>
      <c r="M1290" s="13" t="s">
        <v>103</v>
      </c>
      <c r="N1290" s="139" t="s">
        <v>495</v>
      </c>
      <c r="O1290" s="139" t="s">
        <v>495</v>
      </c>
      <c r="P1290" s="28">
        <v>33</v>
      </c>
      <c r="Q1290" s="13" t="s">
        <v>54</v>
      </c>
      <c r="R1290" s="13" t="s">
        <v>28</v>
      </c>
      <c r="S1290" s="13"/>
      <c r="T1290" s="13"/>
      <c r="U1290" s="13" t="s">
        <v>2167</v>
      </c>
      <c r="V1290" s="13" t="s">
        <v>2167</v>
      </c>
      <c r="W1290" s="59">
        <f t="shared" si="20"/>
        <v>1.7644318694604887E-4</v>
      </c>
    </row>
    <row r="1291" spans="1:29">
      <c r="A1291" s="13" t="s">
        <v>1045</v>
      </c>
      <c r="B1291" s="13" t="s">
        <v>471</v>
      </c>
      <c r="C1291" s="139">
        <v>46295</v>
      </c>
      <c r="D1291" s="139" t="s">
        <v>441</v>
      </c>
      <c r="E1291" s="28">
        <v>0.94062484000000002</v>
      </c>
      <c r="F1291" s="13"/>
      <c r="G1291" s="18">
        <v>30000000</v>
      </c>
      <c r="H1291" s="18">
        <v>28218745.260000002</v>
      </c>
      <c r="I1291" s="18">
        <v>30000000</v>
      </c>
      <c r="J1291" s="18">
        <v>28218745.260000002</v>
      </c>
      <c r="K1291" s="15">
        <v>29635892</v>
      </c>
      <c r="L1291" s="13" t="s">
        <v>102</v>
      </c>
      <c r="M1291" s="13" t="s">
        <v>103</v>
      </c>
      <c r="N1291" s="139" t="s">
        <v>495</v>
      </c>
      <c r="O1291" s="139" t="s">
        <v>495</v>
      </c>
      <c r="P1291" s="28">
        <v>32</v>
      </c>
      <c r="Q1291" s="13" t="s">
        <v>54</v>
      </c>
      <c r="R1291" s="13" t="s">
        <v>28</v>
      </c>
      <c r="S1291" s="13"/>
      <c r="T1291" s="13"/>
      <c r="U1291" s="13" t="s">
        <v>2158</v>
      </c>
      <c r="V1291" s="13" t="s">
        <v>2158</v>
      </c>
      <c r="W1291" s="59">
        <f t="shared" si="20"/>
        <v>5.3910812735586885E-4</v>
      </c>
    </row>
    <row r="1292" spans="1:29">
      <c r="A1292" s="13" t="s">
        <v>403</v>
      </c>
      <c r="B1292" s="13" t="s">
        <v>471</v>
      </c>
      <c r="C1292" s="139">
        <v>46295</v>
      </c>
      <c r="D1292" s="139" t="s">
        <v>441</v>
      </c>
      <c r="E1292" s="28">
        <v>0.94062484000000002</v>
      </c>
      <c r="F1292" s="13"/>
      <c r="G1292" s="18">
        <v>40000000</v>
      </c>
      <c r="H1292" s="18">
        <v>37624993.539999999</v>
      </c>
      <c r="I1292" s="18">
        <v>40000000</v>
      </c>
      <c r="J1292" s="18">
        <v>37624993.539999999</v>
      </c>
      <c r="K1292" s="15">
        <v>13662792</v>
      </c>
      <c r="L1292" s="13" t="s">
        <v>102</v>
      </c>
      <c r="M1292" s="13" t="s">
        <v>103</v>
      </c>
      <c r="N1292" s="139" t="s">
        <v>381</v>
      </c>
      <c r="O1292" s="139" t="s">
        <v>381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1559</v>
      </c>
      <c r="V1292" s="13" t="s">
        <v>1559</v>
      </c>
      <c r="W1292" s="59">
        <f t="shared" si="20"/>
        <v>7.1881083379984629E-4</v>
      </c>
    </row>
    <row r="1293" spans="1:29">
      <c r="A1293" s="13" t="s">
        <v>659</v>
      </c>
      <c r="B1293" s="13" t="s">
        <v>471</v>
      </c>
      <c r="C1293" s="139">
        <v>46295</v>
      </c>
      <c r="D1293" s="139" t="s">
        <v>441</v>
      </c>
      <c r="E1293" s="28">
        <v>0.93026825000000002</v>
      </c>
      <c r="F1293" s="13"/>
      <c r="G1293" s="18">
        <v>4500591.28</v>
      </c>
      <c r="H1293" s="18">
        <v>4186757.19</v>
      </c>
      <c r="I1293" s="18">
        <v>4500591.28</v>
      </c>
      <c r="J1293" s="18">
        <v>4186757.19</v>
      </c>
      <c r="K1293" s="15">
        <v>90000179</v>
      </c>
      <c r="L1293" s="13" t="s">
        <v>102</v>
      </c>
      <c r="M1293" s="13" t="s">
        <v>103</v>
      </c>
      <c r="N1293" s="139" t="s">
        <v>327</v>
      </c>
      <c r="O1293" s="139" t="s">
        <v>327</v>
      </c>
      <c r="P1293" s="28">
        <v>38</v>
      </c>
      <c r="Q1293" s="13" t="s">
        <v>54</v>
      </c>
      <c r="R1293" s="13" t="s">
        <v>28</v>
      </c>
      <c r="S1293" s="13"/>
      <c r="T1293" s="13"/>
      <c r="U1293" s="13" t="s">
        <v>815</v>
      </c>
      <c r="V1293" s="13" t="s">
        <v>815</v>
      </c>
      <c r="W1293" s="59">
        <f t="shared" si="20"/>
        <v>7.9986363943476745E-5</v>
      </c>
    </row>
    <row r="1294" spans="1:29">
      <c r="A1294" s="13" t="s">
        <v>472</v>
      </c>
      <c r="B1294" s="13" t="s">
        <v>471</v>
      </c>
      <c r="C1294" s="139">
        <v>46295</v>
      </c>
      <c r="D1294" s="139" t="s">
        <v>441</v>
      </c>
      <c r="E1294" s="28">
        <v>0.94412832000000002</v>
      </c>
      <c r="F1294" s="13"/>
      <c r="G1294" s="18">
        <v>10000000</v>
      </c>
      <c r="H1294" s="18">
        <v>9441283.1699999999</v>
      </c>
      <c r="I1294" s="18">
        <v>10000000</v>
      </c>
      <c r="J1294" s="18">
        <v>9441283.1699999999</v>
      </c>
      <c r="K1294" s="15">
        <v>581</v>
      </c>
      <c r="L1294" s="13" t="s">
        <v>102</v>
      </c>
      <c r="M1294" s="13" t="s">
        <v>103</v>
      </c>
      <c r="N1294" s="139" t="s">
        <v>174</v>
      </c>
      <c r="O1294" s="139" t="s">
        <v>174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1315</v>
      </c>
      <c r="V1294" s="13" t="s">
        <v>1315</v>
      </c>
      <c r="W1294" s="59">
        <f t="shared" si="20"/>
        <v>1.8037203435937536E-4</v>
      </c>
    </row>
    <row r="1295" spans="1:29">
      <c r="A1295" s="13" t="s">
        <v>472</v>
      </c>
      <c r="B1295" s="13" t="s">
        <v>471</v>
      </c>
      <c r="C1295" s="139">
        <v>46295</v>
      </c>
      <c r="D1295" s="139" t="s">
        <v>441</v>
      </c>
      <c r="E1295" s="28">
        <v>0.94412830000000003</v>
      </c>
      <c r="F1295" s="13"/>
      <c r="G1295" s="18">
        <v>10000000</v>
      </c>
      <c r="H1295" s="18">
        <v>9441283</v>
      </c>
      <c r="I1295" s="18">
        <v>10000000</v>
      </c>
      <c r="J1295" s="18">
        <v>9441283</v>
      </c>
      <c r="K1295" s="15">
        <v>514</v>
      </c>
      <c r="L1295" s="13" t="s">
        <v>102</v>
      </c>
      <c r="M1295" s="13" t="s">
        <v>103</v>
      </c>
      <c r="N1295" s="139" t="s">
        <v>369</v>
      </c>
      <c r="O1295" s="139" t="s">
        <v>369</v>
      </c>
      <c r="P1295" s="28">
        <v>30</v>
      </c>
      <c r="Q1295" s="13" t="s">
        <v>54</v>
      </c>
      <c r="R1295" s="13" t="s">
        <v>28</v>
      </c>
      <c r="S1295" s="13"/>
      <c r="T1295" s="13"/>
      <c r="U1295" s="13" t="s">
        <v>1072</v>
      </c>
      <c r="V1295" s="13" t="s">
        <v>1072</v>
      </c>
      <c r="W1295" s="59">
        <f t="shared" si="20"/>
        <v>1.8037203111159164E-4</v>
      </c>
    </row>
    <row r="1296" spans="1:29">
      <c r="A1296" s="13" t="s">
        <v>147</v>
      </c>
      <c r="B1296" s="13" t="s">
        <v>471</v>
      </c>
      <c r="C1296" s="139">
        <v>46295</v>
      </c>
      <c r="D1296" s="139" t="s">
        <v>441</v>
      </c>
      <c r="E1296" s="28">
        <v>0.93197854999999996</v>
      </c>
      <c r="F1296" s="13"/>
      <c r="G1296" s="18">
        <v>30000000</v>
      </c>
      <c r="H1296" s="18">
        <v>27959356.440000001</v>
      </c>
      <c r="I1296" s="18">
        <v>30000000</v>
      </c>
      <c r="J1296" s="18">
        <v>27959356.440000001</v>
      </c>
      <c r="K1296" s="15">
        <v>4355</v>
      </c>
      <c r="L1296" s="13" t="s">
        <v>102</v>
      </c>
      <c r="M1296" s="13" t="s">
        <v>103</v>
      </c>
      <c r="N1296" s="139" t="s">
        <v>172</v>
      </c>
      <c r="O1296" s="139" t="s">
        <v>172</v>
      </c>
      <c r="P1296" s="28">
        <v>37</v>
      </c>
      <c r="Q1296" s="13" t="s">
        <v>54</v>
      </c>
      <c r="R1296" s="13" t="s">
        <v>28</v>
      </c>
      <c r="S1296" s="13"/>
      <c r="T1296" s="13"/>
      <c r="U1296" s="13" t="s">
        <v>1778</v>
      </c>
      <c r="V1296" s="13" t="s">
        <v>1778</v>
      </c>
      <c r="W1296" s="59">
        <f t="shared" si="20"/>
        <v>5.3415260507028129E-4</v>
      </c>
      <c r="AC1296" s="56"/>
    </row>
    <row r="1297" spans="1:29">
      <c r="A1297" s="13" t="s">
        <v>242</v>
      </c>
      <c r="B1297" s="13" t="s">
        <v>471</v>
      </c>
      <c r="C1297" s="139">
        <v>46295</v>
      </c>
      <c r="D1297" s="139" t="s">
        <v>441</v>
      </c>
      <c r="E1297" s="28">
        <v>0.93888265000000004</v>
      </c>
      <c r="F1297" s="13"/>
      <c r="G1297" s="18">
        <v>2500000</v>
      </c>
      <c r="H1297" s="18">
        <v>2347206.62</v>
      </c>
      <c r="I1297" s="18">
        <v>2500000</v>
      </c>
      <c r="J1297" s="18">
        <v>2347206.62</v>
      </c>
      <c r="K1297" s="15">
        <v>1202</v>
      </c>
      <c r="L1297" s="13" t="s">
        <v>102</v>
      </c>
      <c r="M1297" s="13" t="s">
        <v>103</v>
      </c>
      <c r="N1297" s="139" t="s">
        <v>162</v>
      </c>
      <c r="O1297" s="139" t="s">
        <v>162</v>
      </c>
      <c r="P1297" s="28">
        <v>33</v>
      </c>
      <c r="Q1297" s="13" t="s">
        <v>54</v>
      </c>
      <c r="R1297" s="13" t="s">
        <v>28</v>
      </c>
      <c r="S1297" s="13"/>
      <c r="T1297" s="13"/>
      <c r="U1297" s="13" t="s">
        <v>1091</v>
      </c>
      <c r="V1297" s="13" t="s">
        <v>1091</v>
      </c>
      <c r="W1297" s="59">
        <f t="shared" si="20"/>
        <v>4.4842467436679304E-5</v>
      </c>
    </row>
    <row r="1298" spans="1:29">
      <c r="A1298" s="13" t="s">
        <v>661</v>
      </c>
      <c r="B1298" s="13" t="s">
        <v>471</v>
      </c>
      <c r="C1298" s="139">
        <v>46295</v>
      </c>
      <c r="D1298" s="139" t="s">
        <v>441</v>
      </c>
      <c r="E1298" s="28">
        <v>0.94588996999999997</v>
      </c>
      <c r="F1298" s="13"/>
      <c r="G1298" s="18">
        <v>10000000</v>
      </c>
      <c r="H1298" s="18">
        <v>9458899.6999999993</v>
      </c>
      <c r="I1298" s="18">
        <v>10000000</v>
      </c>
      <c r="J1298" s="18">
        <v>9458899.6999999993</v>
      </c>
      <c r="K1298" s="15">
        <v>3487824</v>
      </c>
      <c r="L1298" s="13" t="s">
        <v>102</v>
      </c>
      <c r="M1298" s="13" t="s">
        <v>103</v>
      </c>
      <c r="N1298" s="139" t="s">
        <v>326</v>
      </c>
      <c r="O1298" s="139" t="s">
        <v>326</v>
      </c>
      <c r="P1298" s="28">
        <v>29</v>
      </c>
      <c r="Q1298" s="13" t="s">
        <v>54</v>
      </c>
      <c r="R1298" s="13" t="s">
        <v>28</v>
      </c>
      <c r="S1298" s="13"/>
      <c r="T1298" s="13"/>
      <c r="U1298" s="13" t="s">
        <v>976</v>
      </c>
      <c r="V1298" s="13" t="s">
        <v>976</v>
      </c>
      <c r="W1298" s="59">
        <f t="shared" si="20"/>
        <v>1.8070859129737184E-4</v>
      </c>
    </row>
    <row r="1299" spans="1:29">
      <c r="A1299" s="13" t="s">
        <v>522</v>
      </c>
      <c r="B1299" s="13" t="s">
        <v>471</v>
      </c>
      <c r="C1299" s="139">
        <v>46295</v>
      </c>
      <c r="D1299" s="139" t="s">
        <v>441</v>
      </c>
      <c r="E1299" s="28">
        <v>0.94412841000000003</v>
      </c>
      <c r="F1299" s="13"/>
      <c r="G1299" s="18">
        <v>50000000</v>
      </c>
      <c r="H1299" s="18">
        <v>47206420.259999998</v>
      </c>
      <c r="I1299" s="18">
        <v>50000000</v>
      </c>
      <c r="J1299" s="18">
        <v>47206420.259999998</v>
      </c>
      <c r="K1299" s="15">
        <v>787</v>
      </c>
      <c r="L1299" s="13" t="s">
        <v>102</v>
      </c>
      <c r="M1299" s="13" t="s">
        <v>103</v>
      </c>
      <c r="N1299" s="139" t="s">
        <v>327</v>
      </c>
      <c r="O1299" s="139" t="s">
        <v>327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754</v>
      </c>
      <c r="V1299" s="13" t="s">
        <v>754</v>
      </c>
      <c r="W1299" s="59">
        <f t="shared" si="20"/>
        <v>9.0186025604820758E-4</v>
      </c>
    </row>
    <row r="1300" spans="1:29">
      <c r="A1300" s="13" t="s">
        <v>163</v>
      </c>
      <c r="B1300" s="13" t="s">
        <v>471</v>
      </c>
      <c r="C1300" s="139">
        <v>46295</v>
      </c>
      <c r="D1300" s="139" t="s">
        <v>441</v>
      </c>
      <c r="E1300" s="28">
        <v>0.94765812999999999</v>
      </c>
      <c r="F1300" s="13"/>
      <c r="G1300" s="18">
        <v>35000000</v>
      </c>
      <c r="H1300" s="18">
        <v>33168034.379999999</v>
      </c>
      <c r="I1300" s="18">
        <v>35000000</v>
      </c>
      <c r="J1300" s="18">
        <v>33168034.379999999</v>
      </c>
      <c r="K1300" s="15">
        <v>3329633</v>
      </c>
      <c r="L1300" s="13" t="s">
        <v>102</v>
      </c>
      <c r="M1300" s="13" t="s">
        <v>103</v>
      </c>
      <c r="N1300" s="139" t="s">
        <v>341</v>
      </c>
      <c r="O1300" s="139" t="s">
        <v>341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937</v>
      </c>
      <c r="V1300" s="13" t="s">
        <v>937</v>
      </c>
      <c r="W1300" s="59">
        <f t="shared" si="20"/>
        <v>6.3366236655544594E-4</v>
      </c>
    </row>
    <row r="1301" spans="1:29">
      <c r="A1301" s="13" t="s">
        <v>340</v>
      </c>
      <c r="B1301" s="13" t="s">
        <v>471</v>
      </c>
      <c r="C1301" s="139">
        <v>46295</v>
      </c>
      <c r="D1301" s="139" t="s">
        <v>441</v>
      </c>
      <c r="E1301" s="28">
        <v>0.93541779000000003</v>
      </c>
      <c r="F1301" s="13"/>
      <c r="G1301" s="18">
        <v>6000000</v>
      </c>
      <c r="H1301" s="18">
        <v>5612506.7199999997</v>
      </c>
      <c r="I1301" s="18">
        <v>6000000</v>
      </c>
      <c r="J1301" s="18">
        <v>5612506.7199999997</v>
      </c>
      <c r="K1301" s="15">
        <v>40761910</v>
      </c>
      <c r="L1301" s="13" t="s">
        <v>102</v>
      </c>
      <c r="M1301" s="13" t="s">
        <v>103</v>
      </c>
      <c r="N1301" s="139" t="s">
        <v>392</v>
      </c>
      <c r="O1301" s="139" t="s">
        <v>392</v>
      </c>
      <c r="P1301" s="28">
        <v>35</v>
      </c>
      <c r="Q1301" s="13" t="s">
        <v>54</v>
      </c>
      <c r="R1301" s="13" t="s">
        <v>28</v>
      </c>
      <c r="S1301" s="13"/>
      <c r="T1301" s="13"/>
      <c r="U1301" s="13" t="s">
        <v>2313</v>
      </c>
      <c r="V1301" s="13" t="s">
        <v>2313</v>
      </c>
      <c r="W1301" s="59">
        <f t="shared" si="20"/>
        <v>1.0722475289786961E-4</v>
      </c>
      <c r="AC1301" s="56"/>
    </row>
    <row r="1302" spans="1:29">
      <c r="A1302" s="13" t="s">
        <v>2234</v>
      </c>
      <c r="B1302" s="13" t="s">
        <v>471</v>
      </c>
      <c r="C1302" s="139">
        <v>46295</v>
      </c>
      <c r="D1302" s="139" t="s">
        <v>441</v>
      </c>
      <c r="E1302" s="28">
        <v>0.94412852000000003</v>
      </c>
      <c r="F1302" s="13"/>
      <c r="G1302" s="18">
        <v>830000</v>
      </c>
      <c r="H1302" s="18">
        <v>783626.67</v>
      </c>
      <c r="I1302" s="18">
        <v>830000</v>
      </c>
      <c r="J1302" s="18">
        <v>783626.67</v>
      </c>
      <c r="K1302" s="15">
        <v>90</v>
      </c>
      <c r="L1302" s="13" t="s">
        <v>102</v>
      </c>
      <c r="M1302" s="13" t="s">
        <v>103</v>
      </c>
      <c r="N1302" s="139" t="s">
        <v>388</v>
      </c>
      <c r="O1302" s="139" t="s">
        <v>388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2236</v>
      </c>
      <c r="V1302" s="13" t="s">
        <v>2236</v>
      </c>
      <c r="W1302" s="59">
        <f t="shared" si="20"/>
        <v>1.4970882040196545E-5</v>
      </c>
    </row>
    <row r="1303" spans="1:29">
      <c r="A1303" s="13" t="s">
        <v>2242</v>
      </c>
      <c r="B1303" s="13" t="s">
        <v>471</v>
      </c>
      <c r="C1303" s="139">
        <v>46295</v>
      </c>
      <c r="D1303" s="139" t="s">
        <v>441</v>
      </c>
      <c r="E1303" s="28">
        <v>0.94412852000000003</v>
      </c>
      <c r="F1303" s="13"/>
      <c r="G1303" s="18">
        <v>2500000</v>
      </c>
      <c r="H1303" s="18">
        <v>2360321.2999999998</v>
      </c>
      <c r="I1303" s="18">
        <v>2500000</v>
      </c>
      <c r="J1303" s="18">
        <v>2360321.2999999998</v>
      </c>
      <c r="K1303" s="15">
        <v>383</v>
      </c>
      <c r="L1303" s="13" t="s">
        <v>102</v>
      </c>
      <c r="M1303" s="13" t="s">
        <v>103</v>
      </c>
      <c r="N1303" s="139" t="s">
        <v>388</v>
      </c>
      <c r="O1303" s="139" t="s">
        <v>388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2245</v>
      </c>
      <c r="V1303" s="13" t="s">
        <v>2245</v>
      </c>
      <c r="W1303" s="59">
        <f t="shared" si="20"/>
        <v>4.5093018285433494E-5</v>
      </c>
    </row>
    <row r="1304" spans="1:29">
      <c r="A1304" s="13" t="s">
        <v>2488</v>
      </c>
      <c r="B1304" s="13" t="s">
        <v>471</v>
      </c>
      <c r="C1304" s="139">
        <v>46295</v>
      </c>
      <c r="D1304" s="139" t="s">
        <v>441</v>
      </c>
      <c r="E1304" s="28">
        <v>0.94412837000000005</v>
      </c>
      <c r="F1304" s="13"/>
      <c r="G1304" s="18">
        <v>2870567.11</v>
      </c>
      <c r="H1304" s="18">
        <v>2710183.85</v>
      </c>
      <c r="I1304" s="18">
        <v>2870567.11</v>
      </c>
      <c r="J1304" s="18">
        <v>2710183.85</v>
      </c>
      <c r="K1304" s="15">
        <v>107</v>
      </c>
      <c r="L1304" s="13" t="s">
        <v>102</v>
      </c>
      <c r="M1304" s="13" t="s">
        <v>103</v>
      </c>
      <c r="N1304" s="139" t="s">
        <v>441</v>
      </c>
      <c r="O1304" s="139" t="s">
        <v>441</v>
      </c>
      <c r="P1304" s="28">
        <v>30</v>
      </c>
      <c r="Q1304" s="13" t="s">
        <v>54</v>
      </c>
      <c r="R1304" s="13" t="s">
        <v>28</v>
      </c>
      <c r="S1304" s="13"/>
      <c r="T1304" s="13"/>
      <c r="U1304" s="13" t="s">
        <v>2465</v>
      </c>
      <c r="V1304" s="13" t="s">
        <v>2465</v>
      </c>
      <c r="W1304" s="59">
        <f t="shared" si="20"/>
        <v>5.1777005912261419E-5</v>
      </c>
    </row>
    <row r="1305" spans="1:29">
      <c r="A1305" s="13" t="s">
        <v>1045</v>
      </c>
      <c r="B1305" s="13" t="s">
        <v>471</v>
      </c>
      <c r="C1305" s="139">
        <v>46296</v>
      </c>
      <c r="D1305" s="139" t="s">
        <v>441</v>
      </c>
      <c r="E1305" s="28">
        <v>0.93984972</v>
      </c>
      <c r="F1305" s="13"/>
      <c r="G1305" s="18">
        <v>30000000</v>
      </c>
      <c r="H1305" s="18">
        <v>28195491.530000001</v>
      </c>
      <c r="I1305" s="18">
        <v>30000000</v>
      </c>
      <c r="J1305" s="18">
        <v>28195491.530000001</v>
      </c>
      <c r="K1305" s="15">
        <v>29635891</v>
      </c>
      <c r="L1305" s="13" t="s">
        <v>102</v>
      </c>
      <c r="M1305" s="13" t="s">
        <v>103</v>
      </c>
      <c r="N1305" s="139" t="s">
        <v>495</v>
      </c>
      <c r="O1305" s="139" t="s">
        <v>495</v>
      </c>
      <c r="P1305" s="28">
        <v>32</v>
      </c>
      <c r="Q1305" s="13" t="s">
        <v>54</v>
      </c>
      <c r="R1305" s="13" t="s">
        <v>28</v>
      </c>
      <c r="S1305" s="13"/>
      <c r="T1305" s="13"/>
      <c r="U1305" s="13" t="s">
        <v>2159</v>
      </c>
      <c r="V1305" s="13" t="s">
        <v>2159</v>
      </c>
      <c r="W1305" s="59">
        <f t="shared" si="20"/>
        <v>5.3866387390948654E-4</v>
      </c>
    </row>
    <row r="1306" spans="1:29">
      <c r="A1306" s="13" t="s">
        <v>737</v>
      </c>
      <c r="B1306" s="13" t="s">
        <v>471</v>
      </c>
      <c r="C1306" s="139">
        <v>46296</v>
      </c>
      <c r="D1306" s="139" t="s">
        <v>441</v>
      </c>
      <c r="E1306" s="28">
        <v>0.95238115000000001</v>
      </c>
      <c r="F1306" s="13"/>
      <c r="G1306" s="18">
        <v>32000000</v>
      </c>
      <c r="H1306" s="18">
        <v>30476196.690000001</v>
      </c>
      <c r="I1306" s="18">
        <v>32000000</v>
      </c>
      <c r="J1306" s="18">
        <v>30476196.690000001</v>
      </c>
      <c r="K1306" s="15">
        <v>5311</v>
      </c>
      <c r="L1306" s="13" t="s">
        <v>102</v>
      </c>
      <c r="M1306" s="13" t="s">
        <v>103</v>
      </c>
      <c r="N1306" s="139" t="s">
        <v>392</v>
      </c>
      <c r="O1306" s="139" t="s">
        <v>392</v>
      </c>
      <c r="P1306" s="28">
        <v>25</v>
      </c>
      <c r="Q1306" s="13" t="s">
        <v>54</v>
      </c>
      <c r="R1306" s="13" t="s">
        <v>28</v>
      </c>
      <c r="S1306" s="13"/>
      <c r="T1306" s="13"/>
      <c r="U1306" s="13" t="s">
        <v>2307</v>
      </c>
      <c r="V1306" s="13" t="s">
        <v>2307</v>
      </c>
      <c r="W1306" s="59">
        <f t="shared" si="20"/>
        <v>5.8223585687789108E-4</v>
      </c>
    </row>
    <row r="1307" spans="1:29">
      <c r="A1307" s="13" t="s">
        <v>472</v>
      </c>
      <c r="B1307" s="13" t="s">
        <v>471</v>
      </c>
      <c r="C1307" s="139">
        <v>46296</v>
      </c>
      <c r="D1307" s="139" t="s">
        <v>441</v>
      </c>
      <c r="E1307" s="28">
        <v>0.94339631000000002</v>
      </c>
      <c r="F1307" s="13"/>
      <c r="G1307" s="18">
        <v>5000000</v>
      </c>
      <c r="H1307" s="18">
        <v>4716981.57</v>
      </c>
      <c r="I1307" s="18">
        <v>5000000</v>
      </c>
      <c r="J1307" s="18">
        <v>4716981.57</v>
      </c>
      <c r="K1307" s="15">
        <v>784</v>
      </c>
      <c r="L1307" s="13" t="s">
        <v>102</v>
      </c>
      <c r="M1307" s="13" t="s">
        <v>103</v>
      </c>
      <c r="N1307" s="139" t="s">
        <v>495</v>
      </c>
      <c r="O1307" s="139" t="s">
        <v>495</v>
      </c>
      <c r="P1307" s="28">
        <v>30</v>
      </c>
      <c r="Q1307" s="13" t="s">
        <v>54</v>
      </c>
      <c r="R1307" s="13" t="s">
        <v>28</v>
      </c>
      <c r="S1307" s="13"/>
      <c r="T1307" s="13"/>
      <c r="U1307" s="13" t="s">
        <v>2182</v>
      </c>
      <c r="V1307" s="13" t="s">
        <v>2182</v>
      </c>
      <c r="W1307" s="59">
        <f t="shared" si="20"/>
        <v>9.0116094019938227E-5</v>
      </c>
    </row>
    <row r="1308" spans="1:29">
      <c r="A1308" s="13" t="s">
        <v>2057</v>
      </c>
      <c r="B1308" s="13" t="s">
        <v>471</v>
      </c>
      <c r="C1308" s="139">
        <v>46296</v>
      </c>
      <c r="D1308" s="139" t="s">
        <v>441</v>
      </c>
      <c r="E1308" s="28">
        <v>0.93808647999999994</v>
      </c>
      <c r="F1308" s="13"/>
      <c r="G1308" s="18">
        <v>15000000</v>
      </c>
      <c r="H1308" s="18">
        <v>14071297.23</v>
      </c>
      <c r="I1308" s="18">
        <v>15000000</v>
      </c>
      <c r="J1308" s="18">
        <v>14071297.23</v>
      </c>
      <c r="K1308" s="15">
        <v>2338</v>
      </c>
      <c r="L1308" s="13" t="s">
        <v>102</v>
      </c>
      <c r="M1308" s="13" t="s">
        <v>103</v>
      </c>
      <c r="N1308" s="139" t="s">
        <v>509</v>
      </c>
      <c r="O1308" s="139" t="s">
        <v>509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2049</v>
      </c>
      <c r="V1308" s="13" t="s">
        <v>2049</v>
      </c>
      <c r="W1308" s="59">
        <f t="shared" si="20"/>
        <v>2.6882664800430338E-4</v>
      </c>
    </row>
    <row r="1309" spans="1:29">
      <c r="A1309" s="13" t="s">
        <v>2057</v>
      </c>
      <c r="B1309" s="13" t="s">
        <v>471</v>
      </c>
      <c r="C1309" s="139">
        <v>46296</v>
      </c>
      <c r="D1309" s="139" t="s">
        <v>441</v>
      </c>
      <c r="E1309" s="28">
        <v>0.93808647999999994</v>
      </c>
      <c r="F1309" s="13"/>
      <c r="G1309" s="18">
        <v>15000000</v>
      </c>
      <c r="H1309" s="18">
        <v>14071297.23</v>
      </c>
      <c r="I1309" s="18">
        <v>15000000</v>
      </c>
      <c r="J1309" s="18">
        <v>14071297.23</v>
      </c>
      <c r="K1309" s="15">
        <v>2327</v>
      </c>
      <c r="L1309" s="13" t="s">
        <v>102</v>
      </c>
      <c r="M1309" s="13" t="s">
        <v>103</v>
      </c>
      <c r="N1309" s="139" t="s">
        <v>509</v>
      </c>
      <c r="O1309" s="139" t="s">
        <v>509</v>
      </c>
      <c r="P1309" s="28">
        <v>33</v>
      </c>
      <c r="Q1309" s="13" t="s">
        <v>54</v>
      </c>
      <c r="R1309" s="13" t="s">
        <v>28</v>
      </c>
      <c r="S1309" s="13"/>
      <c r="T1309" s="13"/>
      <c r="U1309" s="13" t="s">
        <v>2050</v>
      </c>
      <c r="V1309" s="13" t="s">
        <v>2050</v>
      </c>
      <c r="W1309" s="59">
        <f t="shared" si="20"/>
        <v>2.6882664800430338E-4</v>
      </c>
    </row>
    <row r="1310" spans="1:29">
      <c r="A1310" s="13" t="s">
        <v>472</v>
      </c>
      <c r="B1310" s="13" t="s">
        <v>471</v>
      </c>
      <c r="C1310" s="139">
        <v>46296</v>
      </c>
      <c r="D1310" s="139" t="s">
        <v>441</v>
      </c>
      <c r="E1310" s="28">
        <v>0.94339634000000006</v>
      </c>
      <c r="F1310" s="13"/>
      <c r="G1310" s="18">
        <v>10000000</v>
      </c>
      <c r="H1310" s="18">
        <v>9433963.4399999995</v>
      </c>
      <c r="I1310" s="18">
        <v>10000000</v>
      </c>
      <c r="J1310" s="18">
        <v>9433963.4399999995</v>
      </c>
      <c r="K1310" s="15">
        <v>675</v>
      </c>
      <c r="L1310" s="13" t="s">
        <v>102</v>
      </c>
      <c r="M1310" s="13" t="s">
        <v>103</v>
      </c>
      <c r="N1310" s="139" t="s">
        <v>354</v>
      </c>
      <c r="O1310" s="139" t="s">
        <v>354</v>
      </c>
      <c r="P1310" s="28">
        <v>30</v>
      </c>
      <c r="Q1310" s="13" t="s">
        <v>54</v>
      </c>
      <c r="R1310" s="13" t="s">
        <v>28</v>
      </c>
      <c r="S1310" s="13"/>
      <c r="T1310" s="13"/>
      <c r="U1310" s="13" t="s">
        <v>1693</v>
      </c>
      <c r="V1310" s="13" t="s">
        <v>1693</v>
      </c>
      <c r="W1310" s="59">
        <f t="shared" si="20"/>
        <v>1.8023219377125946E-4</v>
      </c>
    </row>
    <row r="1311" spans="1:29">
      <c r="A1311" s="13" t="s">
        <v>323</v>
      </c>
      <c r="B1311" s="13" t="s">
        <v>471</v>
      </c>
      <c r="C1311" s="139">
        <v>46296</v>
      </c>
      <c r="D1311" s="139" t="s">
        <v>441</v>
      </c>
      <c r="E1311" s="28">
        <v>0.95238098999999998</v>
      </c>
      <c r="F1311" s="13"/>
      <c r="G1311" s="18">
        <v>10000000</v>
      </c>
      <c r="H1311" s="18">
        <v>9523809.9199999999</v>
      </c>
      <c r="I1311" s="18">
        <v>10000000</v>
      </c>
      <c r="J1311" s="18">
        <v>9523809.9199999999</v>
      </c>
      <c r="K1311" s="15">
        <v>188</v>
      </c>
      <c r="L1311" s="13" t="s">
        <v>102</v>
      </c>
      <c r="M1311" s="13" t="s">
        <v>103</v>
      </c>
      <c r="N1311" s="139" t="s">
        <v>382</v>
      </c>
      <c r="O1311" s="139" t="s">
        <v>382</v>
      </c>
      <c r="P1311" s="28">
        <v>25</v>
      </c>
      <c r="Q1311" s="13" t="s">
        <v>54</v>
      </c>
      <c r="R1311" s="13" t="s">
        <v>28</v>
      </c>
      <c r="S1311" s="13"/>
      <c r="T1311" s="13"/>
      <c r="U1311" s="13" t="s">
        <v>2346</v>
      </c>
      <c r="V1311" s="13" t="s">
        <v>2346</v>
      </c>
      <c r="W1311" s="59">
        <f t="shared" si="20"/>
        <v>1.8194867574577788E-4</v>
      </c>
    </row>
    <row r="1312" spans="1:29">
      <c r="A1312" s="13" t="s">
        <v>1347</v>
      </c>
      <c r="B1312" s="13" t="s">
        <v>471</v>
      </c>
      <c r="C1312" s="139">
        <v>46297</v>
      </c>
      <c r="D1312" s="139" t="s">
        <v>441</v>
      </c>
      <c r="E1312" s="28">
        <v>0.93729145999999997</v>
      </c>
      <c r="F1312" s="13"/>
      <c r="G1312" s="18">
        <v>3772034.12</v>
      </c>
      <c r="H1312" s="18">
        <v>3535495.35</v>
      </c>
      <c r="I1312" s="18">
        <v>3772034.12</v>
      </c>
      <c r="J1312" s="18">
        <v>3535495.35</v>
      </c>
      <c r="K1312" s="15">
        <v>638</v>
      </c>
      <c r="L1312" s="13" t="s">
        <v>102</v>
      </c>
      <c r="M1312" s="13" t="s">
        <v>103</v>
      </c>
      <c r="N1312" s="139" t="s">
        <v>174</v>
      </c>
      <c r="O1312" s="139" t="s">
        <v>174</v>
      </c>
      <c r="P1312" s="28">
        <v>33</v>
      </c>
      <c r="Q1312" s="13" t="s">
        <v>54</v>
      </c>
      <c r="R1312" s="13" t="s">
        <v>28</v>
      </c>
      <c r="S1312" s="13"/>
      <c r="T1312" s="13"/>
      <c r="U1312" s="13" t="s">
        <v>1339</v>
      </c>
      <c r="V1312" s="13" t="s">
        <v>1339</v>
      </c>
      <c r="W1312" s="59">
        <f t="shared" si="20"/>
        <v>6.7544260379133594E-5</v>
      </c>
    </row>
    <row r="1313" spans="1:29">
      <c r="A1313" s="13" t="s">
        <v>1045</v>
      </c>
      <c r="B1313" s="13" t="s">
        <v>471</v>
      </c>
      <c r="C1313" s="139">
        <v>46297</v>
      </c>
      <c r="D1313" s="139" t="s">
        <v>441</v>
      </c>
      <c r="E1313" s="28">
        <v>0.93907587000000003</v>
      </c>
      <c r="F1313" s="13"/>
      <c r="G1313" s="18">
        <v>33683512.119999997</v>
      </c>
      <c r="H1313" s="18">
        <v>31631373.379999999</v>
      </c>
      <c r="I1313" s="18">
        <v>33683512.119999997</v>
      </c>
      <c r="J1313" s="18">
        <v>31631373.379999999</v>
      </c>
      <c r="K1313" s="15">
        <v>29635893</v>
      </c>
      <c r="L1313" s="13" t="s">
        <v>102</v>
      </c>
      <c r="M1313" s="13" t="s">
        <v>103</v>
      </c>
      <c r="N1313" s="139" t="s">
        <v>495</v>
      </c>
      <c r="O1313" s="139" t="s">
        <v>495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2160</v>
      </c>
      <c r="V1313" s="13" t="s">
        <v>2160</v>
      </c>
      <c r="W1313" s="59">
        <f t="shared" si="20"/>
        <v>6.0430505720459086E-4</v>
      </c>
      <c r="AC1313" s="56"/>
    </row>
    <row r="1314" spans="1:29">
      <c r="A1314" s="13" t="s">
        <v>472</v>
      </c>
      <c r="B1314" s="13" t="s">
        <v>471</v>
      </c>
      <c r="C1314" s="139">
        <v>46297</v>
      </c>
      <c r="D1314" s="139" t="s">
        <v>441</v>
      </c>
      <c r="E1314" s="28">
        <v>0.94266534000000002</v>
      </c>
      <c r="F1314" s="13"/>
      <c r="G1314" s="18">
        <v>10000000</v>
      </c>
      <c r="H1314" s="18">
        <v>9426653.3800000008</v>
      </c>
      <c r="I1314" s="18">
        <v>10000000</v>
      </c>
      <c r="J1314" s="18">
        <v>9426653.3800000008</v>
      </c>
      <c r="K1314" s="15">
        <v>571</v>
      </c>
      <c r="L1314" s="13" t="s">
        <v>102</v>
      </c>
      <c r="M1314" s="13" t="s">
        <v>103</v>
      </c>
      <c r="N1314" s="139" t="s">
        <v>368</v>
      </c>
      <c r="O1314" s="139" t="s">
        <v>368</v>
      </c>
      <c r="P1314" s="28">
        <v>30</v>
      </c>
      <c r="Q1314" s="13" t="s">
        <v>54</v>
      </c>
      <c r="R1314" s="13" t="s">
        <v>28</v>
      </c>
      <c r="S1314" s="13"/>
      <c r="T1314" s="13"/>
      <c r="U1314" s="13" t="s">
        <v>1286</v>
      </c>
      <c r="V1314" s="13" t="s">
        <v>1286</v>
      </c>
      <c r="W1314" s="59">
        <f t="shared" si="20"/>
        <v>1.8009253792472386E-4</v>
      </c>
    </row>
    <row r="1315" spans="1:29">
      <c r="A1315" s="13" t="s">
        <v>472</v>
      </c>
      <c r="B1315" s="13" t="s">
        <v>471</v>
      </c>
      <c r="C1315" s="139">
        <v>46297</v>
      </c>
      <c r="D1315" s="139" t="s">
        <v>441</v>
      </c>
      <c r="E1315" s="28">
        <v>0.94266530999999998</v>
      </c>
      <c r="F1315" s="13"/>
      <c r="G1315" s="18">
        <v>5000000</v>
      </c>
      <c r="H1315" s="18">
        <v>4713326.55</v>
      </c>
      <c r="I1315" s="18">
        <v>5000000</v>
      </c>
      <c r="J1315" s="18">
        <v>4713326.55</v>
      </c>
      <c r="K1315" s="15">
        <v>785</v>
      </c>
      <c r="L1315" s="13" t="s">
        <v>102</v>
      </c>
      <c r="M1315" s="13" t="s">
        <v>103</v>
      </c>
      <c r="N1315" s="139" t="s">
        <v>495</v>
      </c>
      <c r="O1315" s="139" t="s">
        <v>495</v>
      </c>
      <c r="P1315" s="28">
        <v>30</v>
      </c>
      <c r="Q1315" s="13" t="s">
        <v>54</v>
      </c>
      <c r="R1315" s="13" t="s">
        <v>28</v>
      </c>
      <c r="S1315" s="13"/>
      <c r="T1315" s="13"/>
      <c r="U1315" s="13" t="s">
        <v>2183</v>
      </c>
      <c r="V1315" s="13" t="s">
        <v>2183</v>
      </c>
      <c r="W1315" s="59">
        <f t="shared" si="20"/>
        <v>9.0046266287716498E-5</v>
      </c>
    </row>
    <row r="1316" spans="1:29">
      <c r="A1316" s="13" t="s">
        <v>323</v>
      </c>
      <c r="B1316" s="13" t="s">
        <v>471</v>
      </c>
      <c r="C1316" s="139">
        <v>46297</v>
      </c>
      <c r="D1316" s="139" t="s">
        <v>441</v>
      </c>
      <c r="E1316" s="28">
        <v>0.94992732999999996</v>
      </c>
      <c r="F1316" s="13"/>
      <c r="G1316" s="18">
        <v>10000000</v>
      </c>
      <c r="H1316" s="18">
        <v>9499273.3200000003</v>
      </c>
      <c r="I1316" s="18">
        <v>10000000</v>
      </c>
      <c r="J1316" s="18">
        <v>9499273.3200000003</v>
      </c>
      <c r="K1316" s="15">
        <v>9621091</v>
      </c>
      <c r="L1316" s="13" t="s">
        <v>102</v>
      </c>
      <c r="M1316" s="13" t="s">
        <v>103</v>
      </c>
      <c r="N1316" s="139" t="s">
        <v>382</v>
      </c>
      <c r="O1316" s="139" t="s">
        <v>382</v>
      </c>
      <c r="P1316" s="28">
        <v>26</v>
      </c>
      <c r="Q1316" s="13" t="s">
        <v>54</v>
      </c>
      <c r="R1316" s="13" t="s">
        <v>28</v>
      </c>
      <c r="S1316" s="13"/>
      <c r="T1316" s="13"/>
      <c r="U1316" s="13" t="s">
        <v>2388</v>
      </c>
      <c r="V1316" s="13" t="s">
        <v>2388</v>
      </c>
      <c r="W1316" s="59">
        <f t="shared" si="20"/>
        <v>1.8147991356816148E-4</v>
      </c>
    </row>
    <row r="1317" spans="1:29">
      <c r="A1317" s="13" t="s">
        <v>300</v>
      </c>
      <c r="B1317" s="13" t="s">
        <v>471</v>
      </c>
      <c r="C1317" s="139">
        <v>46297</v>
      </c>
      <c r="D1317" s="139" t="s">
        <v>441</v>
      </c>
      <c r="E1317" s="28">
        <v>0.94086723999999999</v>
      </c>
      <c r="F1317" s="13"/>
      <c r="G1317" s="18">
        <v>16500000</v>
      </c>
      <c r="H1317" s="18">
        <v>15524309.390000001</v>
      </c>
      <c r="I1317" s="18">
        <v>16500000</v>
      </c>
      <c r="J1317" s="18">
        <v>15524309.390000001</v>
      </c>
      <c r="K1317" s="15">
        <v>28675</v>
      </c>
      <c r="L1317" s="13" t="s">
        <v>102</v>
      </c>
      <c r="M1317" s="13" t="s">
        <v>103</v>
      </c>
      <c r="N1317" s="139" t="s">
        <v>374</v>
      </c>
      <c r="O1317" s="139" t="s">
        <v>374</v>
      </c>
      <c r="P1317" s="28">
        <v>31</v>
      </c>
      <c r="Q1317" s="13" t="s">
        <v>54</v>
      </c>
      <c r="R1317" s="13" t="s">
        <v>28</v>
      </c>
      <c r="S1317" s="13"/>
      <c r="T1317" s="13"/>
      <c r="U1317" s="13" t="s">
        <v>885</v>
      </c>
      <c r="V1317" s="13" t="s">
        <v>885</v>
      </c>
      <c r="W1317" s="59">
        <f t="shared" si="20"/>
        <v>2.9658587887674317E-4</v>
      </c>
    </row>
    <row r="1318" spans="1:29">
      <c r="A1318" s="13" t="s">
        <v>323</v>
      </c>
      <c r="B1318" s="13" t="s">
        <v>471</v>
      </c>
      <c r="C1318" s="139">
        <v>46297</v>
      </c>
      <c r="D1318" s="139" t="s">
        <v>441</v>
      </c>
      <c r="E1318" s="28">
        <v>0.94810123000000002</v>
      </c>
      <c r="F1318" s="13"/>
      <c r="G1318" s="18">
        <v>24500000</v>
      </c>
      <c r="H1318" s="18">
        <v>23228480.25</v>
      </c>
      <c r="I1318" s="18">
        <v>24500000</v>
      </c>
      <c r="J1318" s="18">
        <v>23228480.25</v>
      </c>
      <c r="K1318" s="15">
        <v>34218</v>
      </c>
      <c r="L1318" s="13" t="s">
        <v>102</v>
      </c>
      <c r="M1318" s="13" t="s">
        <v>103</v>
      </c>
      <c r="N1318" s="139" t="s">
        <v>494</v>
      </c>
      <c r="O1318" s="139" t="s">
        <v>494</v>
      </c>
      <c r="P1318" s="28">
        <v>27</v>
      </c>
      <c r="Q1318" s="13" t="s">
        <v>54</v>
      </c>
      <c r="R1318" s="13" t="s">
        <v>28</v>
      </c>
      <c r="S1318" s="13"/>
      <c r="T1318" s="13"/>
      <c r="U1318" s="13" t="s">
        <v>1997</v>
      </c>
      <c r="V1318" s="13" t="s">
        <v>1997</v>
      </c>
      <c r="W1318" s="59">
        <f t="shared" si="20"/>
        <v>4.4377105975194176E-4</v>
      </c>
      <c r="AC1318" s="56"/>
    </row>
    <row r="1319" spans="1:29">
      <c r="A1319" s="13" t="s">
        <v>661</v>
      </c>
      <c r="B1319" s="13" t="s">
        <v>471</v>
      </c>
      <c r="C1319" s="139">
        <v>46297</v>
      </c>
      <c r="D1319" s="139" t="s">
        <v>441</v>
      </c>
      <c r="E1319" s="28">
        <v>0.94447044000000002</v>
      </c>
      <c r="F1319" s="13"/>
      <c r="G1319" s="18">
        <v>10000000</v>
      </c>
      <c r="H1319" s="18">
        <v>9444704.3599999994</v>
      </c>
      <c r="I1319" s="18">
        <v>10000000</v>
      </c>
      <c r="J1319" s="18">
        <v>9444704.3599999994</v>
      </c>
      <c r="K1319" s="15">
        <v>3487825</v>
      </c>
      <c r="L1319" s="13" t="s">
        <v>102</v>
      </c>
      <c r="M1319" s="13" t="s">
        <v>103</v>
      </c>
      <c r="N1319" s="139" t="s">
        <v>326</v>
      </c>
      <c r="O1319" s="139" t="s">
        <v>326</v>
      </c>
      <c r="P1319" s="28">
        <v>29</v>
      </c>
      <c r="Q1319" s="13" t="s">
        <v>54</v>
      </c>
      <c r="R1319" s="13" t="s">
        <v>28</v>
      </c>
      <c r="S1319" s="13"/>
      <c r="T1319" s="13"/>
      <c r="U1319" s="13" t="s">
        <v>977</v>
      </c>
      <c r="V1319" s="13" t="s">
        <v>977</v>
      </c>
      <c r="W1319" s="59">
        <f t="shared" si="20"/>
        <v>1.8043739486060369E-4</v>
      </c>
    </row>
    <row r="1320" spans="1:29">
      <c r="A1320" s="13" t="s">
        <v>380</v>
      </c>
      <c r="B1320" s="13" t="s">
        <v>471</v>
      </c>
      <c r="C1320" s="139">
        <v>46297</v>
      </c>
      <c r="D1320" s="139" t="s">
        <v>441</v>
      </c>
      <c r="E1320" s="28">
        <v>0.94266536000000001</v>
      </c>
      <c r="F1320" s="13"/>
      <c r="G1320" s="18">
        <v>100000000</v>
      </c>
      <c r="H1320" s="18">
        <v>94266536.489999995</v>
      </c>
      <c r="I1320" s="18">
        <v>100000000</v>
      </c>
      <c r="J1320" s="18">
        <v>94266536.489999995</v>
      </c>
      <c r="K1320" s="15">
        <v>6676</v>
      </c>
      <c r="L1320" s="13" t="s">
        <v>102</v>
      </c>
      <c r="M1320" s="13" t="s">
        <v>103</v>
      </c>
      <c r="N1320" s="139" t="s">
        <v>389</v>
      </c>
      <c r="O1320" s="139" t="s">
        <v>389</v>
      </c>
      <c r="P1320" s="28">
        <v>30</v>
      </c>
      <c r="Q1320" s="13" t="s">
        <v>54</v>
      </c>
      <c r="R1320" s="13" t="s">
        <v>28</v>
      </c>
      <c r="S1320" s="13"/>
      <c r="T1320" s="13"/>
      <c r="U1320" s="13" t="s">
        <v>1601</v>
      </c>
      <c r="V1320" s="13" t="s">
        <v>1601</v>
      </c>
      <c r="W1320" s="59">
        <f t="shared" si="20"/>
        <v>1.8009254306386396E-3</v>
      </c>
    </row>
    <row r="1321" spans="1:29">
      <c r="A1321" s="13" t="s">
        <v>581</v>
      </c>
      <c r="B1321" s="13" t="s">
        <v>471</v>
      </c>
      <c r="C1321" s="139">
        <v>46297</v>
      </c>
      <c r="D1321" s="139" t="s">
        <v>441</v>
      </c>
      <c r="E1321" s="28">
        <v>0.94628228000000003</v>
      </c>
      <c r="F1321" s="13"/>
      <c r="G1321" s="18">
        <v>15000000</v>
      </c>
      <c r="H1321" s="18">
        <v>14194234.27</v>
      </c>
      <c r="I1321" s="18">
        <v>15000000</v>
      </c>
      <c r="J1321" s="18">
        <v>14194234.27</v>
      </c>
      <c r="K1321" s="15">
        <v>360568</v>
      </c>
      <c r="L1321" s="13" t="s">
        <v>102</v>
      </c>
      <c r="M1321" s="13" t="s">
        <v>103</v>
      </c>
      <c r="N1321" s="139" t="s">
        <v>348</v>
      </c>
      <c r="O1321" s="139" t="s">
        <v>348</v>
      </c>
      <c r="P1321" s="28">
        <v>28</v>
      </c>
      <c r="Q1321" s="13" t="s">
        <v>54</v>
      </c>
      <c r="R1321" s="13" t="s">
        <v>28</v>
      </c>
      <c r="S1321" s="13"/>
      <c r="T1321" s="13"/>
      <c r="U1321" s="13" t="s">
        <v>729</v>
      </c>
      <c r="V1321" s="13" t="s">
        <v>729</v>
      </c>
      <c r="W1321" s="59">
        <f t="shared" si="20"/>
        <v>2.7117531222755004E-4</v>
      </c>
    </row>
    <row r="1322" spans="1:29">
      <c r="A1322" s="13" t="s">
        <v>661</v>
      </c>
      <c r="B1322" s="13" t="s">
        <v>471</v>
      </c>
      <c r="C1322" s="139">
        <v>46297</v>
      </c>
      <c r="D1322" s="139" t="s">
        <v>441</v>
      </c>
      <c r="E1322" s="28">
        <v>0.93729145999999997</v>
      </c>
      <c r="F1322" s="13"/>
      <c r="G1322" s="18">
        <v>21387500</v>
      </c>
      <c r="H1322" s="18">
        <v>20046321.09</v>
      </c>
      <c r="I1322" s="18">
        <v>21387500</v>
      </c>
      <c r="J1322" s="18">
        <v>20046321.09</v>
      </c>
      <c r="K1322" s="15">
        <v>3233105</v>
      </c>
      <c r="L1322" s="13" t="s">
        <v>102</v>
      </c>
      <c r="M1322" s="13" t="s">
        <v>103</v>
      </c>
      <c r="N1322" s="139" t="s">
        <v>397</v>
      </c>
      <c r="O1322" s="139" t="s">
        <v>397</v>
      </c>
      <c r="P1322" s="28">
        <v>33</v>
      </c>
      <c r="Q1322" s="13" t="s">
        <v>54</v>
      </c>
      <c r="R1322" s="13" t="s">
        <v>28</v>
      </c>
      <c r="S1322" s="13"/>
      <c r="T1322" s="13"/>
      <c r="U1322" s="13" t="s">
        <v>680</v>
      </c>
      <c r="V1322" s="13" t="s">
        <v>680</v>
      </c>
      <c r="W1322" s="59">
        <f t="shared" si="20"/>
        <v>3.8297714953766725E-4</v>
      </c>
    </row>
    <row r="1323" spans="1:29">
      <c r="A1323" s="13" t="s">
        <v>661</v>
      </c>
      <c r="B1323" s="13" t="s">
        <v>471</v>
      </c>
      <c r="C1323" s="139">
        <v>46297</v>
      </c>
      <c r="D1323" s="139" t="s">
        <v>441</v>
      </c>
      <c r="E1323" s="28">
        <v>0.94992719000000003</v>
      </c>
      <c r="F1323" s="13"/>
      <c r="G1323" s="18">
        <v>9000000</v>
      </c>
      <c r="H1323" s="18">
        <v>8549344.75</v>
      </c>
      <c r="I1323" s="18">
        <v>9000000</v>
      </c>
      <c r="J1323" s="18">
        <v>8549344.75</v>
      </c>
      <c r="K1323" s="15">
        <v>3487870</v>
      </c>
      <c r="L1323" s="13" t="s">
        <v>102</v>
      </c>
      <c r="M1323" s="13" t="s">
        <v>103</v>
      </c>
      <c r="N1323" s="139" t="s">
        <v>319</v>
      </c>
      <c r="O1323" s="139" t="s">
        <v>319</v>
      </c>
      <c r="P1323" s="28">
        <v>26</v>
      </c>
      <c r="Q1323" s="13" t="s">
        <v>54</v>
      </c>
      <c r="R1323" s="13" t="s">
        <v>28</v>
      </c>
      <c r="S1323" s="13"/>
      <c r="T1323" s="13"/>
      <c r="U1323" s="13" t="s">
        <v>1186</v>
      </c>
      <c r="V1323" s="13" t="s">
        <v>1186</v>
      </c>
      <c r="W1323" s="59">
        <f t="shared" si="20"/>
        <v>1.6333189855983796E-4</v>
      </c>
    </row>
    <row r="1324" spans="1:29">
      <c r="A1324" s="13" t="s">
        <v>661</v>
      </c>
      <c r="B1324" s="13" t="s">
        <v>471</v>
      </c>
      <c r="C1324" s="139">
        <v>46297</v>
      </c>
      <c r="D1324" s="139" t="s">
        <v>441</v>
      </c>
      <c r="E1324" s="28">
        <v>0.94992719000000003</v>
      </c>
      <c r="F1324" s="13"/>
      <c r="G1324" s="18">
        <v>9000000</v>
      </c>
      <c r="H1324" s="18">
        <v>8549344.75</v>
      </c>
      <c r="I1324" s="18">
        <v>9000000</v>
      </c>
      <c r="J1324" s="18">
        <v>8549344.75</v>
      </c>
      <c r="K1324" s="15">
        <v>3385280</v>
      </c>
      <c r="L1324" s="13" t="s">
        <v>102</v>
      </c>
      <c r="M1324" s="13" t="s">
        <v>103</v>
      </c>
      <c r="N1324" s="139" t="s">
        <v>319</v>
      </c>
      <c r="O1324" s="139" t="s">
        <v>319</v>
      </c>
      <c r="P1324" s="28">
        <v>26</v>
      </c>
      <c r="Q1324" s="13" t="s">
        <v>54</v>
      </c>
      <c r="R1324" s="13" t="s">
        <v>28</v>
      </c>
      <c r="S1324" s="13"/>
      <c r="T1324" s="13"/>
      <c r="U1324" s="13" t="s">
        <v>1188</v>
      </c>
      <c r="V1324" s="13" t="s">
        <v>1188</v>
      </c>
      <c r="W1324" s="59">
        <f t="shared" si="20"/>
        <v>1.6333189855983796E-4</v>
      </c>
    </row>
    <row r="1325" spans="1:29">
      <c r="A1325" s="13" t="s">
        <v>834</v>
      </c>
      <c r="B1325" s="13" t="s">
        <v>130</v>
      </c>
      <c r="C1325" s="139">
        <v>46300</v>
      </c>
      <c r="D1325" s="139" t="s">
        <v>441</v>
      </c>
      <c r="E1325" s="28">
        <v>0.98544799000000005</v>
      </c>
      <c r="F1325" s="13" t="s">
        <v>2487</v>
      </c>
      <c r="G1325" s="18">
        <v>50000</v>
      </c>
      <c r="H1325" s="18">
        <v>49272.4</v>
      </c>
      <c r="I1325" s="18">
        <v>74008749.019999996</v>
      </c>
      <c r="J1325" s="18">
        <v>72931773.700000003</v>
      </c>
      <c r="K1325" s="15">
        <v>150093</v>
      </c>
      <c r="L1325" s="13" t="s">
        <v>102</v>
      </c>
      <c r="M1325" s="13" t="s">
        <v>103</v>
      </c>
      <c r="N1325" s="139" t="s">
        <v>427</v>
      </c>
      <c r="O1325" s="139" t="s">
        <v>427</v>
      </c>
      <c r="P1325" s="28">
        <v>7</v>
      </c>
      <c r="Q1325" s="13" t="s">
        <v>54</v>
      </c>
      <c r="R1325" s="13" t="s">
        <v>28</v>
      </c>
      <c r="S1325" s="13"/>
      <c r="T1325" s="13"/>
      <c r="U1325" s="13" t="s">
        <v>1064</v>
      </c>
      <c r="V1325" s="13" t="s">
        <v>1064</v>
      </c>
      <c r="W1325" s="59">
        <f t="shared" si="20"/>
        <v>1.3933331047104468E-3</v>
      </c>
    </row>
    <row r="1326" spans="1:29">
      <c r="A1326" s="13" t="s">
        <v>834</v>
      </c>
      <c r="B1326" s="13" t="s">
        <v>130</v>
      </c>
      <c r="C1326" s="139">
        <v>46300</v>
      </c>
      <c r="D1326" s="139" t="s">
        <v>441</v>
      </c>
      <c r="E1326" s="28">
        <v>0.98136787999999997</v>
      </c>
      <c r="F1326" s="13" t="s">
        <v>2487</v>
      </c>
      <c r="G1326" s="18">
        <v>25000</v>
      </c>
      <c r="H1326" s="18">
        <v>24534.2</v>
      </c>
      <c r="I1326" s="18">
        <v>37004374.509999998</v>
      </c>
      <c r="J1326" s="18">
        <v>36314909</v>
      </c>
      <c r="K1326" s="15">
        <v>150614</v>
      </c>
      <c r="L1326" s="13" t="s">
        <v>102</v>
      </c>
      <c r="M1326" s="13" t="s">
        <v>103</v>
      </c>
      <c r="N1326" s="139" t="s">
        <v>162</v>
      </c>
      <c r="O1326" s="139" t="s">
        <v>162</v>
      </c>
      <c r="P1326" s="28">
        <v>9</v>
      </c>
      <c r="Q1326" s="13" t="s">
        <v>54</v>
      </c>
      <c r="R1326" s="13" t="s">
        <v>28</v>
      </c>
      <c r="S1326" s="13"/>
      <c r="T1326" s="13"/>
      <c r="U1326" s="13" t="s">
        <v>1095</v>
      </c>
      <c r="V1326" s="13" t="s">
        <v>1095</v>
      </c>
      <c r="W1326" s="59">
        <f t="shared" si="20"/>
        <v>6.937821793883966E-4</v>
      </c>
    </row>
    <row r="1327" spans="1:29">
      <c r="A1327" s="13" t="s">
        <v>651</v>
      </c>
      <c r="B1327" s="13" t="s">
        <v>471</v>
      </c>
      <c r="C1327" s="139">
        <v>46300</v>
      </c>
      <c r="D1327" s="139" t="s">
        <v>441</v>
      </c>
      <c r="E1327" s="28">
        <v>0.92218294000000001</v>
      </c>
      <c r="F1327" s="13"/>
      <c r="G1327" s="18">
        <v>7203888</v>
      </c>
      <c r="H1327" s="18">
        <v>6643302.6399999997</v>
      </c>
      <c r="I1327" s="18">
        <v>7203888</v>
      </c>
      <c r="J1327" s="18">
        <v>6643302.6399999997</v>
      </c>
      <c r="K1327" s="15">
        <v>66329827</v>
      </c>
      <c r="L1327" s="13" t="s">
        <v>102</v>
      </c>
      <c r="M1327" s="13" t="s">
        <v>103</v>
      </c>
      <c r="N1327" s="139" t="s">
        <v>358</v>
      </c>
      <c r="O1327" s="139" t="s">
        <v>358</v>
      </c>
      <c r="P1327" s="28">
        <v>40</v>
      </c>
      <c r="Q1327" s="13" t="s">
        <v>54</v>
      </c>
      <c r="R1327" s="13" t="s">
        <v>28</v>
      </c>
      <c r="S1327" s="13"/>
      <c r="T1327" s="13"/>
      <c r="U1327" s="13" t="s">
        <v>628</v>
      </c>
      <c r="V1327" s="13" t="s">
        <v>628</v>
      </c>
      <c r="W1327" s="59">
        <f t="shared" si="20"/>
        <v>1.2691770710249853E-4</v>
      </c>
    </row>
    <row r="1328" spans="1:29">
      <c r="A1328" s="13" t="s">
        <v>821</v>
      </c>
      <c r="B1328" s="13" t="s">
        <v>471</v>
      </c>
      <c r="C1328" s="139">
        <v>46300</v>
      </c>
      <c r="D1328" s="139" t="s">
        <v>441</v>
      </c>
      <c r="E1328" s="28">
        <v>0.92578503000000001</v>
      </c>
      <c r="F1328" s="13"/>
      <c r="G1328" s="18">
        <v>6500236.5700000003</v>
      </c>
      <c r="H1328" s="18">
        <v>6017821.6799999997</v>
      </c>
      <c r="I1328" s="18">
        <v>6500236.5700000003</v>
      </c>
      <c r="J1328" s="18">
        <v>6017821.6799999997</v>
      </c>
      <c r="K1328" s="15">
        <v>90000580</v>
      </c>
      <c r="L1328" s="13" t="s">
        <v>102</v>
      </c>
      <c r="M1328" s="13" t="s">
        <v>103</v>
      </c>
      <c r="N1328" s="139" t="s">
        <v>355</v>
      </c>
      <c r="O1328" s="139" t="s">
        <v>355</v>
      </c>
      <c r="P1328" s="28">
        <v>38</v>
      </c>
      <c r="Q1328" s="13" t="s">
        <v>54</v>
      </c>
      <c r="R1328" s="13" t="s">
        <v>28</v>
      </c>
      <c r="S1328" s="13"/>
      <c r="T1328" s="13"/>
      <c r="U1328" s="13" t="s">
        <v>846</v>
      </c>
      <c r="V1328" s="13" t="s">
        <v>846</v>
      </c>
      <c r="W1328" s="59">
        <f t="shared" si="20"/>
        <v>1.1496813720009987E-4</v>
      </c>
    </row>
    <row r="1329" spans="1:29">
      <c r="A1329" s="13" t="s">
        <v>472</v>
      </c>
      <c r="B1329" s="13" t="s">
        <v>471</v>
      </c>
      <c r="C1329" s="139">
        <v>46300</v>
      </c>
      <c r="D1329" s="139" t="s">
        <v>441</v>
      </c>
      <c r="E1329" s="28">
        <v>0.94047932000000001</v>
      </c>
      <c r="F1329" s="13"/>
      <c r="G1329" s="18">
        <v>5000000</v>
      </c>
      <c r="H1329" s="18">
        <v>4702396.62</v>
      </c>
      <c r="I1329" s="18">
        <v>5000000</v>
      </c>
      <c r="J1329" s="18">
        <v>4702396.62</v>
      </c>
      <c r="K1329" s="15">
        <v>788</v>
      </c>
      <c r="L1329" s="13" t="s">
        <v>102</v>
      </c>
      <c r="M1329" s="13" t="s">
        <v>103</v>
      </c>
      <c r="N1329" s="139" t="s">
        <v>495</v>
      </c>
      <c r="O1329" s="139" t="s">
        <v>495</v>
      </c>
      <c r="P1329" s="28">
        <v>30</v>
      </c>
      <c r="Q1329" s="13" t="s">
        <v>54</v>
      </c>
      <c r="R1329" s="13" t="s">
        <v>28</v>
      </c>
      <c r="S1329" s="13"/>
      <c r="T1329" s="13"/>
      <c r="U1329" s="13" t="s">
        <v>2168</v>
      </c>
      <c r="V1329" s="13" t="s">
        <v>2168</v>
      </c>
      <c r="W1329" s="59">
        <f t="shared" si="20"/>
        <v>8.9837454236006204E-5</v>
      </c>
    </row>
    <row r="1330" spans="1:29">
      <c r="A1330" s="13" t="s">
        <v>323</v>
      </c>
      <c r="B1330" s="13" t="s">
        <v>471</v>
      </c>
      <c r="C1330" s="139">
        <v>46300</v>
      </c>
      <c r="D1330" s="139" t="s">
        <v>441</v>
      </c>
      <c r="E1330" s="28">
        <v>0.94990260999999998</v>
      </c>
      <c r="F1330" s="13"/>
      <c r="G1330" s="18">
        <v>8650000</v>
      </c>
      <c r="H1330" s="18">
        <v>8216657.5899999999</v>
      </c>
      <c r="I1330" s="18">
        <v>8650000</v>
      </c>
      <c r="J1330" s="18">
        <v>8216657.5899999999</v>
      </c>
      <c r="K1330" s="15">
        <v>34383</v>
      </c>
      <c r="L1330" s="13" t="s">
        <v>102</v>
      </c>
      <c r="M1330" s="13" t="s">
        <v>103</v>
      </c>
      <c r="N1330" s="139" t="s">
        <v>441</v>
      </c>
      <c r="O1330" s="139" t="s">
        <v>441</v>
      </c>
      <c r="P1330" s="28">
        <v>25</v>
      </c>
      <c r="Q1330" s="13" t="s">
        <v>54</v>
      </c>
      <c r="R1330" s="13" t="s">
        <v>28</v>
      </c>
      <c r="S1330" s="13"/>
      <c r="T1330" s="13"/>
      <c r="U1330" s="13" t="s">
        <v>2439</v>
      </c>
      <c r="V1330" s="13" t="s">
        <v>2439</v>
      </c>
      <c r="W1330" s="59">
        <f t="shared" si="20"/>
        <v>1.5697604006328117E-4</v>
      </c>
    </row>
    <row r="1331" spans="1:29">
      <c r="A1331" s="13" t="s">
        <v>581</v>
      </c>
      <c r="B1331" s="13" t="s">
        <v>471</v>
      </c>
      <c r="C1331" s="139">
        <v>46301</v>
      </c>
      <c r="D1331" s="139" t="s">
        <v>441</v>
      </c>
      <c r="E1331" s="28">
        <v>0.94354258999999996</v>
      </c>
      <c r="F1331" s="13"/>
      <c r="G1331" s="18">
        <v>2500000</v>
      </c>
      <c r="H1331" s="18">
        <v>2358856.4700000002</v>
      </c>
      <c r="I1331" s="18">
        <v>2500000</v>
      </c>
      <c r="J1331" s="18">
        <v>2358856.4700000002</v>
      </c>
      <c r="K1331" s="15">
        <v>90031811</v>
      </c>
      <c r="L1331" s="13" t="s">
        <v>102</v>
      </c>
      <c r="M1331" s="13" t="s">
        <v>103</v>
      </c>
      <c r="N1331" s="139" t="s">
        <v>327</v>
      </c>
      <c r="O1331" s="139" t="s">
        <v>327</v>
      </c>
      <c r="P1331" s="28">
        <v>28</v>
      </c>
      <c r="Q1331" s="13" t="s">
        <v>54</v>
      </c>
      <c r="R1331" s="13" t="s">
        <v>28</v>
      </c>
      <c r="S1331" s="13"/>
      <c r="T1331" s="13"/>
      <c r="U1331" s="13" t="s">
        <v>756</v>
      </c>
      <c r="V1331" s="13" t="s">
        <v>756</v>
      </c>
      <c r="W1331" s="59">
        <f t="shared" si="20"/>
        <v>4.5065033279334945E-5</v>
      </c>
    </row>
    <row r="1332" spans="1:29">
      <c r="A1332" s="13" t="s">
        <v>737</v>
      </c>
      <c r="B1332" s="13" t="s">
        <v>471</v>
      </c>
      <c r="C1332" s="139">
        <v>46301</v>
      </c>
      <c r="D1332" s="139" t="s">
        <v>441</v>
      </c>
      <c r="E1332" s="28">
        <v>0.95121460000000002</v>
      </c>
      <c r="F1332" s="13"/>
      <c r="G1332" s="18">
        <v>2500000</v>
      </c>
      <c r="H1332" s="18">
        <v>2378036.4900000002</v>
      </c>
      <c r="I1332" s="18">
        <v>2500000</v>
      </c>
      <c r="J1332" s="18">
        <v>2378036.4900000002</v>
      </c>
      <c r="K1332" s="15">
        <v>16821015</v>
      </c>
      <c r="L1332" s="13" t="s">
        <v>102</v>
      </c>
      <c r="M1332" s="13" t="s">
        <v>103</v>
      </c>
      <c r="N1332" s="139" t="s">
        <v>382</v>
      </c>
      <c r="O1332" s="139" t="s">
        <v>382</v>
      </c>
      <c r="P1332" s="28">
        <v>24</v>
      </c>
      <c r="Q1332" s="13" t="s">
        <v>54</v>
      </c>
      <c r="R1332" s="13" t="s">
        <v>28</v>
      </c>
      <c r="S1332" s="13"/>
      <c r="T1332" s="13"/>
      <c r="U1332" s="13" t="s">
        <v>2364</v>
      </c>
      <c r="V1332" s="13" t="s">
        <v>2364</v>
      </c>
      <c r="W1332" s="59">
        <f t="shared" si="20"/>
        <v>4.5431460084268229E-5</v>
      </c>
    </row>
    <row r="1333" spans="1:29">
      <c r="A1333" s="13" t="s">
        <v>323</v>
      </c>
      <c r="B1333" s="13" t="s">
        <v>471</v>
      </c>
      <c r="C1333" s="139">
        <v>46301</v>
      </c>
      <c r="D1333" s="139" t="s">
        <v>441</v>
      </c>
      <c r="E1333" s="28">
        <v>0.94928495999999996</v>
      </c>
      <c r="F1333" s="13"/>
      <c r="G1333" s="18">
        <v>25000000</v>
      </c>
      <c r="H1333" s="18">
        <v>23732124.02</v>
      </c>
      <c r="I1333" s="18">
        <v>25000000</v>
      </c>
      <c r="J1333" s="18">
        <v>23732124.02</v>
      </c>
      <c r="K1333" s="15">
        <v>68393694</v>
      </c>
      <c r="L1333" s="13" t="s">
        <v>102</v>
      </c>
      <c r="M1333" s="13" t="s">
        <v>103</v>
      </c>
      <c r="N1333" s="139" t="s">
        <v>382</v>
      </c>
      <c r="O1333" s="139" t="s">
        <v>382</v>
      </c>
      <c r="P1333" s="28">
        <v>25</v>
      </c>
      <c r="Q1333" s="13" t="s">
        <v>54</v>
      </c>
      <c r="R1333" s="13" t="s">
        <v>28</v>
      </c>
      <c r="S1333" s="13"/>
      <c r="T1333" s="13"/>
      <c r="U1333" s="13" t="s">
        <v>2391</v>
      </c>
      <c r="V1333" s="13" t="s">
        <v>2391</v>
      </c>
      <c r="W1333" s="59">
        <f t="shared" si="20"/>
        <v>4.5339297763657662E-4</v>
      </c>
    </row>
    <row r="1334" spans="1:29">
      <c r="A1334" s="13" t="s">
        <v>323</v>
      </c>
      <c r="B1334" s="13" t="s">
        <v>471</v>
      </c>
      <c r="C1334" s="139">
        <v>46301</v>
      </c>
      <c r="D1334" s="139" t="s">
        <v>441</v>
      </c>
      <c r="E1334" s="28">
        <v>0.94544890999999998</v>
      </c>
      <c r="F1334" s="13"/>
      <c r="G1334" s="18">
        <v>10000000</v>
      </c>
      <c r="H1334" s="18">
        <v>9454489.0700000003</v>
      </c>
      <c r="I1334" s="18">
        <v>10000000</v>
      </c>
      <c r="J1334" s="18">
        <v>9454489.0700000003</v>
      </c>
      <c r="K1334" s="15">
        <v>2009</v>
      </c>
      <c r="L1334" s="13" t="s">
        <v>102</v>
      </c>
      <c r="M1334" s="13" t="s">
        <v>103</v>
      </c>
      <c r="N1334" s="139" t="s">
        <v>494</v>
      </c>
      <c r="O1334" s="139" t="s">
        <v>494</v>
      </c>
      <c r="P1334" s="28">
        <v>27</v>
      </c>
      <c r="Q1334" s="13" t="s">
        <v>54</v>
      </c>
      <c r="R1334" s="13" t="s">
        <v>28</v>
      </c>
      <c r="S1334" s="13"/>
      <c r="T1334" s="13"/>
      <c r="U1334" s="13" t="s">
        <v>2023</v>
      </c>
      <c r="V1334" s="13" t="s">
        <v>2023</v>
      </c>
      <c r="W1334" s="59">
        <f t="shared" si="20"/>
        <v>1.8062432793066821E-4</v>
      </c>
    </row>
    <row r="1335" spans="1:29">
      <c r="A1335" s="13" t="s">
        <v>478</v>
      </c>
      <c r="B1335" s="13" t="s">
        <v>471</v>
      </c>
      <c r="C1335" s="139">
        <v>46301</v>
      </c>
      <c r="D1335" s="139" t="s">
        <v>441</v>
      </c>
      <c r="E1335" s="28">
        <v>0.93412503000000002</v>
      </c>
      <c r="F1335" s="13"/>
      <c r="G1335" s="18">
        <v>12500000</v>
      </c>
      <c r="H1335" s="18">
        <v>11676562.82</v>
      </c>
      <c r="I1335" s="18">
        <v>12500000</v>
      </c>
      <c r="J1335" s="18">
        <v>11676562.82</v>
      </c>
      <c r="K1335" s="15">
        <v>1362</v>
      </c>
      <c r="L1335" s="13" t="s">
        <v>102</v>
      </c>
      <c r="M1335" s="13" t="s">
        <v>103</v>
      </c>
      <c r="N1335" s="139" t="s">
        <v>428</v>
      </c>
      <c r="O1335" s="139" t="s">
        <v>428</v>
      </c>
      <c r="P1335" s="28">
        <v>33</v>
      </c>
      <c r="Q1335" s="13" t="s">
        <v>54</v>
      </c>
      <c r="R1335" s="13" t="s">
        <v>28</v>
      </c>
      <c r="S1335" s="13"/>
      <c r="T1335" s="13"/>
      <c r="U1335" s="13" t="s">
        <v>1114</v>
      </c>
      <c r="V1335" s="13" t="s">
        <v>1114</v>
      </c>
      <c r="W1335" s="59">
        <f t="shared" si="20"/>
        <v>2.2307618066797641E-4</v>
      </c>
    </row>
    <row r="1336" spans="1:29">
      <c r="A1336" s="13" t="s">
        <v>141</v>
      </c>
      <c r="B1336" s="13" t="s">
        <v>471</v>
      </c>
      <c r="C1336" s="139">
        <v>46301</v>
      </c>
      <c r="D1336" s="139" t="s">
        <v>441</v>
      </c>
      <c r="E1336" s="28">
        <v>0.92856433999999999</v>
      </c>
      <c r="F1336" s="13"/>
      <c r="G1336" s="18">
        <v>100000000</v>
      </c>
      <c r="H1336" s="18">
        <v>92856433.689999998</v>
      </c>
      <c r="I1336" s="18">
        <v>100000000</v>
      </c>
      <c r="J1336" s="18">
        <v>92856433.689999998</v>
      </c>
      <c r="K1336" s="15">
        <v>8439</v>
      </c>
      <c r="L1336" s="13" t="s">
        <v>102</v>
      </c>
      <c r="M1336" s="13" t="s">
        <v>103</v>
      </c>
      <c r="N1336" s="139" t="s">
        <v>402</v>
      </c>
      <c r="O1336" s="139" t="s">
        <v>402</v>
      </c>
      <c r="P1336" s="28">
        <v>36</v>
      </c>
      <c r="Q1336" s="13" t="s">
        <v>54</v>
      </c>
      <c r="R1336" s="13" t="s">
        <v>28</v>
      </c>
      <c r="S1336" s="13"/>
      <c r="T1336" s="13"/>
      <c r="U1336" s="13" t="s">
        <v>1899</v>
      </c>
      <c r="V1336" s="13" t="s">
        <v>1899</v>
      </c>
      <c r="W1336" s="59">
        <f t="shared" si="20"/>
        <v>1.7739859663611528E-3</v>
      </c>
    </row>
    <row r="1337" spans="1:29">
      <c r="A1337" s="13" t="s">
        <v>581</v>
      </c>
      <c r="B1337" s="13" t="s">
        <v>471</v>
      </c>
      <c r="C1337" s="139">
        <v>46301</v>
      </c>
      <c r="D1337" s="139" t="s">
        <v>441</v>
      </c>
      <c r="E1337" s="28">
        <v>0.94354265999999998</v>
      </c>
      <c r="F1337" s="13"/>
      <c r="G1337" s="18">
        <v>25000000</v>
      </c>
      <c r="H1337" s="18">
        <v>23588566.550000001</v>
      </c>
      <c r="I1337" s="18">
        <v>25000000</v>
      </c>
      <c r="J1337" s="18">
        <v>23588566.550000001</v>
      </c>
      <c r="K1337" s="15">
        <v>360569</v>
      </c>
      <c r="L1337" s="13" t="s">
        <v>102</v>
      </c>
      <c r="M1337" s="13" t="s">
        <v>103</v>
      </c>
      <c r="N1337" s="139" t="s">
        <v>348</v>
      </c>
      <c r="O1337" s="139" t="s">
        <v>348</v>
      </c>
      <c r="P1337" s="28">
        <v>28</v>
      </c>
      <c r="Q1337" s="13" t="s">
        <v>54</v>
      </c>
      <c r="R1337" s="13" t="s">
        <v>28</v>
      </c>
      <c r="S1337" s="13"/>
      <c r="T1337" s="13"/>
      <c r="U1337" s="13" t="s">
        <v>707</v>
      </c>
      <c r="V1337" s="13" t="s">
        <v>707</v>
      </c>
      <c r="W1337" s="59">
        <f t="shared" si="20"/>
        <v>4.5065036813687822E-4</v>
      </c>
    </row>
    <row r="1338" spans="1:29">
      <c r="A1338" s="13" t="s">
        <v>360</v>
      </c>
      <c r="B1338" s="13" t="s">
        <v>471</v>
      </c>
      <c r="C1338" s="139">
        <v>46301</v>
      </c>
      <c r="D1338" s="139" t="s">
        <v>441</v>
      </c>
      <c r="E1338" s="28">
        <v>0.95509736000000001</v>
      </c>
      <c r="F1338" s="13"/>
      <c r="G1338" s="18">
        <v>13000000</v>
      </c>
      <c r="H1338" s="18">
        <v>12416265.74</v>
      </c>
      <c r="I1338" s="18">
        <v>13000000</v>
      </c>
      <c r="J1338" s="18">
        <v>12416265.74</v>
      </c>
      <c r="K1338" s="15">
        <v>34113</v>
      </c>
      <c r="L1338" s="13" t="s">
        <v>102</v>
      </c>
      <c r="M1338" s="13" t="s">
        <v>103</v>
      </c>
      <c r="N1338" s="139" t="s">
        <v>172</v>
      </c>
      <c r="O1338" s="139" t="s">
        <v>172</v>
      </c>
      <c r="P1338" s="28">
        <v>22</v>
      </c>
      <c r="Q1338" s="13" t="s">
        <v>54</v>
      </c>
      <c r="R1338" s="13" t="s">
        <v>28</v>
      </c>
      <c r="S1338" s="13"/>
      <c r="T1338" s="13"/>
      <c r="U1338" s="13" t="s">
        <v>1820</v>
      </c>
      <c r="V1338" s="13" t="s">
        <v>1820</v>
      </c>
      <c r="W1338" s="59">
        <f t="shared" si="20"/>
        <v>2.3720791658772111E-4</v>
      </c>
      <c r="AC1338" s="56"/>
    </row>
    <row r="1339" spans="1:29">
      <c r="A1339" s="13" t="s">
        <v>340</v>
      </c>
      <c r="B1339" s="13" t="s">
        <v>471</v>
      </c>
      <c r="C1339" s="139">
        <v>46301</v>
      </c>
      <c r="D1339" s="139" t="s">
        <v>441</v>
      </c>
      <c r="E1339" s="28">
        <v>0.93041059000000004</v>
      </c>
      <c r="F1339" s="13"/>
      <c r="G1339" s="18">
        <v>6000000</v>
      </c>
      <c r="H1339" s="18">
        <v>5582463.54</v>
      </c>
      <c r="I1339" s="18">
        <v>6000000</v>
      </c>
      <c r="J1339" s="18">
        <v>5582463.54</v>
      </c>
      <c r="K1339" s="15">
        <v>40761920</v>
      </c>
      <c r="L1339" s="13" t="s">
        <v>102</v>
      </c>
      <c r="M1339" s="13" t="s">
        <v>103</v>
      </c>
      <c r="N1339" s="139" t="s">
        <v>441</v>
      </c>
      <c r="O1339" s="139" t="s">
        <v>441</v>
      </c>
      <c r="P1339" s="28">
        <v>35</v>
      </c>
      <c r="Q1339" s="13" t="s">
        <v>54</v>
      </c>
      <c r="R1339" s="13" t="s">
        <v>28</v>
      </c>
      <c r="S1339" s="13"/>
      <c r="T1339" s="13"/>
      <c r="U1339" s="13" t="s">
        <v>2448</v>
      </c>
      <c r="V1339" s="13" t="s">
        <v>2448</v>
      </c>
      <c r="W1339" s="59">
        <f t="shared" si="20"/>
        <v>1.0665078965604633E-4</v>
      </c>
    </row>
    <row r="1340" spans="1:29">
      <c r="A1340" s="13" t="s">
        <v>1944</v>
      </c>
      <c r="B1340" s="13" t="s">
        <v>471</v>
      </c>
      <c r="C1340" s="139">
        <v>46301</v>
      </c>
      <c r="D1340" s="139" t="s">
        <v>441</v>
      </c>
      <c r="E1340" s="28">
        <v>0.93975301</v>
      </c>
      <c r="F1340" s="13"/>
      <c r="G1340" s="18">
        <v>15000000</v>
      </c>
      <c r="H1340" s="18">
        <v>14096295.140000001</v>
      </c>
      <c r="I1340" s="18">
        <v>15000000</v>
      </c>
      <c r="J1340" s="18">
        <v>14096295.140000001</v>
      </c>
      <c r="K1340" s="15">
        <v>728</v>
      </c>
      <c r="L1340" s="13" t="s">
        <v>102</v>
      </c>
      <c r="M1340" s="13" t="s">
        <v>103</v>
      </c>
      <c r="N1340" s="139" t="s">
        <v>493</v>
      </c>
      <c r="O1340" s="139" t="s">
        <v>493</v>
      </c>
      <c r="P1340" s="28">
        <v>30</v>
      </c>
      <c r="Q1340" s="13" t="s">
        <v>54</v>
      </c>
      <c r="R1340" s="13" t="s">
        <v>28</v>
      </c>
      <c r="S1340" s="13"/>
      <c r="T1340" s="13"/>
      <c r="U1340" s="13" t="s">
        <v>1945</v>
      </c>
      <c r="V1340" s="13" t="s">
        <v>1945</v>
      </c>
      <c r="W1340" s="59">
        <f t="shared" si="20"/>
        <v>2.6930422332963202E-4</v>
      </c>
    </row>
    <row r="1341" spans="1:29">
      <c r="A1341" s="13" t="s">
        <v>2191</v>
      </c>
      <c r="B1341" s="13" t="s">
        <v>471</v>
      </c>
      <c r="C1341" s="139">
        <v>46301</v>
      </c>
      <c r="D1341" s="139" t="s">
        <v>441</v>
      </c>
      <c r="E1341" s="28">
        <v>0.93599370000000004</v>
      </c>
      <c r="F1341" s="13"/>
      <c r="G1341" s="18">
        <v>1588021.51</v>
      </c>
      <c r="H1341" s="18">
        <v>1486378.12</v>
      </c>
      <c r="I1341" s="18">
        <v>1588021.51</v>
      </c>
      <c r="J1341" s="18">
        <v>1486378.12</v>
      </c>
      <c r="K1341" s="15">
        <v>535</v>
      </c>
      <c r="L1341" s="13" t="s">
        <v>102</v>
      </c>
      <c r="M1341" s="13" t="s">
        <v>103</v>
      </c>
      <c r="N1341" s="139" t="s">
        <v>495</v>
      </c>
      <c r="O1341" s="139" t="s">
        <v>495</v>
      </c>
      <c r="P1341" s="28">
        <v>32</v>
      </c>
      <c r="Q1341" s="13" t="s">
        <v>54</v>
      </c>
      <c r="R1341" s="13" t="s">
        <v>28</v>
      </c>
      <c r="S1341" s="13"/>
      <c r="T1341" s="13"/>
      <c r="U1341" s="13" t="s">
        <v>2147</v>
      </c>
      <c r="V1341" s="13" t="s">
        <v>2147</v>
      </c>
      <c r="W1341" s="59">
        <f t="shared" si="20"/>
        <v>2.839667453080573E-5</v>
      </c>
    </row>
    <row r="1342" spans="1:29">
      <c r="A1342" s="13" t="s">
        <v>2242</v>
      </c>
      <c r="B1342" s="13" t="s">
        <v>471</v>
      </c>
      <c r="C1342" s="139">
        <v>46301</v>
      </c>
      <c r="D1342" s="139" t="s">
        <v>441</v>
      </c>
      <c r="E1342" s="28">
        <v>0.9397529</v>
      </c>
      <c r="F1342" s="13"/>
      <c r="G1342" s="18">
        <v>2584602.4700000002</v>
      </c>
      <c r="H1342" s="18">
        <v>2428887.67</v>
      </c>
      <c r="I1342" s="18">
        <v>2584602.4700000002</v>
      </c>
      <c r="J1342" s="18">
        <v>2428887.67</v>
      </c>
      <c r="K1342" s="15">
        <v>384</v>
      </c>
      <c r="L1342" s="13" t="s">
        <v>102</v>
      </c>
      <c r="M1342" s="13" t="s">
        <v>103</v>
      </c>
      <c r="N1342" s="139" t="s">
        <v>388</v>
      </c>
      <c r="O1342" s="139" t="s">
        <v>388</v>
      </c>
      <c r="P1342" s="28">
        <v>30</v>
      </c>
      <c r="Q1342" s="13" t="s">
        <v>54</v>
      </c>
      <c r="R1342" s="13" t="s">
        <v>28</v>
      </c>
      <c r="S1342" s="13"/>
      <c r="T1342" s="13"/>
      <c r="U1342" s="13" t="s">
        <v>2247</v>
      </c>
      <c r="V1342" s="13" t="s">
        <v>2247</v>
      </c>
      <c r="W1342" s="59">
        <f t="shared" si="20"/>
        <v>4.6402952054270727E-5</v>
      </c>
    </row>
    <row r="1343" spans="1:29">
      <c r="A1343" s="13" t="s">
        <v>486</v>
      </c>
      <c r="B1343" s="13" t="s">
        <v>471</v>
      </c>
      <c r="C1343" s="139">
        <v>46302</v>
      </c>
      <c r="D1343" s="139" t="s">
        <v>441</v>
      </c>
      <c r="E1343" s="28">
        <v>0.93522616999999997</v>
      </c>
      <c r="F1343" s="13"/>
      <c r="G1343" s="18">
        <v>14479899.689999999</v>
      </c>
      <c r="H1343" s="18">
        <v>13541981.119999999</v>
      </c>
      <c r="I1343" s="18">
        <v>14479899.689999999</v>
      </c>
      <c r="J1343" s="18">
        <v>13541981.119999999</v>
      </c>
      <c r="K1343" s="15">
        <v>9933008</v>
      </c>
      <c r="L1343" s="13" t="s">
        <v>102</v>
      </c>
      <c r="M1343" s="13" t="s">
        <v>103</v>
      </c>
      <c r="N1343" s="139" t="s">
        <v>381</v>
      </c>
      <c r="O1343" s="139" t="s">
        <v>381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1562</v>
      </c>
      <c r="V1343" s="13" t="s">
        <v>1562</v>
      </c>
      <c r="W1343" s="59">
        <f t="shared" si="20"/>
        <v>2.5871427007211057E-4</v>
      </c>
    </row>
    <row r="1344" spans="1:29">
      <c r="A1344" s="13" t="s">
        <v>651</v>
      </c>
      <c r="B1344" s="13" t="s">
        <v>471</v>
      </c>
      <c r="C1344" s="139">
        <v>46302</v>
      </c>
      <c r="D1344" s="139" t="s">
        <v>441</v>
      </c>
      <c r="E1344" s="28">
        <v>0.92032283999999998</v>
      </c>
      <c r="F1344" s="13"/>
      <c r="G1344" s="18">
        <v>7203888</v>
      </c>
      <c r="H1344" s="18">
        <v>6629902.6399999997</v>
      </c>
      <c r="I1344" s="18">
        <v>7203888</v>
      </c>
      <c r="J1344" s="18">
        <v>6629902.6399999997</v>
      </c>
      <c r="K1344" s="15">
        <v>66329877</v>
      </c>
      <c r="L1344" s="13" t="s">
        <v>102</v>
      </c>
      <c r="M1344" s="13" t="s">
        <v>103</v>
      </c>
      <c r="N1344" s="139" t="s">
        <v>358</v>
      </c>
      <c r="O1344" s="139" t="s">
        <v>358</v>
      </c>
      <c r="P1344" s="28">
        <v>40</v>
      </c>
      <c r="Q1344" s="13" t="s">
        <v>54</v>
      </c>
      <c r="R1344" s="13" t="s">
        <v>28</v>
      </c>
      <c r="S1344" s="13"/>
      <c r="T1344" s="13"/>
      <c r="U1344" s="13" t="s">
        <v>630</v>
      </c>
      <c r="V1344" s="13" t="s">
        <v>630</v>
      </c>
      <c r="W1344" s="59">
        <f t="shared" si="20"/>
        <v>1.2666170532637391E-4</v>
      </c>
    </row>
    <row r="1345" spans="1:29">
      <c r="A1345" s="13" t="s">
        <v>651</v>
      </c>
      <c r="B1345" s="13" t="s">
        <v>471</v>
      </c>
      <c r="C1345" s="139">
        <v>46302</v>
      </c>
      <c r="D1345" s="139" t="s">
        <v>441</v>
      </c>
      <c r="E1345" s="28">
        <v>0.92032283999999998</v>
      </c>
      <c r="F1345" s="13"/>
      <c r="G1345" s="18">
        <v>7900000</v>
      </c>
      <c r="H1345" s="18">
        <v>7270550.4100000001</v>
      </c>
      <c r="I1345" s="18">
        <v>7900000</v>
      </c>
      <c r="J1345" s="18">
        <v>7270550.4100000001</v>
      </c>
      <c r="K1345" s="15">
        <v>877</v>
      </c>
      <c r="L1345" s="13" t="s">
        <v>102</v>
      </c>
      <c r="M1345" s="13" t="s">
        <v>103</v>
      </c>
      <c r="N1345" s="139" t="s">
        <v>358</v>
      </c>
      <c r="O1345" s="139" t="s">
        <v>358</v>
      </c>
      <c r="P1345" s="28">
        <v>40</v>
      </c>
      <c r="Q1345" s="13" t="s">
        <v>54</v>
      </c>
      <c r="R1345" s="13" t="s">
        <v>28</v>
      </c>
      <c r="S1345" s="13"/>
      <c r="T1345" s="13"/>
      <c r="U1345" s="13" t="s">
        <v>632</v>
      </c>
      <c r="V1345" s="13" t="s">
        <v>632</v>
      </c>
      <c r="W1345" s="59">
        <f t="shared" si="20"/>
        <v>1.3890103122117146E-4</v>
      </c>
      <c r="AC1345" s="56"/>
    </row>
    <row r="1346" spans="1:29">
      <c r="A1346" s="13" t="s">
        <v>737</v>
      </c>
      <c r="B1346" s="13" t="s">
        <v>471</v>
      </c>
      <c r="C1346" s="139">
        <v>46302</v>
      </c>
      <c r="D1346" s="139" t="s">
        <v>441</v>
      </c>
      <c r="E1346" s="28">
        <v>0.95061996999999998</v>
      </c>
      <c r="F1346" s="13"/>
      <c r="G1346" s="18">
        <v>6250000</v>
      </c>
      <c r="H1346" s="18">
        <v>5941374.7999999998</v>
      </c>
      <c r="I1346" s="18">
        <v>6250000</v>
      </c>
      <c r="J1346" s="18">
        <v>5941374.7999999998</v>
      </c>
      <c r="K1346" s="15">
        <v>50459992</v>
      </c>
      <c r="L1346" s="13" t="s">
        <v>102</v>
      </c>
      <c r="M1346" s="13" t="s">
        <v>103</v>
      </c>
      <c r="N1346" s="139" t="s">
        <v>382</v>
      </c>
      <c r="O1346" s="139" t="s">
        <v>382</v>
      </c>
      <c r="P1346" s="28">
        <v>24</v>
      </c>
      <c r="Q1346" s="13" t="s">
        <v>54</v>
      </c>
      <c r="R1346" s="13" t="s">
        <v>28</v>
      </c>
      <c r="S1346" s="13"/>
      <c r="T1346" s="13"/>
      <c r="U1346" s="13" t="s">
        <v>2350</v>
      </c>
      <c r="V1346" s="13" t="s">
        <v>2350</v>
      </c>
      <c r="W1346" s="59">
        <f t="shared" si="20"/>
        <v>1.1350764935986205E-4</v>
      </c>
    </row>
    <row r="1347" spans="1:29">
      <c r="A1347" s="13" t="s">
        <v>2203</v>
      </c>
      <c r="B1347" s="13" t="s">
        <v>471</v>
      </c>
      <c r="C1347" s="139">
        <v>46302</v>
      </c>
      <c r="D1347" s="139" t="s">
        <v>441</v>
      </c>
      <c r="E1347" s="28">
        <v>0.93522618000000002</v>
      </c>
      <c r="F1347" s="13"/>
      <c r="G1347" s="18">
        <v>3216984.09</v>
      </c>
      <c r="H1347" s="18">
        <v>3008607.74</v>
      </c>
      <c r="I1347" s="18">
        <v>3216984.09</v>
      </c>
      <c r="J1347" s="18">
        <v>3008607.74</v>
      </c>
      <c r="K1347" s="15">
        <v>98</v>
      </c>
      <c r="L1347" s="13" t="s">
        <v>102</v>
      </c>
      <c r="M1347" s="13" t="s">
        <v>103</v>
      </c>
      <c r="N1347" s="139" t="s">
        <v>495</v>
      </c>
      <c r="O1347" s="139" t="s">
        <v>495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2157</v>
      </c>
      <c r="V1347" s="13" t="s">
        <v>2157</v>
      </c>
      <c r="W1347" s="59">
        <f t="shared" si="20"/>
        <v>5.747827799271089E-5</v>
      </c>
    </row>
    <row r="1348" spans="1:29">
      <c r="A1348" s="13" t="s">
        <v>323</v>
      </c>
      <c r="B1348" s="13" t="s">
        <v>471</v>
      </c>
      <c r="C1348" s="139">
        <v>46302</v>
      </c>
      <c r="D1348" s="139" t="s">
        <v>441</v>
      </c>
      <c r="E1348" s="28">
        <v>0.94866804999999998</v>
      </c>
      <c r="F1348" s="13"/>
      <c r="G1348" s="18">
        <v>8650000</v>
      </c>
      <c r="H1348" s="18">
        <v>8205978.5999999996</v>
      </c>
      <c r="I1348" s="18">
        <v>8650000</v>
      </c>
      <c r="J1348" s="18">
        <v>8205978.5999999996</v>
      </c>
      <c r="K1348" s="15">
        <v>34384</v>
      </c>
      <c r="L1348" s="13" t="s">
        <v>102</v>
      </c>
      <c r="M1348" s="13" t="s">
        <v>103</v>
      </c>
      <c r="N1348" s="139" t="s">
        <v>441</v>
      </c>
      <c r="O1348" s="139" t="s">
        <v>441</v>
      </c>
      <c r="P1348" s="28">
        <v>25</v>
      </c>
      <c r="Q1348" s="13" t="s">
        <v>54</v>
      </c>
      <c r="R1348" s="13" t="s">
        <v>28</v>
      </c>
      <c r="S1348" s="13"/>
      <c r="T1348" s="13"/>
      <c r="U1348" s="13" t="s">
        <v>2438</v>
      </c>
      <c r="V1348" s="13" t="s">
        <v>2438</v>
      </c>
      <c r="W1348" s="59">
        <f t="shared" si="20"/>
        <v>1.5677202212244408E-4</v>
      </c>
      <c r="AC1348" s="56"/>
    </row>
    <row r="1349" spans="1:29">
      <c r="A1349" s="13" t="s">
        <v>323</v>
      </c>
      <c r="B1349" s="13" t="s">
        <v>471</v>
      </c>
      <c r="C1349" s="139">
        <v>46302</v>
      </c>
      <c r="D1349" s="139" t="s">
        <v>441</v>
      </c>
      <c r="E1349" s="28">
        <v>0.94478819000000003</v>
      </c>
      <c r="F1349" s="13"/>
      <c r="G1349" s="18">
        <v>15000000</v>
      </c>
      <c r="H1349" s="18">
        <v>14171822.92</v>
      </c>
      <c r="I1349" s="18">
        <v>15000000</v>
      </c>
      <c r="J1349" s="18">
        <v>14171822.92</v>
      </c>
      <c r="K1349" s="15">
        <v>11338649</v>
      </c>
      <c r="L1349" s="13" t="s">
        <v>102</v>
      </c>
      <c r="M1349" s="13" t="s">
        <v>103</v>
      </c>
      <c r="N1349" s="139" t="s">
        <v>392</v>
      </c>
      <c r="O1349" s="139" t="s">
        <v>392</v>
      </c>
      <c r="P1349" s="28">
        <v>27</v>
      </c>
      <c r="Q1349" s="13" t="s">
        <v>54</v>
      </c>
      <c r="R1349" s="13" t="s">
        <v>28</v>
      </c>
      <c r="S1349" s="13"/>
      <c r="T1349" s="13"/>
      <c r="U1349" s="13" t="s">
        <v>2316</v>
      </c>
      <c r="V1349" s="13" t="s">
        <v>2316</v>
      </c>
      <c r="W1349" s="59">
        <f t="shared" ref="W1349:W1412" si="21">+J1349/$W$2</f>
        <v>2.7074715212267308E-4</v>
      </c>
      <c r="AC1349" s="56"/>
    </row>
    <row r="1350" spans="1:29">
      <c r="A1350" s="13" t="s">
        <v>323</v>
      </c>
      <c r="B1350" s="13" t="s">
        <v>471</v>
      </c>
      <c r="C1350" s="139">
        <v>46302</v>
      </c>
      <c r="D1350" s="139" t="s">
        <v>441</v>
      </c>
      <c r="E1350" s="28">
        <v>0.94478830000000003</v>
      </c>
      <c r="F1350" s="13"/>
      <c r="G1350" s="18">
        <v>1650000</v>
      </c>
      <c r="H1350" s="18">
        <v>1558900.7</v>
      </c>
      <c r="I1350" s="18">
        <v>1650000</v>
      </c>
      <c r="J1350" s="18">
        <v>1558900.7</v>
      </c>
      <c r="K1350" s="15">
        <v>583</v>
      </c>
      <c r="L1350" s="13" t="s">
        <v>102</v>
      </c>
      <c r="M1350" s="13" t="s">
        <v>103</v>
      </c>
      <c r="N1350" s="139" t="s">
        <v>494</v>
      </c>
      <c r="O1350" s="139" t="s">
        <v>494</v>
      </c>
      <c r="P1350" s="28">
        <v>27</v>
      </c>
      <c r="Q1350" s="13" t="s">
        <v>54</v>
      </c>
      <c r="R1350" s="13" t="s">
        <v>28</v>
      </c>
      <c r="S1350" s="13"/>
      <c r="T1350" s="13"/>
      <c r="U1350" s="13" t="s">
        <v>2017</v>
      </c>
      <c r="V1350" s="13" t="s">
        <v>2017</v>
      </c>
      <c r="W1350" s="59">
        <f t="shared" si="21"/>
        <v>2.9782190149398337E-5</v>
      </c>
    </row>
    <row r="1351" spans="1:29">
      <c r="A1351" s="13" t="s">
        <v>581</v>
      </c>
      <c r="B1351" s="13" t="s">
        <v>471</v>
      </c>
      <c r="C1351" s="139">
        <v>46302</v>
      </c>
      <c r="D1351" s="139" t="s">
        <v>441</v>
      </c>
      <c r="E1351" s="28">
        <v>0.94286020999999998</v>
      </c>
      <c r="F1351" s="13"/>
      <c r="G1351" s="18">
        <v>2500000</v>
      </c>
      <c r="H1351" s="18">
        <v>2357150.5299999998</v>
      </c>
      <c r="I1351" s="18">
        <v>2500000</v>
      </c>
      <c r="J1351" s="18">
        <v>2357150.5299999998</v>
      </c>
      <c r="K1351" s="15">
        <v>90031812</v>
      </c>
      <c r="L1351" s="13" t="s">
        <v>102</v>
      </c>
      <c r="M1351" s="13" t="s">
        <v>103</v>
      </c>
      <c r="N1351" s="139" t="s">
        <v>327</v>
      </c>
      <c r="O1351" s="139" t="s">
        <v>327</v>
      </c>
      <c r="P1351" s="28">
        <v>28</v>
      </c>
      <c r="Q1351" s="13" t="s">
        <v>54</v>
      </c>
      <c r="R1351" s="13" t="s">
        <v>28</v>
      </c>
      <c r="S1351" s="13"/>
      <c r="T1351" s="13"/>
      <c r="U1351" s="13" t="s">
        <v>757</v>
      </c>
      <c r="V1351" s="13" t="s">
        <v>757</v>
      </c>
      <c r="W1351" s="59">
        <f t="shared" si="21"/>
        <v>4.503244196068105E-5</v>
      </c>
    </row>
    <row r="1352" spans="1:29">
      <c r="A1352" s="13" t="s">
        <v>257</v>
      </c>
      <c r="B1352" s="13" t="s">
        <v>471</v>
      </c>
      <c r="C1352" s="139">
        <v>46302</v>
      </c>
      <c r="D1352" s="139" t="s">
        <v>441</v>
      </c>
      <c r="E1352" s="28">
        <v>0.93333690999999996</v>
      </c>
      <c r="F1352" s="13"/>
      <c r="G1352" s="18">
        <v>25000000</v>
      </c>
      <c r="H1352" s="18">
        <v>23333422.719999999</v>
      </c>
      <c r="I1352" s="18">
        <v>25000000</v>
      </c>
      <c r="J1352" s="18">
        <v>23333422.719999999</v>
      </c>
      <c r="K1352" s="15">
        <v>1233892</v>
      </c>
      <c r="L1352" s="13" t="s">
        <v>102</v>
      </c>
      <c r="M1352" s="13" t="s">
        <v>103</v>
      </c>
      <c r="N1352" s="139" t="s">
        <v>368</v>
      </c>
      <c r="O1352" s="139" t="s">
        <v>368</v>
      </c>
      <c r="P1352" s="28">
        <v>33</v>
      </c>
      <c r="Q1352" s="13" t="s">
        <v>54</v>
      </c>
      <c r="R1352" s="13" t="s">
        <v>28</v>
      </c>
      <c r="S1352" s="13"/>
      <c r="T1352" s="13"/>
      <c r="U1352" s="13" t="s">
        <v>1287</v>
      </c>
      <c r="V1352" s="13" t="s">
        <v>1287</v>
      </c>
      <c r="W1352" s="59">
        <f t="shared" si="21"/>
        <v>4.4577594473036754E-4</v>
      </c>
    </row>
    <row r="1353" spans="1:29">
      <c r="A1353" s="13" t="s">
        <v>698</v>
      </c>
      <c r="B1353" s="13" t="s">
        <v>471</v>
      </c>
      <c r="C1353" s="139">
        <v>46303</v>
      </c>
      <c r="D1353" s="139" t="s">
        <v>441</v>
      </c>
      <c r="E1353" s="28">
        <v>0.94217879999999998</v>
      </c>
      <c r="F1353" s="13"/>
      <c r="G1353" s="18">
        <v>8000000</v>
      </c>
      <c r="H1353" s="18">
        <v>7537430.3799999999</v>
      </c>
      <c r="I1353" s="18">
        <v>8000000</v>
      </c>
      <c r="J1353" s="18">
        <v>7537430.3799999999</v>
      </c>
      <c r="K1353" s="15">
        <v>90000138</v>
      </c>
      <c r="L1353" s="13" t="s">
        <v>102</v>
      </c>
      <c r="M1353" s="13" t="s">
        <v>103</v>
      </c>
      <c r="N1353" s="139" t="s">
        <v>509</v>
      </c>
      <c r="O1353" s="139" t="s">
        <v>509</v>
      </c>
      <c r="P1353" s="28">
        <v>28</v>
      </c>
      <c r="Q1353" s="13" t="s">
        <v>54</v>
      </c>
      <c r="R1353" s="13" t="s">
        <v>28</v>
      </c>
      <c r="S1353" s="13"/>
      <c r="T1353" s="13"/>
      <c r="U1353" s="13" t="s">
        <v>2047</v>
      </c>
      <c r="V1353" s="13" t="s">
        <v>2047</v>
      </c>
      <c r="W1353" s="59">
        <f t="shared" si="21"/>
        <v>1.4399966900714828E-4</v>
      </c>
    </row>
    <row r="1354" spans="1:29">
      <c r="A1354" s="13" t="s">
        <v>486</v>
      </c>
      <c r="B1354" s="13" t="s">
        <v>471</v>
      </c>
      <c r="C1354" s="139">
        <v>46303</v>
      </c>
      <c r="D1354" s="139" t="s">
        <v>441</v>
      </c>
      <c r="E1354" s="28">
        <v>0.93445993000000005</v>
      </c>
      <c r="F1354" s="13"/>
      <c r="G1354" s="18">
        <v>14479899.68</v>
      </c>
      <c r="H1354" s="18">
        <v>13530886.07</v>
      </c>
      <c r="I1354" s="18">
        <v>14479899.68</v>
      </c>
      <c r="J1354" s="18">
        <v>13530886.07</v>
      </c>
      <c r="K1354" s="15">
        <v>9933007</v>
      </c>
      <c r="L1354" s="13" t="s">
        <v>102</v>
      </c>
      <c r="M1354" s="13" t="s">
        <v>103</v>
      </c>
      <c r="N1354" s="139" t="s">
        <v>381</v>
      </c>
      <c r="O1354" s="139" t="s">
        <v>381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1563</v>
      </c>
      <c r="V1354" s="13" t="s">
        <v>1563</v>
      </c>
      <c r="W1354" s="59">
        <f t="shared" si="21"/>
        <v>2.5850230346717091E-4</v>
      </c>
    </row>
    <row r="1355" spans="1:29">
      <c r="A1355" s="13" t="s">
        <v>651</v>
      </c>
      <c r="B1355" s="13" t="s">
        <v>471</v>
      </c>
      <c r="C1355" s="139">
        <v>46303</v>
      </c>
      <c r="D1355" s="139" t="s">
        <v>441</v>
      </c>
      <c r="E1355" s="28">
        <v>0.91939552000000002</v>
      </c>
      <c r="F1355" s="13"/>
      <c r="G1355" s="18">
        <v>7900000</v>
      </c>
      <c r="H1355" s="18">
        <v>7263224.5800000001</v>
      </c>
      <c r="I1355" s="18">
        <v>7900000</v>
      </c>
      <c r="J1355" s="18">
        <v>7263224.5800000001</v>
      </c>
      <c r="K1355" s="15">
        <v>15</v>
      </c>
      <c r="L1355" s="13" t="s">
        <v>102</v>
      </c>
      <c r="M1355" s="13" t="s">
        <v>103</v>
      </c>
      <c r="N1355" s="139" t="s">
        <v>358</v>
      </c>
      <c r="O1355" s="139" t="s">
        <v>358</v>
      </c>
      <c r="P1355" s="28">
        <v>40</v>
      </c>
      <c r="Q1355" s="13" t="s">
        <v>54</v>
      </c>
      <c r="R1355" s="13" t="s">
        <v>28</v>
      </c>
      <c r="S1355" s="13"/>
      <c r="T1355" s="13"/>
      <c r="U1355" s="13" t="s">
        <v>625</v>
      </c>
      <c r="V1355" s="13" t="s">
        <v>625</v>
      </c>
      <c r="W1355" s="59">
        <f t="shared" si="21"/>
        <v>1.3876107409493361E-4</v>
      </c>
      <c r="AC1355" s="56"/>
    </row>
    <row r="1356" spans="1:29">
      <c r="A1356" s="13" t="s">
        <v>651</v>
      </c>
      <c r="B1356" s="13" t="s">
        <v>471</v>
      </c>
      <c r="C1356" s="139">
        <v>46303</v>
      </c>
      <c r="D1356" s="139" t="s">
        <v>441</v>
      </c>
      <c r="E1356" s="28">
        <v>0.91939552000000002</v>
      </c>
      <c r="F1356" s="13"/>
      <c r="G1356" s="18">
        <v>7203888</v>
      </c>
      <c r="H1356" s="18">
        <v>6623222.3399999999</v>
      </c>
      <c r="I1356" s="18">
        <v>7203888</v>
      </c>
      <c r="J1356" s="18">
        <v>6623222.3399999999</v>
      </c>
      <c r="K1356" s="15">
        <v>876</v>
      </c>
      <c r="L1356" s="13" t="s">
        <v>102</v>
      </c>
      <c r="M1356" s="13" t="s">
        <v>103</v>
      </c>
      <c r="N1356" s="139" t="s">
        <v>358</v>
      </c>
      <c r="O1356" s="139" t="s">
        <v>358</v>
      </c>
      <c r="P1356" s="28">
        <v>40</v>
      </c>
      <c r="Q1356" s="13" t="s">
        <v>54</v>
      </c>
      <c r="R1356" s="13" t="s">
        <v>28</v>
      </c>
      <c r="S1356" s="13"/>
      <c r="T1356" s="13"/>
      <c r="U1356" s="13" t="s">
        <v>627</v>
      </c>
      <c r="V1356" s="13" t="s">
        <v>627</v>
      </c>
      <c r="W1356" s="59">
        <f t="shared" si="21"/>
        <v>1.2653408079913171E-4</v>
      </c>
    </row>
    <row r="1357" spans="1:29">
      <c r="A1357" s="13" t="s">
        <v>1046</v>
      </c>
      <c r="B1357" s="13" t="s">
        <v>471</v>
      </c>
      <c r="C1357" s="139">
        <v>46303</v>
      </c>
      <c r="D1357" s="139" t="s">
        <v>441</v>
      </c>
      <c r="E1357" s="28">
        <v>0.92125197000000003</v>
      </c>
      <c r="F1357" s="13"/>
      <c r="G1357" s="18">
        <v>3750000</v>
      </c>
      <c r="H1357" s="18">
        <v>3454694.9</v>
      </c>
      <c r="I1357" s="18">
        <v>3750000</v>
      </c>
      <c r="J1357" s="18">
        <v>3454694.9</v>
      </c>
      <c r="K1357" s="15">
        <v>66919994</v>
      </c>
      <c r="L1357" s="13" t="s">
        <v>102</v>
      </c>
      <c r="M1357" s="13" t="s">
        <v>103</v>
      </c>
      <c r="N1357" s="139" t="s">
        <v>364</v>
      </c>
      <c r="O1357" s="139" t="s">
        <v>364</v>
      </c>
      <c r="P1357" s="28">
        <v>39</v>
      </c>
      <c r="Q1357" s="13" t="s">
        <v>54</v>
      </c>
      <c r="R1357" s="13" t="s">
        <v>28</v>
      </c>
      <c r="S1357" s="13"/>
      <c r="T1357" s="13"/>
      <c r="U1357" s="13" t="s">
        <v>1021</v>
      </c>
      <c r="V1357" s="13" t="s">
        <v>1021</v>
      </c>
      <c r="W1357" s="59">
        <f t="shared" si="21"/>
        <v>6.6000599281247787E-5</v>
      </c>
    </row>
    <row r="1358" spans="1:29">
      <c r="A1358" s="13" t="s">
        <v>737</v>
      </c>
      <c r="B1358" s="13" t="s">
        <v>471</v>
      </c>
      <c r="C1358" s="139">
        <v>46303</v>
      </c>
      <c r="D1358" s="139" t="s">
        <v>441</v>
      </c>
      <c r="E1358" s="28">
        <v>0.94412834000000001</v>
      </c>
      <c r="F1358" s="13"/>
      <c r="G1358" s="18">
        <v>20000000</v>
      </c>
      <c r="H1358" s="18">
        <v>18882566.699999999</v>
      </c>
      <c r="I1358" s="18">
        <v>20000000</v>
      </c>
      <c r="J1358" s="18">
        <v>18882566.699999999</v>
      </c>
      <c r="K1358" s="15">
        <v>9508920</v>
      </c>
      <c r="L1358" s="13" t="s">
        <v>102</v>
      </c>
      <c r="M1358" s="13" t="s">
        <v>103</v>
      </c>
      <c r="N1358" s="139" t="s">
        <v>783</v>
      </c>
      <c r="O1358" s="139" t="s">
        <v>783</v>
      </c>
      <c r="P1358" s="28">
        <v>27</v>
      </c>
      <c r="Q1358" s="13" t="s">
        <v>54</v>
      </c>
      <c r="R1358" s="13" t="s">
        <v>28</v>
      </c>
      <c r="S1358" s="13"/>
      <c r="T1358" s="13"/>
      <c r="U1358" s="13" t="s">
        <v>2064</v>
      </c>
      <c r="V1358" s="13" t="s">
        <v>2064</v>
      </c>
      <c r="W1358" s="59">
        <f t="shared" si="21"/>
        <v>3.6074407559641034E-4</v>
      </c>
    </row>
    <row r="1359" spans="1:29">
      <c r="A1359" s="13" t="s">
        <v>472</v>
      </c>
      <c r="B1359" s="13" t="s">
        <v>471</v>
      </c>
      <c r="C1359" s="139">
        <v>46303</v>
      </c>
      <c r="D1359" s="139" t="s">
        <v>441</v>
      </c>
      <c r="E1359" s="28">
        <v>0.93830345000000004</v>
      </c>
      <c r="F1359" s="13"/>
      <c r="G1359" s="18">
        <v>5000000</v>
      </c>
      <c r="H1359" s="18">
        <v>4691517.24</v>
      </c>
      <c r="I1359" s="18">
        <v>5000000</v>
      </c>
      <c r="J1359" s="18">
        <v>4691517.24</v>
      </c>
      <c r="K1359" s="15">
        <v>789</v>
      </c>
      <c r="L1359" s="13" t="s">
        <v>102</v>
      </c>
      <c r="M1359" s="13" t="s">
        <v>103</v>
      </c>
      <c r="N1359" s="139" t="s">
        <v>495</v>
      </c>
      <c r="O1359" s="139" t="s">
        <v>495</v>
      </c>
      <c r="P1359" s="28">
        <v>30</v>
      </c>
      <c r="Q1359" s="13" t="s">
        <v>54</v>
      </c>
      <c r="R1359" s="13" t="s">
        <v>28</v>
      </c>
      <c r="S1359" s="13"/>
      <c r="T1359" s="13"/>
      <c r="U1359" s="13" t="s">
        <v>2171</v>
      </c>
      <c r="V1359" s="13" t="s">
        <v>2171</v>
      </c>
      <c r="W1359" s="59">
        <f t="shared" si="21"/>
        <v>8.9629607922339427E-5</v>
      </c>
    </row>
    <row r="1360" spans="1:29">
      <c r="A1360" s="13" t="s">
        <v>2190</v>
      </c>
      <c r="B1360" s="13" t="s">
        <v>471</v>
      </c>
      <c r="C1360" s="139">
        <v>46303</v>
      </c>
      <c r="D1360" s="139" t="s">
        <v>441</v>
      </c>
      <c r="E1360" s="28">
        <v>0.93445992</v>
      </c>
      <c r="F1360" s="13"/>
      <c r="G1360" s="18">
        <v>7500000</v>
      </c>
      <c r="H1360" s="18">
        <v>7008449.3899999997</v>
      </c>
      <c r="I1360" s="18">
        <v>7500000</v>
      </c>
      <c r="J1360" s="18">
        <v>7008449.3899999997</v>
      </c>
      <c r="K1360" s="15">
        <v>67195465</v>
      </c>
      <c r="L1360" s="13" t="s">
        <v>102</v>
      </c>
      <c r="M1360" s="13" t="s">
        <v>103</v>
      </c>
      <c r="N1360" s="139" t="s">
        <v>495</v>
      </c>
      <c r="O1360" s="139" t="s">
        <v>495</v>
      </c>
      <c r="P1360" s="28">
        <v>32</v>
      </c>
      <c r="Q1360" s="13" t="s">
        <v>54</v>
      </c>
      <c r="R1360" s="13" t="s">
        <v>28</v>
      </c>
      <c r="S1360" s="13"/>
      <c r="T1360" s="13"/>
      <c r="U1360" s="13" t="s">
        <v>2144</v>
      </c>
      <c r="V1360" s="13" t="s">
        <v>2144</v>
      </c>
      <c r="W1360" s="59">
        <f t="shared" si="21"/>
        <v>1.3389369341191185E-4</v>
      </c>
    </row>
    <row r="1361" spans="1:29">
      <c r="A1361" s="13" t="s">
        <v>486</v>
      </c>
      <c r="B1361" s="13" t="s">
        <v>471</v>
      </c>
      <c r="C1361" s="139">
        <v>46304</v>
      </c>
      <c r="D1361" s="139" t="s">
        <v>441</v>
      </c>
      <c r="E1361" s="28">
        <v>0.93369495000000002</v>
      </c>
      <c r="F1361" s="13"/>
      <c r="G1361" s="18">
        <v>14479899.68</v>
      </c>
      <c r="H1361" s="18">
        <v>13519809.189999999</v>
      </c>
      <c r="I1361" s="18">
        <v>14479899.68</v>
      </c>
      <c r="J1361" s="18">
        <v>13519809.189999999</v>
      </c>
      <c r="K1361" s="15">
        <v>9933006</v>
      </c>
      <c r="L1361" s="13" t="s">
        <v>102</v>
      </c>
      <c r="M1361" s="13" t="s">
        <v>103</v>
      </c>
      <c r="N1361" s="139" t="s">
        <v>381</v>
      </c>
      <c r="O1361" s="139" t="s">
        <v>381</v>
      </c>
      <c r="P1361" s="28">
        <v>32</v>
      </c>
      <c r="Q1361" s="13" t="s">
        <v>54</v>
      </c>
      <c r="R1361" s="13" t="s">
        <v>28</v>
      </c>
      <c r="S1361" s="13"/>
      <c r="T1361" s="13"/>
      <c r="U1361" s="13" t="s">
        <v>1564</v>
      </c>
      <c r="V1361" s="13" t="s">
        <v>1564</v>
      </c>
      <c r="W1361" s="59">
        <f t="shared" si="21"/>
        <v>2.5829068399299782E-4</v>
      </c>
    </row>
    <row r="1362" spans="1:29">
      <c r="A1362" s="13" t="s">
        <v>737</v>
      </c>
      <c r="B1362" s="13" t="s">
        <v>471</v>
      </c>
      <c r="C1362" s="139">
        <v>46304</v>
      </c>
      <c r="D1362" s="139" t="s">
        <v>441</v>
      </c>
      <c r="E1362" s="28">
        <v>0.94743688999999998</v>
      </c>
      <c r="F1362" s="13"/>
      <c r="G1362" s="18">
        <v>25000000</v>
      </c>
      <c r="H1362" s="18">
        <v>23685922.27</v>
      </c>
      <c r="I1362" s="18">
        <v>25000000</v>
      </c>
      <c r="J1362" s="18">
        <v>23685922.27</v>
      </c>
      <c r="K1362" s="15">
        <v>929</v>
      </c>
      <c r="L1362" s="13" t="s">
        <v>102</v>
      </c>
      <c r="M1362" s="13" t="s">
        <v>103</v>
      </c>
      <c r="N1362" s="139" t="s">
        <v>402</v>
      </c>
      <c r="O1362" s="139" t="s">
        <v>402</v>
      </c>
      <c r="P1362" s="28">
        <v>25</v>
      </c>
      <c r="Q1362" s="13" t="s">
        <v>54</v>
      </c>
      <c r="R1362" s="13" t="s">
        <v>28</v>
      </c>
      <c r="S1362" s="13"/>
      <c r="T1362" s="13"/>
      <c r="U1362" s="13" t="s">
        <v>1868</v>
      </c>
      <c r="V1362" s="13" t="s">
        <v>1868</v>
      </c>
      <c r="W1362" s="59">
        <f t="shared" si="21"/>
        <v>4.5251031121418359E-4</v>
      </c>
    </row>
    <row r="1363" spans="1:29">
      <c r="A1363" s="13" t="s">
        <v>737</v>
      </c>
      <c r="B1363" s="13" t="s">
        <v>471</v>
      </c>
      <c r="C1363" s="139">
        <v>46304</v>
      </c>
      <c r="D1363" s="139" t="s">
        <v>441</v>
      </c>
      <c r="E1363" s="28">
        <v>0.94743688000000004</v>
      </c>
      <c r="F1363" s="13"/>
      <c r="G1363" s="18">
        <v>25000000</v>
      </c>
      <c r="H1363" s="18">
        <v>23685922.02</v>
      </c>
      <c r="I1363" s="18">
        <v>25000000</v>
      </c>
      <c r="J1363" s="18">
        <v>23685922.02</v>
      </c>
      <c r="K1363" s="15">
        <v>6534</v>
      </c>
      <c r="L1363" s="13" t="s">
        <v>102</v>
      </c>
      <c r="M1363" s="13" t="s">
        <v>103</v>
      </c>
      <c r="N1363" s="139" t="s">
        <v>392</v>
      </c>
      <c r="O1363" s="139" t="s">
        <v>392</v>
      </c>
      <c r="P1363" s="28">
        <v>25</v>
      </c>
      <c r="Q1363" s="13" t="s">
        <v>54</v>
      </c>
      <c r="R1363" s="13" t="s">
        <v>28</v>
      </c>
      <c r="S1363" s="13"/>
      <c r="T1363" s="13"/>
      <c r="U1363" s="13" t="s">
        <v>2280</v>
      </c>
      <c r="V1363" s="13" t="s">
        <v>2280</v>
      </c>
      <c r="W1363" s="59">
        <f t="shared" si="21"/>
        <v>4.5251030643803108E-4</v>
      </c>
    </row>
    <row r="1364" spans="1:29">
      <c r="A1364" s="13" t="s">
        <v>737</v>
      </c>
      <c r="B1364" s="13" t="s">
        <v>471</v>
      </c>
      <c r="C1364" s="139">
        <v>46304</v>
      </c>
      <c r="D1364" s="139" t="s">
        <v>441</v>
      </c>
      <c r="E1364" s="28">
        <v>0.94743688000000004</v>
      </c>
      <c r="F1364" s="13"/>
      <c r="G1364" s="18">
        <v>25000000</v>
      </c>
      <c r="H1364" s="18">
        <v>23685922.02</v>
      </c>
      <c r="I1364" s="18">
        <v>25000000</v>
      </c>
      <c r="J1364" s="18">
        <v>23685922.02</v>
      </c>
      <c r="K1364" s="15">
        <v>6535</v>
      </c>
      <c r="L1364" s="13" t="s">
        <v>102</v>
      </c>
      <c r="M1364" s="13" t="s">
        <v>103</v>
      </c>
      <c r="N1364" s="139" t="s">
        <v>392</v>
      </c>
      <c r="O1364" s="139" t="s">
        <v>392</v>
      </c>
      <c r="P1364" s="28">
        <v>25</v>
      </c>
      <c r="Q1364" s="13" t="s">
        <v>54</v>
      </c>
      <c r="R1364" s="13" t="s">
        <v>28</v>
      </c>
      <c r="S1364" s="13"/>
      <c r="T1364" s="13"/>
      <c r="U1364" s="13" t="s">
        <v>2282</v>
      </c>
      <c r="V1364" s="13" t="s">
        <v>2282</v>
      </c>
      <c r="W1364" s="59">
        <f t="shared" si="21"/>
        <v>4.5251030643803108E-4</v>
      </c>
    </row>
    <row r="1365" spans="1:29">
      <c r="A1365" s="13" t="s">
        <v>737</v>
      </c>
      <c r="B1365" s="13" t="s">
        <v>471</v>
      </c>
      <c r="C1365" s="139">
        <v>46304</v>
      </c>
      <c r="D1365" s="139" t="s">
        <v>441</v>
      </c>
      <c r="E1365" s="28">
        <v>0.94943314999999995</v>
      </c>
      <c r="F1365" s="13"/>
      <c r="G1365" s="18">
        <v>6250000</v>
      </c>
      <c r="H1365" s="18">
        <v>5933957.1699999999</v>
      </c>
      <c r="I1365" s="18">
        <v>6250000</v>
      </c>
      <c r="J1365" s="18">
        <v>5933957.1699999999</v>
      </c>
      <c r="K1365" s="15">
        <v>50459993</v>
      </c>
      <c r="L1365" s="13" t="s">
        <v>102</v>
      </c>
      <c r="M1365" s="13" t="s">
        <v>103</v>
      </c>
      <c r="N1365" s="139" t="s">
        <v>382</v>
      </c>
      <c r="O1365" s="139" t="s">
        <v>382</v>
      </c>
      <c r="P1365" s="28">
        <v>24</v>
      </c>
      <c r="Q1365" s="13" t="s">
        <v>54</v>
      </c>
      <c r="R1365" s="13" t="s">
        <v>28</v>
      </c>
      <c r="S1365" s="13"/>
      <c r="T1365" s="13"/>
      <c r="U1365" s="13" t="s">
        <v>2349</v>
      </c>
      <c r="V1365" s="13" t="s">
        <v>2349</v>
      </c>
      <c r="W1365" s="59">
        <f t="shared" si="21"/>
        <v>1.1336593843041165E-4</v>
      </c>
      <c r="AC1365" s="56"/>
    </row>
    <row r="1366" spans="1:29">
      <c r="A1366" s="13" t="s">
        <v>323</v>
      </c>
      <c r="B1366" s="13" t="s">
        <v>471</v>
      </c>
      <c r="C1366" s="139">
        <v>46304</v>
      </c>
      <c r="D1366" s="139" t="s">
        <v>441</v>
      </c>
      <c r="E1366" s="28">
        <v>0.94743690999999997</v>
      </c>
      <c r="F1366" s="13"/>
      <c r="G1366" s="18">
        <v>8650000</v>
      </c>
      <c r="H1366" s="18">
        <v>8195329.2800000003</v>
      </c>
      <c r="I1366" s="18">
        <v>8650000</v>
      </c>
      <c r="J1366" s="18">
        <v>8195329.2800000003</v>
      </c>
      <c r="K1366" s="15">
        <v>34385</v>
      </c>
      <c r="L1366" s="13" t="s">
        <v>102</v>
      </c>
      <c r="M1366" s="13" t="s">
        <v>103</v>
      </c>
      <c r="N1366" s="139" t="s">
        <v>441</v>
      </c>
      <c r="O1366" s="139" t="s">
        <v>441</v>
      </c>
      <c r="P1366" s="28">
        <v>25</v>
      </c>
      <c r="Q1366" s="13" t="s">
        <v>54</v>
      </c>
      <c r="R1366" s="13" t="s">
        <v>28</v>
      </c>
      <c r="S1366" s="13"/>
      <c r="T1366" s="13"/>
      <c r="U1366" s="13" t="s">
        <v>2437</v>
      </c>
      <c r="V1366" s="13" t="s">
        <v>2437</v>
      </c>
      <c r="W1366" s="59">
        <f t="shared" si="21"/>
        <v>1.5656857101539038E-4</v>
      </c>
      <c r="AC1366" s="56"/>
    </row>
    <row r="1367" spans="1:29">
      <c r="A1367" s="13" t="s">
        <v>323</v>
      </c>
      <c r="B1367" s="13" t="s">
        <v>471</v>
      </c>
      <c r="C1367" s="139">
        <v>46304</v>
      </c>
      <c r="D1367" s="139" t="s">
        <v>441</v>
      </c>
      <c r="E1367" s="28">
        <v>0.94346943000000005</v>
      </c>
      <c r="F1367" s="13"/>
      <c r="G1367" s="18">
        <v>24500000</v>
      </c>
      <c r="H1367" s="18">
        <v>23115001.129999999</v>
      </c>
      <c r="I1367" s="18">
        <v>24500000</v>
      </c>
      <c r="J1367" s="18">
        <v>23115001.129999999</v>
      </c>
      <c r="K1367" s="15">
        <v>34219</v>
      </c>
      <c r="L1367" s="13" t="s">
        <v>102</v>
      </c>
      <c r="M1367" s="13" t="s">
        <v>103</v>
      </c>
      <c r="N1367" s="139" t="s">
        <v>494</v>
      </c>
      <c r="O1367" s="139" t="s">
        <v>494</v>
      </c>
      <c r="P1367" s="28">
        <v>27</v>
      </c>
      <c r="Q1367" s="13" t="s">
        <v>54</v>
      </c>
      <c r="R1367" s="13" t="s">
        <v>28</v>
      </c>
      <c r="S1367" s="13"/>
      <c r="T1367" s="13"/>
      <c r="U1367" s="13" t="s">
        <v>1998</v>
      </c>
      <c r="V1367" s="13" t="s">
        <v>1998</v>
      </c>
      <c r="W1367" s="59">
        <f t="shared" si="21"/>
        <v>4.4160308540320588E-4</v>
      </c>
    </row>
    <row r="1368" spans="1:29">
      <c r="A1368" s="13" t="s">
        <v>581</v>
      </c>
      <c r="B1368" s="13" t="s">
        <v>471</v>
      </c>
      <c r="C1368" s="139">
        <v>46304</v>
      </c>
      <c r="D1368" s="139" t="s">
        <v>441</v>
      </c>
      <c r="E1368" s="28">
        <v>0.94149819999999995</v>
      </c>
      <c r="F1368" s="13"/>
      <c r="G1368" s="18">
        <v>2500000</v>
      </c>
      <c r="H1368" s="18">
        <v>2353745.4900000002</v>
      </c>
      <c r="I1368" s="18">
        <v>2500000</v>
      </c>
      <c r="J1368" s="18">
        <v>2353745.4900000002</v>
      </c>
      <c r="K1368" s="15">
        <v>90031813</v>
      </c>
      <c r="L1368" s="13" t="s">
        <v>102</v>
      </c>
      <c r="M1368" s="13" t="s">
        <v>103</v>
      </c>
      <c r="N1368" s="139" t="s">
        <v>327</v>
      </c>
      <c r="O1368" s="139" t="s">
        <v>327</v>
      </c>
      <c r="P1368" s="28">
        <v>28</v>
      </c>
      <c r="Q1368" s="13" t="s">
        <v>54</v>
      </c>
      <c r="R1368" s="13" t="s">
        <v>28</v>
      </c>
      <c r="S1368" s="13"/>
      <c r="T1368" s="13"/>
      <c r="U1368" s="13" t="s">
        <v>758</v>
      </c>
      <c r="V1368" s="13" t="s">
        <v>758</v>
      </c>
      <c r="W1368" s="59">
        <f t="shared" si="21"/>
        <v>4.496738999890677E-5</v>
      </c>
    </row>
    <row r="1369" spans="1:29">
      <c r="A1369" s="13" t="s">
        <v>486</v>
      </c>
      <c r="B1369" s="13" t="s">
        <v>471</v>
      </c>
      <c r="C1369" s="139">
        <v>46308</v>
      </c>
      <c r="D1369" s="139" t="s">
        <v>441</v>
      </c>
      <c r="E1369" s="28">
        <v>0.93064769000000003</v>
      </c>
      <c r="F1369" s="13"/>
      <c r="G1369" s="18">
        <v>14479899.68</v>
      </c>
      <c r="H1369" s="18">
        <v>13475685.15</v>
      </c>
      <c r="I1369" s="18">
        <v>14479899.68</v>
      </c>
      <c r="J1369" s="18">
        <v>13475685.15</v>
      </c>
      <c r="K1369" s="15">
        <v>9933005</v>
      </c>
      <c r="L1369" s="13" t="s">
        <v>102</v>
      </c>
      <c r="M1369" s="13" t="s">
        <v>103</v>
      </c>
      <c r="N1369" s="139" t="s">
        <v>381</v>
      </c>
      <c r="O1369" s="139" t="s">
        <v>381</v>
      </c>
      <c r="P1369" s="28">
        <v>32</v>
      </c>
      <c r="Q1369" s="13" t="s">
        <v>54</v>
      </c>
      <c r="R1369" s="13" t="s">
        <v>28</v>
      </c>
      <c r="S1369" s="13"/>
      <c r="T1369" s="13"/>
      <c r="U1369" s="13" t="s">
        <v>1565</v>
      </c>
      <c r="V1369" s="13" t="s">
        <v>1565</v>
      </c>
      <c r="W1369" s="59">
        <f t="shared" si="21"/>
        <v>2.5744771141017735E-4</v>
      </c>
    </row>
    <row r="1370" spans="1:29">
      <c r="A1370" s="13" t="s">
        <v>403</v>
      </c>
      <c r="B1370" s="13" t="s">
        <v>471</v>
      </c>
      <c r="C1370" s="139">
        <v>46308</v>
      </c>
      <c r="D1370" s="139" t="s">
        <v>441</v>
      </c>
      <c r="E1370" s="28">
        <v>0.93064765000000005</v>
      </c>
      <c r="F1370" s="13"/>
      <c r="G1370" s="18">
        <v>15000000</v>
      </c>
      <c r="H1370" s="18">
        <v>13959714.699999999</v>
      </c>
      <c r="I1370" s="18">
        <v>15000000</v>
      </c>
      <c r="J1370" s="18">
        <v>13959714.699999999</v>
      </c>
      <c r="K1370" s="15">
        <v>13953460</v>
      </c>
      <c r="L1370" s="13" t="s">
        <v>102</v>
      </c>
      <c r="M1370" s="13" t="s">
        <v>103</v>
      </c>
      <c r="N1370" s="139" t="s">
        <v>495</v>
      </c>
      <c r="O1370" s="139" t="s">
        <v>495</v>
      </c>
      <c r="P1370" s="28">
        <v>32</v>
      </c>
      <c r="Q1370" s="13" t="s">
        <v>54</v>
      </c>
      <c r="R1370" s="13" t="s">
        <v>28</v>
      </c>
      <c r="S1370" s="13"/>
      <c r="T1370" s="13"/>
      <c r="U1370" s="13" t="s">
        <v>2129</v>
      </c>
      <c r="V1370" s="13" t="s">
        <v>2129</v>
      </c>
      <c r="W1370" s="59">
        <f t="shared" si="21"/>
        <v>2.6669490726814808E-4</v>
      </c>
    </row>
    <row r="1371" spans="1:29">
      <c r="A1371" s="13" t="s">
        <v>403</v>
      </c>
      <c r="B1371" s="13" t="s">
        <v>471</v>
      </c>
      <c r="C1371" s="139">
        <v>46308</v>
      </c>
      <c r="D1371" s="139" t="s">
        <v>441</v>
      </c>
      <c r="E1371" s="28">
        <v>0.93064780999999996</v>
      </c>
      <c r="F1371" s="13"/>
      <c r="G1371" s="18">
        <v>40000000</v>
      </c>
      <c r="H1371" s="18">
        <v>37225912.57</v>
      </c>
      <c r="I1371" s="18">
        <v>40000000</v>
      </c>
      <c r="J1371" s="18">
        <v>37225912.57</v>
      </c>
      <c r="K1371" s="15">
        <v>13795907</v>
      </c>
      <c r="L1371" s="13" t="s">
        <v>102</v>
      </c>
      <c r="M1371" s="13" t="s">
        <v>103</v>
      </c>
      <c r="N1371" s="139" t="s">
        <v>457</v>
      </c>
      <c r="O1371" s="139" t="s">
        <v>457</v>
      </c>
      <c r="P1371" s="28">
        <v>32</v>
      </c>
      <c r="Q1371" s="13" t="s">
        <v>54</v>
      </c>
      <c r="R1371" s="13" t="s">
        <v>28</v>
      </c>
      <c r="S1371" s="13"/>
      <c r="T1371" s="13"/>
      <c r="U1371" s="13" t="s">
        <v>1735</v>
      </c>
      <c r="V1371" s="13" t="s">
        <v>1735</v>
      </c>
      <c r="W1371" s="59">
        <f t="shared" si="21"/>
        <v>7.1118654744629841E-4</v>
      </c>
    </row>
    <row r="1372" spans="1:29">
      <c r="A1372" s="13" t="s">
        <v>1046</v>
      </c>
      <c r="B1372" s="13" t="s">
        <v>471</v>
      </c>
      <c r="C1372" s="139">
        <v>46308</v>
      </c>
      <c r="D1372" s="139" t="s">
        <v>441</v>
      </c>
      <c r="E1372" s="28">
        <v>0.91673994000000003</v>
      </c>
      <c r="F1372" s="13"/>
      <c r="G1372" s="18">
        <v>3750000</v>
      </c>
      <c r="H1372" s="18">
        <v>3437774.79</v>
      </c>
      <c r="I1372" s="18">
        <v>3750000</v>
      </c>
      <c r="J1372" s="18">
        <v>3437774.79</v>
      </c>
      <c r="K1372" s="15">
        <v>66920072</v>
      </c>
      <c r="L1372" s="13" t="s">
        <v>102</v>
      </c>
      <c r="M1372" s="13" t="s">
        <v>103</v>
      </c>
      <c r="N1372" s="139" t="s">
        <v>364</v>
      </c>
      <c r="O1372" s="139" t="s">
        <v>364</v>
      </c>
      <c r="P1372" s="28">
        <v>39</v>
      </c>
      <c r="Q1372" s="13" t="s">
        <v>54</v>
      </c>
      <c r="R1372" s="13" t="s">
        <v>28</v>
      </c>
      <c r="S1372" s="13"/>
      <c r="T1372" s="13"/>
      <c r="U1372" s="13" t="s">
        <v>1022</v>
      </c>
      <c r="V1372" s="13" t="s">
        <v>1022</v>
      </c>
      <c r="W1372" s="59">
        <f t="shared" si="21"/>
        <v>6.5677347175857915E-5</v>
      </c>
    </row>
    <row r="1373" spans="1:29">
      <c r="A1373" s="13" t="s">
        <v>472</v>
      </c>
      <c r="B1373" s="13" t="s">
        <v>471</v>
      </c>
      <c r="C1373" s="139">
        <v>46308</v>
      </c>
      <c r="D1373" s="139" t="s">
        <v>441</v>
      </c>
      <c r="E1373" s="28">
        <v>0.93469911999999999</v>
      </c>
      <c r="F1373" s="13"/>
      <c r="G1373" s="18">
        <v>5000000</v>
      </c>
      <c r="H1373" s="18">
        <v>4673495.5999999996</v>
      </c>
      <c r="I1373" s="18">
        <v>5000000</v>
      </c>
      <c r="J1373" s="18">
        <v>4673495.5999999996</v>
      </c>
      <c r="K1373" s="15">
        <v>790</v>
      </c>
      <c r="L1373" s="13" t="s">
        <v>102</v>
      </c>
      <c r="M1373" s="13" t="s">
        <v>103</v>
      </c>
      <c r="N1373" s="139" t="s">
        <v>495</v>
      </c>
      <c r="O1373" s="139" t="s">
        <v>495</v>
      </c>
      <c r="P1373" s="28">
        <v>30</v>
      </c>
      <c r="Q1373" s="13" t="s">
        <v>54</v>
      </c>
      <c r="R1373" s="13" t="s">
        <v>28</v>
      </c>
      <c r="S1373" s="13"/>
      <c r="T1373" s="13"/>
      <c r="U1373" s="13" t="s">
        <v>2173</v>
      </c>
      <c r="V1373" s="13" t="s">
        <v>2173</v>
      </c>
      <c r="W1373" s="59">
        <f t="shared" si="21"/>
        <v>8.9285311515721594E-5</v>
      </c>
    </row>
    <row r="1374" spans="1:29">
      <c r="A1374" s="13" t="s">
        <v>323</v>
      </c>
      <c r="B1374" s="13" t="s">
        <v>471</v>
      </c>
      <c r="C1374" s="139">
        <v>46308</v>
      </c>
      <c r="D1374" s="139" t="s">
        <v>441</v>
      </c>
      <c r="E1374" s="28">
        <v>0.94084303000000002</v>
      </c>
      <c r="F1374" s="13"/>
      <c r="G1374" s="18">
        <v>15000000</v>
      </c>
      <c r="H1374" s="18">
        <v>14112645.48</v>
      </c>
      <c r="I1374" s="18">
        <v>15000000</v>
      </c>
      <c r="J1374" s="18">
        <v>14112645.48</v>
      </c>
      <c r="K1374" s="15">
        <v>11338650</v>
      </c>
      <c r="L1374" s="13" t="s">
        <v>102</v>
      </c>
      <c r="M1374" s="13" t="s">
        <v>103</v>
      </c>
      <c r="N1374" s="139" t="s">
        <v>392</v>
      </c>
      <c r="O1374" s="139" t="s">
        <v>392</v>
      </c>
      <c r="P1374" s="28">
        <v>27</v>
      </c>
      <c r="Q1374" s="13" t="s">
        <v>54</v>
      </c>
      <c r="R1374" s="13" t="s">
        <v>28</v>
      </c>
      <c r="S1374" s="13"/>
      <c r="T1374" s="13"/>
      <c r="U1374" s="13" t="s">
        <v>2315</v>
      </c>
      <c r="V1374" s="13" t="s">
        <v>2315</v>
      </c>
      <c r="W1374" s="59">
        <f t="shared" si="21"/>
        <v>2.6961659020129184E-4</v>
      </c>
    </row>
    <row r="1375" spans="1:29">
      <c r="A1375" s="13" t="s">
        <v>322</v>
      </c>
      <c r="B1375" s="13" t="s">
        <v>471</v>
      </c>
      <c r="C1375" s="139">
        <v>46308</v>
      </c>
      <c r="D1375" s="139" t="s">
        <v>441</v>
      </c>
      <c r="E1375" s="28">
        <v>0.93673810999999996</v>
      </c>
      <c r="F1375" s="13"/>
      <c r="G1375" s="18">
        <v>8106418.25</v>
      </c>
      <c r="H1375" s="18">
        <v>7593590.9199999999</v>
      </c>
      <c r="I1375" s="18">
        <v>8106418.25</v>
      </c>
      <c r="J1375" s="18">
        <v>7593590.9199999999</v>
      </c>
      <c r="K1375" s="15">
        <v>90000803</v>
      </c>
      <c r="L1375" s="13" t="s">
        <v>102</v>
      </c>
      <c r="M1375" s="13" t="s">
        <v>103</v>
      </c>
      <c r="N1375" s="139" t="s">
        <v>431</v>
      </c>
      <c r="O1375" s="139" t="s">
        <v>431</v>
      </c>
      <c r="P1375" s="28">
        <v>29</v>
      </c>
      <c r="Q1375" s="13" t="s">
        <v>54</v>
      </c>
      <c r="R1375" s="13" t="s">
        <v>28</v>
      </c>
      <c r="S1375" s="13"/>
      <c r="T1375" s="13"/>
      <c r="U1375" s="13" t="s">
        <v>1918</v>
      </c>
      <c r="V1375" s="13" t="s">
        <v>1918</v>
      </c>
      <c r="W1375" s="59">
        <f t="shared" si="21"/>
        <v>1.4507259423014222E-4</v>
      </c>
    </row>
    <row r="1376" spans="1:29">
      <c r="A1376" s="13" t="s">
        <v>2190</v>
      </c>
      <c r="B1376" s="13" t="s">
        <v>471</v>
      </c>
      <c r="C1376" s="139">
        <v>46308</v>
      </c>
      <c r="D1376" s="139" t="s">
        <v>441</v>
      </c>
      <c r="E1376" s="28">
        <v>0.93064765000000005</v>
      </c>
      <c r="F1376" s="13"/>
      <c r="G1376" s="18">
        <v>7500000</v>
      </c>
      <c r="H1376" s="18">
        <v>6979857.3499999996</v>
      </c>
      <c r="I1376" s="18">
        <v>7500000</v>
      </c>
      <c r="J1376" s="18">
        <v>6979857.3499999996</v>
      </c>
      <c r="K1376" s="15">
        <v>67195476</v>
      </c>
      <c r="L1376" s="13" t="s">
        <v>102</v>
      </c>
      <c r="M1376" s="13" t="s">
        <v>103</v>
      </c>
      <c r="N1376" s="139" t="s">
        <v>495</v>
      </c>
      <c r="O1376" s="139" t="s">
        <v>495</v>
      </c>
      <c r="P1376" s="28">
        <v>32</v>
      </c>
      <c r="Q1376" s="13" t="s">
        <v>54</v>
      </c>
      <c r="R1376" s="13" t="s">
        <v>28</v>
      </c>
      <c r="S1376" s="13"/>
      <c r="T1376" s="13"/>
      <c r="U1376" s="13" t="s">
        <v>2145</v>
      </c>
      <c r="V1376" s="13" t="s">
        <v>2145</v>
      </c>
      <c r="W1376" s="59">
        <f t="shared" si="21"/>
        <v>1.3334745363407404E-4</v>
      </c>
    </row>
    <row r="1377" spans="1:29">
      <c r="A1377" s="13" t="s">
        <v>1345</v>
      </c>
      <c r="B1377" s="13" t="s">
        <v>471</v>
      </c>
      <c r="C1377" s="139">
        <v>46309</v>
      </c>
      <c r="D1377" s="139" t="s">
        <v>441</v>
      </c>
      <c r="E1377" s="28">
        <v>0.92785605999999998</v>
      </c>
      <c r="F1377" s="13"/>
      <c r="G1377" s="18">
        <v>650000000</v>
      </c>
      <c r="H1377" s="18">
        <v>603106436.13999999</v>
      </c>
      <c r="I1377" s="18">
        <v>650000000</v>
      </c>
      <c r="J1377" s="18">
        <v>603106436.13999999</v>
      </c>
      <c r="K1377" s="15">
        <v>152838</v>
      </c>
      <c r="L1377" s="13" t="s">
        <v>102</v>
      </c>
      <c r="M1377" s="13" t="s">
        <v>103</v>
      </c>
      <c r="N1377" s="139" t="s">
        <v>485</v>
      </c>
      <c r="O1377" s="139" t="s">
        <v>485</v>
      </c>
      <c r="P1377" s="28">
        <v>33</v>
      </c>
      <c r="Q1377" s="13" t="s">
        <v>54</v>
      </c>
      <c r="R1377" s="13" t="s">
        <v>28</v>
      </c>
      <c r="S1377" s="13"/>
      <c r="T1377" s="13"/>
      <c r="U1377" s="13" t="s">
        <v>1517</v>
      </c>
      <c r="V1377" s="13" t="s">
        <v>1517</v>
      </c>
      <c r="W1377" s="59">
        <f t="shared" si="21"/>
        <v>1.1522113346570082E-2</v>
      </c>
    </row>
    <row r="1378" spans="1:29">
      <c r="A1378" s="13" t="s">
        <v>486</v>
      </c>
      <c r="B1378" s="13" t="s">
        <v>471</v>
      </c>
      <c r="C1378" s="139">
        <v>46309</v>
      </c>
      <c r="D1378" s="139" t="s">
        <v>441</v>
      </c>
      <c r="E1378" s="28">
        <v>0.92988892999999995</v>
      </c>
      <c r="F1378" s="13"/>
      <c r="G1378" s="18">
        <v>14479899.68</v>
      </c>
      <c r="H1378" s="18">
        <v>13464698.41</v>
      </c>
      <c r="I1378" s="18">
        <v>14479899.68</v>
      </c>
      <c r="J1378" s="18">
        <v>13464698.41</v>
      </c>
      <c r="K1378" s="15">
        <v>9933004</v>
      </c>
      <c r="L1378" s="13" t="s">
        <v>102</v>
      </c>
      <c r="M1378" s="13" t="s">
        <v>103</v>
      </c>
      <c r="N1378" s="139" t="s">
        <v>381</v>
      </c>
      <c r="O1378" s="139" t="s">
        <v>381</v>
      </c>
      <c r="P1378" s="28">
        <v>32</v>
      </c>
      <c r="Q1378" s="13" t="s">
        <v>54</v>
      </c>
      <c r="R1378" s="13" t="s">
        <v>28</v>
      </c>
      <c r="S1378" s="13"/>
      <c r="T1378" s="13"/>
      <c r="U1378" s="13" t="s">
        <v>1561</v>
      </c>
      <c r="V1378" s="13" t="s">
        <v>1561</v>
      </c>
      <c r="W1378" s="59">
        <f t="shared" si="21"/>
        <v>2.5723781402556392E-4</v>
      </c>
    </row>
    <row r="1379" spans="1:29">
      <c r="A1379" s="13" t="s">
        <v>2188</v>
      </c>
      <c r="B1379" s="13" t="s">
        <v>471</v>
      </c>
      <c r="C1379" s="139">
        <v>46309</v>
      </c>
      <c r="D1379" s="139" t="s">
        <v>441</v>
      </c>
      <c r="E1379" s="28">
        <v>0.92988912999999995</v>
      </c>
      <c r="F1379" s="13"/>
      <c r="G1379" s="18">
        <v>3023662.75</v>
      </c>
      <c r="H1379" s="18">
        <v>2811671.13</v>
      </c>
      <c r="I1379" s="18">
        <v>3023662.75</v>
      </c>
      <c r="J1379" s="18">
        <v>2811671.13</v>
      </c>
      <c r="K1379" s="15">
        <v>2527</v>
      </c>
      <c r="L1379" s="13" t="s">
        <v>102</v>
      </c>
      <c r="M1379" s="13" t="s">
        <v>103</v>
      </c>
      <c r="N1379" s="139" t="s">
        <v>495</v>
      </c>
      <c r="O1379" s="139" t="s">
        <v>495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2148</v>
      </c>
      <c r="V1379" s="13" t="s">
        <v>2148</v>
      </c>
      <c r="W1379" s="59">
        <f t="shared" si="21"/>
        <v>5.371588083271352E-5</v>
      </c>
    </row>
    <row r="1380" spans="1:29">
      <c r="A1380" s="13" t="s">
        <v>403</v>
      </c>
      <c r="B1380" s="13" t="s">
        <v>471</v>
      </c>
      <c r="C1380" s="139">
        <v>46309</v>
      </c>
      <c r="D1380" s="139" t="s">
        <v>441</v>
      </c>
      <c r="E1380" s="28">
        <v>0.92988912999999995</v>
      </c>
      <c r="F1380" s="13"/>
      <c r="G1380" s="18">
        <v>15000000</v>
      </c>
      <c r="H1380" s="18">
        <v>13948336.93</v>
      </c>
      <c r="I1380" s="18">
        <v>15000000</v>
      </c>
      <c r="J1380" s="18">
        <v>13948336.93</v>
      </c>
      <c r="K1380" s="15">
        <v>13953461</v>
      </c>
      <c r="L1380" s="13" t="s">
        <v>102</v>
      </c>
      <c r="M1380" s="13" t="s">
        <v>103</v>
      </c>
      <c r="N1380" s="139" t="s">
        <v>495</v>
      </c>
      <c r="O1380" s="139" t="s">
        <v>495</v>
      </c>
      <c r="P1380" s="28">
        <v>32</v>
      </c>
      <c r="Q1380" s="13" t="s">
        <v>54</v>
      </c>
      <c r="R1380" s="13" t="s">
        <v>28</v>
      </c>
      <c r="S1380" s="13"/>
      <c r="T1380" s="13"/>
      <c r="U1380" s="13" t="s">
        <v>2128</v>
      </c>
      <c r="V1380" s="13" t="s">
        <v>2128</v>
      </c>
      <c r="W1380" s="59">
        <f t="shared" si="21"/>
        <v>2.6647753940782439E-4</v>
      </c>
    </row>
    <row r="1381" spans="1:29">
      <c r="A1381" s="13" t="s">
        <v>403</v>
      </c>
      <c r="B1381" s="13" t="s">
        <v>471</v>
      </c>
      <c r="C1381" s="139">
        <v>46309</v>
      </c>
      <c r="D1381" s="139" t="s">
        <v>441</v>
      </c>
      <c r="E1381" s="28">
        <v>0.92988904999999999</v>
      </c>
      <c r="F1381" s="13"/>
      <c r="G1381" s="18">
        <v>40000000</v>
      </c>
      <c r="H1381" s="18">
        <v>37195561.969999999</v>
      </c>
      <c r="I1381" s="18">
        <v>40000000</v>
      </c>
      <c r="J1381" s="18">
        <v>37195561.969999999</v>
      </c>
      <c r="K1381" s="15">
        <v>13795908</v>
      </c>
      <c r="L1381" s="13" t="s">
        <v>102</v>
      </c>
      <c r="M1381" s="13" t="s">
        <v>103</v>
      </c>
      <c r="N1381" s="139" t="s">
        <v>457</v>
      </c>
      <c r="O1381" s="139" t="s">
        <v>457</v>
      </c>
      <c r="P1381" s="28">
        <v>32</v>
      </c>
      <c r="Q1381" s="13" t="s">
        <v>54</v>
      </c>
      <c r="R1381" s="13" t="s">
        <v>28</v>
      </c>
      <c r="S1381" s="13"/>
      <c r="T1381" s="13"/>
      <c r="U1381" s="13" t="s">
        <v>1736</v>
      </c>
      <c r="V1381" s="13" t="s">
        <v>1736</v>
      </c>
      <c r="W1381" s="59">
        <f t="shared" si="21"/>
        <v>7.1060671106522007E-4</v>
      </c>
      <c r="AC1381"/>
    </row>
    <row r="1382" spans="1:29">
      <c r="A1382" s="13" t="s">
        <v>323</v>
      </c>
      <c r="B1382" s="13" t="s">
        <v>471</v>
      </c>
      <c r="C1382" s="139">
        <v>46309</v>
      </c>
      <c r="D1382" s="139" t="s">
        <v>441</v>
      </c>
      <c r="E1382" s="28">
        <v>0.94437267000000003</v>
      </c>
      <c r="F1382" s="13"/>
      <c r="G1382" s="18">
        <v>50000000</v>
      </c>
      <c r="H1382" s="18">
        <v>47218633.659999996</v>
      </c>
      <c r="I1382" s="18">
        <v>50000000</v>
      </c>
      <c r="J1382" s="18">
        <v>47218633.659999996</v>
      </c>
      <c r="K1382" s="15">
        <v>14032588</v>
      </c>
      <c r="L1382" s="13" t="s">
        <v>102</v>
      </c>
      <c r="M1382" s="13" t="s">
        <v>103</v>
      </c>
      <c r="N1382" s="139" t="s">
        <v>441</v>
      </c>
      <c r="O1382" s="139" t="s">
        <v>441</v>
      </c>
      <c r="P1382" s="28">
        <v>25</v>
      </c>
      <c r="Q1382" s="13" t="s">
        <v>54</v>
      </c>
      <c r="R1382" s="13" t="s">
        <v>28</v>
      </c>
      <c r="S1382" s="13"/>
      <c r="T1382" s="13"/>
      <c r="U1382" s="13" t="s">
        <v>2414</v>
      </c>
      <c r="V1382" s="13" t="s">
        <v>2414</v>
      </c>
      <c r="W1382" s="59">
        <f t="shared" si="21"/>
        <v>9.02093588293918E-4</v>
      </c>
    </row>
    <row r="1383" spans="1:29">
      <c r="A1383" s="13" t="s">
        <v>323</v>
      </c>
      <c r="B1383" s="13" t="s">
        <v>471</v>
      </c>
      <c r="C1383" s="139">
        <v>46309</v>
      </c>
      <c r="D1383" s="139" t="s">
        <v>441</v>
      </c>
      <c r="E1383" s="28">
        <v>0.94437267000000003</v>
      </c>
      <c r="F1383" s="13"/>
      <c r="G1383" s="18">
        <v>8650000</v>
      </c>
      <c r="H1383" s="18">
        <v>8168823.5999999996</v>
      </c>
      <c r="I1383" s="18">
        <v>8650000</v>
      </c>
      <c r="J1383" s="18">
        <v>8168823.5999999996</v>
      </c>
      <c r="K1383" s="15">
        <v>34386</v>
      </c>
      <c r="L1383" s="13" t="s">
        <v>102</v>
      </c>
      <c r="M1383" s="13" t="s">
        <v>103</v>
      </c>
      <c r="N1383" s="139" t="s">
        <v>441</v>
      </c>
      <c r="O1383" s="139" t="s">
        <v>441</v>
      </c>
      <c r="P1383" s="28">
        <v>25</v>
      </c>
      <c r="Q1383" s="13" t="s">
        <v>54</v>
      </c>
      <c r="R1383" s="13" t="s">
        <v>28</v>
      </c>
      <c r="S1383" s="13"/>
      <c r="T1383" s="13"/>
      <c r="U1383" s="13" t="s">
        <v>2436</v>
      </c>
      <c r="V1383" s="13" t="s">
        <v>2436</v>
      </c>
      <c r="W1383" s="59">
        <f t="shared" si="21"/>
        <v>1.5606219033200295E-4</v>
      </c>
    </row>
    <row r="1384" spans="1:29">
      <c r="A1384" s="13" t="s">
        <v>323</v>
      </c>
      <c r="B1384" s="13" t="s">
        <v>471</v>
      </c>
      <c r="C1384" s="139">
        <v>46309</v>
      </c>
      <c r="D1384" s="139" t="s">
        <v>441</v>
      </c>
      <c r="E1384" s="28">
        <v>0.94018873000000003</v>
      </c>
      <c r="F1384" s="13"/>
      <c r="G1384" s="18">
        <v>10000000</v>
      </c>
      <c r="H1384" s="18">
        <v>9401887.3399999999</v>
      </c>
      <c r="I1384" s="18">
        <v>10000000</v>
      </c>
      <c r="J1384" s="18">
        <v>9401887.3399999999</v>
      </c>
      <c r="K1384" s="15">
        <v>2010</v>
      </c>
      <c r="L1384" s="13" t="s">
        <v>102</v>
      </c>
      <c r="M1384" s="13" t="s">
        <v>103</v>
      </c>
      <c r="N1384" s="139" t="s">
        <v>494</v>
      </c>
      <c r="O1384" s="139" t="s">
        <v>494</v>
      </c>
      <c r="P1384" s="28">
        <v>27</v>
      </c>
      <c r="Q1384" s="13" t="s">
        <v>54</v>
      </c>
      <c r="R1384" s="13" t="s">
        <v>28</v>
      </c>
      <c r="S1384" s="13"/>
      <c r="T1384" s="13"/>
      <c r="U1384" s="13" t="s">
        <v>2021</v>
      </c>
      <c r="V1384" s="13" t="s">
        <v>2021</v>
      </c>
      <c r="W1384" s="59">
        <f t="shared" si="21"/>
        <v>1.7961939238535265E-4</v>
      </c>
    </row>
    <row r="1385" spans="1:29">
      <c r="A1385" s="13" t="s">
        <v>478</v>
      </c>
      <c r="B1385" s="13" t="s">
        <v>471</v>
      </c>
      <c r="C1385" s="139">
        <v>46309</v>
      </c>
      <c r="D1385" s="139" t="s">
        <v>441</v>
      </c>
      <c r="E1385" s="28">
        <v>0.92785602</v>
      </c>
      <c r="F1385" s="13"/>
      <c r="G1385" s="18">
        <v>12500000</v>
      </c>
      <c r="H1385" s="18">
        <v>11598200.210000001</v>
      </c>
      <c r="I1385" s="18">
        <v>12500000</v>
      </c>
      <c r="J1385" s="18">
        <v>11598200.210000001</v>
      </c>
      <c r="K1385" s="15">
        <v>1363</v>
      </c>
      <c r="L1385" s="13" t="s">
        <v>102</v>
      </c>
      <c r="M1385" s="13" t="s">
        <v>103</v>
      </c>
      <c r="N1385" s="139" t="s">
        <v>428</v>
      </c>
      <c r="O1385" s="139" t="s">
        <v>428</v>
      </c>
      <c r="P1385" s="28">
        <v>33</v>
      </c>
      <c r="Q1385" s="13" t="s">
        <v>54</v>
      </c>
      <c r="R1385" s="13" t="s">
        <v>28</v>
      </c>
      <c r="S1385" s="13"/>
      <c r="T1385" s="13"/>
      <c r="U1385" s="13" t="s">
        <v>1115</v>
      </c>
      <c r="V1385" s="13" t="s">
        <v>1115</v>
      </c>
      <c r="W1385" s="59">
        <f t="shared" si="21"/>
        <v>2.2157909355291952E-4</v>
      </c>
    </row>
    <row r="1386" spans="1:29">
      <c r="A1386" s="13" t="s">
        <v>141</v>
      </c>
      <c r="B1386" s="13" t="s">
        <v>471</v>
      </c>
      <c r="C1386" s="139">
        <v>46309</v>
      </c>
      <c r="D1386" s="139" t="s">
        <v>441</v>
      </c>
      <c r="E1386" s="28">
        <v>0.92785622999999995</v>
      </c>
      <c r="F1386" s="13"/>
      <c r="G1386" s="18">
        <v>85000000</v>
      </c>
      <c r="H1386" s="18">
        <v>78867779.379999995</v>
      </c>
      <c r="I1386" s="18">
        <v>85000000</v>
      </c>
      <c r="J1386" s="18">
        <v>78867779.379999995</v>
      </c>
      <c r="K1386" s="15">
        <v>8444</v>
      </c>
      <c r="L1386" s="13" t="s">
        <v>102</v>
      </c>
      <c r="M1386" s="13" t="s">
        <v>103</v>
      </c>
      <c r="N1386" s="139" t="s">
        <v>495</v>
      </c>
      <c r="O1386" s="139" t="s">
        <v>495</v>
      </c>
      <c r="P1386" s="28">
        <v>33</v>
      </c>
      <c r="Q1386" s="13" t="s">
        <v>54</v>
      </c>
      <c r="R1386" s="13" t="s">
        <v>28</v>
      </c>
      <c r="S1386" s="13"/>
      <c r="T1386" s="13"/>
      <c r="U1386" s="13" t="s">
        <v>2161</v>
      </c>
      <c r="V1386" s="13" t="s">
        <v>2161</v>
      </c>
      <c r="W1386" s="59">
        <f t="shared" si="21"/>
        <v>1.5067381791258141E-3</v>
      </c>
      <c r="AC1386" s="56"/>
    </row>
    <row r="1387" spans="1:29">
      <c r="A1387" s="13" t="s">
        <v>322</v>
      </c>
      <c r="B1387" s="13" t="s">
        <v>471</v>
      </c>
      <c r="C1387" s="139">
        <v>46309</v>
      </c>
      <c r="D1387" s="139" t="s">
        <v>441</v>
      </c>
      <c r="E1387" s="28">
        <v>0.94437258000000002</v>
      </c>
      <c r="F1387" s="13"/>
      <c r="G1387" s="18">
        <v>40000000</v>
      </c>
      <c r="H1387" s="18">
        <v>37774903.140000001</v>
      </c>
      <c r="I1387" s="18">
        <v>40000000</v>
      </c>
      <c r="J1387" s="18">
        <v>37774903.140000001</v>
      </c>
      <c r="K1387" s="15">
        <v>67620341</v>
      </c>
      <c r="L1387" s="13" t="s">
        <v>102</v>
      </c>
      <c r="M1387" s="13" t="s">
        <v>103</v>
      </c>
      <c r="N1387" s="139" t="s">
        <v>381</v>
      </c>
      <c r="O1387" s="139" t="s">
        <v>381</v>
      </c>
      <c r="P1387" s="28">
        <v>25</v>
      </c>
      <c r="Q1387" s="13" t="s">
        <v>54</v>
      </c>
      <c r="R1387" s="13" t="s">
        <v>28</v>
      </c>
      <c r="S1387" s="13"/>
      <c r="T1387" s="13"/>
      <c r="U1387" s="13" t="s">
        <v>1556</v>
      </c>
      <c r="V1387" s="13" t="s">
        <v>1556</v>
      </c>
      <c r="W1387" s="59">
        <f t="shared" si="21"/>
        <v>7.2167479826687117E-4</v>
      </c>
    </row>
    <row r="1388" spans="1:29">
      <c r="A1388" s="13" t="s">
        <v>581</v>
      </c>
      <c r="B1388" s="13" t="s">
        <v>471</v>
      </c>
      <c r="C1388" s="139">
        <v>46309</v>
      </c>
      <c r="D1388" s="139" t="s">
        <v>441</v>
      </c>
      <c r="E1388" s="28">
        <v>0.93811042</v>
      </c>
      <c r="F1388" s="13"/>
      <c r="G1388" s="18">
        <v>2500000</v>
      </c>
      <c r="H1388" s="18">
        <v>2345276.04</v>
      </c>
      <c r="I1388" s="18">
        <v>2500000</v>
      </c>
      <c r="J1388" s="18">
        <v>2345276.04</v>
      </c>
      <c r="K1388" s="15">
        <v>90031814</v>
      </c>
      <c r="L1388" s="13" t="s">
        <v>102</v>
      </c>
      <c r="M1388" s="13" t="s">
        <v>103</v>
      </c>
      <c r="N1388" s="139" t="s">
        <v>327</v>
      </c>
      <c r="O1388" s="139" t="s">
        <v>327</v>
      </c>
      <c r="P1388" s="28">
        <v>28</v>
      </c>
      <c r="Q1388" s="13" t="s">
        <v>54</v>
      </c>
      <c r="R1388" s="13" t="s">
        <v>28</v>
      </c>
      <c r="S1388" s="13"/>
      <c r="T1388" s="13"/>
      <c r="U1388" s="13" t="s">
        <v>760</v>
      </c>
      <c r="V1388" s="13" t="s">
        <v>760</v>
      </c>
      <c r="W1388" s="59">
        <f t="shared" si="21"/>
        <v>4.4805584458399397E-5</v>
      </c>
    </row>
    <row r="1389" spans="1:29">
      <c r="A1389" s="13" t="s">
        <v>581</v>
      </c>
      <c r="B1389" s="13" t="s">
        <v>471</v>
      </c>
      <c r="C1389" s="139">
        <v>46309</v>
      </c>
      <c r="D1389" s="139" t="s">
        <v>441</v>
      </c>
      <c r="E1389" s="28">
        <v>0.93811051000000001</v>
      </c>
      <c r="F1389" s="13"/>
      <c r="G1389" s="18">
        <v>25000000</v>
      </c>
      <c r="H1389" s="18">
        <v>23452762.690000001</v>
      </c>
      <c r="I1389" s="18">
        <v>25000000</v>
      </c>
      <c r="J1389" s="18">
        <v>23452762.690000001</v>
      </c>
      <c r="K1389" s="15">
        <v>360570</v>
      </c>
      <c r="L1389" s="13" t="s">
        <v>102</v>
      </c>
      <c r="M1389" s="13" t="s">
        <v>103</v>
      </c>
      <c r="N1389" s="139" t="s">
        <v>348</v>
      </c>
      <c r="O1389" s="139" t="s">
        <v>348</v>
      </c>
      <c r="P1389" s="28">
        <v>28</v>
      </c>
      <c r="Q1389" s="13" t="s">
        <v>54</v>
      </c>
      <c r="R1389" s="13" t="s">
        <v>28</v>
      </c>
      <c r="S1389" s="13"/>
      <c r="T1389" s="13"/>
      <c r="U1389" s="13" t="s">
        <v>710</v>
      </c>
      <c r="V1389" s="13" t="s">
        <v>710</v>
      </c>
      <c r="W1389" s="59">
        <f t="shared" si="21"/>
        <v>4.4805588833355124E-4</v>
      </c>
    </row>
    <row r="1390" spans="1:29">
      <c r="A1390" s="13" t="s">
        <v>456</v>
      </c>
      <c r="B1390" s="13" t="s">
        <v>471</v>
      </c>
      <c r="C1390" s="139">
        <v>46309</v>
      </c>
      <c r="D1390" s="139" t="s">
        <v>441</v>
      </c>
      <c r="E1390" s="28">
        <v>0.92785605999999998</v>
      </c>
      <c r="F1390" s="13"/>
      <c r="G1390" s="18">
        <v>800000000</v>
      </c>
      <c r="H1390" s="18">
        <v>742284844.48000002</v>
      </c>
      <c r="I1390" s="18">
        <v>800000000</v>
      </c>
      <c r="J1390" s="18">
        <v>742284844.48000002</v>
      </c>
      <c r="K1390" s="15">
        <v>152839</v>
      </c>
      <c r="L1390" s="13" t="s">
        <v>102</v>
      </c>
      <c r="M1390" s="13" t="s">
        <v>103</v>
      </c>
      <c r="N1390" s="139" t="s">
        <v>485</v>
      </c>
      <c r="O1390" s="139" t="s">
        <v>485</v>
      </c>
      <c r="P1390" s="28">
        <v>33</v>
      </c>
      <c r="Q1390" s="13" t="s">
        <v>54</v>
      </c>
      <c r="R1390" s="13" t="s">
        <v>28</v>
      </c>
      <c r="S1390" s="13"/>
      <c r="T1390" s="13"/>
      <c r="U1390" s="13" t="s">
        <v>1522</v>
      </c>
      <c r="V1390" s="13" t="s">
        <v>1522</v>
      </c>
      <c r="W1390" s="59">
        <f t="shared" si="21"/>
        <v>1.4181062580393949E-2</v>
      </c>
    </row>
    <row r="1391" spans="1:29">
      <c r="A1391" s="13" t="s">
        <v>661</v>
      </c>
      <c r="B1391" s="13" t="s">
        <v>471</v>
      </c>
      <c r="C1391" s="139">
        <v>46309</v>
      </c>
      <c r="D1391" s="139" t="s">
        <v>441</v>
      </c>
      <c r="E1391" s="28">
        <v>0.93604149000000003</v>
      </c>
      <c r="F1391" s="13"/>
      <c r="G1391" s="18">
        <v>10000000</v>
      </c>
      <c r="H1391" s="18">
        <v>9360414.9000000004</v>
      </c>
      <c r="I1391" s="18">
        <v>10000000</v>
      </c>
      <c r="J1391" s="18">
        <v>9360414.9000000004</v>
      </c>
      <c r="K1391" s="15">
        <v>80620808</v>
      </c>
      <c r="L1391" s="13" t="s">
        <v>102</v>
      </c>
      <c r="M1391" s="13" t="s">
        <v>103</v>
      </c>
      <c r="N1391" s="139" t="s">
        <v>367</v>
      </c>
      <c r="O1391" s="139" t="s">
        <v>367</v>
      </c>
      <c r="P1391" s="28">
        <v>29</v>
      </c>
      <c r="Q1391" s="13" t="s">
        <v>54</v>
      </c>
      <c r="R1391" s="13" t="s">
        <v>28</v>
      </c>
      <c r="S1391" s="13"/>
      <c r="T1391" s="13"/>
      <c r="U1391" s="13" t="s">
        <v>1861</v>
      </c>
      <c r="V1391" s="13" t="s">
        <v>1861</v>
      </c>
      <c r="W1391" s="59">
        <f t="shared" si="21"/>
        <v>1.7882707758682862E-4</v>
      </c>
    </row>
    <row r="1392" spans="1:29">
      <c r="A1392" s="13" t="s">
        <v>1526</v>
      </c>
      <c r="B1392" s="13" t="s">
        <v>471</v>
      </c>
      <c r="C1392" s="139">
        <v>46309</v>
      </c>
      <c r="D1392" s="139" t="s">
        <v>441</v>
      </c>
      <c r="E1392" s="28">
        <v>0.92785611000000001</v>
      </c>
      <c r="F1392" s="13"/>
      <c r="G1392" s="18">
        <v>650000000</v>
      </c>
      <c r="H1392" s="18">
        <v>603106471.75999999</v>
      </c>
      <c r="I1392" s="18">
        <v>650000000</v>
      </c>
      <c r="J1392" s="18">
        <v>603106471.75999999</v>
      </c>
      <c r="K1392" s="15">
        <v>153163</v>
      </c>
      <c r="L1392" s="13" t="s">
        <v>102</v>
      </c>
      <c r="M1392" s="13" t="s">
        <v>103</v>
      </c>
      <c r="N1392" s="139" t="s">
        <v>401</v>
      </c>
      <c r="O1392" s="139" t="s">
        <v>401</v>
      </c>
      <c r="P1392" s="28">
        <v>33</v>
      </c>
      <c r="Q1392" s="13" t="s">
        <v>54</v>
      </c>
      <c r="R1392" s="13" t="s">
        <v>28</v>
      </c>
      <c r="S1392" s="13"/>
      <c r="T1392" s="13"/>
      <c r="U1392" s="13" t="s">
        <v>1527</v>
      </c>
      <c r="V1392" s="13" t="s">
        <v>1527</v>
      </c>
      <c r="W1392" s="59">
        <f t="shared" si="21"/>
        <v>1.1522114027076296E-2</v>
      </c>
    </row>
    <row r="1393" spans="1:29">
      <c r="A1393" s="13" t="s">
        <v>1346</v>
      </c>
      <c r="B1393" s="13" t="s">
        <v>471</v>
      </c>
      <c r="C1393" s="139">
        <v>46310</v>
      </c>
      <c r="D1393" s="139" t="s">
        <v>441</v>
      </c>
      <c r="E1393" s="28">
        <v>0.92707830999999996</v>
      </c>
      <c r="F1393" s="13"/>
      <c r="G1393" s="18">
        <v>5134985.93</v>
      </c>
      <c r="H1393" s="18">
        <v>4760534.07</v>
      </c>
      <c r="I1393" s="18">
        <v>5134985.93</v>
      </c>
      <c r="J1393" s="18">
        <v>4760534.07</v>
      </c>
      <c r="K1393" s="15">
        <v>414</v>
      </c>
      <c r="L1393" s="13" t="s">
        <v>102</v>
      </c>
      <c r="M1393" s="13" t="s">
        <v>103</v>
      </c>
      <c r="N1393" s="139" t="s">
        <v>174</v>
      </c>
      <c r="O1393" s="139" t="s">
        <v>174</v>
      </c>
      <c r="P1393" s="28">
        <v>33</v>
      </c>
      <c r="Q1393" s="13" t="s">
        <v>54</v>
      </c>
      <c r="R1393" s="13" t="s">
        <v>28</v>
      </c>
      <c r="S1393" s="13"/>
      <c r="T1393" s="13"/>
      <c r="U1393" s="13" t="s">
        <v>1338</v>
      </c>
      <c r="V1393" s="13" t="s">
        <v>1338</v>
      </c>
      <c r="W1393" s="59">
        <f t="shared" si="21"/>
        <v>9.0948147553868684E-5</v>
      </c>
    </row>
    <row r="1394" spans="1:29">
      <c r="A1394" s="13" t="s">
        <v>486</v>
      </c>
      <c r="B1394" s="13" t="s">
        <v>471</v>
      </c>
      <c r="C1394" s="139">
        <v>46310</v>
      </c>
      <c r="D1394" s="139" t="s">
        <v>441</v>
      </c>
      <c r="E1394" s="28">
        <v>0.92913159999999995</v>
      </c>
      <c r="F1394" s="13"/>
      <c r="G1394" s="18">
        <v>14479899.68</v>
      </c>
      <c r="H1394" s="18">
        <v>13453732.310000001</v>
      </c>
      <c r="I1394" s="18">
        <v>14479899.68</v>
      </c>
      <c r="J1394" s="18">
        <v>13453732.310000001</v>
      </c>
      <c r="K1394" s="15">
        <v>9933003</v>
      </c>
      <c r="L1394" s="13" t="s">
        <v>102</v>
      </c>
      <c r="M1394" s="13" t="s">
        <v>103</v>
      </c>
      <c r="N1394" s="139" t="s">
        <v>381</v>
      </c>
      <c r="O1394" s="139" t="s">
        <v>381</v>
      </c>
      <c r="P1394" s="28">
        <v>32</v>
      </c>
      <c r="Q1394" s="13" t="s">
        <v>54</v>
      </c>
      <c r="R1394" s="13" t="s">
        <v>28</v>
      </c>
      <c r="S1394" s="13"/>
      <c r="T1394" s="13"/>
      <c r="U1394" s="13" t="s">
        <v>1560</v>
      </c>
      <c r="V1394" s="13" t="s">
        <v>1560</v>
      </c>
      <c r="W1394" s="59">
        <f t="shared" si="21"/>
        <v>2.570283109601042E-4</v>
      </c>
      <c r="AC1394" s="56"/>
    </row>
    <row r="1395" spans="1:29">
      <c r="A1395" s="13" t="s">
        <v>698</v>
      </c>
      <c r="B1395" s="13" t="s">
        <v>471</v>
      </c>
      <c r="C1395" s="139">
        <v>46310</v>
      </c>
      <c r="D1395" s="139" t="s">
        <v>441</v>
      </c>
      <c r="E1395" s="28">
        <v>0.93326529000000003</v>
      </c>
      <c r="F1395" s="13"/>
      <c r="G1395" s="18">
        <v>2000000</v>
      </c>
      <c r="H1395" s="18">
        <v>1866530.57</v>
      </c>
      <c r="I1395" s="18">
        <v>2000000</v>
      </c>
      <c r="J1395" s="18">
        <v>1866530.57</v>
      </c>
      <c r="K1395" s="15">
        <v>13442185</v>
      </c>
      <c r="L1395" s="13" t="s">
        <v>102</v>
      </c>
      <c r="M1395" s="13" t="s">
        <v>103</v>
      </c>
      <c r="N1395" s="139" t="s">
        <v>319</v>
      </c>
      <c r="O1395" s="139" t="s">
        <v>319</v>
      </c>
      <c r="P1395" s="28">
        <v>30</v>
      </c>
      <c r="Q1395" s="13" t="s">
        <v>54</v>
      </c>
      <c r="R1395" s="13" t="s">
        <v>28</v>
      </c>
      <c r="S1395" s="13"/>
      <c r="T1395" s="13"/>
      <c r="U1395" s="13" t="s">
        <v>1189</v>
      </c>
      <c r="V1395" s="13" t="s">
        <v>1189</v>
      </c>
      <c r="W1395" s="59">
        <f t="shared" si="21"/>
        <v>3.565933888887526E-5</v>
      </c>
    </row>
    <row r="1396" spans="1:29">
      <c r="A1396" s="13" t="s">
        <v>491</v>
      </c>
      <c r="B1396" s="13" t="s">
        <v>471</v>
      </c>
      <c r="C1396" s="139">
        <v>46310</v>
      </c>
      <c r="D1396" s="139" t="s">
        <v>441</v>
      </c>
      <c r="E1396" s="28">
        <v>0.92503431000000003</v>
      </c>
      <c r="F1396" s="13"/>
      <c r="G1396" s="18">
        <v>4000000</v>
      </c>
      <c r="H1396" s="18">
        <v>3700137.24</v>
      </c>
      <c r="I1396" s="18">
        <v>4000000</v>
      </c>
      <c r="J1396" s="18">
        <v>3700137.24</v>
      </c>
      <c r="K1396" s="15">
        <v>90000051</v>
      </c>
      <c r="L1396" s="13" t="s">
        <v>102</v>
      </c>
      <c r="M1396" s="13" t="s">
        <v>103</v>
      </c>
      <c r="N1396" s="139" t="s">
        <v>400</v>
      </c>
      <c r="O1396" s="139" t="s">
        <v>400</v>
      </c>
      <c r="P1396" s="28">
        <v>34</v>
      </c>
      <c r="Q1396" s="13" t="s">
        <v>54</v>
      </c>
      <c r="R1396" s="13" t="s">
        <v>28</v>
      </c>
      <c r="S1396" s="13"/>
      <c r="T1396" s="13"/>
      <c r="U1396" s="13" t="s">
        <v>1548</v>
      </c>
      <c r="V1396" s="13" t="s">
        <v>1548</v>
      </c>
      <c r="W1396" s="59">
        <f t="shared" si="21"/>
        <v>7.0689679503351278E-5</v>
      </c>
    </row>
    <row r="1397" spans="1:29">
      <c r="A1397" s="13" t="s">
        <v>1586</v>
      </c>
      <c r="B1397" s="13" t="s">
        <v>471</v>
      </c>
      <c r="C1397" s="139">
        <v>46310</v>
      </c>
      <c r="D1397" s="139" t="s">
        <v>441</v>
      </c>
      <c r="E1397" s="28">
        <v>0.92913159999999995</v>
      </c>
      <c r="F1397" s="13"/>
      <c r="G1397" s="18">
        <v>3413365</v>
      </c>
      <c r="H1397" s="18">
        <v>3171465.27</v>
      </c>
      <c r="I1397" s="18">
        <v>3413365</v>
      </c>
      <c r="J1397" s="18">
        <v>3171465.27</v>
      </c>
      <c r="K1397" s="15">
        <v>67525693</v>
      </c>
      <c r="L1397" s="13" t="s">
        <v>102</v>
      </c>
      <c r="M1397" s="13" t="s">
        <v>103</v>
      </c>
      <c r="N1397" s="139" t="s">
        <v>381</v>
      </c>
      <c r="O1397" s="139" t="s">
        <v>381</v>
      </c>
      <c r="P1397" s="28">
        <v>32</v>
      </c>
      <c r="Q1397" s="13" t="s">
        <v>54</v>
      </c>
      <c r="R1397" s="13" t="s">
        <v>28</v>
      </c>
      <c r="S1397" s="13"/>
      <c r="T1397" s="13"/>
      <c r="U1397" s="13" t="s">
        <v>1567</v>
      </c>
      <c r="V1397" s="13" t="s">
        <v>1567</v>
      </c>
      <c r="W1397" s="59">
        <f t="shared" si="21"/>
        <v>6.0589607614746046E-5</v>
      </c>
    </row>
    <row r="1398" spans="1:29">
      <c r="A1398" s="13" t="s">
        <v>147</v>
      </c>
      <c r="B1398" s="13" t="s">
        <v>471</v>
      </c>
      <c r="C1398" s="139">
        <v>46310</v>
      </c>
      <c r="D1398" s="139" t="s">
        <v>441</v>
      </c>
      <c r="E1398" s="28">
        <v>0.92503431000000003</v>
      </c>
      <c r="F1398" s="13"/>
      <c r="G1398" s="18">
        <v>20000000</v>
      </c>
      <c r="H1398" s="18">
        <v>18500686.190000001</v>
      </c>
      <c r="I1398" s="18">
        <v>20000000</v>
      </c>
      <c r="J1398" s="18">
        <v>18500686.190000001</v>
      </c>
      <c r="K1398" s="15">
        <v>4403</v>
      </c>
      <c r="L1398" s="13" t="s">
        <v>102</v>
      </c>
      <c r="M1398" s="13" t="s">
        <v>103</v>
      </c>
      <c r="N1398" s="139" t="s">
        <v>382</v>
      </c>
      <c r="O1398" s="139" t="s">
        <v>382</v>
      </c>
      <c r="P1398" s="28">
        <v>34</v>
      </c>
      <c r="Q1398" s="13" t="s">
        <v>54</v>
      </c>
      <c r="R1398" s="13" t="s">
        <v>28</v>
      </c>
      <c r="S1398" s="13"/>
      <c r="T1398" s="13"/>
      <c r="U1398" s="13" t="s">
        <v>2372</v>
      </c>
      <c r="V1398" s="13" t="s">
        <v>2372</v>
      </c>
      <c r="W1398" s="59">
        <f t="shared" si="21"/>
        <v>3.5344839732571028E-4</v>
      </c>
    </row>
    <row r="1399" spans="1:29">
      <c r="A1399" s="13" t="s">
        <v>323</v>
      </c>
      <c r="B1399" s="13" t="s">
        <v>471</v>
      </c>
      <c r="C1399" s="139">
        <v>46310</v>
      </c>
      <c r="D1399" s="139" t="s">
        <v>441</v>
      </c>
      <c r="E1399" s="28">
        <v>0.93953514000000005</v>
      </c>
      <c r="F1399" s="13"/>
      <c r="G1399" s="18">
        <v>15000000</v>
      </c>
      <c r="H1399" s="18">
        <v>14093027.07</v>
      </c>
      <c r="I1399" s="18">
        <v>15000000</v>
      </c>
      <c r="J1399" s="18">
        <v>14093027.07</v>
      </c>
      <c r="K1399" s="15">
        <v>11338651</v>
      </c>
      <c r="L1399" s="13" t="s">
        <v>102</v>
      </c>
      <c r="M1399" s="13" t="s">
        <v>103</v>
      </c>
      <c r="N1399" s="139" t="s">
        <v>392</v>
      </c>
      <c r="O1399" s="139" t="s">
        <v>392</v>
      </c>
      <c r="P1399" s="28">
        <v>27</v>
      </c>
      <c r="Q1399" s="13" t="s">
        <v>54</v>
      </c>
      <c r="R1399" s="13" t="s">
        <v>28</v>
      </c>
      <c r="S1399" s="13"/>
      <c r="T1399" s="13"/>
      <c r="U1399" s="13" t="s">
        <v>2314</v>
      </c>
      <c r="V1399" s="13" t="s">
        <v>2314</v>
      </c>
      <c r="W1399" s="59">
        <f t="shared" si="21"/>
        <v>2.6924178812631115E-4</v>
      </c>
    </row>
    <row r="1400" spans="1:29">
      <c r="A1400" s="13" t="s">
        <v>323</v>
      </c>
      <c r="B1400" s="13" t="s">
        <v>471</v>
      </c>
      <c r="C1400" s="139">
        <v>46310</v>
      </c>
      <c r="D1400" s="139" t="s">
        <v>441</v>
      </c>
      <c r="E1400" s="28">
        <v>0.93953514000000005</v>
      </c>
      <c r="F1400" s="13"/>
      <c r="G1400" s="18">
        <v>20000000</v>
      </c>
      <c r="H1400" s="18">
        <v>18790702.760000002</v>
      </c>
      <c r="I1400" s="18">
        <v>20000000</v>
      </c>
      <c r="J1400" s="18">
        <v>18790702.760000002</v>
      </c>
      <c r="K1400" s="15">
        <v>884</v>
      </c>
      <c r="L1400" s="13" t="s">
        <v>102</v>
      </c>
      <c r="M1400" s="13" t="s">
        <v>103</v>
      </c>
      <c r="N1400" s="139" t="s">
        <v>392</v>
      </c>
      <c r="O1400" s="139" t="s">
        <v>392</v>
      </c>
      <c r="P1400" s="28">
        <v>27</v>
      </c>
      <c r="Q1400" s="13" t="s">
        <v>54</v>
      </c>
      <c r="R1400" s="13" t="s">
        <v>28</v>
      </c>
      <c r="S1400" s="13"/>
      <c r="T1400" s="13"/>
      <c r="U1400" s="13" t="s">
        <v>2327</v>
      </c>
      <c r="V1400" s="13" t="s">
        <v>2327</v>
      </c>
      <c r="W1400" s="59">
        <f t="shared" si="21"/>
        <v>3.5898905083508152E-4</v>
      </c>
    </row>
    <row r="1401" spans="1:29">
      <c r="A1401" s="13" t="s">
        <v>323</v>
      </c>
      <c r="B1401" s="13" t="s">
        <v>471</v>
      </c>
      <c r="C1401" s="139">
        <v>46310</v>
      </c>
      <c r="D1401" s="139" t="s">
        <v>441</v>
      </c>
      <c r="E1401" s="28">
        <v>0.93953514000000005</v>
      </c>
      <c r="F1401" s="13"/>
      <c r="G1401" s="18">
        <v>20000000</v>
      </c>
      <c r="H1401" s="18">
        <v>18790702.760000002</v>
      </c>
      <c r="I1401" s="18">
        <v>20000000</v>
      </c>
      <c r="J1401" s="18">
        <v>18790702.760000002</v>
      </c>
      <c r="K1401" s="15">
        <v>886</v>
      </c>
      <c r="L1401" s="13" t="s">
        <v>102</v>
      </c>
      <c r="M1401" s="13" t="s">
        <v>103</v>
      </c>
      <c r="N1401" s="139" t="s">
        <v>392</v>
      </c>
      <c r="O1401" s="139" t="s">
        <v>392</v>
      </c>
      <c r="P1401" s="28">
        <v>27</v>
      </c>
      <c r="Q1401" s="13" t="s">
        <v>54</v>
      </c>
      <c r="R1401" s="13" t="s">
        <v>28</v>
      </c>
      <c r="S1401" s="13"/>
      <c r="T1401" s="13"/>
      <c r="U1401" s="13" t="s">
        <v>2329</v>
      </c>
      <c r="V1401" s="13" t="s">
        <v>2329</v>
      </c>
      <c r="W1401" s="59">
        <f t="shared" si="21"/>
        <v>3.5898905083508152E-4</v>
      </c>
    </row>
    <row r="1402" spans="1:29">
      <c r="A1402" s="13" t="s">
        <v>323</v>
      </c>
      <c r="B1402" s="13" t="s">
        <v>471</v>
      </c>
      <c r="C1402" s="139">
        <v>46310</v>
      </c>
      <c r="D1402" s="139" t="s">
        <v>441</v>
      </c>
      <c r="E1402" s="28">
        <v>0.93953525000000004</v>
      </c>
      <c r="F1402" s="13"/>
      <c r="G1402" s="18">
        <v>20000000</v>
      </c>
      <c r="H1402" s="18">
        <v>18790704.949999999</v>
      </c>
      <c r="I1402" s="18">
        <v>20000000</v>
      </c>
      <c r="J1402" s="18">
        <v>18790704.949999999</v>
      </c>
      <c r="K1402" s="15">
        <v>68122772</v>
      </c>
      <c r="L1402" s="13" t="s">
        <v>102</v>
      </c>
      <c r="M1402" s="13" t="s">
        <v>103</v>
      </c>
      <c r="N1402" s="139" t="s">
        <v>494</v>
      </c>
      <c r="O1402" s="139" t="s">
        <v>494</v>
      </c>
      <c r="P1402" s="28">
        <v>27</v>
      </c>
      <c r="Q1402" s="13" t="s">
        <v>54</v>
      </c>
      <c r="R1402" s="13" t="s">
        <v>28</v>
      </c>
      <c r="S1402" s="13"/>
      <c r="T1402" s="13"/>
      <c r="U1402" s="13" t="s">
        <v>2013</v>
      </c>
      <c r="V1402" s="13" t="s">
        <v>2013</v>
      </c>
      <c r="W1402" s="59">
        <f t="shared" si="21"/>
        <v>3.5898909267417773E-4</v>
      </c>
    </row>
    <row r="1403" spans="1:29">
      <c r="A1403" s="13" t="s">
        <v>581</v>
      </c>
      <c r="B1403" s="13" t="s">
        <v>471</v>
      </c>
      <c r="C1403" s="139">
        <v>46310</v>
      </c>
      <c r="D1403" s="139" t="s">
        <v>441</v>
      </c>
      <c r="E1403" s="28">
        <v>0.93743588</v>
      </c>
      <c r="F1403" s="13"/>
      <c r="G1403" s="18">
        <v>2500000</v>
      </c>
      <c r="H1403" s="18">
        <v>2343589.69</v>
      </c>
      <c r="I1403" s="18">
        <v>2500000</v>
      </c>
      <c r="J1403" s="18">
        <v>2343589.69</v>
      </c>
      <c r="K1403" s="15">
        <v>90031815</v>
      </c>
      <c r="L1403" s="13" t="s">
        <v>102</v>
      </c>
      <c r="M1403" s="13" t="s">
        <v>103</v>
      </c>
      <c r="N1403" s="139" t="s">
        <v>327</v>
      </c>
      <c r="O1403" s="139" t="s">
        <v>327</v>
      </c>
      <c r="P1403" s="28">
        <v>28</v>
      </c>
      <c r="Q1403" s="13" t="s">
        <v>54</v>
      </c>
      <c r="R1403" s="13" t="s">
        <v>28</v>
      </c>
      <c r="S1403" s="13"/>
      <c r="T1403" s="13"/>
      <c r="U1403" s="13" t="s">
        <v>761</v>
      </c>
      <c r="V1403" s="13" t="s">
        <v>761</v>
      </c>
      <c r="W1403" s="59">
        <f t="shared" si="21"/>
        <v>4.4773367399058516E-5</v>
      </c>
    </row>
    <row r="1404" spans="1:29">
      <c r="A1404" s="13" t="s">
        <v>581</v>
      </c>
      <c r="B1404" s="13" t="s">
        <v>471</v>
      </c>
      <c r="C1404" s="139">
        <v>46310</v>
      </c>
      <c r="D1404" s="139" t="s">
        <v>441</v>
      </c>
      <c r="E1404" s="28">
        <v>0.93743584999999996</v>
      </c>
      <c r="F1404" s="13"/>
      <c r="G1404" s="18">
        <v>25000000</v>
      </c>
      <c r="H1404" s="18">
        <v>23435896.32</v>
      </c>
      <c r="I1404" s="18">
        <v>25000000</v>
      </c>
      <c r="J1404" s="18">
        <v>23435896.32</v>
      </c>
      <c r="K1404" s="15">
        <v>360571</v>
      </c>
      <c r="L1404" s="13" t="s">
        <v>102</v>
      </c>
      <c r="M1404" s="13" t="s">
        <v>103</v>
      </c>
      <c r="N1404" s="139" t="s">
        <v>348</v>
      </c>
      <c r="O1404" s="139" t="s">
        <v>348</v>
      </c>
      <c r="P1404" s="28">
        <v>28</v>
      </c>
      <c r="Q1404" s="13" t="s">
        <v>54</v>
      </c>
      <c r="R1404" s="13" t="s">
        <v>28</v>
      </c>
      <c r="S1404" s="13"/>
      <c r="T1404" s="13"/>
      <c r="U1404" s="13" t="s">
        <v>715</v>
      </c>
      <c r="V1404" s="13" t="s">
        <v>715</v>
      </c>
      <c r="W1404" s="59">
        <f t="shared" si="21"/>
        <v>4.4773366290991128E-4</v>
      </c>
      <c r="AC1404" s="56"/>
    </row>
    <row r="1405" spans="1:29">
      <c r="A1405" s="13" t="s">
        <v>257</v>
      </c>
      <c r="B1405" s="13" t="s">
        <v>471</v>
      </c>
      <c r="C1405" s="139">
        <v>46310</v>
      </c>
      <c r="D1405" s="139" t="s">
        <v>441</v>
      </c>
      <c r="E1405" s="28">
        <v>0.92707843000000001</v>
      </c>
      <c r="F1405" s="13"/>
      <c r="G1405" s="18">
        <v>25000000</v>
      </c>
      <c r="H1405" s="18">
        <v>23176960.780000001</v>
      </c>
      <c r="I1405" s="18">
        <v>25000000</v>
      </c>
      <c r="J1405" s="18">
        <v>23176960.780000001</v>
      </c>
      <c r="K1405" s="15">
        <v>475881</v>
      </c>
      <c r="L1405" s="13" t="s">
        <v>102</v>
      </c>
      <c r="M1405" s="13" t="s">
        <v>103</v>
      </c>
      <c r="N1405" s="139" t="s">
        <v>459</v>
      </c>
      <c r="O1405" s="139" t="s">
        <v>459</v>
      </c>
      <c r="P1405" s="28">
        <v>33</v>
      </c>
      <c r="Q1405" s="13" t="s">
        <v>54</v>
      </c>
      <c r="R1405" s="13" t="s">
        <v>28</v>
      </c>
      <c r="S1405" s="13"/>
      <c r="T1405" s="13"/>
      <c r="U1405" s="13" t="s">
        <v>1512</v>
      </c>
      <c r="V1405" s="13" t="s">
        <v>1512</v>
      </c>
      <c r="W1405" s="59">
        <f t="shared" si="21"/>
        <v>4.4278680036201638E-4</v>
      </c>
    </row>
    <row r="1406" spans="1:29">
      <c r="A1406" s="13" t="s">
        <v>1348</v>
      </c>
      <c r="B1406" s="13" t="s">
        <v>471</v>
      </c>
      <c r="C1406" s="139">
        <v>46311</v>
      </c>
      <c r="D1406" s="139" t="s">
        <v>441</v>
      </c>
      <c r="E1406" s="28">
        <v>0.92630203</v>
      </c>
      <c r="F1406" s="13"/>
      <c r="G1406" s="18">
        <v>7190687</v>
      </c>
      <c r="H1406" s="18">
        <v>6660748</v>
      </c>
      <c r="I1406" s="18">
        <v>7190687</v>
      </c>
      <c r="J1406" s="18">
        <v>6660748</v>
      </c>
      <c r="K1406" s="15">
        <v>90001573</v>
      </c>
      <c r="L1406" s="13" t="s">
        <v>102</v>
      </c>
      <c r="M1406" s="13" t="s">
        <v>103</v>
      </c>
      <c r="N1406" s="139" t="s">
        <v>174</v>
      </c>
      <c r="O1406" s="139" t="s">
        <v>174</v>
      </c>
      <c r="P1406" s="28">
        <v>33</v>
      </c>
      <c r="Q1406" s="13" t="s">
        <v>54</v>
      </c>
      <c r="R1406" s="13" t="s">
        <v>28</v>
      </c>
      <c r="S1406" s="13"/>
      <c r="T1406" s="13"/>
      <c r="U1406" s="13" t="s">
        <v>1343</v>
      </c>
      <c r="V1406" s="13" t="s">
        <v>1343</v>
      </c>
      <c r="W1406" s="59">
        <f t="shared" si="21"/>
        <v>1.272509939043742E-4</v>
      </c>
    </row>
    <row r="1407" spans="1:29">
      <c r="A1407" s="13" t="s">
        <v>403</v>
      </c>
      <c r="B1407" s="13" t="s">
        <v>471</v>
      </c>
      <c r="C1407" s="139">
        <v>46311</v>
      </c>
      <c r="D1407" s="139" t="s">
        <v>441</v>
      </c>
      <c r="E1407" s="28">
        <v>0.92837521999999995</v>
      </c>
      <c r="F1407" s="13"/>
      <c r="G1407" s="18">
        <v>40000000</v>
      </c>
      <c r="H1407" s="18">
        <v>37135008.979999997</v>
      </c>
      <c r="I1407" s="18">
        <v>40000000</v>
      </c>
      <c r="J1407" s="18">
        <v>37135008.979999997</v>
      </c>
      <c r="K1407" s="15">
        <v>13795909</v>
      </c>
      <c r="L1407" s="13" t="s">
        <v>102</v>
      </c>
      <c r="M1407" s="13" t="s">
        <v>103</v>
      </c>
      <c r="N1407" s="139" t="s">
        <v>457</v>
      </c>
      <c r="O1407" s="139" t="s">
        <v>457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1737</v>
      </c>
      <c r="V1407" s="13" t="s">
        <v>1737</v>
      </c>
      <c r="W1407" s="59">
        <f t="shared" si="21"/>
        <v>7.0944986979733519E-4</v>
      </c>
    </row>
    <row r="1408" spans="1:29">
      <c r="A1408" s="13" t="s">
        <v>653</v>
      </c>
      <c r="B1408" s="13" t="s">
        <v>130</v>
      </c>
      <c r="C1408" s="139">
        <v>46311</v>
      </c>
      <c r="D1408" s="139" t="s">
        <v>441</v>
      </c>
      <c r="E1408" s="28">
        <v>0.98107681999999996</v>
      </c>
      <c r="F1408" s="13" t="s">
        <v>2487</v>
      </c>
      <c r="G1408" s="18">
        <v>18230</v>
      </c>
      <c r="H1408" s="18">
        <v>17885.03</v>
      </c>
      <c r="I1408" s="18">
        <v>26983589.890000001</v>
      </c>
      <c r="J1408" s="18">
        <v>26472973.93</v>
      </c>
      <c r="K1408" s="15">
        <v>146445</v>
      </c>
      <c r="L1408" s="13" t="s">
        <v>102</v>
      </c>
      <c r="M1408" s="13" t="s">
        <v>103</v>
      </c>
      <c r="N1408" s="139" t="s">
        <v>358</v>
      </c>
      <c r="O1408" s="139" t="s">
        <v>358</v>
      </c>
      <c r="P1408" s="28">
        <v>8</v>
      </c>
      <c r="Q1408" s="13" t="s">
        <v>54</v>
      </c>
      <c r="R1408" s="13" t="s">
        <v>28</v>
      </c>
      <c r="S1408" s="13"/>
      <c r="T1408" s="13"/>
      <c r="U1408" s="13" t="s">
        <v>635</v>
      </c>
      <c r="V1408" s="13" t="s">
        <v>635</v>
      </c>
      <c r="W1408" s="59">
        <f t="shared" si="21"/>
        <v>5.0575584667023694E-4</v>
      </c>
    </row>
    <row r="1409" spans="1:29">
      <c r="A1409" s="13" t="s">
        <v>821</v>
      </c>
      <c r="B1409" s="13" t="s">
        <v>471</v>
      </c>
      <c r="C1409" s="139">
        <v>46311</v>
      </c>
      <c r="D1409" s="139" t="s">
        <v>441</v>
      </c>
      <c r="E1409" s="28">
        <v>0.92630203</v>
      </c>
      <c r="F1409" s="13"/>
      <c r="G1409" s="18">
        <v>7261808.2000000002</v>
      </c>
      <c r="H1409" s="18">
        <v>6726627.7000000002</v>
      </c>
      <c r="I1409" s="18">
        <v>7261808.2000000002</v>
      </c>
      <c r="J1409" s="18">
        <v>6726627.7000000002</v>
      </c>
      <c r="K1409" s="15">
        <v>90000672</v>
      </c>
      <c r="L1409" s="13" t="s">
        <v>102</v>
      </c>
      <c r="M1409" s="13" t="s">
        <v>103</v>
      </c>
      <c r="N1409" s="139" t="s">
        <v>174</v>
      </c>
      <c r="O1409" s="139" t="s">
        <v>174</v>
      </c>
      <c r="P1409" s="28">
        <v>33</v>
      </c>
      <c r="Q1409" s="13" t="s">
        <v>54</v>
      </c>
      <c r="R1409" s="13" t="s">
        <v>28</v>
      </c>
      <c r="S1409" s="13"/>
      <c r="T1409" s="13"/>
      <c r="U1409" s="13" t="s">
        <v>1336</v>
      </c>
      <c r="V1409" s="13" t="s">
        <v>1336</v>
      </c>
      <c r="W1409" s="59">
        <f t="shared" si="21"/>
        <v>1.2850959989023675E-4</v>
      </c>
    </row>
    <row r="1410" spans="1:29">
      <c r="A1410" s="13" t="s">
        <v>1046</v>
      </c>
      <c r="B1410" s="13" t="s">
        <v>471</v>
      </c>
      <c r="C1410" s="139">
        <v>46311</v>
      </c>
      <c r="D1410" s="139" t="s">
        <v>441</v>
      </c>
      <c r="E1410" s="28">
        <v>0.91405393999999995</v>
      </c>
      <c r="F1410" s="13"/>
      <c r="G1410" s="18">
        <v>3750000</v>
      </c>
      <c r="H1410" s="18">
        <v>3427702.28</v>
      </c>
      <c r="I1410" s="18">
        <v>3750000</v>
      </c>
      <c r="J1410" s="18">
        <v>3427702.28</v>
      </c>
      <c r="K1410" s="15">
        <v>66920206</v>
      </c>
      <c r="L1410" s="13" t="s">
        <v>102</v>
      </c>
      <c r="M1410" s="13" t="s">
        <v>103</v>
      </c>
      <c r="N1410" s="139" t="s">
        <v>364</v>
      </c>
      <c r="O1410" s="139" t="s">
        <v>364</v>
      </c>
      <c r="P1410" s="28">
        <v>39</v>
      </c>
      <c r="Q1410" s="13" t="s">
        <v>54</v>
      </c>
      <c r="R1410" s="13" t="s">
        <v>28</v>
      </c>
      <c r="S1410" s="13"/>
      <c r="T1410" s="13"/>
      <c r="U1410" s="13" t="s">
        <v>1024</v>
      </c>
      <c r="V1410" s="13" t="s">
        <v>1024</v>
      </c>
      <c r="W1410" s="59">
        <f t="shared" si="21"/>
        <v>6.5484915798989769E-5</v>
      </c>
      <c r="AC1410" s="56"/>
    </row>
    <row r="1411" spans="1:29">
      <c r="A1411" s="13" t="s">
        <v>737</v>
      </c>
      <c r="B1411" s="13" t="s">
        <v>471</v>
      </c>
      <c r="C1411" s="139">
        <v>46311</v>
      </c>
      <c r="D1411" s="139" t="s">
        <v>441</v>
      </c>
      <c r="E1411" s="28">
        <v>0.94315262</v>
      </c>
      <c r="F1411" s="13"/>
      <c r="G1411" s="18">
        <v>32000000</v>
      </c>
      <c r="H1411" s="18">
        <v>30180883.969999999</v>
      </c>
      <c r="I1411" s="18">
        <v>32000000</v>
      </c>
      <c r="J1411" s="18">
        <v>30180883.969999999</v>
      </c>
      <c r="K1411" s="15">
        <v>5312</v>
      </c>
      <c r="L1411" s="13" t="s">
        <v>102</v>
      </c>
      <c r="M1411" s="13" t="s">
        <v>103</v>
      </c>
      <c r="N1411" s="139" t="s">
        <v>392</v>
      </c>
      <c r="O1411" s="139" t="s">
        <v>392</v>
      </c>
      <c r="P1411" s="28">
        <v>25</v>
      </c>
      <c r="Q1411" s="13" t="s">
        <v>54</v>
      </c>
      <c r="R1411" s="13" t="s">
        <v>28</v>
      </c>
      <c r="S1411" s="13"/>
      <c r="T1411" s="13"/>
      <c r="U1411" s="13" t="s">
        <v>2311</v>
      </c>
      <c r="V1411" s="13" t="s">
        <v>2311</v>
      </c>
      <c r="W1411" s="59">
        <f t="shared" si="21"/>
        <v>5.7659402248742852E-4</v>
      </c>
    </row>
    <row r="1412" spans="1:29">
      <c r="A1412" s="13" t="s">
        <v>472</v>
      </c>
      <c r="B1412" s="13" t="s">
        <v>471</v>
      </c>
      <c r="C1412" s="139">
        <v>46311</v>
      </c>
      <c r="D1412" s="139" t="s">
        <v>441</v>
      </c>
      <c r="E1412" s="28">
        <v>0.93254996000000001</v>
      </c>
      <c r="F1412" s="13"/>
      <c r="G1412" s="18">
        <v>6500000</v>
      </c>
      <c r="H1412" s="18">
        <v>6061574.7400000002</v>
      </c>
      <c r="I1412" s="18">
        <v>6500000</v>
      </c>
      <c r="J1412" s="18">
        <v>6061574.7400000002</v>
      </c>
      <c r="K1412" s="15">
        <v>742</v>
      </c>
      <c r="L1412" s="13" t="s">
        <v>102</v>
      </c>
      <c r="M1412" s="13" t="s">
        <v>103</v>
      </c>
      <c r="N1412" s="139" t="s">
        <v>509</v>
      </c>
      <c r="O1412" s="139" t="s">
        <v>509</v>
      </c>
      <c r="P1412" s="28">
        <v>30</v>
      </c>
      <c r="Q1412" s="13" t="s">
        <v>54</v>
      </c>
      <c r="R1412" s="13" t="s">
        <v>28</v>
      </c>
      <c r="S1412" s="13"/>
      <c r="T1412" s="13"/>
      <c r="U1412" s="13" t="s">
        <v>2045</v>
      </c>
      <c r="V1412" s="13" t="s">
        <v>2045</v>
      </c>
      <c r="W1412" s="59">
        <f t="shared" si="21"/>
        <v>1.1580402235464375E-4</v>
      </c>
    </row>
    <row r="1413" spans="1:29">
      <c r="A1413" s="13" t="s">
        <v>472</v>
      </c>
      <c r="B1413" s="13" t="s">
        <v>471</v>
      </c>
      <c r="C1413" s="139">
        <v>46311</v>
      </c>
      <c r="D1413" s="139" t="s">
        <v>441</v>
      </c>
      <c r="E1413" s="28">
        <v>0.93254988000000005</v>
      </c>
      <c r="F1413" s="13"/>
      <c r="G1413" s="18">
        <v>5000000</v>
      </c>
      <c r="H1413" s="18">
        <v>4662749.4000000004</v>
      </c>
      <c r="I1413" s="18">
        <v>5000000</v>
      </c>
      <c r="J1413" s="18">
        <v>4662749.4000000004</v>
      </c>
      <c r="K1413" s="15">
        <v>791</v>
      </c>
      <c r="L1413" s="13" t="s">
        <v>102</v>
      </c>
      <c r="M1413" s="13" t="s">
        <v>103</v>
      </c>
      <c r="N1413" s="139" t="s">
        <v>495</v>
      </c>
      <c r="O1413" s="139" t="s">
        <v>495</v>
      </c>
      <c r="P1413" s="28">
        <v>30</v>
      </c>
      <c r="Q1413" s="13" t="s">
        <v>54</v>
      </c>
      <c r="R1413" s="13" t="s">
        <v>28</v>
      </c>
      <c r="S1413" s="13"/>
      <c r="T1413" s="13"/>
      <c r="U1413" s="13" t="s">
        <v>2175</v>
      </c>
      <c r="V1413" s="13" t="s">
        <v>2175</v>
      </c>
      <c r="W1413" s="59">
        <f t="shared" ref="W1413:W1476" si="22">+J1413/$W$2</f>
        <v>8.9080009554035752E-5</v>
      </c>
    </row>
    <row r="1414" spans="1:29">
      <c r="A1414" s="13" t="s">
        <v>323</v>
      </c>
      <c r="B1414" s="13" t="s">
        <v>471</v>
      </c>
      <c r="C1414" s="139">
        <v>46311</v>
      </c>
      <c r="D1414" s="139" t="s">
        <v>441</v>
      </c>
      <c r="E1414" s="28">
        <v>0.94315265000000004</v>
      </c>
      <c r="F1414" s="13"/>
      <c r="G1414" s="18">
        <v>8650000</v>
      </c>
      <c r="H1414" s="18">
        <v>8158270.4400000004</v>
      </c>
      <c r="I1414" s="18">
        <v>8650000</v>
      </c>
      <c r="J1414" s="18">
        <v>8158270.4400000004</v>
      </c>
      <c r="K1414" s="15">
        <v>34387</v>
      </c>
      <c r="L1414" s="13" t="s">
        <v>102</v>
      </c>
      <c r="M1414" s="13" t="s">
        <v>103</v>
      </c>
      <c r="N1414" s="139" t="s">
        <v>441</v>
      </c>
      <c r="O1414" s="139" t="s">
        <v>441</v>
      </c>
      <c r="P1414" s="28">
        <v>25</v>
      </c>
      <c r="Q1414" s="13" t="s">
        <v>54</v>
      </c>
      <c r="R1414" s="13" t="s">
        <v>28</v>
      </c>
      <c r="S1414" s="13"/>
      <c r="T1414" s="13"/>
      <c r="U1414" s="13" t="s">
        <v>2440</v>
      </c>
      <c r="V1414" s="13" t="s">
        <v>2440</v>
      </c>
      <c r="W1414" s="59">
        <f t="shared" si="22"/>
        <v>1.5586057632426212E-4</v>
      </c>
    </row>
    <row r="1415" spans="1:29">
      <c r="A1415" s="13" t="s">
        <v>323</v>
      </c>
      <c r="B1415" s="13" t="s">
        <v>471</v>
      </c>
      <c r="C1415" s="139">
        <v>46311</v>
      </c>
      <c r="D1415" s="139" t="s">
        <v>441</v>
      </c>
      <c r="E1415" s="28">
        <v>0.93888278000000003</v>
      </c>
      <c r="F1415" s="13"/>
      <c r="G1415" s="18">
        <v>15000000</v>
      </c>
      <c r="H1415" s="18">
        <v>14083241.73</v>
      </c>
      <c r="I1415" s="18">
        <v>15000000</v>
      </c>
      <c r="J1415" s="18">
        <v>14083241.73</v>
      </c>
      <c r="K1415" s="15">
        <v>11338652</v>
      </c>
      <c r="L1415" s="13" t="s">
        <v>102</v>
      </c>
      <c r="M1415" s="13" t="s">
        <v>103</v>
      </c>
      <c r="N1415" s="139" t="s">
        <v>392</v>
      </c>
      <c r="O1415" s="139" t="s">
        <v>392</v>
      </c>
      <c r="P1415" s="28">
        <v>27</v>
      </c>
      <c r="Q1415" s="13" t="s">
        <v>54</v>
      </c>
      <c r="R1415" s="13" t="s">
        <v>28</v>
      </c>
      <c r="S1415" s="13"/>
      <c r="T1415" s="13"/>
      <c r="U1415" s="13" t="s">
        <v>2317</v>
      </c>
      <c r="V1415" s="13" t="s">
        <v>2317</v>
      </c>
      <c r="W1415" s="59">
        <f t="shared" si="22"/>
        <v>2.6905484302034224E-4</v>
      </c>
    </row>
    <row r="1416" spans="1:29">
      <c r="A1416" s="13" t="s">
        <v>2189</v>
      </c>
      <c r="B1416" s="13" t="s">
        <v>471</v>
      </c>
      <c r="C1416" s="139">
        <v>46311</v>
      </c>
      <c r="D1416" s="139" t="s">
        <v>441</v>
      </c>
      <c r="E1416" s="28">
        <v>0.92837528000000002</v>
      </c>
      <c r="F1416" s="13"/>
      <c r="G1416" s="18">
        <v>475000000</v>
      </c>
      <c r="H1416" s="18">
        <v>440978258.29000002</v>
      </c>
      <c r="I1416" s="18">
        <v>475000000</v>
      </c>
      <c r="J1416" s="18">
        <v>440978258.29000002</v>
      </c>
      <c r="K1416" s="15">
        <v>930</v>
      </c>
      <c r="L1416" s="13" t="s">
        <v>102</v>
      </c>
      <c r="M1416" s="13" t="s">
        <v>103</v>
      </c>
      <c r="N1416" s="139" t="s">
        <v>495</v>
      </c>
      <c r="O1416" s="139" t="s">
        <v>495</v>
      </c>
      <c r="P1416" s="28">
        <v>32</v>
      </c>
      <c r="Q1416" s="13" t="s">
        <v>54</v>
      </c>
      <c r="R1416" s="13" t="s">
        <v>28</v>
      </c>
      <c r="S1416" s="13"/>
      <c r="T1416" s="13"/>
      <c r="U1416" s="13" t="s">
        <v>2165</v>
      </c>
      <c r="V1416" s="13" t="s">
        <v>2165</v>
      </c>
      <c r="W1416" s="59">
        <f t="shared" si="22"/>
        <v>8.4247177130289778E-3</v>
      </c>
      <c r="AC1416" s="56"/>
    </row>
    <row r="1417" spans="1:29">
      <c r="A1417" s="13" t="s">
        <v>511</v>
      </c>
      <c r="B1417" s="13" t="s">
        <v>471</v>
      </c>
      <c r="C1417" s="139">
        <v>46311</v>
      </c>
      <c r="D1417" s="139" t="s">
        <v>441</v>
      </c>
      <c r="E1417" s="28">
        <v>0.92423803999999998</v>
      </c>
      <c r="F1417" s="13"/>
      <c r="G1417" s="18">
        <v>100000000</v>
      </c>
      <c r="H1417" s="18">
        <v>92423804.069999993</v>
      </c>
      <c r="I1417" s="18">
        <v>100000000</v>
      </c>
      <c r="J1417" s="18">
        <v>92423804.069999993</v>
      </c>
      <c r="K1417" s="15">
        <v>1982</v>
      </c>
      <c r="L1417" s="13" t="s">
        <v>102</v>
      </c>
      <c r="M1417" s="13" t="s">
        <v>103</v>
      </c>
      <c r="N1417" s="139" t="s">
        <v>392</v>
      </c>
      <c r="O1417" s="139" t="s">
        <v>392</v>
      </c>
      <c r="P1417" s="28">
        <v>34</v>
      </c>
      <c r="Q1417" s="13" t="s">
        <v>54</v>
      </c>
      <c r="R1417" s="13" t="s">
        <v>28</v>
      </c>
      <c r="S1417" s="13"/>
      <c r="T1417" s="13"/>
      <c r="U1417" s="13" t="s">
        <v>2269</v>
      </c>
      <c r="V1417" s="13" t="s">
        <v>2269</v>
      </c>
      <c r="W1417" s="59">
        <f t="shared" si="22"/>
        <v>1.7657207461280091E-3</v>
      </c>
    </row>
    <row r="1418" spans="1:29">
      <c r="A1418" s="13" t="s">
        <v>323</v>
      </c>
      <c r="B1418" s="13" t="s">
        <v>471</v>
      </c>
      <c r="C1418" s="139">
        <v>46311</v>
      </c>
      <c r="D1418" s="139" t="s">
        <v>441</v>
      </c>
      <c r="E1418" s="28">
        <v>0.93888267000000003</v>
      </c>
      <c r="F1418" s="13"/>
      <c r="G1418" s="18">
        <v>24500000</v>
      </c>
      <c r="H1418" s="18">
        <v>23002625.390000001</v>
      </c>
      <c r="I1418" s="18">
        <v>24500000</v>
      </c>
      <c r="J1418" s="18">
        <v>23002625.390000001</v>
      </c>
      <c r="K1418" s="15">
        <v>34220</v>
      </c>
      <c r="L1418" s="13" t="s">
        <v>102</v>
      </c>
      <c r="M1418" s="13" t="s">
        <v>103</v>
      </c>
      <c r="N1418" s="139" t="s">
        <v>494</v>
      </c>
      <c r="O1418" s="139" t="s">
        <v>494</v>
      </c>
      <c r="P1418" s="28">
        <v>27</v>
      </c>
      <c r="Q1418" s="13" t="s">
        <v>54</v>
      </c>
      <c r="R1418" s="13" t="s">
        <v>28</v>
      </c>
      <c r="S1418" s="13"/>
      <c r="T1418" s="13"/>
      <c r="U1418" s="13" t="s">
        <v>1996</v>
      </c>
      <c r="V1418" s="13" t="s">
        <v>1996</v>
      </c>
      <c r="W1418" s="59">
        <f t="shared" si="22"/>
        <v>4.3945619069922677E-4</v>
      </c>
    </row>
    <row r="1419" spans="1:29">
      <c r="A1419" s="13" t="s">
        <v>2190</v>
      </c>
      <c r="B1419" s="13" t="s">
        <v>471</v>
      </c>
      <c r="C1419" s="139">
        <v>46311</v>
      </c>
      <c r="D1419" s="139" t="s">
        <v>441</v>
      </c>
      <c r="E1419" s="28">
        <v>0.92837528000000002</v>
      </c>
      <c r="F1419" s="13"/>
      <c r="G1419" s="18">
        <v>9936187.5</v>
      </c>
      <c r="H1419" s="18">
        <v>9224510.8599999994</v>
      </c>
      <c r="I1419" s="18">
        <v>9936187.5</v>
      </c>
      <c r="J1419" s="18">
        <v>9224510.8599999994</v>
      </c>
      <c r="K1419" s="15">
        <v>67195494</v>
      </c>
      <c r="L1419" s="13" t="s">
        <v>102</v>
      </c>
      <c r="M1419" s="13" t="s">
        <v>103</v>
      </c>
      <c r="N1419" s="139" t="s">
        <v>495</v>
      </c>
      <c r="O1419" s="139" t="s">
        <v>495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2146</v>
      </c>
      <c r="V1419" s="13" t="s">
        <v>2146</v>
      </c>
      <c r="W1419" s="59">
        <f t="shared" si="22"/>
        <v>1.7623068388365593E-4</v>
      </c>
    </row>
    <row r="1420" spans="1:29">
      <c r="A1420" s="13" t="s">
        <v>698</v>
      </c>
      <c r="B1420" s="13" t="s">
        <v>471</v>
      </c>
      <c r="C1420" s="139">
        <v>46314</v>
      </c>
      <c r="D1420" s="139" t="s">
        <v>441</v>
      </c>
      <c r="E1420" s="28">
        <v>0.93474709</v>
      </c>
      <c r="F1420" s="13"/>
      <c r="G1420" s="18">
        <v>30000000</v>
      </c>
      <c r="H1420" s="18">
        <v>28042412.609999999</v>
      </c>
      <c r="I1420" s="18">
        <v>30000000</v>
      </c>
      <c r="J1420" s="18">
        <v>28042412.609999999</v>
      </c>
      <c r="K1420" s="15">
        <v>29600865</v>
      </c>
      <c r="L1420" s="13" t="s">
        <v>102</v>
      </c>
      <c r="M1420" s="13" t="s">
        <v>103</v>
      </c>
      <c r="N1420" s="139" t="s">
        <v>494</v>
      </c>
      <c r="O1420" s="139" t="s">
        <v>494</v>
      </c>
      <c r="P1420" s="28">
        <v>28</v>
      </c>
      <c r="Q1420" s="13" t="s">
        <v>54</v>
      </c>
      <c r="R1420" s="13" t="s">
        <v>28</v>
      </c>
      <c r="S1420" s="13"/>
      <c r="T1420" s="13"/>
      <c r="U1420" s="13" t="s">
        <v>1981</v>
      </c>
      <c r="V1420" s="13" t="s">
        <v>1981</v>
      </c>
      <c r="W1420" s="59">
        <f t="shared" si="22"/>
        <v>5.3573936081939392E-4</v>
      </c>
    </row>
    <row r="1421" spans="1:29">
      <c r="A1421" s="13" t="s">
        <v>1046</v>
      </c>
      <c r="B1421" s="13" t="s">
        <v>471</v>
      </c>
      <c r="C1421" s="139">
        <v>46314</v>
      </c>
      <c r="D1421" s="139" t="s">
        <v>441</v>
      </c>
      <c r="E1421" s="28">
        <v>0.91138364000000005</v>
      </c>
      <c r="F1421" s="13"/>
      <c r="G1421" s="18">
        <v>3750000</v>
      </c>
      <c r="H1421" s="18">
        <v>3417688.64</v>
      </c>
      <c r="I1421" s="18">
        <v>3750000</v>
      </c>
      <c r="J1421" s="18">
        <v>3417688.64</v>
      </c>
      <c r="K1421" s="15">
        <v>66917997</v>
      </c>
      <c r="L1421" s="13" t="s">
        <v>102</v>
      </c>
      <c r="M1421" s="13" t="s">
        <v>103</v>
      </c>
      <c r="N1421" s="139" t="s">
        <v>364</v>
      </c>
      <c r="O1421" s="139" t="s">
        <v>364</v>
      </c>
      <c r="P1421" s="28">
        <v>39</v>
      </c>
      <c r="Q1421" s="13" t="s">
        <v>54</v>
      </c>
      <c r="R1421" s="13" t="s">
        <v>28</v>
      </c>
      <c r="S1421" s="13"/>
      <c r="T1421" s="13"/>
      <c r="U1421" s="13" t="s">
        <v>1027</v>
      </c>
      <c r="V1421" s="13" t="s">
        <v>1027</v>
      </c>
      <c r="W1421" s="59">
        <f t="shared" si="22"/>
        <v>6.5293609110521664E-5</v>
      </c>
    </row>
    <row r="1422" spans="1:29">
      <c r="A1422" s="13" t="s">
        <v>472</v>
      </c>
      <c r="B1422" s="13" t="s">
        <v>471</v>
      </c>
      <c r="C1422" s="139">
        <v>46314</v>
      </c>
      <c r="D1422" s="139" t="s">
        <v>441</v>
      </c>
      <c r="E1422" s="28">
        <v>0.93041052999999996</v>
      </c>
      <c r="F1422" s="13"/>
      <c r="G1422" s="18">
        <v>10000000</v>
      </c>
      <c r="H1422" s="18">
        <v>9304105.25</v>
      </c>
      <c r="I1422" s="18">
        <v>10000000</v>
      </c>
      <c r="J1422" s="18">
        <v>9304105.25</v>
      </c>
      <c r="K1422" s="15">
        <v>726</v>
      </c>
      <c r="L1422" s="13" t="s">
        <v>102</v>
      </c>
      <c r="M1422" s="13" t="s">
        <v>103</v>
      </c>
      <c r="N1422" s="139" t="s">
        <v>172</v>
      </c>
      <c r="O1422" s="139" t="s">
        <v>172</v>
      </c>
      <c r="P1422" s="28">
        <v>30</v>
      </c>
      <c r="Q1422" s="13" t="s">
        <v>54</v>
      </c>
      <c r="R1422" s="13" t="s">
        <v>28</v>
      </c>
      <c r="S1422" s="13"/>
      <c r="T1422" s="13"/>
      <c r="U1422" s="13" t="s">
        <v>1774</v>
      </c>
      <c r="V1422" s="13" t="s">
        <v>1774</v>
      </c>
      <c r="W1422" s="59">
        <f t="shared" si="22"/>
        <v>1.7775130367541394E-4</v>
      </c>
    </row>
    <row r="1423" spans="1:29">
      <c r="A1423" s="13" t="s">
        <v>472</v>
      </c>
      <c r="B1423" s="13" t="s">
        <v>471</v>
      </c>
      <c r="C1423" s="139">
        <v>46314</v>
      </c>
      <c r="D1423" s="139" t="s">
        <v>441</v>
      </c>
      <c r="E1423" s="28">
        <v>0.93041057999999999</v>
      </c>
      <c r="F1423" s="13"/>
      <c r="G1423" s="18">
        <v>6500000</v>
      </c>
      <c r="H1423" s="18">
        <v>6047668.7699999996</v>
      </c>
      <c r="I1423" s="18">
        <v>6500000</v>
      </c>
      <c r="J1423" s="18">
        <v>6047668.7699999996</v>
      </c>
      <c r="K1423" s="15">
        <v>743</v>
      </c>
      <c r="L1423" s="13" t="s">
        <v>102</v>
      </c>
      <c r="M1423" s="13" t="s">
        <v>103</v>
      </c>
      <c r="N1423" s="139" t="s">
        <v>509</v>
      </c>
      <c r="O1423" s="139" t="s">
        <v>509</v>
      </c>
      <c r="P1423" s="28">
        <v>30</v>
      </c>
      <c r="Q1423" s="13" t="s">
        <v>54</v>
      </c>
      <c r="R1423" s="13" t="s">
        <v>28</v>
      </c>
      <c r="S1423" s="13"/>
      <c r="T1423" s="13"/>
      <c r="U1423" s="13" t="s">
        <v>2042</v>
      </c>
      <c r="V1423" s="13" t="s">
        <v>2042</v>
      </c>
      <c r="W1423" s="59">
        <f t="shared" si="22"/>
        <v>1.1553835421891718E-4</v>
      </c>
    </row>
    <row r="1424" spans="1:29">
      <c r="A1424" s="13" t="s">
        <v>472</v>
      </c>
      <c r="B1424" s="13" t="s">
        <v>471</v>
      </c>
      <c r="C1424" s="139">
        <v>46314</v>
      </c>
      <c r="D1424" s="139" t="s">
        <v>441</v>
      </c>
      <c r="E1424" s="28">
        <v>0.93041050000000003</v>
      </c>
      <c r="F1424" s="13"/>
      <c r="G1424" s="18">
        <v>5000000</v>
      </c>
      <c r="H1424" s="18">
        <v>4652052.5199999996</v>
      </c>
      <c r="I1424" s="18">
        <v>5000000</v>
      </c>
      <c r="J1424" s="18">
        <v>4652052.5199999996</v>
      </c>
      <c r="K1424" s="15">
        <v>792</v>
      </c>
      <c r="L1424" s="13" t="s">
        <v>102</v>
      </c>
      <c r="M1424" s="13" t="s">
        <v>103</v>
      </c>
      <c r="N1424" s="139" t="s">
        <v>495</v>
      </c>
      <c r="O1424" s="139" t="s">
        <v>495</v>
      </c>
      <c r="P1424" s="28">
        <v>30</v>
      </c>
      <c r="Q1424" s="13" t="s">
        <v>54</v>
      </c>
      <c r="R1424" s="13" t="s">
        <v>28</v>
      </c>
      <c r="S1424" s="13"/>
      <c r="T1424" s="13"/>
      <c r="U1424" s="13" t="s">
        <v>2177</v>
      </c>
      <c r="V1424" s="13" t="s">
        <v>2177</v>
      </c>
      <c r="W1424" s="59">
        <f t="shared" si="22"/>
        <v>8.8875649831722888E-5</v>
      </c>
    </row>
    <row r="1425" spans="1:29">
      <c r="A1425" s="13" t="s">
        <v>491</v>
      </c>
      <c r="B1425" s="13" t="s">
        <v>471</v>
      </c>
      <c r="C1425" s="139">
        <v>46314</v>
      </c>
      <c r="D1425" s="139" t="s">
        <v>441</v>
      </c>
      <c r="E1425" s="28">
        <v>0.91974312000000003</v>
      </c>
      <c r="F1425" s="13"/>
      <c r="G1425" s="18">
        <v>1500000</v>
      </c>
      <c r="H1425" s="18">
        <v>1379614.69</v>
      </c>
      <c r="I1425" s="18">
        <v>1500000</v>
      </c>
      <c r="J1425" s="18">
        <v>1379614.69</v>
      </c>
      <c r="K1425" s="15">
        <v>4</v>
      </c>
      <c r="L1425" s="13" t="s">
        <v>102</v>
      </c>
      <c r="M1425" s="13" t="s">
        <v>103</v>
      </c>
      <c r="N1425" s="139" t="s">
        <v>399</v>
      </c>
      <c r="O1425" s="139" t="s">
        <v>399</v>
      </c>
      <c r="P1425" s="28">
        <v>35</v>
      </c>
      <c r="Q1425" s="13" t="s">
        <v>54</v>
      </c>
      <c r="R1425" s="13" t="s">
        <v>28</v>
      </c>
      <c r="S1425" s="13"/>
      <c r="T1425" s="13"/>
      <c r="U1425" s="13" t="s">
        <v>825</v>
      </c>
      <c r="V1425" s="13" t="s">
        <v>825</v>
      </c>
      <c r="W1425" s="59">
        <f t="shared" si="22"/>
        <v>2.6357000821465561E-5</v>
      </c>
    </row>
    <row r="1426" spans="1:29">
      <c r="A1426" s="13" t="s">
        <v>300</v>
      </c>
      <c r="B1426" s="13" t="s">
        <v>471</v>
      </c>
      <c r="C1426" s="139">
        <v>46314</v>
      </c>
      <c r="D1426" s="139" t="s">
        <v>441</v>
      </c>
      <c r="E1426" s="28">
        <v>0.92825716999999996</v>
      </c>
      <c r="F1426" s="13"/>
      <c r="G1426" s="18">
        <v>16500000</v>
      </c>
      <c r="H1426" s="18">
        <v>15316243.369999999</v>
      </c>
      <c r="I1426" s="18">
        <v>16500000</v>
      </c>
      <c r="J1426" s="18">
        <v>15316243.369999999</v>
      </c>
      <c r="K1426" s="15">
        <v>28676</v>
      </c>
      <c r="L1426" s="13" t="s">
        <v>102</v>
      </c>
      <c r="M1426" s="13" t="s">
        <v>103</v>
      </c>
      <c r="N1426" s="139" t="s">
        <v>374</v>
      </c>
      <c r="O1426" s="139" t="s">
        <v>374</v>
      </c>
      <c r="P1426" s="28">
        <v>31</v>
      </c>
      <c r="Q1426" s="13" t="s">
        <v>54</v>
      </c>
      <c r="R1426" s="13" t="s">
        <v>28</v>
      </c>
      <c r="S1426" s="13"/>
      <c r="T1426" s="13"/>
      <c r="U1426" s="13" t="s">
        <v>886</v>
      </c>
      <c r="V1426" s="13" t="s">
        <v>886</v>
      </c>
      <c r="W1426" s="59">
        <f t="shared" si="22"/>
        <v>2.9261085867740105E-4</v>
      </c>
    </row>
    <row r="1427" spans="1:29">
      <c r="A1427" s="13" t="s">
        <v>323</v>
      </c>
      <c r="B1427" s="13" t="s">
        <v>471</v>
      </c>
      <c r="C1427" s="139">
        <v>46314</v>
      </c>
      <c r="D1427" s="139" t="s">
        <v>441</v>
      </c>
      <c r="E1427" s="28">
        <v>0.93693057000000002</v>
      </c>
      <c r="F1427" s="13"/>
      <c r="G1427" s="18">
        <v>20000000</v>
      </c>
      <c r="H1427" s="18">
        <v>18738611.34</v>
      </c>
      <c r="I1427" s="18">
        <v>20000000</v>
      </c>
      <c r="J1427" s="18">
        <v>18738611.34</v>
      </c>
      <c r="K1427" s="15">
        <v>68122791</v>
      </c>
      <c r="L1427" s="13" t="s">
        <v>102</v>
      </c>
      <c r="M1427" s="13" t="s">
        <v>103</v>
      </c>
      <c r="N1427" s="139" t="s">
        <v>494</v>
      </c>
      <c r="O1427" s="139" t="s">
        <v>494</v>
      </c>
      <c r="P1427" s="28">
        <v>27</v>
      </c>
      <c r="Q1427" s="13" t="s">
        <v>54</v>
      </c>
      <c r="R1427" s="13" t="s">
        <v>28</v>
      </c>
      <c r="S1427" s="13"/>
      <c r="T1427" s="13"/>
      <c r="U1427" s="13" t="s">
        <v>2015</v>
      </c>
      <c r="V1427" s="13" t="s">
        <v>2015</v>
      </c>
      <c r="W1427" s="59">
        <f t="shared" si="22"/>
        <v>3.5799386456337594E-4</v>
      </c>
    </row>
    <row r="1428" spans="1:29">
      <c r="A1428" s="13" t="s">
        <v>323</v>
      </c>
      <c r="B1428" s="13" t="s">
        <v>471</v>
      </c>
      <c r="C1428" s="139">
        <v>46314</v>
      </c>
      <c r="D1428" s="139" t="s">
        <v>441</v>
      </c>
      <c r="E1428" s="28">
        <v>0.93693055999999997</v>
      </c>
      <c r="F1428" s="13"/>
      <c r="G1428" s="18">
        <v>1650000</v>
      </c>
      <c r="H1428" s="18">
        <v>1545935.42</v>
      </c>
      <c r="I1428" s="18">
        <v>1650000</v>
      </c>
      <c r="J1428" s="18">
        <v>1545935.42</v>
      </c>
      <c r="K1428" s="15">
        <v>582</v>
      </c>
      <c r="L1428" s="13" t="s">
        <v>102</v>
      </c>
      <c r="M1428" s="13" t="s">
        <v>103</v>
      </c>
      <c r="N1428" s="139" t="s">
        <v>494</v>
      </c>
      <c r="O1428" s="139" t="s">
        <v>494</v>
      </c>
      <c r="P1428" s="28">
        <v>27</v>
      </c>
      <c r="Q1428" s="13" t="s">
        <v>54</v>
      </c>
      <c r="R1428" s="13" t="s">
        <v>28</v>
      </c>
      <c r="S1428" s="13"/>
      <c r="T1428" s="13"/>
      <c r="U1428" s="13" t="s">
        <v>2018</v>
      </c>
      <c r="V1428" s="13" t="s">
        <v>2018</v>
      </c>
      <c r="W1428" s="59">
        <f t="shared" si="22"/>
        <v>2.9534493529401827E-5</v>
      </c>
    </row>
    <row r="1429" spans="1:29">
      <c r="A1429" s="13" t="s">
        <v>322</v>
      </c>
      <c r="B1429" s="13" t="s">
        <v>471</v>
      </c>
      <c r="C1429" s="139">
        <v>46314</v>
      </c>
      <c r="D1429" s="139" t="s">
        <v>441</v>
      </c>
      <c r="E1429" s="28">
        <v>0.93474705999999996</v>
      </c>
      <c r="F1429" s="13"/>
      <c r="G1429" s="18">
        <v>212000000</v>
      </c>
      <c r="H1429" s="18">
        <v>198166377.36000001</v>
      </c>
      <c r="I1429" s="18">
        <v>212000000</v>
      </c>
      <c r="J1429" s="18">
        <v>198166377.36000001</v>
      </c>
      <c r="K1429" s="15">
        <v>39</v>
      </c>
      <c r="L1429" s="13" t="s">
        <v>102</v>
      </c>
      <c r="M1429" s="13" t="s">
        <v>103</v>
      </c>
      <c r="N1429" s="139" t="s">
        <v>431</v>
      </c>
      <c r="O1429" s="139" t="s">
        <v>431</v>
      </c>
      <c r="P1429" s="28">
        <v>28</v>
      </c>
      <c r="Q1429" s="13" t="s">
        <v>54</v>
      </c>
      <c r="R1429" s="13" t="s">
        <v>28</v>
      </c>
      <c r="S1429" s="13"/>
      <c r="T1429" s="13"/>
      <c r="U1429" s="13" t="s">
        <v>1905</v>
      </c>
      <c r="V1429" s="13" t="s">
        <v>1905</v>
      </c>
      <c r="W1429" s="59">
        <f t="shared" si="22"/>
        <v>3.7858913859958789E-3</v>
      </c>
    </row>
    <row r="1430" spans="1:29">
      <c r="A1430" s="13" t="s">
        <v>581</v>
      </c>
      <c r="B1430" s="13" t="s">
        <v>471</v>
      </c>
      <c r="C1430" s="139">
        <v>46314</v>
      </c>
      <c r="D1430" s="139" t="s">
        <v>441</v>
      </c>
      <c r="E1430" s="28">
        <v>0.93474707999999995</v>
      </c>
      <c r="F1430" s="13"/>
      <c r="G1430" s="18">
        <v>2500000</v>
      </c>
      <c r="H1430" s="18">
        <v>2336867.71</v>
      </c>
      <c r="I1430" s="18">
        <v>2500000</v>
      </c>
      <c r="J1430" s="18">
        <v>2336867.71</v>
      </c>
      <c r="K1430" s="15">
        <v>90031816</v>
      </c>
      <c r="L1430" s="13" t="s">
        <v>102</v>
      </c>
      <c r="M1430" s="13" t="s">
        <v>103</v>
      </c>
      <c r="N1430" s="139" t="s">
        <v>327</v>
      </c>
      <c r="O1430" s="139" t="s">
        <v>327</v>
      </c>
      <c r="P1430" s="28">
        <v>28</v>
      </c>
      <c r="Q1430" s="13" t="s">
        <v>54</v>
      </c>
      <c r="R1430" s="13" t="s">
        <v>28</v>
      </c>
      <c r="S1430" s="13"/>
      <c r="T1430" s="13"/>
      <c r="U1430" s="13" t="s">
        <v>777</v>
      </c>
      <c r="V1430" s="13" t="s">
        <v>777</v>
      </c>
      <c r="W1430" s="59">
        <f t="shared" si="22"/>
        <v>4.464494659166491E-5</v>
      </c>
      <c r="AC1430" s="56"/>
    </row>
    <row r="1431" spans="1:29">
      <c r="A1431" s="13" t="s">
        <v>698</v>
      </c>
      <c r="B1431" s="13" t="s">
        <v>471</v>
      </c>
      <c r="C1431" s="139">
        <v>46315</v>
      </c>
      <c r="D1431" s="139" t="s">
        <v>441</v>
      </c>
      <c r="E1431" s="28">
        <v>0.92969952</v>
      </c>
      <c r="F1431" s="13"/>
      <c r="G1431" s="18">
        <v>2000000</v>
      </c>
      <c r="H1431" s="18">
        <v>1859399.04</v>
      </c>
      <c r="I1431" s="18">
        <v>2000000</v>
      </c>
      <c r="J1431" s="18">
        <v>1859399.04</v>
      </c>
      <c r="K1431" s="15">
        <v>13442187</v>
      </c>
      <c r="L1431" s="13" t="s">
        <v>102</v>
      </c>
      <c r="M1431" s="13" t="s">
        <v>103</v>
      </c>
      <c r="N1431" s="139" t="s">
        <v>319</v>
      </c>
      <c r="O1431" s="139" t="s">
        <v>319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1190</v>
      </c>
      <c r="V1431" s="13" t="s">
        <v>1190</v>
      </c>
      <c r="W1431" s="59">
        <f t="shared" si="22"/>
        <v>3.5523093788391223E-5</v>
      </c>
    </row>
    <row r="1432" spans="1:29">
      <c r="A1432" s="13" t="s">
        <v>658</v>
      </c>
      <c r="B1432" s="13" t="s">
        <v>471</v>
      </c>
      <c r="C1432" s="139">
        <v>46315</v>
      </c>
      <c r="D1432" s="139" t="s">
        <v>441</v>
      </c>
      <c r="E1432" s="28">
        <v>0.91259133000000003</v>
      </c>
      <c r="F1432" s="13"/>
      <c r="G1432" s="18">
        <v>6899161.7699999996</v>
      </c>
      <c r="H1432" s="18">
        <v>6296115.1900000004</v>
      </c>
      <c r="I1432" s="18">
        <v>6899161.7699999996</v>
      </c>
      <c r="J1432" s="18">
        <v>6296115.1900000004</v>
      </c>
      <c r="K1432" s="15">
        <v>65964607</v>
      </c>
      <c r="L1432" s="13" t="s">
        <v>102</v>
      </c>
      <c r="M1432" s="13" t="s">
        <v>103</v>
      </c>
      <c r="N1432" s="139" t="s">
        <v>327</v>
      </c>
      <c r="O1432" s="139" t="s">
        <v>327</v>
      </c>
      <c r="P1432" s="28">
        <v>38</v>
      </c>
      <c r="Q1432" s="13" t="s">
        <v>54</v>
      </c>
      <c r="R1432" s="13" t="s">
        <v>28</v>
      </c>
      <c r="S1432" s="13"/>
      <c r="T1432" s="13"/>
      <c r="U1432" s="13" t="s">
        <v>810</v>
      </c>
      <c r="V1432" s="13" t="s">
        <v>810</v>
      </c>
      <c r="W1432" s="59">
        <f t="shared" si="22"/>
        <v>1.202848262183058E-4</v>
      </c>
    </row>
    <row r="1433" spans="1:29">
      <c r="A1433" s="13" t="s">
        <v>323</v>
      </c>
      <c r="B1433" s="13" t="s">
        <v>471</v>
      </c>
      <c r="C1433" s="139">
        <v>46315</v>
      </c>
      <c r="D1433" s="139" t="s">
        <v>441</v>
      </c>
      <c r="E1433" s="28">
        <v>0.93849656000000004</v>
      </c>
      <c r="F1433" s="13"/>
      <c r="G1433" s="18">
        <v>15000000</v>
      </c>
      <c r="H1433" s="18">
        <v>14077448.460000001</v>
      </c>
      <c r="I1433" s="18">
        <v>15000000</v>
      </c>
      <c r="J1433" s="18">
        <v>14077448.460000001</v>
      </c>
      <c r="K1433" s="15">
        <v>9621092</v>
      </c>
      <c r="L1433" s="13" t="s">
        <v>102</v>
      </c>
      <c r="M1433" s="13" t="s">
        <v>103</v>
      </c>
      <c r="N1433" s="139" t="s">
        <v>382</v>
      </c>
      <c r="O1433" s="139" t="s">
        <v>382</v>
      </c>
      <c r="P1433" s="28">
        <v>26</v>
      </c>
      <c r="Q1433" s="13" t="s">
        <v>54</v>
      </c>
      <c r="R1433" s="13" t="s">
        <v>28</v>
      </c>
      <c r="S1433" s="13"/>
      <c r="T1433" s="13"/>
      <c r="U1433" s="13" t="s">
        <v>2387</v>
      </c>
      <c r="V1433" s="13" t="s">
        <v>2387</v>
      </c>
      <c r="W1433" s="59">
        <f t="shared" si="22"/>
        <v>2.6894416485544897E-4</v>
      </c>
    </row>
    <row r="1434" spans="1:29">
      <c r="A1434" s="13" t="s">
        <v>323</v>
      </c>
      <c r="B1434" s="13" t="s">
        <v>471</v>
      </c>
      <c r="C1434" s="139">
        <v>46315</v>
      </c>
      <c r="D1434" s="139" t="s">
        <v>441</v>
      </c>
      <c r="E1434" s="28">
        <v>0.94072182999999998</v>
      </c>
      <c r="F1434" s="13"/>
      <c r="G1434" s="18">
        <v>10000000</v>
      </c>
      <c r="H1434" s="18">
        <v>9407218.2599999998</v>
      </c>
      <c r="I1434" s="18">
        <v>10000000</v>
      </c>
      <c r="J1434" s="18">
        <v>9407218.2599999998</v>
      </c>
      <c r="K1434" s="15">
        <v>68341633</v>
      </c>
      <c r="L1434" s="13" t="s">
        <v>102</v>
      </c>
      <c r="M1434" s="13" t="s">
        <v>103</v>
      </c>
      <c r="N1434" s="139" t="s">
        <v>441</v>
      </c>
      <c r="O1434" s="139" t="s">
        <v>441</v>
      </c>
      <c r="P1434" s="28">
        <v>25</v>
      </c>
      <c r="Q1434" s="13" t="s">
        <v>54</v>
      </c>
      <c r="R1434" s="13" t="s">
        <v>28</v>
      </c>
      <c r="S1434" s="13"/>
      <c r="T1434" s="13"/>
      <c r="U1434" s="13" t="s">
        <v>2415</v>
      </c>
      <c r="V1434" s="13" t="s">
        <v>2415</v>
      </c>
      <c r="W1434" s="59">
        <f t="shared" si="22"/>
        <v>1.7972123753373911E-4</v>
      </c>
    </row>
    <row r="1435" spans="1:29">
      <c r="A1435" s="13" t="s">
        <v>323</v>
      </c>
      <c r="B1435" s="13" t="s">
        <v>471</v>
      </c>
      <c r="C1435" s="139">
        <v>46315</v>
      </c>
      <c r="D1435" s="139" t="s">
        <v>441</v>
      </c>
      <c r="E1435" s="28">
        <v>0.94072182999999998</v>
      </c>
      <c r="F1435" s="13"/>
      <c r="G1435" s="18">
        <v>10000000</v>
      </c>
      <c r="H1435" s="18">
        <v>9407218.2599999998</v>
      </c>
      <c r="I1435" s="18">
        <v>10000000</v>
      </c>
      <c r="J1435" s="18">
        <v>9407218.2599999998</v>
      </c>
      <c r="K1435" s="15">
        <v>5295</v>
      </c>
      <c r="L1435" s="13" t="s">
        <v>102</v>
      </c>
      <c r="M1435" s="13" t="s">
        <v>103</v>
      </c>
      <c r="N1435" s="139" t="s">
        <v>441</v>
      </c>
      <c r="O1435" s="139" t="s">
        <v>441</v>
      </c>
      <c r="P1435" s="28">
        <v>25</v>
      </c>
      <c r="Q1435" s="13" t="s">
        <v>54</v>
      </c>
      <c r="R1435" s="13" t="s">
        <v>28</v>
      </c>
      <c r="S1435" s="13"/>
      <c r="T1435" s="13"/>
      <c r="U1435" s="13" t="s">
        <v>2431</v>
      </c>
      <c r="V1435" s="13" t="s">
        <v>2431</v>
      </c>
      <c r="W1435" s="59">
        <f t="shared" si="22"/>
        <v>1.7972123753373911E-4</v>
      </c>
      <c r="AC1435" s="56"/>
    </row>
    <row r="1436" spans="1:29">
      <c r="A1436" s="13" t="s">
        <v>147</v>
      </c>
      <c r="B1436" s="13" t="s">
        <v>471</v>
      </c>
      <c r="C1436" s="139">
        <v>46315</v>
      </c>
      <c r="D1436" s="139" t="s">
        <v>441</v>
      </c>
      <c r="E1436" s="28">
        <v>0.92106617999999996</v>
      </c>
      <c r="F1436" s="13"/>
      <c r="G1436" s="18">
        <v>20000000</v>
      </c>
      <c r="H1436" s="18">
        <v>18421323.690000001</v>
      </c>
      <c r="I1436" s="18">
        <v>20000000</v>
      </c>
      <c r="J1436" s="18">
        <v>18421323.690000001</v>
      </c>
      <c r="K1436" s="15">
        <v>4404</v>
      </c>
      <c r="L1436" s="13" t="s">
        <v>102</v>
      </c>
      <c r="M1436" s="13" t="s">
        <v>103</v>
      </c>
      <c r="N1436" s="139" t="s">
        <v>382</v>
      </c>
      <c r="O1436" s="139" t="s">
        <v>382</v>
      </c>
      <c r="P1436" s="28">
        <v>34</v>
      </c>
      <c r="Q1436" s="13" t="s">
        <v>54</v>
      </c>
      <c r="R1436" s="13" t="s">
        <v>28</v>
      </c>
      <c r="S1436" s="13"/>
      <c r="T1436" s="13"/>
      <c r="U1436" s="13" t="s">
        <v>2373</v>
      </c>
      <c r="V1436" s="13" t="s">
        <v>2373</v>
      </c>
      <c r="W1436" s="59">
        <f t="shared" si="22"/>
        <v>3.5193220770200198E-4</v>
      </c>
    </row>
    <row r="1437" spans="1:29">
      <c r="A1437" s="13" t="s">
        <v>323</v>
      </c>
      <c r="B1437" s="13" t="s">
        <v>471</v>
      </c>
      <c r="C1437" s="139">
        <v>46315</v>
      </c>
      <c r="D1437" s="139" t="s">
        <v>441</v>
      </c>
      <c r="E1437" s="28">
        <v>0.94072182999999998</v>
      </c>
      <c r="F1437" s="13"/>
      <c r="G1437" s="18">
        <v>8650000</v>
      </c>
      <c r="H1437" s="18">
        <v>8137243.79</v>
      </c>
      <c r="I1437" s="18">
        <v>8650000</v>
      </c>
      <c r="J1437" s="18">
        <v>8137243.79</v>
      </c>
      <c r="K1437" s="15">
        <v>34388</v>
      </c>
      <c r="L1437" s="13" t="s">
        <v>102</v>
      </c>
      <c r="M1437" s="13" t="s">
        <v>103</v>
      </c>
      <c r="N1437" s="139" t="s">
        <v>441</v>
      </c>
      <c r="O1437" s="139" t="s">
        <v>441</v>
      </c>
      <c r="P1437" s="28">
        <v>25</v>
      </c>
      <c r="Q1437" s="13" t="s">
        <v>54</v>
      </c>
      <c r="R1437" s="13" t="s">
        <v>28</v>
      </c>
      <c r="S1437" s="13"/>
      <c r="T1437" s="13"/>
      <c r="U1437" s="13" t="s">
        <v>2433</v>
      </c>
      <c r="V1437" s="13" t="s">
        <v>2433</v>
      </c>
      <c r="W1437" s="59">
        <f t="shared" si="22"/>
        <v>1.5545887037307174E-4</v>
      </c>
    </row>
    <row r="1438" spans="1:29">
      <c r="A1438" s="13" t="s">
        <v>323</v>
      </c>
      <c r="B1438" s="13" t="s">
        <v>471</v>
      </c>
      <c r="C1438" s="139">
        <v>46315</v>
      </c>
      <c r="D1438" s="139" t="s">
        <v>441</v>
      </c>
      <c r="E1438" s="28">
        <v>0.93628171000000004</v>
      </c>
      <c r="F1438" s="13"/>
      <c r="G1438" s="18">
        <v>15000000</v>
      </c>
      <c r="H1438" s="18">
        <v>14044225.66</v>
      </c>
      <c r="I1438" s="18">
        <v>15000000</v>
      </c>
      <c r="J1438" s="18">
        <v>14044225.66</v>
      </c>
      <c r="K1438" s="15">
        <v>11349966</v>
      </c>
      <c r="L1438" s="13" t="s">
        <v>102</v>
      </c>
      <c r="M1438" s="13" t="s">
        <v>103</v>
      </c>
      <c r="N1438" s="139" t="s">
        <v>392</v>
      </c>
      <c r="O1438" s="139" t="s">
        <v>392</v>
      </c>
      <c r="P1438" s="28">
        <v>27</v>
      </c>
      <c r="Q1438" s="13" t="s">
        <v>54</v>
      </c>
      <c r="R1438" s="13" t="s">
        <v>28</v>
      </c>
      <c r="S1438" s="13"/>
      <c r="T1438" s="13"/>
      <c r="U1438" s="13" t="s">
        <v>2323</v>
      </c>
      <c r="V1438" s="13" t="s">
        <v>2323</v>
      </c>
      <c r="W1438" s="59">
        <f t="shared" si="22"/>
        <v>2.6830945621307334E-4</v>
      </c>
      <c r="AC1438" s="56"/>
    </row>
    <row r="1439" spans="1:29">
      <c r="A1439" s="13" t="s">
        <v>323</v>
      </c>
      <c r="B1439" s="13" t="s">
        <v>471</v>
      </c>
      <c r="C1439" s="139">
        <v>46315</v>
      </c>
      <c r="D1439" s="139" t="s">
        <v>441</v>
      </c>
      <c r="E1439" s="28">
        <v>0.93628160000000005</v>
      </c>
      <c r="F1439" s="13"/>
      <c r="G1439" s="18">
        <v>15000000</v>
      </c>
      <c r="H1439" s="18">
        <v>14044224</v>
      </c>
      <c r="I1439" s="18">
        <v>15000000</v>
      </c>
      <c r="J1439" s="18">
        <v>14044224</v>
      </c>
      <c r="K1439" s="15">
        <v>68122840</v>
      </c>
      <c r="L1439" s="13" t="s">
        <v>102</v>
      </c>
      <c r="M1439" s="13" t="s">
        <v>103</v>
      </c>
      <c r="N1439" s="139" t="s">
        <v>494</v>
      </c>
      <c r="O1439" s="139" t="s">
        <v>494</v>
      </c>
      <c r="P1439" s="28">
        <v>27</v>
      </c>
      <c r="Q1439" s="13" t="s">
        <v>54</v>
      </c>
      <c r="R1439" s="13" t="s">
        <v>28</v>
      </c>
      <c r="S1439" s="13"/>
      <c r="T1439" s="13"/>
      <c r="U1439" s="13" t="s">
        <v>2014</v>
      </c>
      <c r="V1439" s="13" t="s">
        <v>2014</v>
      </c>
      <c r="W1439" s="59">
        <f t="shared" si="22"/>
        <v>2.6830942449942047E-4</v>
      </c>
    </row>
    <row r="1440" spans="1:29">
      <c r="A1440" s="13" t="s">
        <v>323</v>
      </c>
      <c r="B1440" s="13" t="s">
        <v>471</v>
      </c>
      <c r="C1440" s="139">
        <v>46315</v>
      </c>
      <c r="D1440" s="139" t="s">
        <v>441</v>
      </c>
      <c r="E1440" s="28">
        <v>0.93628160000000005</v>
      </c>
      <c r="F1440" s="13"/>
      <c r="G1440" s="18">
        <v>10000000</v>
      </c>
      <c r="H1440" s="18">
        <v>9362816</v>
      </c>
      <c r="I1440" s="18">
        <v>10000000</v>
      </c>
      <c r="J1440" s="18">
        <v>9362816</v>
      </c>
      <c r="K1440" s="15">
        <v>2011</v>
      </c>
      <c r="L1440" s="13" t="s">
        <v>102</v>
      </c>
      <c r="M1440" s="13" t="s">
        <v>103</v>
      </c>
      <c r="N1440" s="139" t="s">
        <v>494</v>
      </c>
      <c r="O1440" s="139" t="s">
        <v>494</v>
      </c>
      <c r="P1440" s="28">
        <v>27</v>
      </c>
      <c r="Q1440" s="13" t="s">
        <v>54</v>
      </c>
      <c r="R1440" s="13" t="s">
        <v>28</v>
      </c>
      <c r="S1440" s="13"/>
      <c r="T1440" s="13"/>
      <c r="U1440" s="13" t="s">
        <v>2020</v>
      </c>
      <c r="V1440" s="13" t="s">
        <v>2020</v>
      </c>
      <c r="W1440" s="59">
        <f t="shared" si="22"/>
        <v>1.788729496662803E-4</v>
      </c>
    </row>
    <row r="1441" spans="1:35">
      <c r="A1441" s="13" t="s">
        <v>522</v>
      </c>
      <c r="B1441" s="13" t="s">
        <v>471</v>
      </c>
      <c r="C1441" s="139">
        <v>46315</v>
      </c>
      <c r="D1441" s="139" t="s">
        <v>441</v>
      </c>
      <c r="E1441" s="28">
        <v>0.94072186000000002</v>
      </c>
      <c r="F1441" s="13"/>
      <c r="G1441" s="18">
        <v>100000000</v>
      </c>
      <c r="H1441" s="18">
        <v>94072185.689999998</v>
      </c>
      <c r="I1441" s="18">
        <v>100000000</v>
      </c>
      <c r="J1441" s="18">
        <v>94072185.689999998</v>
      </c>
      <c r="K1441" s="15">
        <v>52811168</v>
      </c>
      <c r="L1441" s="13" t="s">
        <v>102</v>
      </c>
      <c r="M1441" s="13" t="s">
        <v>103</v>
      </c>
      <c r="N1441" s="139" t="s">
        <v>382</v>
      </c>
      <c r="O1441" s="139" t="s">
        <v>382</v>
      </c>
      <c r="P1441" s="28">
        <v>25</v>
      </c>
      <c r="Q1441" s="13" t="s">
        <v>54</v>
      </c>
      <c r="R1441" s="13" t="s">
        <v>28</v>
      </c>
      <c r="S1441" s="13"/>
      <c r="T1441" s="13"/>
      <c r="U1441" s="13" t="s">
        <v>2332</v>
      </c>
      <c r="V1441" s="13" t="s">
        <v>2332</v>
      </c>
      <c r="W1441" s="59">
        <f t="shared" si="22"/>
        <v>1.7972124343706363E-3</v>
      </c>
    </row>
    <row r="1442" spans="1:35">
      <c r="A1442" s="13" t="s">
        <v>581</v>
      </c>
      <c r="B1442" s="13" t="s">
        <v>471</v>
      </c>
      <c r="C1442" s="139">
        <v>46315</v>
      </c>
      <c r="D1442" s="139" t="s">
        <v>441</v>
      </c>
      <c r="E1442" s="28">
        <v>0.93407724000000003</v>
      </c>
      <c r="F1442" s="13"/>
      <c r="G1442" s="18">
        <v>2500000</v>
      </c>
      <c r="H1442" s="18">
        <v>2335193.1</v>
      </c>
      <c r="I1442" s="18">
        <v>2500000</v>
      </c>
      <c r="J1442" s="18">
        <v>2335193.1</v>
      </c>
      <c r="K1442" s="15">
        <v>90031817</v>
      </c>
      <c r="L1442" s="13" t="s">
        <v>102</v>
      </c>
      <c r="M1442" s="13" t="s">
        <v>103</v>
      </c>
      <c r="N1442" s="139" t="s">
        <v>327</v>
      </c>
      <c r="O1442" s="139" t="s">
        <v>327</v>
      </c>
      <c r="P1442" s="28">
        <v>28</v>
      </c>
      <c r="Q1442" s="13" t="s">
        <v>54</v>
      </c>
      <c r="R1442" s="13" t="s">
        <v>28</v>
      </c>
      <c r="S1442" s="13"/>
      <c r="T1442" s="13"/>
      <c r="U1442" s="13" t="s">
        <v>774</v>
      </c>
      <c r="V1442" s="13" t="s">
        <v>774</v>
      </c>
      <c r="W1442" s="59">
        <f t="shared" si="22"/>
        <v>4.46129538204473E-5</v>
      </c>
    </row>
    <row r="1443" spans="1:35">
      <c r="A1443" s="13" t="s">
        <v>581</v>
      </c>
      <c r="B1443" s="13" t="s">
        <v>471</v>
      </c>
      <c r="C1443" s="139">
        <v>46315</v>
      </c>
      <c r="D1443" s="139" t="s">
        <v>441</v>
      </c>
      <c r="E1443" s="28">
        <v>0.93407720000000005</v>
      </c>
      <c r="F1443" s="13"/>
      <c r="G1443" s="18">
        <v>25000000</v>
      </c>
      <c r="H1443" s="18">
        <v>23351930.010000002</v>
      </c>
      <c r="I1443" s="18">
        <v>25000000</v>
      </c>
      <c r="J1443" s="18">
        <v>23351930.010000002</v>
      </c>
      <c r="K1443" s="15">
        <v>360572</v>
      </c>
      <c r="L1443" s="13" t="s">
        <v>102</v>
      </c>
      <c r="M1443" s="13" t="s">
        <v>103</v>
      </c>
      <c r="N1443" s="139" t="s">
        <v>348</v>
      </c>
      <c r="O1443" s="139" t="s">
        <v>348</v>
      </c>
      <c r="P1443" s="28">
        <v>28</v>
      </c>
      <c r="Q1443" s="13" t="s">
        <v>54</v>
      </c>
      <c r="R1443" s="13" t="s">
        <v>28</v>
      </c>
      <c r="S1443" s="13"/>
      <c r="T1443" s="13"/>
      <c r="U1443" s="13" t="s">
        <v>719</v>
      </c>
      <c r="V1443" s="13" t="s">
        <v>719</v>
      </c>
      <c r="W1443" s="59">
        <f t="shared" si="22"/>
        <v>4.4612951929090896E-4</v>
      </c>
    </row>
    <row r="1444" spans="1:35">
      <c r="A1444" s="13" t="s">
        <v>257</v>
      </c>
      <c r="B1444" s="13" t="s">
        <v>471</v>
      </c>
      <c r="C1444" s="139">
        <v>46315</v>
      </c>
      <c r="D1444" s="139" t="s">
        <v>441</v>
      </c>
      <c r="E1444" s="28">
        <v>0.92320922999999999</v>
      </c>
      <c r="F1444" s="13"/>
      <c r="G1444" s="18">
        <v>45000000</v>
      </c>
      <c r="H1444" s="18">
        <v>41544415.509999998</v>
      </c>
      <c r="I1444" s="18">
        <v>45000000</v>
      </c>
      <c r="J1444" s="18">
        <v>41544415.509999998</v>
      </c>
      <c r="K1444" s="15">
        <v>67764210</v>
      </c>
      <c r="L1444" s="13" t="s">
        <v>102</v>
      </c>
      <c r="M1444" s="13" t="s">
        <v>103</v>
      </c>
      <c r="N1444" s="139" t="s">
        <v>394</v>
      </c>
      <c r="O1444" s="139" t="s">
        <v>394</v>
      </c>
      <c r="P1444" s="28">
        <v>33</v>
      </c>
      <c r="Q1444" s="13" t="s">
        <v>54</v>
      </c>
      <c r="R1444" s="13" t="s">
        <v>28</v>
      </c>
      <c r="S1444" s="13"/>
      <c r="T1444" s="13"/>
      <c r="U1444" s="13" t="s">
        <v>1658</v>
      </c>
      <c r="V1444" s="13" t="s">
        <v>1658</v>
      </c>
      <c r="W1444" s="59">
        <f t="shared" si="22"/>
        <v>7.936898625835715E-4</v>
      </c>
    </row>
    <row r="1445" spans="1:35">
      <c r="A1445" s="13" t="s">
        <v>698</v>
      </c>
      <c r="B1445" s="13" t="s">
        <v>471</v>
      </c>
      <c r="C1445" s="139">
        <v>46316</v>
      </c>
      <c r="D1445" s="139" t="s">
        <v>441</v>
      </c>
      <c r="E1445" s="28">
        <v>0.93340849000000004</v>
      </c>
      <c r="F1445" s="13"/>
      <c r="G1445" s="18">
        <v>20000000</v>
      </c>
      <c r="H1445" s="18">
        <v>18668169.829999998</v>
      </c>
      <c r="I1445" s="18">
        <v>20000000</v>
      </c>
      <c r="J1445" s="18">
        <v>18668169.829999998</v>
      </c>
      <c r="K1445" s="15">
        <v>10262986</v>
      </c>
      <c r="L1445" s="13" t="s">
        <v>102</v>
      </c>
      <c r="M1445" s="13" t="s">
        <v>103</v>
      </c>
      <c r="N1445" s="139" t="s">
        <v>493</v>
      </c>
      <c r="O1445" s="139" t="s">
        <v>493</v>
      </c>
      <c r="P1445" s="28">
        <v>28</v>
      </c>
      <c r="Q1445" s="13" t="s">
        <v>54</v>
      </c>
      <c r="R1445" s="13" t="s">
        <v>28</v>
      </c>
      <c r="S1445" s="13"/>
      <c r="T1445" s="13"/>
      <c r="U1445" s="13" t="s">
        <v>1947</v>
      </c>
      <c r="V1445" s="13" t="s">
        <v>1947</v>
      </c>
      <c r="W1445" s="59">
        <f t="shared" si="22"/>
        <v>3.5664810697584598E-4</v>
      </c>
    </row>
    <row r="1446" spans="1:35">
      <c r="A1446" s="13" t="s">
        <v>486</v>
      </c>
      <c r="B1446" s="13" t="s">
        <v>471</v>
      </c>
      <c r="C1446" s="139">
        <v>46316</v>
      </c>
      <c r="D1446" s="139" t="s">
        <v>441</v>
      </c>
      <c r="E1446" s="28">
        <v>0.92461265000000004</v>
      </c>
      <c r="F1446" s="13"/>
      <c r="G1446" s="18">
        <v>10655603.25</v>
      </c>
      <c r="H1446" s="18">
        <v>9852305.5299999993</v>
      </c>
      <c r="I1446" s="18">
        <v>10655603.25</v>
      </c>
      <c r="J1446" s="18">
        <v>9852305.5299999993</v>
      </c>
      <c r="K1446" s="15">
        <v>30826</v>
      </c>
      <c r="L1446" s="13" t="s">
        <v>102</v>
      </c>
      <c r="M1446" s="13" t="s">
        <v>103</v>
      </c>
      <c r="N1446" s="139" t="s">
        <v>495</v>
      </c>
      <c r="O1446" s="139" t="s">
        <v>495</v>
      </c>
      <c r="P1446" s="28">
        <v>32</v>
      </c>
      <c r="Q1446" s="13" t="s">
        <v>54</v>
      </c>
      <c r="R1446" s="13" t="s">
        <v>28</v>
      </c>
      <c r="S1446" s="13"/>
      <c r="T1446" s="13"/>
      <c r="U1446" s="13" t="s">
        <v>2134</v>
      </c>
      <c r="V1446" s="13" t="s">
        <v>2134</v>
      </c>
      <c r="W1446" s="59">
        <f t="shared" si="22"/>
        <v>1.8822445631362455E-4</v>
      </c>
    </row>
    <row r="1447" spans="1:35">
      <c r="A1447" s="13" t="s">
        <v>659</v>
      </c>
      <c r="B1447" s="13" t="s">
        <v>471</v>
      </c>
      <c r="C1447" s="139">
        <v>46316</v>
      </c>
      <c r="D1447" s="139" t="s">
        <v>441</v>
      </c>
      <c r="E1447" s="28">
        <v>0.91172505999999998</v>
      </c>
      <c r="F1447" s="13"/>
      <c r="G1447" s="18">
        <v>7133529.1399999997</v>
      </c>
      <c r="H1447" s="18">
        <v>6503817.2599999998</v>
      </c>
      <c r="I1447" s="18">
        <v>7133529.1399999997</v>
      </c>
      <c r="J1447" s="18">
        <v>6503817.2599999998</v>
      </c>
      <c r="K1447" s="15">
        <v>90000170</v>
      </c>
      <c r="L1447" s="13" t="s">
        <v>102</v>
      </c>
      <c r="M1447" s="13" t="s">
        <v>103</v>
      </c>
      <c r="N1447" s="139" t="s">
        <v>327</v>
      </c>
      <c r="O1447" s="139" t="s">
        <v>327</v>
      </c>
      <c r="P1447" s="28">
        <v>38</v>
      </c>
      <c r="Q1447" s="13" t="s">
        <v>54</v>
      </c>
      <c r="R1447" s="13" t="s">
        <v>28</v>
      </c>
      <c r="S1447" s="13"/>
      <c r="T1447" s="13"/>
      <c r="U1447" s="13" t="s">
        <v>814</v>
      </c>
      <c r="V1447" s="13" t="s">
        <v>814</v>
      </c>
      <c r="W1447" s="59">
        <f t="shared" si="22"/>
        <v>1.2425289329478066E-4</v>
      </c>
    </row>
    <row r="1448" spans="1:35">
      <c r="A1448" s="13" t="s">
        <v>323</v>
      </c>
      <c r="B1448" s="13" t="s">
        <v>471</v>
      </c>
      <c r="C1448" s="139">
        <v>46316</v>
      </c>
      <c r="D1448" s="139" t="s">
        <v>441</v>
      </c>
      <c r="E1448" s="28">
        <v>0.94011604999999998</v>
      </c>
      <c r="F1448" s="13"/>
      <c r="G1448" s="18">
        <v>28000000</v>
      </c>
      <c r="H1448" s="18">
        <v>26323249.489999998</v>
      </c>
      <c r="I1448" s="18">
        <v>28000000</v>
      </c>
      <c r="J1448" s="18">
        <v>26323249.489999998</v>
      </c>
      <c r="K1448" s="15">
        <v>68393695</v>
      </c>
      <c r="L1448" s="13" t="s">
        <v>102</v>
      </c>
      <c r="M1448" s="13" t="s">
        <v>103</v>
      </c>
      <c r="N1448" s="139" t="s">
        <v>382</v>
      </c>
      <c r="O1448" s="139" t="s">
        <v>382</v>
      </c>
      <c r="P1448" s="28">
        <v>25</v>
      </c>
      <c r="Q1448" s="13" t="s">
        <v>54</v>
      </c>
      <c r="R1448" s="13" t="s">
        <v>28</v>
      </c>
      <c r="S1448" s="13"/>
      <c r="T1448" s="13"/>
      <c r="U1448" s="13" t="s">
        <v>2393</v>
      </c>
      <c r="V1448" s="13" t="s">
        <v>2393</v>
      </c>
      <c r="W1448" s="59">
        <f t="shared" si="22"/>
        <v>5.0289541961282891E-4</v>
      </c>
    </row>
    <row r="1449" spans="1:35">
      <c r="A1449" s="13" t="s">
        <v>323</v>
      </c>
      <c r="B1449" s="13" t="s">
        <v>471</v>
      </c>
      <c r="C1449" s="139">
        <v>46316</v>
      </c>
      <c r="D1449" s="139" t="s">
        <v>441</v>
      </c>
      <c r="E1449" s="28">
        <v>0.93563364000000004</v>
      </c>
      <c r="F1449" s="13"/>
      <c r="G1449" s="18">
        <v>15000000</v>
      </c>
      <c r="H1449" s="18">
        <v>14034504.529999999</v>
      </c>
      <c r="I1449" s="18">
        <v>15000000</v>
      </c>
      <c r="J1449" s="18">
        <v>14034504.529999999</v>
      </c>
      <c r="K1449" s="15">
        <v>11349967</v>
      </c>
      <c r="L1449" s="13" t="s">
        <v>102</v>
      </c>
      <c r="M1449" s="13" t="s">
        <v>103</v>
      </c>
      <c r="N1449" s="139" t="s">
        <v>392</v>
      </c>
      <c r="O1449" s="139" t="s">
        <v>392</v>
      </c>
      <c r="P1449" s="28">
        <v>27</v>
      </c>
      <c r="Q1449" s="13" t="s">
        <v>54</v>
      </c>
      <c r="R1449" s="13" t="s">
        <v>28</v>
      </c>
      <c r="S1449" s="13"/>
      <c r="T1449" s="13"/>
      <c r="U1449" s="13" t="s">
        <v>2322</v>
      </c>
      <c r="V1449" s="13" t="s">
        <v>2322</v>
      </c>
      <c r="W1449" s="59">
        <f t="shared" si="22"/>
        <v>2.6812373781412267E-4</v>
      </c>
    </row>
    <row r="1450" spans="1:35">
      <c r="A1450" s="13" t="s">
        <v>323</v>
      </c>
      <c r="B1450" s="13" t="s">
        <v>471</v>
      </c>
      <c r="C1450" s="139">
        <v>46316</v>
      </c>
      <c r="D1450" s="139" t="s">
        <v>441</v>
      </c>
      <c r="E1450" s="28">
        <v>0.93563364000000004</v>
      </c>
      <c r="F1450" s="13"/>
      <c r="G1450" s="18">
        <v>20000000</v>
      </c>
      <c r="H1450" s="18">
        <v>18712672.699999999</v>
      </c>
      <c r="I1450" s="18">
        <v>20000000</v>
      </c>
      <c r="J1450" s="18">
        <v>18712672.699999999</v>
      </c>
      <c r="K1450" s="15">
        <v>13869224</v>
      </c>
      <c r="L1450" s="13" t="s">
        <v>102</v>
      </c>
      <c r="M1450" s="13" t="s">
        <v>103</v>
      </c>
      <c r="N1450" s="139" t="s">
        <v>392</v>
      </c>
      <c r="O1450" s="139" t="s">
        <v>392</v>
      </c>
      <c r="P1450" s="28">
        <v>27</v>
      </c>
      <c r="Q1450" s="13" t="s">
        <v>54</v>
      </c>
      <c r="R1450" s="13" t="s">
        <v>28</v>
      </c>
      <c r="S1450" s="13"/>
      <c r="T1450" s="13"/>
      <c r="U1450" s="13" t="s">
        <v>2328</v>
      </c>
      <c r="V1450" s="13" t="s">
        <v>2328</v>
      </c>
      <c r="W1450" s="59">
        <f t="shared" si="22"/>
        <v>3.5749831695813285E-4</v>
      </c>
    </row>
    <row r="1451" spans="1:35">
      <c r="A1451" s="13" t="s">
        <v>141</v>
      </c>
      <c r="B1451" s="13" t="s">
        <v>471</v>
      </c>
      <c r="C1451" s="139">
        <v>46316</v>
      </c>
      <c r="D1451" s="139" t="s">
        <v>441</v>
      </c>
      <c r="E1451" s="28">
        <v>0.92243942999999995</v>
      </c>
      <c r="F1451" s="13"/>
      <c r="G1451" s="18">
        <v>125000000</v>
      </c>
      <c r="H1451" s="18">
        <v>115304928.56</v>
      </c>
      <c r="I1451" s="18">
        <v>125000000</v>
      </c>
      <c r="J1451" s="18">
        <v>115304928.56</v>
      </c>
      <c r="K1451" s="15">
        <v>9451</v>
      </c>
      <c r="L1451" s="13" t="s">
        <v>102</v>
      </c>
      <c r="M1451" s="13" t="s">
        <v>103</v>
      </c>
      <c r="N1451" s="139" t="s">
        <v>441</v>
      </c>
      <c r="O1451" s="139" t="s">
        <v>441</v>
      </c>
      <c r="P1451" s="28">
        <v>33</v>
      </c>
      <c r="Q1451" s="13" t="s">
        <v>54</v>
      </c>
      <c r="R1451" s="13" t="s">
        <v>28</v>
      </c>
      <c r="S1451" s="13"/>
      <c r="T1451" s="13"/>
      <c r="U1451" s="13" t="s">
        <v>2484</v>
      </c>
      <c r="V1451" s="13" t="s">
        <v>2484</v>
      </c>
      <c r="W1451" s="59">
        <f t="shared" si="22"/>
        <v>2.2028557094988226E-3</v>
      </c>
    </row>
    <row r="1452" spans="1:35">
      <c r="A1452" s="13" t="s">
        <v>581</v>
      </c>
      <c r="B1452" s="13" t="s">
        <v>471</v>
      </c>
      <c r="C1452" s="139">
        <v>46316</v>
      </c>
      <c r="D1452" s="139" t="s">
        <v>441</v>
      </c>
      <c r="E1452" s="28">
        <v>0.93340844999999995</v>
      </c>
      <c r="F1452" s="13"/>
      <c r="G1452" s="18">
        <v>25000000</v>
      </c>
      <c r="H1452" s="18">
        <v>23335211.34</v>
      </c>
      <c r="I1452" s="18">
        <v>25000000</v>
      </c>
      <c r="J1452" s="18">
        <v>23335211.34</v>
      </c>
      <c r="K1452" s="15">
        <v>360573</v>
      </c>
      <c r="L1452" s="13" t="s">
        <v>102</v>
      </c>
      <c r="M1452" s="13" t="s">
        <v>103</v>
      </c>
      <c r="N1452" s="139" t="s">
        <v>348</v>
      </c>
      <c r="O1452" s="139" t="s">
        <v>348</v>
      </c>
      <c r="P1452" s="28">
        <v>28</v>
      </c>
      <c r="Q1452" s="13" t="s">
        <v>54</v>
      </c>
      <c r="R1452" s="13" t="s">
        <v>28</v>
      </c>
      <c r="S1452" s="13"/>
      <c r="T1452" s="13"/>
      <c r="U1452" s="13" t="s">
        <v>721</v>
      </c>
      <c r="V1452" s="13" t="s">
        <v>721</v>
      </c>
      <c r="W1452" s="59">
        <f t="shared" si="22"/>
        <v>4.4581011561818938E-4</v>
      </c>
    </row>
    <row r="1453" spans="1:35">
      <c r="A1453" s="13" t="s">
        <v>661</v>
      </c>
      <c r="B1453" s="13" t="s">
        <v>471</v>
      </c>
      <c r="C1453" s="139">
        <v>46316</v>
      </c>
      <c r="D1453" s="139" t="s">
        <v>441</v>
      </c>
      <c r="E1453" s="28">
        <v>0.92898961999999996</v>
      </c>
      <c r="F1453" s="13"/>
      <c r="G1453" s="18">
        <v>11923076.92</v>
      </c>
      <c r="H1453" s="18">
        <v>11076414.640000001</v>
      </c>
      <c r="I1453" s="18">
        <v>11923076.92</v>
      </c>
      <c r="J1453" s="18">
        <v>11076414.640000001</v>
      </c>
      <c r="K1453" s="15">
        <v>90021989</v>
      </c>
      <c r="L1453" s="13" t="s">
        <v>102</v>
      </c>
      <c r="M1453" s="13" t="s">
        <v>103</v>
      </c>
      <c r="N1453" s="139" t="s">
        <v>357</v>
      </c>
      <c r="O1453" s="139" t="s">
        <v>357</v>
      </c>
      <c r="P1453" s="28">
        <v>30</v>
      </c>
      <c r="Q1453" s="13" t="s">
        <v>54</v>
      </c>
      <c r="R1453" s="13" t="s">
        <v>28</v>
      </c>
      <c r="S1453" s="13"/>
      <c r="T1453" s="13"/>
      <c r="U1453" s="13" t="s">
        <v>1000</v>
      </c>
      <c r="V1453" s="13" t="s">
        <v>1000</v>
      </c>
      <c r="W1453" s="59">
        <f t="shared" si="22"/>
        <v>2.1161058365171018E-4</v>
      </c>
    </row>
    <row r="1454" spans="1:35">
      <c r="A1454" s="13" t="s">
        <v>486</v>
      </c>
      <c r="B1454" s="13" t="s">
        <v>471</v>
      </c>
      <c r="C1454" s="139">
        <v>46317</v>
      </c>
      <c r="D1454" s="139" t="s">
        <v>441</v>
      </c>
      <c r="E1454" s="28">
        <v>0.92386367999999996</v>
      </c>
      <c r="F1454" s="13"/>
      <c r="G1454" s="18">
        <v>10655603.279999999</v>
      </c>
      <c r="H1454" s="18">
        <v>9844324.8100000005</v>
      </c>
      <c r="I1454" s="18">
        <v>10655603.279999999</v>
      </c>
      <c r="J1454" s="18">
        <v>9844324.8100000005</v>
      </c>
      <c r="K1454" s="15">
        <v>30827</v>
      </c>
      <c r="L1454" s="13" t="s">
        <v>102</v>
      </c>
      <c r="M1454" s="13" t="s">
        <v>103</v>
      </c>
      <c r="N1454" s="139" t="s">
        <v>495</v>
      </c>
      <c r="O1454" s="139" t="s">
        <v>495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2135</v>
      </c>
      <c r="V1454" s="13" t="s">
        <v>2135</v>
      </c>
      <c r="W1454" s="59">
        <f t="shared" si="22"/>
        <v>1.8807198776923999E-4</v>
      </c>
    </row>
    <row r="1455" spans="1:35">
      <c r="A1455" s="13" t="s">
        <v>1046</v>
      </c>
      <c r="B1455" s="13" t="s">
        <v>471</v>
      </c>
      <c r="C1455" s="139">
        <v>46317</v>
      </c>
      <c r="D1455" s="139" t="s">
        <v>441</v>
      </c>
      <c r="E1455" s="28">
        <v>0.90872889000000001</v>
      </c>
      <c r="F1455" s="13"/>
      <c r="G1455" s="18">
        <v>3750000</v>
      </c>
      <c r="H1455" s="18">
        <v>3407733.33</v>
      </c>
      <c r="I1455" s="18">
        <v>3750000</v>
      </c>
      <c r="J1455" s="18">
        <v>3407733.33</v>
      </c>
      <c r="K1455" s="15">
        <v>66918105</v>
      </c>
      <c r="L1455" s="13" t="s">
        <v>102</v>
      </c>
      <c r="M1455" s="13" t="s">
        <v>103</v>
      </c>
      <c r="N1455" s="139" t="s">
        <v>364</v>
      </c>
      <c r="O1455" s="139" t="s">
        <v>364</v>
      </c>
      <c r="P1455" s="28">
        <v>39</v>
      </c>
      <c r="Q1455" s="13" t="s">
        <v>54</v>
      </c>
      <c r="R1455" s="13" t="s">
        <v>28</v>
      </c>
      <c r="S1455" s="13"/>
      <c r="T1455" s="13"/>
      <c r="U1455" s="13" t="s">
        <v>1031</v>
      </c>
      <c r="V1455" s="13" t="s">
        <v>1031</v>
      </c>
      <c r="W1455" s="59">
        <f t="shared" si="22"/>
        <v>6.5103416793964105E-5</v>
      </c>
      <c r="AC1455" s="56"/>
      <c r="AE1455" s="16"/>
      <c r="AF1455" s="28"/>
      <c r="AG1455" s="13"/>
      <c r="AH1455" s="18"/>
      <c r="AI1455" s="18"/>
    </row>
    <row r="1456" spans="1:35">
      <c r="A1456" s="13" t="s">
        <v>737</v>
      </c>
      <c r="B1456" s="13" t="s">
        <v>471</v>
      </c>
      <c r="C1456" s="139">
        <v>46317</v>
      </c>
      <c r="D1456" s="139" t="s">
        <v>441</v>
      </c>
      <c r="E1456" s="28">
        <v>0.93724331999999999</v>
      </c>
      <c r="F1456" s="13"/>
      <c r="G1456" s="18">
        <v>20000000</v>
      </c>
      <c r="H1456" s="18">
        <v>18744866.32</v>
      </c>
      <c r="I1456" s="18">
        <v>20000000</v>
      </c>
      <c r="J1456" s="18">
        <v>18744866.32</v>
      </c>
      <c r="K1456" s="15">
        <v>9508921</v>
      </c>
      <c r="L1456" s="13" t="s">
        <v>102</v>
      </c>
      <c r="M1456" s="13" t="s">
        <v>103</v>
      </c>
      <c r="N1456" s="139" t="s">
        <v>382</v>
      </c>
      <c r="O1456" s="139" t="s">
        <v>382</v>
      </c>
      <c r="P1456" s="28">
        <v>26</v>
      </c>
      <c r="Q1456" s="13" t="s">
        <v>54</v>
      </c>
      <c r="R1456" s="13" t="s">
        <v>28</v>
      </c>
      <c r="S1456" s="13"/>
      <c r="T1456" s="13"/>
      <c r="U1456" s="13" t="s">
        <v>2357</v>
      </c>
      <c r="V1456" s="13" t="s">
        <v>2357</v>
      </c>
      <c r="W1456" s="59">
        <f t="shared" si="22"/>
        <v>3.5811336351782551E-4</v>
      </c>
    </row>
    <row r="1457" spans="1:29">
      <c r="A1457" s="13" t="s">
        <v>472</v>
      </c>
      <c r="B1457" s="13" t="s">
        <v>471</v>
      </c>
      <c r="C1457" s="139">
        <v>46317</v>
      </c>
      <c r="D1457" s="139" t="s">
        <v>441</v>
      </c>
      <c r="E1457" s="28">
        <v>0.92828094000000005</v>
      </c>
      <c r="F1457" s="13"/>
      <c r="G1457" s="18">
        <v>10000000</v>
      </c>
      <c r="H1457" s="18">
        <v>9282809.3699999992</v>
      </c>
      <c r="I1457" s="18">
        <v>10000000</v>
      </c>
      <c r="J1457" s="18">
        <v>9282809.3699999992</v>
      </c>
      <c r="K1457" s="15">
        <v>727</v>
      </c>
      <c r="L1457" s="13" t="s">
        <v>102</v>
      </c>
      <c r="M1457" s="13" t="s">
        <v>103</v>
      </c>
      <c r="N1457" s="139" t="s">
        <v>172</v>
      </c>
      <c r="O1457" s="139" t="s">
        <v>172</v>
      </c>
      <c r="P1457" s="28">
        <v>30</v>
      </c>
      <c r="Q1457" s="13" t="s">
        <v>54</v>
      </c>
      <c r="R1457" s="13" t="s">
        <v>28</v>
      </c>
      <c r="S1457" s="13"/>
      <c r="T1457" s="13"/>
      <c r="U1457" s="13" t="s">
        <v>1776</v>
      </c>
      <c r="V1457" s="13" t="s">
        <v>1776</v>
      </c>
      <c r="W1457" s="59">
        <f t="shared" si="22"/>
        <v>1.7734445419003054E-4</v>
      </c>
    </row>
    <row r="1458" spans="1:29">
      <c r="A1458" s="13" t="s">
        <v>472</v>
      </c>
      <c r="B1458" s="13" t="s">
        <v>471</v>
      </c>
      <c r="C1458" s="139">
        <v>46317</v>
      </c>
      <c r="D1458" s="139" t="s">
        <v>441</v>
      </c>
      <c r="E1458" s="28">
        <v>0.92828098999999997</v>
      </c>
      <c r="F1458" s="13"/>
      <c r="G1458" s="18">
        <v>6500000</v>
      </c>
      <c r="H1458" s="18">
        <v>6033826.4500000002</v>
      </c>
      <c r="I1458" s="18">
        <v>6500000</v>
      </c>
      <c r="J1458" s="18">
        <v>6033826.4500000002</v>
      </c>
      <c r="K1458" s="15">
        <v>744</v>
      </c>
      <c r="L1458" s="13" t="s">
        <v>102</v>
      </c>
      <c r="M1458" s="13" t="s">
        <v>103</v>
      </c>
      <c r="N1458" s="139" t="s">
        <v>509</v>
      </c>
      <c r="O1458" s="139" t="s">
        <v>509</v>
      </c>
      <c r="P1458" s="28">
        <v>30</v>
      </c>
      <c r="Q1458" s="13" t="s">
        <v>54</v>
      </c>
      <c r="R1458" s="13" t="s">
        <v>28</v>
      </c>
      <c r="S1458" s="13"/>
      <c r="T1458" s="13"/>
      <c r="U1458" s="13" t="s">
        <v>2046</v>
      </c>
      <c r="V1458" s="13" t="s">
        <v>2046</v>
      </c>
      <c r="W1458" s="59">
        <f t="shared" si="22"/>
        <v>1.1527390209162722E-4</v>
      </c>
    </row>
    <row r="1459" spans="1:29">
      <c r="A1459" s="13" t="s">
        <v>472</v>
      </c>
      <c r="B1459" s="13" t="s">
        <v>471</v>
      </c>
      <c r="C1459" s="139">
        <v>46317</v>
      </c>
      <c r="D1459" s="139" t="s">
        <v>441</v>
      </c>
      <c r="E1459" s="28">
        <v>0.92828091999999995</v>
      </c>
      <c r="F1459" s="13"/>
      <c r="G1459" s="18">
        <v>5000000</v>
      </c>
      <c r="H1459" s="18">
        <v>4641404.5999999996</v>
      </c>
      <c r="I1459" s="18">
        <v>5000000</v>
      </c>
      <c r="J1459" s="18">
        <v>4641404.5999999996</v>
      </c>
      <c r="K1459" s="15">
        <v>793</v>
      </c>
      <c r="L1459" s="13" t="s">
        <v>102</v>
      </c>
      <c r="M1459" s="13" t="s">
        <v>103</v>
      </c>
      <c r="N1459" s="139" t="s">
        <v>495</v>
      </c>
      <c r="O1459" s="139" t="s">
        <v>495</v>
      </c>
      <c r="P1459" s="28">
        <v>30</v>
      </c>
      <c r="Q1459" s="13" t="s">
        <v>54</v>
      </c>
      <c r="R1459" s="13" t="s">
        <v>28</v>
      </c>
      <c r="S1459" s="13"/>
      <c r="T1459" s="13"/>
      <c r="U1459" s="13" t="s">
        <v>2179</v>
      </c>
      <c r="V1459" s="13" t="s">
        <v>2179</v>
      </c>
      <c r="W1459" s="59">
        <f t="shared" si="22"/>
        <v>8.8672225471123415E-5</v>
      </c>
    </row>
    <row r="1460" spans="1:29">
      <c r="A1460" s="13" t="s">
        <v>432</v>
      </c>
      <c r="B1460" s="13" t="s">
        <v>471</v>
      </c>
      <c r="C1460" s="139">
        <v>46317</v>
      </c>
      <c r="D1460" s="139" t="s">
        <v>441</v>
      </c>
      <c r="E1460" s="28">
        <v>0.91948834999999995</v>
      </c>
      <c r="F1460" s="13"/>
      <c r="G1460" s="18">
        <v>990902.64</v>
      </c>
      <c r="H1460" s="18">
        <v>911123.43</v>
      </c>
      <c r="I1460" s="18">
        <v>990902.64</v>
      </c>
      <c r="J1460" s="18">
        <v>911123.43</v>
      </c>
      <c r="K1460" s="15">
        <v>2951</v>
      </c>
      <c r="L1460" s="13" t="s">
        <v>102</v>
      </c>
      <c r="M1460" s="13" t="s">
        <v>103</v>
      </c>
      <c r="N1460" s="139" t="s">
        <v>388</v>
      </c>
      <c r="O1460" s="139" t="s">
        <v>388</v>
      </c>
      <c r="P1460" s="28">
        <v>34</v>
      </c>
      <c r="Q1460" s="13" t="s">
        <v>54</v>
      </c>
      <c r="R1460" s="13" t="s">
        <v>28</v>
      </c>
      <c r="S1460" s="13"/>
      <c r="T1460" s="13"/>
      <c r="U1460" s="13" t="s">
        <v>2211</v>
      </c>
      <c r="V1460" s="13" t="s">
        <v>2211</v>
      </c>
      <c r="W1460" s="59">
        <f t="shared" si="22"/>
        <v>1.7406657936475381E-5</v>
      </c>
      <c r="AC1460" s="56"/>
    </row>
    <row r="1461" spans="1:29">
      <c r="A1461" s="13" t="s">
        <v>432</v>
      </c>
      <c r="B1461" s="13" t="s">
        <v>471</v>
      </c>
      <c r="C1461" s="139">
        <v>46317</v>
      </c>
      <c r="D1461" s="139" t="s">
        <v>441</v>
      </c>
      <c r="E1461" s="28">
        <v>0.91948834999999995</v>
      </c>
      <c r="F1461" s="13"/>
      <c r="G1461" s="18">
        <v>1020845.65</v>
      </c>
      <c r="H1461" s="18">
        <v>938655.68</v>
      </c>
      <c r="I1461" s="18">
        <v>1020845.65</v>
      </c>
      <c r="J1461" s="18">
        <v>938655.68</v>
      </c>
      <c r="K1461" s="15">
        <v>2901</v>
      </c>
      <c r="L1461" s="13" t="s">
        <v>102</v>
      </c>
      <c r="M1461" s="13" t="s">
        <v>103</v>
      </c>
      <c r="N1461" s="139" t="s">
        <v>388</v>
      </c>
      <c r="O1461" s="139" t="s">
        <v>388</v>
      </c>
      <c r="P1461" s="28">
        <v>34</v>
      </c>
      <c r="Q1461" s="13" t="s">
        <v>54</v>
      </c>
      <c r="R1461" s="13" t="s">
        <v>28</v>
      </c>
      <c r="S1461" s="13"/>
      <c r="T1461" s="13"/>
      <c r="U1461" s="13" t="s">
        <v>2212</v>
      </c>
      <c r="V1461" s="13" t="s">
        <v>2212</v>
      </c>
      <c r="W1461" s="59">
        <f t="shared" si="22"/>
        <v>1.7932650839513255E-5</v>
      </c>
    </row>
    <row r="1462" spans="1:29">
      <c r="A1462" s="13" t="s">
        <v>323</v>
      </c>
      <c r="B1462" s="13" t="s">
        <v>471</v>
      </c>
      <c r="C1462" s="139">
        <v>46317</v>
      </c>
      <c r="D1462" s="139" t="s">
        <v>441</v>
      </c>
      <c r="E1462" s="28">
        <v>0.93951099000000005</v>
      </c>
      <c r="F1462" s="13"/>
      <c r="G1462" s="18">
        <v>8650000</v>
      </c>
      <c r="H1462" s="18">
        <v>8126770.0999999996</v>
      </c>
      <c r="I1462" s="18">
        <v>8650000</v>
      </c>
      <c r="J1462" s="18">
        <v>8126770.0999999996</v>
      </c>
      <c r="K1462" s="15">
        <v>34389</v>
      </c>
      <c r="L1462" s="13" t="s">
        <v>102</v>
      </c>
      <c r="M1462" s="13" t="s">
        <v>103</v>
      </c>
      <c r="N1462" s="139" t="s">
        <v>441</v>
      </c>
      <c r="O1462" s="139" t="s">
        <v>441</v>
      </c>
      <c r="P1462" s="28">
        <v>25</v>
      </c>
      <c r="Q1462" s="13" t="s">
        <v>54</v>
      </c>
      <c r="R1462" s="13" t="s">
        <v>28</v>
      </c>
      <c r="S1462" s="13"/>
      <c r="T1462" s="13"/>
      <c r="U1462" s="13" t="s">
        <v>2434</v>
      </c>
      <c r="V1462" s="13" t="s">
        <v>2434</v>
      </c>
      <c r="W1462" s="59">
        <f t="shared" si="22"/>
        <v>1.5525877460870018E-4</v>
      </c>
    </row>
    <row r="1463" spans="1:29">
      <c r="A1463" s="13" t="s">
        <v>323</v>
      </c>
      <c r="B1463" s="13" t="s">
        <v>471</v>
      </c>
      <c r="C1463" s="139">
        <v>46317</v>
      </c>
      <c r="D1463" s="139" t="s">
        <v>441</v>
      </c>
      <c r="E1463" s="28">
        <v>0.93498645999999996</v>
      </c>
      <c r="F1463" s="13"/>
      <c r="G1463" s="18">
        <v>15000000</v>
      </c>
      <c r="H1463" s="18">
        <v>14024796.859999999</v>
      </c>
      <c r="I1463" s="18">
        <v>15000000</v>
      </c>
      <c r="J1463" s="18">
        <v>14024796.859999999</v>
      </c>
      <c r="K1463" s="15">
        <v>11349968</v>
      </c>
      <c r="L1463" s="13" t="s">
        <v>102</v>
      </c>
      <c r="M1463" s="13" t="s">
        <v>103</v>
      </c>
      <c r="N1463" s="139" t="s">
        <v>392</v>
      </c>
      <c r="O1463" s="139" t="s">
        <v>392</v>
      </c>
      <c r="P1463" s="28">
        <v>27</v>
      </c>
      <c r="Q1463" s="13" t="s">
        <v>54</v>
      </c>
      <c r="R1463" s="13" t="s">
        <v>28</v>
      </c>
      <c r="S1463" s="13"/>
      <c r="T1463" s="13"/>
      <c r="U1463" s="13" t="s">
        <v>2321</v>
      </c>
      <c r="V1463" s="13" t="s">
        <v>2321</v>
      </c>
      <c r="W1463" s="59">
        <f t="shared" si="22"/>
        <v>2.679382765632248E-4</v>
      </c>
    </row>
    <row r="1464" spans="1:29">
      <c r="A1464" s="13" t="s">
        <v>323</v>
      </c>
      <c r="B1464" s="13" t="s">
        <v>471</v>
      </c>
      <c r="C1464" s="139">
        <v>46317</v>
      </c>
      <c r="D1464" s="139" t="s">
        <v>441</v>
      </c>
      <c r="E1464" s="28">
        <v>0.93951103000000002</v>
      </c>
      <c r="F1464" s="13"/>
      <c r="G1464" s="18">
        <v>11000000</v>
      </c>
      <c r="H1464" s="18">
        <v>10334621.33</v>
      </c>
      <c r="I1464" s="18">
        <v>11000000</v>
      </c>
      <c r="J1464" s="18">
        <v>10334621.33</v>
      </c>
      <c r="K1464" s="15">
        <v>189</v>
      </c>
      <c r="L1464" s="13" t="s">
        <v>102</v>
      </c>
      <c r="M1464" s="13" t="s">
        <v>103</v>
      </c>
      <c r="N1464" s="139" t="s">
        <v>382</v>
      </c>
      <c r="O1464" s="139" t="s">
        <v>382</v>
      </c>
      <c r="P1464" s="28">
        <v>25</v>
      </c>
      <c r="Q1464" s="13" t="s">
        <v>54</v>
      </c>
      <c r="R1464" s="13" t="s">
        <v>28</v>
      </c>
      <c r="S1464" s="13"/>
      <c r="T1464" s="13"/>
      <c r="U1464" s="13" t="s">
        <v>2344</v>
      </c>
      <c r="V1464" s="13" t="s">
        <v>2344</v>
      </c>
      <c r="W1464" s="59">
        <f t="shared" si="22"/>
        <v>1.974389116459361E-4</v>
      </c>
    </row>
    <row r="1465" spans="1:29">
      <c r="A1465" s="13" t="s">
        <v>581</v>
      </c>
      <c r="B1465" s="13" t="s">
        <v>471</v>
      </c>
      <c r="C1465" s="139">
        <v>46317</v>
      </c>
      <c r="D1465" s="139" t="s">
        <v>441</v>
      </c>
      <c r="E1465" s="28">
        <v>0.93274056000000005</v>
      </c>
      <c r="F1465" s="13"/>
      <c r="G1465" s="18">
        <v>2500000</v>
      </c>
      <c r="H1465" s="18">
        <v>2331851.41</v>
      </c>
      <c r="I1465" s="18">
        <v>2500000</v>
      </c>
      <c r="J1465" s="18">
        <v>2331851.41</v>
      </c>
      <c r="K1465" s="15">
        <v>90031818</v>
      </c>
      <c r="L1465" s="13" t="s">
        <v>102</v>
      </c>
      <c r="M1465" s="13" t="s">
        <v>103</v>
      </c>
      <c r="N1465" s="139" t="s">
        <v>327</v>
      </c>
      <c r="O1465" s="139" t="s">
        <v>327</v>
      </c>
      <c r="P1465" s="28">
        <v>28</v>
      </c>
      <c r="Q1465" s="13" t="s">
        <v>54</v>
      </c>
      <c r="R1465" s="13" t="s">
        <v>28</v>
      </c>
      <c r="S1465" s="13"/>
      <c r="T1465" s="13"/>
      <c r="U1465" s="13" t="s">
        <v>762</v>
      </c>
      <c r="V1465" s="13" t="s">
        <v>762</v>
      </c>
      <c r="W1465" s="59">
        <f t="shared" si="22"/>
        <v>4.4549112135726557E-5</v>
      </c>
    </row>
    <row r="1466" spans="1:29">
      <c r="A1466" s="13" t="s">
        <v>257</v>
      </c>
      <c r="B1466" s="13" t="s">
        <v>471</v>
      </c>
      <c r="C1466" s="139">
        <v>46317</v>
      </c>
      <c r="D1466" s="139" t="s">
        <v>441</v>
      </c>
      <c r="E1466" s="28">
        <v>0.92167074999999998</v>
      </c>
      <c r="F1466" s="13"/>
      <c r="G1466" s="18">
        <v>45000000</v>
      </c>
      <c r="H1466" s="18">
        <v>41475183.630000003</v>
      </c>
      <c r="I1466" s="18">
        <v>45000000</v>
      </c>
      <c r="J1466" s="18">
        <v>41475183.630000003</v>
      </c>
      <c r="K1466" s="15">
        <v>67838018</v>
      </c>
      <c r="L1466" s="13" t="s">
        <v>102</v>
      </c>
      <c r="M1466" s="13" t="s">
        <v>103</v>
      </c>
      <c r="N1466" s="139" t="s">
        <v>383</v>
      </c>
      <c r="O1466" s="139" t="s">
        <v>383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1673</v>
      </c>
      <c r="V1466" s="13" t="s">
        <v>1673</v>
      </c>
      <c r="W1466" s="59">
        <f t="shared" si="22"/>
        <v>7.9236721450562776E-4</v>
      </c>
    </row>
    <row r="1467" spans="1:29">
      <c r="A1467" s="13" t="s">
        <v>661</v>
      </c>
      <c r="B1467" s="13" t="s">
        <v>471</v>
      </c>
      <c r="C1467" s="139">
        <v>46317</v>
      </c>
      <c r="D1467" s="139" t="s">
        <v>441</v>
      </c>
      <c r="E1467" s="28">
        <v>0.93274047000000004</v>
      </c>
      <c r="F1467" s="13"/>
      <c r="G1467" s="18">
        <v>20000000</v>
      </c>
      <c r="H1467" s="18">
        <v>18654809.359999999</v>
      </c>
      <c r="I1467" s="18">
        <v>20000000</v>
      </c>
      <c r="J1467" s="18">
        <v>18654809.359999999</v>
      </c>
      <c r="K1467" s="15">
        <v>11092146</v>
      </c>
      <c r="L1467" s="13" t="s">
        <v>102</v>
      </c>
      <c r="M1467" s="13" t="s">
        <v>103</v>
      </c>
      <c r="N1467" s="139" t="s">
        <v>319</v>
      </c>
      <c r="O1467" s="139" t="s">
        <v>319</v>
      </c>
      <c r="P1467" s="28">
        <v>28</v>
      </c>
      <c r="Q1467" s="13" t="s">
        <v>54</v>
      </c>
      <c r="R1467" s="13" t="s">
        <v>28</v>
      </c>
      <c r="S1467" s="13"/>
      <c r="T1467" s="13"/>
      <c r="U1467" s="13" t="s">
        <v>1184</v>
      </c>
      <c r="V1467" s="13" t="s">
        <v>1184</v>
      </c>
      <c r="W1467" s="59">
        <f t="shared" si="22"/>
        <v>3.563928604049609E-4</v>
      </c>
    </row>
    <row r="1468" spans="1:29">
      <c r="A1468" s="13" t="s">
        <v>1075</v>
      </c>
      <c r="B1468" s="13" t="s">
        <v>471</v>
      </c>
      <c r="C1468" s="139">
        <v>46318</v>
      </c>
      <c r="D1468" s="139" t="s">
        <v>441</v>
      </c>
      <c r="E1468" s="28">
        <v>0.9187014</v>
      </c>
      <c r="F1468" s="13"/>
      <c r="G1468" s="18">
        <v>5000300.25</v>
      </c>
      <c r="H1468" s="18">
        <v>4593782.83</v>
      </c>
      <c r="I1468" s="18">
        <v>5000300.25</v>
      </c>
      <c r="J1468" s="18">
        <v>4593782.83</v>
      </c>
      <c r="K1468" s="15">
        <v>372</v>
      </c>
      <c r="L1468" s="13" t="s">
        <v>102</v>
      </c>
      <c r="M1468" s="13" t="s">
        <v>103</v>
      </c>
      <c r="N1468" s="139" t="s">
        <v>388</v>
      </c>
      <c r="O1468" s="139" t="s">
        <v>388</v>
      </c>
      <c r="P1468" s="28">
        <v>34</v>
      </c>
      <c r="Q1468" s="13" t="s">
        <v>54</v>
      </c>
      <c r="R1468" s="13" t="s">
        <v>28</v>
      </c>
      <c r="S1468" s="13"/>
      <c r="T1468" s="13"/>
      <c r="U1468" s="13" t="s">
        <v>2255</v>
      </c>
      <c r="V1468" s="13" t="s">
        <v>2255</v>
      </c>
      <c r="W1468" s="59">
        <f t="shared" si="22"/>
        <v>8.7762430120213051E-5</v>
      </c>
      <c r="AC1468" s="56"/>
    </row>
    <row r="1469" spans="1:29">
      <c r="A1469" s="13" t="s">
        <v>486</v>
      </c>
      <c r="B1469" s="13" t="s">
        <v>471</v>
      </c>
      <c r="C1469" s="139">
        <v>46318</v>
      </c>
      <c r="D1469" s="139" t="s">
        <v>441</v>
      </c>
      <c r="E1469" s="28">
        <v>0.92311591999999998</v>
      </c>
      <c r="F1469" s="13"/>
      <c r="G1469" s="18">
        <v>10655603.279999999</v>
      </c>
      <c r="H1469" s="18">
        <v>9836356.9900000002</v>
      </c>
      <c r="I1469" s="18">
        <v>10655603.279999999</v>
      </c>
      <c r="J1469" s="18">
        <v>9836356.9900000002</v>
      </c>
      <c r="K1469" s="15">
        <v>30828</v>
      </c>
      <c r="L1469" s="13" t="s">
        <v>102</v>
      </c>
      <c r="M1469" s="13" t="s">
        <v>103</v>
      </c>
      <c r="N1469" s="139" t="s">
        <v>495</v>
      </c>
      <c r="O1469" s="139" t="s">
        <v>495</v>
      </c>
      <c r="P1469" s="28">
        <v>32</v>
      </c>
      <c r="Q1469" s="13" t="s">
        <v>54</v>
      </c>
      <c r="R1469" s="13" t="s">
        <v>28</v>
      </c>
      <c r="S1469" s="13"/>
      <c r="T1469" s="13"/>
      <c r="U1469" s="13" t="s">
        <v>2136</v>
      </c>
      <c r="V1469" s="13" t="s">
        <v>2136</v>
      </c>
      <c r="W1469" s="59">
        <f t="shared" si="22"/>
        <v>1.8791976567432645E-4</v>
      </c>
    </row>
    <row r="1470" spans="1:29">
      <c r="A1470" s="13" t="s">
        <v>472</v>
      </c>
      <c r="B1470" s="13" t="s">
        <v>471</v>
      </c>
      <c r="C1470" s="139">
        <v>46318</v>
      </c>
      <c r="D1470" s="139" t="s">
        <v>441</v>
      </c>
      <c r="E1470" s="28">
        <v>0.92757314000000002</v>
      </c>
      <c r="F1470" s="13"/>
      <c r="G1470" s="18">
        <v>5000000</v>
      </c>
      <c r="H1470" s="18">
        <v>4637865.71</v>
      </c>
      <c r="I1470" s="18">
        <v>5000000</v>
      </c>
      <c r="J1470" s="18">
        <v>4637865.71</v>
      </c>
      <c r="K1470" s="15">
        <v>794</v>
      </c>
      <c r="L1470" s="13" t="s">
        <v>102</v>
      </c>
      <c r="M1470" s="13" t="s">
        <v>103</v>
      </c>
      <c r="N1470" s="139" t="s">
        <v>495</v>
      </c>
      <c r="O1470" s="139" t="s">
        <v>495</v>
      </c>
      <c r="P1470" s="28">
        <v>30</v>
      </c>
      <c r="Q1470" s="13" t="s">
        <v>54</v>
      </c>
      <c r="R1470" s="13" t="s">
        <v>28</v>
      </c>
      <c r="S1470" s="13"/>
      <c r="T1470" s="13"/>
      <c r="U1470" s="13" t="s">
        <v>2184</v>
      </c>
      <c r="V1470" s="13" t="s">
        <v>2184</v>
      </c>
      <c r="W1470" s="59">
        <f t="shared" si="22"/>
        <v>8.8604616357279404E-5</v>
      </c>
    </row>
    <row r="1471" spans="1:29">
      <c r="A1471" s="13" t="s">
        <v>432</v>
      </c>
      <c r="B1471" s="13" t="s">
        <v>471</v>
      </c>
      <c r="C1471" s="139">
        <v>46318</v>
      </c>
      <c r="D1471" s="139" t="s">
        <v>441</v>
      </c>
      <c r="E1471" s="28">
        <v>0.91870138999999995</v>
      </c>
      <c r="F1471" s="13"/>
      <c r="G1471" s="18">
        <v>1020845.65</v>
      </c>
      <c r="H1471" s="18">
        <v>937852.31</v>
      </c>
      <c r="I1471" s="18">
        <v>1020845.65</v>
      </c>
      <c r="J1471" s="18">
        <v>937852.31</v>
      </c>
      <c r="K1471" s="15">
        <v>2902</v>
      </c>
      <c r="L1471" s="13" t="s">
        <v>102</v>
      </c>
      <c r="M1471" s="13" t="s">
        <v>103</v>
      </c>
      <c r="N1471" s="139" t="s">
        <v>388</v>
      </c>
      <c r="O1471" s="139" t="s">
        <v>388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2217</v>
      </c>
      <c r="V1471" s="13" t="s">
        <v>2217</v>
      </c>
      <c r="W1471" s="59">
        <f t="shared" si="22"/>
        <v>1.7917302768850174E-5</v>
      </c>
      <c r="AC1471" s="56"/>
    </row>
    <row r="1472" spans="1:29">
      <c r="A1472" s="13" t="s">
        <v>432</v>
      </c>
      <c r="B1472" s="13" t="s">
        <v>471</v>
      </c>
      <c r="C1472" s="139">
        <v>46318</v>
      </c>
      <c r="D1472" s="139" t="s">
        <v>441</v>
      </c>
      <c r="E1472" s="28">
        <v>0.91870138999999995</v>
      </c>
      <c r="F1472" s="13"/>
      <c r="G1472" s="18">
        <v>990902.64</v>
      </c>
      <c r="H1472" s="18">
        <v>910343.63</v>
      </c>
      <c r="I1472" s="18">
        <v>990902.64</v>
      </c>
      <c r="J1472" s="18">
        <v>910343.63</v>
      </c>
      <c r="K1472" s="15">
        <v>2952</v>
      </c>
      <c r="L1472" s="13" t="s">
        <v>102</v>
      </c>
      <c r="M1472" s="13" t="s">
        <v>103</v>
      </c>
      <c r="N1472" s="139" t="s">
        <v>388</v>
      </c>
      <c r="O1472" s="139" t="s">
        <v>388</v>
      </c>
      <c r="P1472" s="28">
        <v>34</v>
      </c>
      <c r="Q1472" s="13" t="s">
        <v>54</v>
      </c>
      <c r="R1472" s="13" t="s">
        <v>28</v>
      </c>
      <c r="S1472" s="13"/>
      <c r="T1472" s="13"/>
      <c r="U1472" s="13" t="s">
        <v>2218</v>
      </c>
      <c r="V1472" s="13" t="s">
        <v>2218</v>
      </c>
      <c r="W1472" s="59">
        <f t="shared" si="22"/>
        <v>1.7391760161473739E-5</v>
      </c>
    </row>
    <row r="1473" spans="1:29">
      <c r="A1473" s="13" t="s">
        <v>323</v>
      </c>
      <c r="B1473" s="13" t="s">
        <v>471</v>
      </c>
      <c r="C1473" s="139">
        <v>46318</v>
      </c>
      <c r="D1473" s="139" t="s">
        <v>441</v>
      </c>
      <c r="E1473" s="28">
        <v>0.93434039999999996</v>
      </c>
      <c r="F1473" s="13"/>
      <c r="G1473" s="18">
        <v>20000000</v>
      </c>
      <c r="H1473" s="18">
        <v>18686808</v>
      </c>
      <c r="I1473" s="18">
        <v>20000000</v>
      </c>
      <c r="J1473" s="18">
        <v>18686808</v>
      </c>
      <c r="K1473" s="15">
        <v>885</v>
      </c>
      <c r="L1473" s="13" t="s">
        <v>102</v>
      </c>
      <c r="M1473" s="13" t="s">
        <v>103</v>
      </c>
      <c r="N1473" s="139" t="s">
        <v>392</v>
      </c>
      <c r="O1473" s="139" t="s">
        <v>392</v>
      </c>
      <c r="P1473" s="28">
        <v>27</v>
      </c>
      <c r="Q1473" s="13" t="s">
        <v>54</v>
      </c>
      <c r="R1473" s="13" t="s">
        <v>28</v>
      </c>
      <c r="S1473" s="13"/>
      <c r="T1473" s="13"/>
      <c r="U1473" s="13" t="s">
        <v>2326</v>
      </c>
      <c r="V1473" s="13" t="s">
        <v>2326</v>
      </c>
      <c r="W1473" s="59">
        <f t="shared" si="22"/>
        <v>3.5700418194776486E-4</v>
      </c>
    </row>
    <row r="1474" spans="1:29">
      <c r="A1474" s="13" t="s">
        <v>323</v>
      </c>
      <c r="B1474" s="13" t="s">
        <v>471</v>
      </c>
      <c r="C1474" s="139">
        <v>46318</v>
      </c>
      <c r="D1474" s="139" t="s">
        <v>441</v>
      </c>
      <c r="E1474" s="28">
        <v>0.93434028999999996</v>
      </c>
      <c r="F1474" s="13"/>
      <c r="G1474" s="18">
        <v>24500000</v>
      </c>
      <c r="H1474" s="18">
        <v>22891337.07</v>
      </c>
      <c r="I1474" s="18">
        <v>24500000</v>
      </c>
      <c r="J1474" s="18">
        <v>22891337.07</v>
      </c>
      <c r="K1474" s="15">
        <v>34221</v>
      </c>
      <c r="L1474" s="13" t="s">
        <v>102</v>
      </c>
      <c r="M1474" s="13" t="s">
        <v>103</v>
      </c>
      <c r="N1474" s="139" t="s">
        <v>494</v>
      </c>
      <c r="O1474" s="139" t="s">
        <v>494</v>
      </c>
      <c r="P1474" s="28">
        <v>27</v>
      </c>
      <c r="Q1474" s="13" t="s">
        <v>54</v>
      </c>
      <c r="R1474" s="13" t="s">
        <v>28</v>
      </c>
      <c r="S1474" s="13"/>
      <c r="T1474" s="13"/>
      <c r="U1474" s="13" t="s">
        <v>1999</v>
      </c>
      <c r="V1474" s="13" t="s">
        <v>1999</v>
      </c>
      <c r="W1474" s="59">
        <f t="shared" si="22"/>
        <v>4.3733007073042622E-4</v>
      </c>
    </row>
    <row r="1475" spans="1:29">
      <c r="A1475" s="13" t="s">
        <v>581</v>
      </c>
      <c r="B1475" s="13" t="s">
        <v>471</v>
      </c>
      <c r="C1475" s="139">
        <v>46318</v>
      </c>
      <c r="D1475" s="139" t="s">
        <v>441</v>
      </c>
      <c r="E1475" s="28">
        <v>0.93207361</v>
      </c>
      <c r="F1475" s="13"/>
      <c r="G1475" s="18">
        <v>2500000</v>
      </c>
      <c r="H1475" s="18">
        <v>2330184.02</v>
      </c>
      <c r="I1475" s="18">
        <v>2500000</v>
      </c>
      <c r="J1475" s="18">
        <v>2330184.02</v>
      </c>
      <c r="K1475" s="15">
        <v>90031819</v>
      </c>
      <c r="L1475" s="13" t="s">
        <v>102</v>
      </c>
      <c r="M1475" s="13" t="s">
        <v>103</v>
      </c>
      <c r="N1475" s="139" t="s">
        <v>327</v>
      </c>
      <c r="O1475" s="139" t="s">
        <v>327</v>
      </c>
      <c r="P1475" s="28">
        <v>28</v>
      </c>
      <c r="Q1475" s="13" t="s">
        <v>54</v>
      </c>
      <c r="R1475" s="13" t="s">
        <v>28</v>
      </c>
      <c r="S1475" s="13"/>
      <c r="T1475" s="13"/>
      <c r="U1475" s="13" t="s">
        <v>764</v>
      </c>
      <c r="V1475" s="13" t="s">
        <v>764</v>
      </c>
      <c r="W1475" s="59">
        <f t="shared" si="22"/>
        <v>4.4517257299794285E-5</v>
      </c>
      <c r="AC1475" s="56"/>
    </row>
    <row r="1476" spans="1:29">
      <c r="A1476" s="13" t="s">
        <v>1075</v>
      </c>
      <c r="B1476" s="13" t="s">
        <v>471</v>
      </c>
      <c r="C1476" s="139">
        <v>46321</v>
      </c>
      <c r="D1476" s="139" t="s">
        <v>441</v>
      </c>
      <c r="E1476" s="28">
        <v>0.91634888000000003</v>
      </c>
      <c r="F1476" s="13"/>
      <c r="G1476" s="18">
        <v>5000300.25</v>
      </c>
      <c r="H1476" s="18">
        <v>4582019.5199999996</v>
      </c>
      <c r="I1476" s="18">
        <v>5000300.25</v>
      </c>
      <c r="J1476" s="18">
        <v>4582019.5199999996</v>
      </c>
      <c r="K1476" s="15">
        <v>373</v>
      </c>
      <c r="L1476" s="13" t="s">
        <v>102</v>
      </c>
      <c r="M1476" s="13" t="s">
        <v>103</v>
      </c>
      <c r="N1476" s="139" t="s">
        <v>388</v>
      </c>
      <c r="O1476" s="139" t="s">
        <v>388</v>
      </c>
      <c r="P1476" s="28">
        <v>34</v>
      </c>
      <c r="Q1476" s="13" t="s">
        <v>54</v>
      </c>
      <c r="R1476" s="13" t="s">
        <v>28</v>
      </c>
      <c r="S1476" s="13"/>
      <c r="T1476" s="13"/>
      <c r="U1476" s="13" t="s">
        <v>2256</v>
      </c>
      <c r="V1476" s="13" t="s">
        <v>2256</v>
      </c>
      <c r="W1476" s="59">
        <f t="shared" si="22"/>
        <v>8.753769666848882E-5</v>
      </c>
    </row>
    <row r="1477" spans="1:29">
      <c r="A1477" s="13" t="s">
        <v>486</v>
      </c>
      <c r="B1477" s="13" t="s">
        <v>471</v>
      </c>
      <c r="C1477" s="139">
        <v>46321</v>
      </c>
      <c r="D1477" s="139" t="s">
        <v>441</v>
      </c>
      <c r="E1477" s="28">
        <v>0.92088013999999996</v>
      </c>
      <c r="F1477" s="13"/>
      <c r="G1477" s="18">
        <v>10655603.279999999</v>
      </c>
      <c r="H1477" s="18">
        <v>9812533.4199999999</v>
      </c>
      <c r="I1477" s="18">
        <v>10655603.279999999</v>
      </c>
      <c r="J1477" s="18">
        <v>9812533.4199999999</v>
      </c>
      <c r="K1477" s="15">
        <v>30829</v>
      </c>
      <c r="L1477" s="13" t="s">
        <v>102</v>
      </c>
      <c r="M1477" s="13" t="s">
        <v>103</v>
      </c>
      <c r="N1477" s="139" t="s">
        <v>495</v>
      </c>
      <c r="O1477" s="139" t="s">
        <v>495</v>
      </c>
      <c r="P1477" s="28">
        <v>32</v>
      </c>
      <c r="Q1477" s="13" t="s">
        <v>54</v>
      </c>
      <c r="R1477" s="13" t="s">
        <v>28</v>
      </c>
      <c r="S1477" s="13"/>
      <c r="T1477" s="13"/>
      <c r="U1477" s="13" t="s">
        <v>2137</v>
      </c>
      <c r="V1477" s="13" t="s">
        <v>2137</v>
      </c>
      <c r="W1477" s="59">
        <f t="shared" ref="W1477:W1540" si="23">+J1477/$W$2</f>
        <v>1.874646256568914E-4</v>
      </c>
    </row>
    <row r="1478" spans="1:29">
      <c r="A1478" s="13" t="s">
        <v>821</v>
      </c>
      <c r="B1478" s="13" t="s">
        <v>471</v>
      </c>
      <c r="C1478" s="139">
        <v>46321</v>
      </c>
      <c r="D1478" s="139" t="s">
        <v>441</v>
      </c>
      <c r="E1478" s="28">
        <v>0.91860874999999997</v>
      </c>
      <c r="F1478" s="13"/>
      <c r="G1478" s="18">
        <v>6500236.5700000003</v>
      </c>
      <c r="H1478" s="18">
        <v>5971174.1799999997</v>
      </c>
      <c r="I1478" s="18">
        <v>6500236.5700000003</v>
      </c>
      <c r="J1478" s="18">
        <v>5971174.1799999997</v>
      </c>
      <c r="K1478" s="15">
        <v>90000581</v>
      </c>
      <c r="L1478" s="13" t="s">
        <v>102</v>
      </c>
      <c r="M1478" s="13" t="s">
        <v>103</v>
      </c>
      <c r="N1478" s="139" t="s">
        <v>174</v>
      </c>
      <c r="O1478" s="139" t="s">
        <v>174</v>
      </c>
      <c r="P1478" s="28">
        <v>33</v>
      </c>
      <c r="Q1478" s="13" t="s">
        <v>54</v>
      </c>
      <c r="R1478" s="13" t="s">
        <v>28</v>
      </c>
      <c r="S1478" s="13"/>
      <c r="T1478" s="13"/>
      <c r="U1478" s="13" t="s">
        <v>1333</v>
      </c>
      <c r="V1478" s="13" t="s">
        <v>1333</v>
      </c>
      <c r="W1478" s="59">
        <f t="shared" si="23"/>
        <v>1.1407695489772869E-4</v>
      </c>
    </row>
    <row r="1479" spans="1:29">
      <c r="A1479" s="13" t="s">
        <v>1046</v>
      </c>
      <c r="B1479" s="13" t="s">
        <v>471</v>
      </c>
      <c r="C1479" s="139">
        <v>46321</v>
      </c>
      <c r="D1479" s="139" t="s">
        <v>441</v>
      </c>
      <c r="E1479" s="28">
        <v>0.90521313999999997</v>
      </c>
      <c r="F1479" s="13"/>
      <c r="G1479" s="18">
        <v>3750000</v>
      </c>
      <c r="H1479" s="18">
        <v>3394549.26</v>
      </c>
      <c r="I1479" s="18">
        <v>3750000</v>
      </c>
      <c r="J1479" s="18">
        <v>3394549.26</v>
      </c>
      <c r="K1479" s="15">
        <v>66918134</v>
      </c>
      <c r="L1479" s="13" t="s">
        <v>102</v>
      </c>
      <c r="M1479" s="13" t="s">
        <v>103</v>
      </c>
      <c r="N1479" s="139" t="s">
        <v>364</v>
      </c>
      <c r="O1479" s="139" t="s">
        <v>364</v>
      </c>
      <c r="P1479" s="28">
        <v>39</v>
      </c>
      <c r="Q1479" s="13" t="s">
        <v>54</v>
      </c>
      <c r="R1479" s="13" t="s">
        <v>28</v>
      </c>
      <c r="S1479" s="13"/>
      <c r="T1479" s="13"/>
      <c r="U1479" s="13" t="s">
        <v>1032</v>
      </c>
      <c r="V1479" s="13" t="s">
        <v>1032</v>
      </c>
      <c r="W1479" s="59">
        <f t="shared" si="23"/>
        <v>6.4851540276311001E-5</v>
      </c>
    </row>
    <row r="1480" spans="1:29">
      <c r="A1480" s="13" t="s">
        <v>472</v>
      </c>
      <c r="B1480" s="13" t="s">
        <v>471</v>
      </c>
      <c r="C1480" s="139">
        <v>46321</v>
      </c>
      <c r="D1480" s="139" t="s">
        <v>441</v>
      </c>
      <c r="E1480" s="28">
        <v>0.92545659000000002</v>
      </c>
      <c r="F1480" s="13"/>
      <c r="G1480" s="18">
        <v>6500000</v>
      </c>
      <c r="H1480" s="18">
        <v>6015467.8200000003</v>
      </c>
      <c r="I1480" s="18">
        <v>6500000</v>
      </c>
      <c r="J1480" s="18">
        <v>6015467.8200000003</v>
      </c>
      <c r="K1480" s="15">
        <v>745</v>
      </c>
      <c r="L1480" s="13" t="s">
        <v>102</v>
      </c>
      <c r="M1480" s="13" t="s">
        <v>103</v>
      </c>
      <c r="N1480" s="139" t="s">
        <v>509</v>
      </c>
      <c r="O1480" s="139" t="s">
        <v>509</v>
      </c>
      <c r="P1480" s="28">
        <v>30</v>
      </c>
      <c r="Q1480" s="13" t="s">
        <v>54</v>
      </c>
      <c r="R1480" s="13" t="s">
        <v>28</v>
      </c>
      <c r="S1480" s="13"/>
      <c r="T1480" s="13"/>
      <c r="U1480" s="13" t="s">
        <v>2043</v>
      </c>
      <c r="V1480" s="13" t="s">
        <v>2043</v>
      </c>
      <c r="W1480" s="59">
        <f t="shared" si="23"/>
        <v>1.1492316762243207E-4</v>
      </c>
    </row>
    <row r="1481" spans="1:29">
      <c r="A1481" s="13" t="s">
        <v>472</v>
      </c>
      <c r="B1481" s="13" t="s">
        <v>471</v>
      </c>
      <c r="C1481" s="139">
        <v>46321</v>
      </c>
      <c r="D1481" s="139" t="s">
        <v>441</v>
      </c>
      <c r="E1481" s="28">
        <v>0.92545650999999995</v>
      </c>
      <c r="F1481" s="13"/>
      <c r="G1481" s="18">
        <v>5000000</v>
      </c>
      <c r="H1481" s="18">
        <v>4627282.5599999996</v>
      </c>
      <c r="I1481" s="18">
        <v>5000000</v>
      </c>
      <c r="J1481" s="18">
        <v>4627282.5599999996</v>
      </c>
      <c r="K1481" s="15">
        <v>795</v>
      </c>
      <c r="L1481" s="13" t="s">
        <v>102</v>
      </c>
      <c r="M1481" s="13" t="s">
        <v>103</v>
      </c>
      <c r="N1481" s="139" t="s">
        <v>495</v>
      </c>
      <c r="O1481" s="139" t="s">
        <v>495</v>
      </c>
      <c r="P1481" s="28">
        <v>30</v>
      </c>
      <c r="Q1481" s="13" t="s">
        <v>54</v>
      </c>
      <c r="R1481" s="13" t="s">
        <v>28</v>
      </c>
      <c r="S1481" s="13"/>
      <c r="T1481" s="13"/>
      <c r="U1481" s="13" t="s">
        <v>2185</v>
      </c>
      <c r="V1481" s="13" t="s">
        <v>2185</v>
      </c>
      <c r="W1481" s="59">
        <f t="shared" si="23"/>
        <v>8.8402429402279886E-5</v>
      </c>
    </row>
    <row r="1482" spans="1:29">
      <c r="A1482" s="13" t="s">
        <v>432</v>
      </c>
      <c r="B1482" s="13" t="s">
        <v>471</v>
      </c>
      <c r="C1482" s="139">
        <v>46321</v>
      </c>
      <c r="D1482" s="139" t="s">
        <v>441</v>
      </c>
      <c r="E1482" s="28">
        <v>0.91634888999999997</v>
      </c>
      <c r="F1482" s="13"/>
      <c r="G1482" s="18">
        <v>1020845.65</v>
      </c>
      <c r="H1482" s="18">
        <v>935450.78</v>
      </c>
      <c r="I1482" s="18">
        <v>1020845.65</v>
      </c>
      <c r="J1482" s="18">
        <v>935450.78</v>
      </c>
      <c r="K1482" s="15">
        <v>2903</v>
      </c>
      <c r="L1482" s="13" t="s">
        <v>102</v>
      </c>
      <c r="M1482" s="13" t="s">
        <v>103</v>
      </c>
      <c r="N1482" s="139" t="s">
        <v>388</v>
      </c>
      <c r="O1482" s="139" t="s">
        <v>388</v>
      </c>
      <c r="P1482" s="28">
        <v>34</v>
      </c>
      <c r="Q1482" s="13" t="s">
        <v>54</v>
      </c>
      <c r="R1482" s="13" t="s">
        <v>28</v>
      </c>
      <c r="S1482" s="13"/>
      <c r="T1482" s="13"/>
      <c r="U1482" s="13" t="s">
        <v>2219</v>
      </c>
      <c r="V1482" s="13" t="s">
        <v>2219</v>
      </c>
      <c r="W1482" s="59">
        <f t="shared" si="23"/>
        <v>1.78714224744161E-5</v>
      </c>
    </row>
    <row r="1483" spans="1:29">
      <c r="A1483" s="13" t="s">
        <v>432</v>
      </c>
      <c r="B1483" s="13" t="s">
        <v>471</v>
      </c>
      <c r="C1483" s="139">
        <v>46321</v>
      </c>
      <c r="D1483" s="139" t="s">
        <v>441</v>
      </c>
      <c r="E1483" s="28">
        <v>0.91634886999999998</v>
      </c>
      <c r="F1483" s="13"/>
      <c r="G1483" s="18">
        <v>990902.64</v>
      </c>
      <c r="H1483" s="18">
        <v>908012.51</v>
      </c>
      <c r="I1483" s="18">
        <v>990902.64</v>
      </c>
      <c r="J1483" s="18">
        <v>908012.51</v>
      </c>
      <c r="K1483" s="15">
        <v>2953</v>
      </c>
      <c r="L1483" s="13" t="s">
        <v>102</v>
      </c>
      <c r="M1483" s="13" t="s">
        <v>103</v>
      </c>
      <c r="N1483" s="139" t="s">
        <v>388</v>
      </c>
      <c r="O1483" s="139" t="s">
        <v>388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2220</v>
      </c>
      <c r="V1483" s="13" t="s">
        <v>2220</v>
      </c>
      <c r="W1483" s="59">
        <f t="shared" si="23"/>
        <v>1.7347225022640927E-5</v>
      </c>
    </row>
    <row r="1484" spans="1:29">
      <c r="A1484" s="13" t="s">
        <v>323</v>
      </c>
      <c r="B1484" s="13" t="s">
        <v>471</v>
      </c>
      <c r="C1484" s="139">
        <v>46321</v>
      </c>
      <c r="D1484" s="139" t="s">
        <v>441</v>
      </c>
      <c r="E1484" s="28">
        <v>0.93709887999999997</v>
      </c>
      <c r="F1484" s="13"/>
      <c r="G1484" s="18">
        <v>12500000</v>
      </c>
      <c r="H1484" s="18">
        <v>11713735.970000001</v>
      </c>
      <c r="I1484" s="18">
        <v>12500000</v>
      </c>
      <c r="J1484" s="18">
        <v>11713735.970000001</v>
      </c>
      <c r="K1484" s="15">
        <v>5296</v>
      </c>
      <c r="L1484" s="13" t="s">
        <v>102</v>
      </c>
      <c r="M1484" s="13" t="s">
        <v>103</v>
      </c>
      <c r="N1484" s="139" t="s">
        <v>441</v>
      </c>
      <c r="O1484" s="139" t="s">
        <v>441</v>
      </c>
      <c r="P1484" s="28">
        <v>25</v>
      </c>
      <c r="Q1484" s="13" t="s">
        <v>54</v>
      </c>
      <c r="R1484" s="13" t="s">
        <v>28</v>
      </c>
      <c r="S1484" s="13"/>
      <c r="T1484" s="13"/>
      <c r="U1484" s="13" t="s">
        <v>2432</v>
      </c>
      <c r="V1484" s="13" t="s">
        <v>2432</v>
      </c>
      <c r="W1484" s="59">
        <f t="shared" si="23"/>
        <v>2.2378635920709188E-4</v>
      </c>
    </row>
    <row r="1485" spans="1:29">
      <c r="A1485" s="13" t="s">
        <v>323</v>
      </c>
      <c r="B1485" s="13" t="s">
        <v>471</v>
      </c>
      <c r="C1485" s="139">
        <v>46321</v>
      </c>
      <c r="D1485" s="139" t="s">
        <v>441</v>
      </c>
      <c r="E1485" s="28">
        <v>0.93709887999999997</v>
      </c>
      <c r="F1485" s="13"/>
      <c r="G1485" s="18">
        <v>8650000</v>
      </c>
      <c r="H1485" s="18">
        <v>8105905.29</v>
      </c>
      <c r="I1485" s="18">
        <v>8650000</v>
      </c>
      <c r="J1485" s="18">
        <v>8105905.29</v>
      </c>
      <c r="K1485" s="15">
        <v>34390</v>
      </c>
      <c r="L1485" s="13" t="s">
        <v>102</v>
      </c>
      <c r="M1485" s="13" t="s">
        <v>103</v>
      </c>
      <c r="N1485" s="139" t="s">
        <v>441</v>
      </c>
      <c r="O1485" s="139" t="s">
        <v>441</v>
      </c>
      <c r="P1485" s="28">
        <v>25</v>
      </c>
      <c r="Q1485" s="13" t="s">
        <v>54</v>
      </c>
      <c r="R1485" s="13" t="s">
        <v>28</v>
      </c>
      <c r="S1485" s="13"/>
      <c r="T1485" s="13"/>
      <c r="U1485" s="13" t="s">
        <v>2435</v>
      </c>
      <c r="V1485" s="13" t="s">
        <v>2435</v>
      </c>
      <c r="W1485" s="59">
        <f t="shared" si="23"/>
        <v>1.5486016054761786E-4</v>
      </c>
    </row>
    <row r="1486" spans="1:29">
      <c r="A1486" s="13" t="s">
        <v>323</v>
      </c>
      <c r="B1486" s="13" t="s">
        <v>471</v>
      </c>
      <c r="C1486" s="139">
        <v>46321</v>
      </c>
      <c r="D1486" s="139" t="s">
        <v>441</v>
      </c>
      <c r="E1486" s="28">
        <v>0.93240690000000004</v>
      </c>
      <c r="F1486" s="13"/>
      <c r="G1486" s="18">
        <v>15000000</v>
      </c>
      <c r="H1486" s="18">
        <v>13986103.48</v>
      </c>
      <c r="I1486" s="18">
        <v>15000000</v>
      </c>
      <c r="J1486" s="18">
        <v>13986103.48</v>
      </c>
      <c r="K1486" s="15">
        <v>11349969</v>
      </c>
      <c r="L1486" s="13" t="s">
        <v>102</v>
      </c>
      <c r="M1486" s="13" t="s">
        <v>103</v>
      </c>
      <c r="N1486" s="139" t="s">
        <v>392</v>
      </c>
      <c r="O1486" s="139" t="s">
        <v>392</v>
      </c>
      <c r="P1486" s="28">
        <v>27</v>
      </c>
      <c r="Q1486" s="13" t="s">
        <v>54</v>
      </c>
      <c r="R1486" s="13" t="s">
        <v>28</v>
      </c>
      <c r="S1486" s="13"/>
      <c r="T1486" s="13"/>
      <c r="U1486" s="13" t="s">
        <v>2320</v>
      </c>
      <c r="V1486" s="13" t="s">
        <v>2320</v>
      </c>
      <c r="W1486" s="59">
        <f t="shared" si="23"/>
        <v>2.6719905462260795E-4</v>
      </c>
    </row>
    <row r="1487" spans="1:29">
      <c r="A1487" s="13" t="s">
        <v>322</v>
      </c>
      <c r="B1487" s="13" t="s">
        <v>471</v>
      </c>
      <c r="C1487" s="139">
        <v>46321</v>
      </c>
      <c r="D1487" s="139" t="s">
        <v>441</v>
      </c>
      <c r="E1487" s="28">
        <v>0.92776177999999998</v>
      </c>
      <c r="F1487" s="13"/>
      <c r="G1487" s="18">
        <v>7511409.4699999997</v>
      </c>
      <c r="H1487" s="18">
        <v>6968798.6500000004</v>
      </c>
      <c r="I1487" s="18">
        <v>7511409.4699999997</v>
      </c>
      <c r="J1487" s="18">
        <v>6968798.6500000004</v>
      </c>
      <c r="K1487" s="15">
        <v>90000775</v>
      </c>
      <c r="L1487" s="13" t="s">
        <v>102</v>
      </c>
      <c r="M1487" s="13" t="s">
        <v>103</v>
      </c>
      <c r="N1487" s="139" t="s">
        <v>431</v>
      </c>
      <c r="O1487" s="139" t="s">
        <v>431</v>
      </c>
      <c r="P1487" s="28">
        <v>29</v>
      </c>
      <c r="Q1487" s="13" t="s">
        <v>54</v>
      </c>
      <c r="R1487" s="13" t="s">
        <v>28</v>
      </c>
      <c r="S1487" s="13"/>
      <c r="T1487" s="13"/>
      <c r="U1487" s="13" t="s">
        <v>1919</v>
      </c>
      <c r="V1487" s="13" t="s">
        <v>1919</v>
      </c>
      <c r="W1487" s="59">
        <f t="shared" si="23"/>
        <v>1.3313618148171364E-4</v>
      </c>
    </row>
    <row r="1488" spans="1:29">
      <c r="A1488" s="13" t="s">
        <v>581</v>
      </c>
      <c r="B1488" s="13" t="s">
        <v>471</v>
      </c>
      <c r="C1488" s="139">
        <v>46321</v>
      </c>
      <c r="D1488" s="139" t="s">
        <v>441</v>
      </c>
      <c r="E1488" s="28">
        <v>0.93007859000000004</v>
      </c>
      <c r="F1488" s="13"/>
      <c r="G1488" s="18">
        <v>2500000</v>
      </c>
      <c r="H1488" s="18">
        <v>2325196.48</v>
      </c>
      <c r="I1488" s="18">
        <v>2500000</v>
      </c>
      <c r="J1488" s="18">
        <v>2325196.48</v>
      </c>
      <c r="K1488" s="15">
        <v>90031820</v>
      </c>
      <c r="L1488" s="13" t="s">
        <v>102</v>
      </c>
      <c r="M1488" s="13" t="s">
        <v>103</v>
      </c>
      <c r="N1488" s="139" t="s">
        <v>327</v>
      </c>
      <c r="O1488" s="139" t="s">
        <v>327</v>
      </c>
      <c r="P1488" s="28">
        <v>28</v>
      </c>
      <c r="Q1488" s="13" t="s">
        <v>54</v>
      </c>
      <c r="R1488" s="13" t="s">
        <v>28</v>
      </c>
      <c r="S1488" s="13"/>
      <c r="T1488" s="13"/>
      <c r="U1488" s="13" t="s">
        <v>766</v>
      </c>
      <c r="V1488" s="13" t="s">
        <v>766</v>
      </c>
      <c r="W1488" s="59">
        <f t="shared" si="23"/>
        <v>4.4421972292444081E-5</v>
      </c>
    </row>
    <row r="1489" spans="1:29">
      <c r="A1489" s="13" t="s">
        <v>1075</v>
      </c>
      <c r="B1489" s="13" t="s">
        <v>471</v>
      </c>
      <c r="C1489" s="139">
        <v>46322</v>
      </c>
      <c r="D1489" s="139" t="s">
        <v>441</v>
      </c>
      <c r="E1489" s="28">
        <v>0.91556729000000003</v>
      </c>
      <c r="F1489" s="13"/>
      <c r="G1489" s="18">
        <v>5000300.25</v>
      </c>
      <c r="H1489" s="18">
        <v>4578111.33</v>
      </c>
      <c r="I1489" s="18">
        <v>5000300.25</v>
      </c>
      <c r="J1489" s="18">
        <v>4578111.33</v>
      </c>
      <c r="K1489" s="15">
        <v>374</v>
      </c>
      <c r="L1489" s="13" t="s">
        <v>102</v>
      </c>
      <c r="M1489" s="13" t="s">
        <v>103</v>
      </c>
      <c r="N1489" s="139" t="s">
        <v>388</v>
      </c>
      <c r="O1489" s="139" t="s">
        <v>388</v>
      </c>
      <c r="P1489" s="28">
        <v>34</v>
      </c>
      <c r="Q1489" s="13" t="s">
        <v>54</v>
      </c>
      <c r="R1489" s="13" t="s">
        <v>28</v>
      </c>
      <c r="S1489" s="13"/>
      <c r="T1489" s="13"/>
      <c r="U1489" s="13" t="s">
        <v>2257</v>
      </c>
      <c r="V1489" s="13" t="s">
        <v>2257</v>
      </c>
      <c r="W1489" s="59">
        <f t="shared" si="23"/>
        <v>8.7463032222113255E-5</v>
      </c>
    </row>
    <row r="1490" spans="1:29">
      <c r="A1490" s="13" t="s">
        <v>486</v>
      </c>
      <c r="B1490" s="13" t="s">
        <v>471</v>
      </c>
      <c r="C1490" s="139">
        <v>46322</v>
      </c>
      <c r="D1490" s="139" t="s">
        <v>441</v>
      </c>
      <c r="E1490" s="28">
        <v>0.92013719999999999</v>
      </c>
      <c r="F1490" s="13"/>
      <c r="G1490" s="18">
        <v>10655603.279999999</v>
      </c>
      <c r="H1490" s="18">
        <v>9804616.9499999993</v>
      </c>
      <c r="I1490" s="18">
        <v>10655603.279999999</v>
      </c>
      <c r="J1490" s="18">
        <v>9804616.9499999993</v>
      </c>
      <c r="K1490" s="15">
        <v>30830</v>
      </c>
      <c r="L1490" s="13" t="s">
        <v>102</v>
      </c>
      <c r="M1490" s="13" t="s">
        <v>103</v>
      </c>
      <c r="N1490" s="139" t="s">
        <v>495</v>
      </c>
      <c r="O1490" s="139" t="s">
        <v>495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2138</v>
      </c>
      <c r="V1490" s="13" t="s">
        <v>2138</v>
      </c>
      <c r="W1490" s="59">
        <f t="shared" si="23"/>
        <v>1.8731338458370948E-4</v>
      </c>
      <c r="AC1490" s="56"/>
    </row>
    <row r="1491" spans="1:29">
      <c r="A1491" s="13" t="s">
        <v>554</v>
      </c>
      <c r="B1491" s="13" t="s">
        <v>471</v>
      </c>
      <c r="C1491" s="139">
        <v>46322</v>
      </c>
      <c r="D1491" s="139" t="s">
        <v>441</v>
      </c>
      <c r="E1491" s="28">
        <v>0.91556729000000003</v>
      </c>
      <c r="F1491" s="13"/>
      <c r="G1491" s="18">
        <v>4549416.66</v>
      </c>
      <c r="H1491" s="18">
        <v>4165297.08</v>
      </c>
      <c r="I1491" s="18">
        <v>4549416.66</v>
      </c>
      <c r="J1491" s="18">
        <v>4165297.08</v>
      </c>
      <c r="K1491" s="15">
        <v>50456545</v>
      </c>
      <c r="L1491" s="13" t="s">
        <v>102</v>
      </c>
      <c r="M1491" s="13" t="s">
        <v>103</v>
      </c>
      <c r="N1491" s="139" t="s">
        <v>388</v>
      </c>
      <c r="O1491" s="139" t="s">
        <v>388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2206</v>
      </c>
      <c r="V1491" s="13" t="s">
        <v>2206</v>
      </c>
      <c r="W1491" s="59">
        <f t="shared" si="23"/>
        <v>7.9576376907967048E-5</v>
      </c>
    </row>
    <row r="1492" spans="1:29">
      <c r="A1492" s="13" t="s">
        <v>432</v>
      </c>
      <c r="B1492" s="13" t="s">
        <v>471</v>
      </c>
      <c r="C1492" s="139">
        <v>46322</v>
      </c>
      <c r="D1492" s="139" t="s">
        <v>441</v>
      </c>
      <c r="E1492" s="28">
        <v>0.91556729000000003</v>
      </c>
      <c r="F1492" s="13"/>
      <c r="G1492" s="18">
        <v>1020845.65</v>
      </c>
      <c r="H1492" s="18">
        <v>934652.89</v>
      </c>
      <c r="I1492" s="18">
        <v>1020845.65</v>
      </c>
      <c r="J1492" s="18">
        <v>934652.89</v>
      </c>
      <c r="K1492" s="15">
        <v>2904</v>
      </c>
      <c r="L1492" s="13" t="s">
        <v>102</v>
      </c>
      <c r="M1492" s="13" t="s">
        <v>103</v>
      </c>
      <c r="N1492" s="139" t="s">
        <v>388</v>
      </c>
      <c r="O1492" s="139" t="s">
        <v>388</v>
      </c>
      <c r="P1492" s="28">
        <v>34</v>
      </c>
      <c r="Q1492" s="13" t="s">
        <v>54</v>
      </c>
      <c r="R1492" s="13" t="s">
        <v>28</v>
      </c>
      <c r="S1492" s="13"/>
      <c r="T1492" s="13"/>
      <c r="U1492" s="13" t="s">
        <v>2221</v>
      </c>
      <c r="V1492" s="13" t="s">
        <v>2221</v>
      </c>
      <c r="W1492" s="59">
        <f t="shared" si="23"/>
        <v>1.785617909701669E-5</v>
      </c>
    </row>
    <row r="1493" spans="1:29">
      <c r="A1493" s="13" t="s">
        <v>432</v>
      </c>
      <c r="B1493" s="13" t="s">
        <v>471</v>
      </c>
      <c r="C1493" s="139">
        <v>46322</v>
      </c>
      <c r="D1493" s="139" t="s">
        <v>441</v>
      </c>
      <c r="E1493" s="28">
        <v>0.91556729000000003</v>
      </c>
      <c r="F1493" s="13"/>
      <c r="G1493" s="18">
        <v>990902.64</v>
      </c>
      <c r="H1493" s="18">
        <v>907238.05</v>
      </c>
      <c r="I1493" s="18">
        <v>990902.64</v>
      </c>
      <c r="J1493" s="18">
        <v>907238.05</v>
      </c>
      <c r="K1493" s="15">
        <v>2954</v>
      </c>
      <c r="L1493" s="13" t="s">
        <v>102</v>
      </c>
      <c r="M1493" s="13" t="s">
        <v>103</v>
      </c>
      <c r="N1493" s="139" t="s">
        <v>388</v>
      </c>
      <c r="O1493" s="139" t="s">
        <v>388</v>
      </c>
      <c r="P1493" s="28">
        <v>34</v>
      </c>
      <c r="Q1493" s="13" t="s">
        <v>54</v>
      </c>
      <c r="R1493" s="13" t="s">
        <v>28</v>
      </c>
      <c r="S1493" s="13"/>
      <c r="T1493" s="13"/>
      <c r="U1493" s="13" t="s">
        <v>2222</v>
      </c>
      <c r="V1493" s="13" t="s">
        <v>2222</v>
      </c>
      <c r="W1493" s="59">
        <f t="shared" si="23"/>
        <v>1.7332429266257536E-5</v>
      </c>
    </row>
    <row r="1494" spans="1:29">
      <c r="A1494" s="13" t="s">
        <v>323</v>
      </c>
      <c r="B1494" s="13" t="s">
        <v>471</v>
      </c>
      <c r="C1494" s="139">
        <v>46322</v>
      </c>
      <c r="D1494" s="139" t="s">
        <v>441</v>
      </c>
      <c r="E1494" s="28">
        <v>0.93176422999999997</v>
      </c>
      <c r="F1494" s="13"/>
      <c r="G1494" s="18">
        <v>50000000</v>
      </c>
      <c r="H1494" s="18">
        <v>46588211.509999998</v>
      </c>
      <c r="I1494" s="18">
        <v>50000000</v>
      </c>
      <c r="J1494" s="18">
        <v>46588211.509999998</v>
      </c>
      <c r="K1494" s="15">
        <v>1415416</v>
      </c>
      <c r="L1494" s="13" t="s">
        <v>102</v>
      </c>
      <c r="M1494" s="13" t="s">
        <v>103</v>
      </c>
      <c r="N1494" s="139" t="s">
        <v>457</v>
      </c>
      <c r="O1494" s="139" t="s">
        <v>457</v>
      </c>
      <c r="P1494" s="28">
        <v>27</v>
      </c>
      <c r="Q1494" s="13" t="s">
        <v>54</v>
      </c>
      <c r="R1494" s="13" t="s">
        <v>28</v>
      </c>
      <c r="S1494" s="13"/>
      <c r="T1494" s="13"/>
      <c r="U1494" s="13" t="s">
        <v>1715</v>
      </c>
      <c r="V1494" s="13" t="s">
        <v>1715</v>
      </c>
      <c r="W1494" s="59">
        <f t="shared" si="23"/>
        <v>8.9004961888284999E-4</v>
      </c>
    </row>
    <row r="1495" spans="1:29">
      <c r="A1495" s="13" t="s">
        <v>323</v>
      </c>
      <c r="B1495" s="13" t="s">
        <v>471</v>
      </c>
      <c r="C1495" s="139">
        <v>46322</v>
      </c>
      <c r="D1495" s="139" t="s">
        <v>441</v>
      </c>
      <c r="E1495" s="28">
        <v>0.93176429000000005</v>
      </c>
      <c r="F1495" s="13"/>
      <c r="G1495" s="18">
        <v>10000000</v>
      </c>
      <c r="H1495" s="18">
        <v>9317642.9100000001</v>
      </c>
      <c r="I1495" s="18">
        <v>10000000</v>
      </c>
      <c r="J1495" s="18">
        <v>9317642.9100000001</v>
      </c>
      <c r="K1495" s="15">
        <v>2012</v>
      </c>
      <c r="L1495" s="13" t="s">
        <v>102</v>
      </c>
      <c r="M1495" s="13" t="s">
        <v>103</v>
      </c>
      <c r="N1495" s="139" t="s">
        <v>494</v>
      </c>
      <c r="O1495" s="139" t="s">
        <v>494</v>
      </c>
      <c r="P1495" s="28">
        <v>27</v>
      </c>
      <c r="Q1495" s="13" t="s">
        <v>54</v>
      </c>
      <c r="R1495" s="13" t="s">
        <v>28</v>
      </c>
      <c r="S1495" s="13"/>
      <c r="T1495" s="13"/>
      <c r="U1495" s="13" t="s">
        <v>2024</v>
      </c>
      <c r="V1495" s="13" t="s">
        <v>2024</v>
      </c>
      <c r="W1495" s="59">
        <f t="shared" si="23"/>
        <v>1.78009935392173E-4</v>
      </c>
    </row>
    <row r="1496" spans="1:29">
      <c r="A1496" s="13" t="s">
        <v>581</v>
      </c>
      <c r="B1496" s="13" t="s">
        <v>471</v>
      </c>
      <c r="C1496" s="139">
        <v>46322</v>
      </c>
      <c r="D1496" s="139" t="s">
        <v>441</v>
      </c>
      <c r="E1496" s="28">
        <v>0.92941543000000004</v>
      </c>
      <c r="F1496" s="13"/>
      <c r="G1496" s="18">
        <v>2500000</v>
      </c>
      <c r="H1496" s="18">
        <v>2323538.5699999998</v>
      </c>
      <c r="I1496" s="18">
        <v>2500000</v>
      </c>
      <c r="J1496" s="18">
        <v>2323538.5699999998</v>
      </c>
      <c r="K1496" s="15">
        <v>90031821</v>
      </c>
      <c r="L1496" s="13" t="s">
        <v>102</v>
      </c>
      <c r="M1496" s="13" t="s">
        <v>103</v>
      </c>
      <c r="N1496" s="139" t="s">
        <v>327</v>
      </c>
      <c r="O1496" s="139" t="s">
        <v>327</v>
      </c>
      <c r="P1496" s="28">
        <v>28</v>
      </c>
      <c r="Q1496" s="13" t="s">
        <v>54</v>
      </c>
      <c r="R1496" s="13" t="s">
        <v>28</v>
      </c>
      <c r="S1496" s="13"/>
      <c r="T1496" s="13"/>
      <c r="U1496" s="13" t="s">
        <v>775</v>
      </c>
      <c r="V1496" s="13" t="s">
        <v>775</v>
      </c>
      <c r="W1496" s="59">
        <f t="shared" si="23"/>
        <v>4.439029856821611E-5</v>
      </c>
    </row>
    <row r="1497" spans="1:29">
      <c r="A1497" s="13" t="s">
        <v>1759</v>
      </c>
      <c r="B1497" s="13" t="s">
        <v>471</v>
      </c>
      <c r="C1497" s="139">
        <v>46322</v>
      </c>
      <c r="D1497" s="139" t="s">
        <v>441</v>
      </c>
      <c r="E1497" s="28">
        <v>0.93649780999999999</v>
      </c>
      <c r="F1497" s="13"/>
      <c r="G1497" s="18">
        <v>19922304</v>
      </c>
      <c r="H1497" s="18">
        <v>18657194.010000002</v>
      </c>
      <c r="I1497" s="18">
        <v>19922304</v>
      </c>
      <c r="J1497" s="18">
        <v>18657194.010000002</v>
      </c>
      <c r="K1497" s="15">
        <v>67863887</v>
      </c>
      <c r="L1497" s="13" t="s">
        <v>102</v>
      </c>
      <c r="M1497" s="13" t="s">
        <v>103</v>
      </c>
      <c r="N1497" s="139" t="s">
        <v>439</v>
      </c>
      <c r="O1497" s="139" t="s">
        <v>439</v>
      </c>
      <c r="P1497" s="28">
        <v>25</v>
      </c>
      <c r="Q1497" s="13" t="s">
        <v>54</v>
      </c>
      <c r="R1497" s="13" t="s">
        <v>28</v>
      </c>
      <c r="S1497" s="13"/>
      <c r="T1497" s="13"/>
      <c r="U1497" s="13" t="s">
        <v>1745</v>
      </c>
      <c r="V1497" s="13" t="s">
        <v>1745</v>
      </c>
      <c r="W1497" s="59">
        <f t="shared" si="23"/>
        <v>3.5643841821357558E-4</v>
      </c>
    </row>
    <row r="1498" spans="1:29">
      <c r="A1498" s="13" t="s">
        <v>510</v>
      </c>
      <c r="B1498" s="13" t="s">
        <v>471</v>
      </c>
      <c r="C1498" s="139">
        <v>46323</v>
      </c>
      <c r="D1498" s="139" t="s">
        <v>441</v>
      </c>
      <c r="E1498" s="28">
        <v>0.92875324999999997</v>
      </c>
      <c r="F1498" s="13"/>
      <c r="G1498" s="18">
        <v>100000000</v>
      </c>
      <c r="H1498" s="18">
        <v>92875324.920000002</v>
      </c>
      <c r="I1498" s="18">
        <v>100000000</v>
      </c>
      <c r="J1498" s="18">
        <v>92875324.920000002</v>
      </c>
      <c r="K1498" s="15">
        <v>40627526</v>
      </c>
      <c r="L1498" s="13" t="s">
        <v>102</v>
      </c>
      <c r="M1498" s="13" t="s">
        <v>103</v>
      </c>
      <c r="N1498" s="139" t="s">
        <v>359</v>
      </c>
      <c r="O1498" s="139" t="s">
        <v>359</v>
      </c>
      <c r="P1498" s="28">
        <v>28</v>
      </c>
      <c r="Q1498" s="13" t="s">
        <v>54</v>
      </c>
      <c r="R1498" s="13" t="s">
        <v>28</v>
      </c>
      <c r="S1498" s="13"/>
      <c r="T1498" s="13"/>
      <c r="U1498" s="13" t="s">
        <v>951</v>
      </c>
      <c r="V1498" s="13" t="s">
        <v>951</v>
      </c>
      <c r="W1498" s="59">
        <f t="shared" si="23"/>
        <v>1.7743468759457185E-3</v>
      </c>
      <c r="AC1498" s="56"/>
    </row>
    <row r="1499" spans="1:29">
      <c r="A1499" s="13" t="s">
        <v>486</v>
      </c>
      <c r="B1499" s="13" t="s">
        <v>471</v>
      </c>
      <c r="C1499" s="139">
        <v>46323</v>
      </c>
      <c r="D1499" s="139" t="s">
        <v>441</v>
      </c>
      <c r="E1499" s="28">
        <v>0.91939570999999998</v>
      </c>
      <c r="F1499" s="13"/>
      <c r="G1499" s="18">
        <v>10655603.279999999</v>
      </c>
      <c r="H1499" s="18">
        <v>9796715.9600000009</v>
      </c>
      <c r="I1499" s="18">
        <v>10655603.279999999</v>
      </c>
      <c r="J1499" s="18">
        <v>9796715.9600000009</v>
      </c>
      <c r="K1499" s="15">
        <v>30831</v>
      </c>
      <c r="L1499" s="13" t="s">
        <v>102</v>
      </c>
      <c r="M1499" s="13" t="s">
        <v>103</v>
      </c>
      <c r="N1499" s="139" t="s">
        <v>495</v>
      </c>
      <c r="O1499" s="139" t="s">
        <v>495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2139</v>
      </c>
      <c r="V1499" s="13" t="s">
        <v>2139</v>
      </c>
      <c r="W1499" s="59">
        <f t="shared" si="23"/>
        <v>1.8716243924989288E-4</v>
      </c>
    </row>
    <row r="1500" spans="1:29">
      <c r="A1500" s="13" t="s">
        <v>554</v>
      </c>
      <c r="B1500" s="13" t="s">
        <v>471</v>
      </c>
      <c r="C1500" s="139">
        <v>46323</v>
      </c>
      <c r="D1500" s="139" t="s">
        <v>441</v>
      </c>
      <c r="E1500" s="28">
        <v>0.91478702999999995</v>
      </c>
      <c r="F1500" s="13"/>
      <c r="G1500" s="18">
        <v>4549416.66</v>
      </c>
      <c r="H1500" s="18">
        <v>4161747.35</v>
      </c>
      <c r="I1500" s="18">
        <v>4549416.66</v>
      </c>
      <c r="J1500" s="18">
        <v>4161747.35</v>
      </c>
      <c r="K1500" s="15">
        <v>50456546</v>
      </c>
      <c r="L1500" s="13" t="s">
        <v>102</v>
      </c>
      <c r="M1500" s="13" t="s">
        <v>103</v>
      </c>
      <c r="N1500" s="139" t="s">
        <v>388</v>
      </c>
      <c r="O1500" s="139" t="s">
        <v>388</v>
      </c>
      <c r="P1500" s="28">
        <v>34</v>
      </c>
      <c r="Q1500" s="13" t="s">
        <v>54</v>
      </c>
      <c r="R1500" s="13" t="s">
        <v>28</v>
      </c>
      <c r="S1500" s="13"/>
      <c r="T1500" s="13"/>
      <c r="U1500" s="13" t="s">
        <v>2207</v>
      </c>
      <c r="V1500" s="13" t="s">
        <v>2207</v>
      </c>
      <c r="W1500" s="59">
        <f t="shared" si="23"/>
        <v>7.950856070014892E-5</v>
      </c>
    </row>
    <row r="1501" spans="1:29">
      <c r="A1501" s="13" t="s">
        <v>657</v>
      </c>
      <c r="B1501" s="13" t="s">
        <v>471</v>
      </c>
      <c r="C1501" s="139">
        <v>46323</v>
      </c>
      <c r="D1501" s="139" t="s">
        <v>441</v>
      </c>
      <c r="E1501" s="28">
        <v>0.90570733000000003</v>
      </c>
      <c r="F1501" s="13"/>
      <c r="G1501" s="18">
        <v>3511491.25</v>
      </c>
      <c r="H1501" s="18">
        <v>3180383.35</v>
      </c>
      <c r="I1501" s="18">
        <v>3511491.25</v>
      </c>
      <c r="J1501" s="18">
        <v>3180383.35</v>
      </c>
      <c r="K1501" s="15">
        <v>13270638</v>
      </c>
      <c r="L1501" s="13" t="s">
        <v>102</v>
      </c>
      <c r="M1501" s="13" t="s">
        <v>103</v>
      </c>
      <c r="N1501" s="139" t="s">
        <v>355</v>
      </c>
      <c r="O1501" s="139" t="s">
        <v>355</v>
      </c>
      <c r="P1501" s="28">
        <v>38</v>
      </c>
      <c r="Q1501" s="13" t="s">
        <v>54</v>
      </c>
      <c r="R1501" s="13" t="s">
        <v>28</v>
      </c>
      <c r="S1501" s="13"/>
      <c r="T1501" s="13"/>
      <c r="U1501" s="13" t="s">
        <v>850</v>
      </c>
      <c r="V1501" s="13" t="s">
        <v>850</v>
      </c>
      <c r="W1501" s="59">
        <f t="shared" si="23"/>
        <v>6.0759984056508852E-5</v>
      </c>
    </row>
    <row r="1502" spans="1:29">
      <c r="A1502" s="13" t="s">
        <v>737</v>
      </c>
      <c r="B1502" s="13" t="s">
        <v>471</v>
      </c>
      <c r="C1502" s="139">
        <v>46323</v>
      </c>
      <c r="D1502" s="139" t="s">
        <v>441</v>
      </c>
      <c r="E1502" s="28">
        <v>0.93112258000000003</v>
      </c>
      <c r="F1502" s="13"/>
      <c r="G1502" s="18">
        <v>15000000</v>
      </c>
      <c r="H1502" s="18">
        <v>13966838.73</v>
      </c>
      <c r="I1502" s="18">
        <v>15000000</v>
      </c>
      <c r="J1502" s="18">
        <v>13966838.73</v>
      </c>
      <c r="K1502" s="15">
        <v>234</v>
      </c>
      <c r="L1502" s="13" t="s">
        <v>102</v>
      </c>
      <c r="M1502" s="13" t="s">
        <v>103</v>
      </c>
      <c r="N1502" s="139" t="s">
        <v>402</v>
      </c>
      <c r="O1502" s="139" t="s">
        <v>402</v>
      </c>
      <c r="P1502" s="28">
        <v>27</v>
      </c>
      <c r="Q1502" s="13" t="s">
        <v>54</v>
      </c>
      <c r="R1502" s="13" t="s">
        <v>28</v>
      </c>
      <c r="S1502" s="13"/>
      <c r="T1502" s="13"/>
      <c r="U1502" s="13" t="s">
        <v>1900</v>
      </c>
      <c r="V1502" s="13" t="s">
        <v>1900</v>
      </c>
      <c r="W1502" s="59">
        <f t="shared" si="23"/>
        <v>2.6683100908405597E-4</v>
      </c>
    </row>
    <row r="1503" spans="1:29">
      <c r="A1503" s="13" t="s">
        <v>432</v>
      </c>
      <c r="B1503" s="13" t="s">
        <v>471</v>
      </c>
      <c r="C1503" s="139">
        <v>46323</v>
      </c>
      <c r="D1503" s="139" t="s">
        <v>441</v>
      </c>
      <c r="E1503" s="28">
        <v>0.91478702999999995</v>
      </c>
      <c r="F1503" s="13"/>
      <c r="G1503" s="18">
        <v>1020845.65</v>
      </c>
      <c r="H1503" s="18">
        <v>933856.36</v>
      </c>
      <c r="I1503" s="18">
        <v>1020845.65</v>
      </c>
      <c r="J1503" s="18">
        <v>933856.36</v>
      </c>
      <c r="K1503" s="15">
        <v>2905</v>
      </c>
      <c r="L1503" s="13" t="s">
        <v>102</v>
      </c>
      <c r="M1503" s="13" t="s">
        <v>103</v>
      </c>
      <c r="N1503" s="139" t="s">
        <v>388</v>
      </c>
      <c r="O1503" s="139" t="s">
        <v>388</v>
      </c>
      <c r="P1503" s="28">
        <v>34</v>
      </c>
      <c r="Q1503" s="13" t="s">
        <v>54</v>
      </c>
      <c r="R1503" s="13" t="s">
        <v>28</v>
      </c>
      <c r="S1503" s="13"/>
      <c r="T1503" s="13"/>
      <c r="U1503" s="13" t="s">
        <v>2223</v>
      </c>
      <c r="V1503" s="13" t="s">
        <v>2223</v>
      </c>
      <c r="W1503" s="59">
        <f t="shared" si="23"/>
        <v>1.7840961701887097E-5</v>
      </c>
    </row>
    <row r="1504" spans="1:29">
      <c r="A1504" s="13" t="s">
        <v>432</v>
      </c>
      <c r="B1504" s="13" t="s">
        <v>471</v>
      </c>
      <c r="C1504" s="139">
        <v>46323</v>
      </c>
      <c r="D1504" s="139" t="s">
        <v>441</v>
      </c>
      <c r="E1504" s="28">
        <v>0.91478704</v>
      </c>
      <c r="F1504" s="13"/>
      <c r="G1504" s="18">
        <v>990902.64</v>
      </c>
      <c r="H1504" s="18">
        <v>906464.89</v>
      </c>
      <c r="I1504" s="18">
        <v>990902.64</v>
      </c>
      <c r="J1504" s="18">
        <v>906464.89</v>
      </c>
      <c r="K1504" s="15">
        <v>2955</v>
      </c>
      <c r="L1504" s="13" t="s">
        <v>102</v>
      </c>
      <c r="M1504" s="13" t="s">
        <v>103</v>
      </c>
      <c r="N1504" s="139" t="s">
        <v>388</v>
      </c>
      <c r="O1504" s="139" t="s">
        <v>388</v>
      </c>
      <c r="P1504" s="28">
        <v>34</v>
      </c>
      <c r="Q1504" s="13" t="s">
        <v>54</v>
      </c>
      <c r="R1504" s="13" t="s">
        <v>28</v>
      </c>
      <c r="S1504" s="13"/>
      <c r="T1504" s="13"/>
      <c r="U1504" s="13" t="s">
        <v>2224</v>
      </c>
      <c r="V1504" s="13" t="s">
        <v>2224</v>
      </c>
      <c r="W1504" s="59">
        <f t="shared" si="23"/>
        <v>1.7317658345867344E-5</v>
      </c>
    </row>
    <row r="1505" spans="1:29">
      <c r="A1505" s="13" t="s">
        <v>323</v>
      </c>
      <c r="B1505" s="13" t="s">
        <v>471</v>
      </c>
      <c r="C1505" s="139">
        <v>46323</v>
      </c>
      <c r="D1505" s="139" t="s">
        <v>441</v>
      </c>
      <c r="E1505" s="28">
        <v>0.93112256000000004</v>
      </c>
      <c r="F1505" s="13"/>
      <c r="G1505" s="18">
        <v>15000000</v>
      </c>
      <c r="H1505" s="18">
        <v>13966838.449999999</v>
      </c>
      <c r="I1505" s="18">
        <v>15000000</v>
      </c>
      <c r="J1505" s="18">
        <v>13966838.449999999</v>
      </c>
      <c r="K1505" s="15">
        <v>11349971</v>
      </c>
      <c r="L1505" s="13" t="s">
        <v>102</v>
      </c>
      <c r="M1505" s="13" t="s">
        <v>103</v>
      </c>
      <c r="N1505" s="139" t="s">
        <v>392</v>
      </c>
      <c r="O1505" s="139" t="s">
        <v>392</v>
      </c>
      <c r="P1505" s="28">
        <v>27</v>
      </c>
      <c r="Q1505" s="13" t="s">
        <v>54</v>
      </c>
      <c r="R1505" s="13" t="s">
        <v>28</v>
      </c>
      <c r="S1505" s="13"/>
      <c r="T1505" s="13"/>
      <c r="U1505" s="13" t="s">
        <v>2318</v>
      </c>
      <c r="V1505" s="13" t="s">
        <v>2318</v>
      </c>
      <c r="W1505" s="59">
        <f t="shared" si="23"/>
        <v>2.6683100373476508E-4</v>
      </c>
    </row>
    <row r="1506" spans="1:29">
      <c r="A1506" s="13" t="s">
        <v>323</v>
      </c>
      <c r="B1506" s="13" t="s">
        <v>471</v>
      </c>
      <c r="C1506" s="139">
        <v>46323</v>
      </c>
      <c r="D1506" s="139" t="s">
        <v>441</v>
      </c>
      <c r="E1506" s="28">
        <v>0.93112256000000004</v>
      </c>
      <c r="F1506" s="13"/>
      <c r="G1506" s="18">
        <v>15000000</v>
      </c>
      <c r="H1506" s="18">
        <v>13966838.449999999</v>
      </c>
      <c r="I1506" s="18">
        <v>15000000</v>
      </c>
      <c r="J1506" s="18">
        <v>13966838.449999999</v>
      </c>
      <c r="K1506" s="15">
        <v>11349970</v>
      </c>
      <c r="L1506" s="13" t="s">
        <v>102</v>
      </c>
      <c r="M1506" s="13" t="s">
        <v>103</v>
      </c>
      <c r="N1506" s="139" t="s">
        <v>392</v>
      </c>
      <c r="O1506" s="139" t="s">
        <v>392</v>
      </c>
      <c r="P1506" s="28">
        <v>27</v>
      </c>
      <c r="Q1506" s="13" t="s">
        <v>54</v>
      </c>
      <c r="R1506" s="13" t="s">
        <v>28</v>
      </c>
      <c r="S1506" s="13"/>
      <c r="T1506" s="13"/>
      <c r="U1506" s="13" t="s">
        <v>2319</v>
      </c>
      <c r="V1506" s="13" t="s">
        <v>2319</v>
      </c>
      <c r="W1506" s="59">
        <f t="shared" si="23"/>
        <v>2.6683100373476508E-4</v>
      </c>
    </row>
    <row r="1507" spans="1:29">
      <c r="A1507" s="13" t="s">
        <v>555</v>
      </c>
      <c r="B1507" s="13" t="s">
        <v>471</v>
      </c>
      <c r="C1507" s="139">
        <v>46323</v>
      </c>
      <c r="D1507" s="139" t="s">
        <v>441</v>
      </c>
      <c r="E1507" s="28">
        <v>0.91478702999999995</v>
      </c>
      <c r="F1507" s="13"/>
      <c r="G1507" s="18">
        <v>3000000</v>
      </c>
      <c r="H1507" s="18">
        <v>2744361.09</v>
      </c>
      <c r="I1507" s="18">
        <v>3000000</v>
      </c>
      <c r="J1507" s="18">
        <v>2744361.09</v>
      </c>
      <c r="K1507" s="15">
        <v>4564</v>
      </c>
      <c r="L1507" s="13" t="s">
        <v>102</v>
      </c>
      <c r="M1507" s="13" t="s">
        <v>103</v>
      </c>
      <c r="N1507" s="139" t="s">
        <v>388</v>
      </c>
      <c r="O1507" s="139" t="s">
        <v>388</v>
      </c>
      <c r="P1507" s="28">
        <v>34</v>
      </c>
      <c r="Q1507" s="13" t="s">
        <v>54</v>
      </c>
      <c r="R1507" s="13" t="s">
        <v>28</v>
      </c>
      <c r="S1507" s="13"/>
      <c r="T1507" s="13"/>
      <c r="U1507" s="13" t="s">
        <v>2230</v>
      </c>
      <c r="V1507" s="13" t="s">
        <v>2230</v>
      </c>
      <c r="W1507" s="59">
        <f t="shared" si="23"/>
        <v>5.2429948758756782E-5</v>
      </c>
    </row>
    <row r="1508" spans="1:29">
      <c r="A1508" s="13" t="s">
        <v>163</v>
      </c>
      <c r="B1508" s="13" t="s">
        <v>471</v>
      </c>
      <c r="C1508" s="139">
        <v>46323</v>
      </c>
      <c r="D1508" s="139" t="s">
        <v>441</v>
      </c>
      <c r="E1508" s="28">
        <v>0.92875324000000004</v>
      </c>
      <c r="F1508" s="13"/>
      <c r="G1508" s="18">
        <v>30000000</v>
      </c>
      <c r="H1508" s="18">
        <v>27862597.050000001</v>
      </c>
      <c r="I1508" s="18">
        <v>30000000</v>
      </c>
      <c r="J1508" s="18">
        <v>27862597.050000001</v>
      </c>
      <c r="K1508" s="15">
        <v>3329634</v>
      </c>
      <c r="L1508" s="13" t="s">
        <v>102</v>
      </c>
      <c r="M1508" s="13" t="s">
        <v>103</v>
      </c>
      <c r="N1508" s="139" t="s">
        <v>341</v>
      </c>
      <c r="O1508" s="139" t="s">
        <v>341</v>
      </c>
      <c r="P1508" s="28">
        <v>28</v>
      </c>
      <c r="Q1508" s="13" t="s">
        <v>54</v>
      </c>
      <c r="R1508" s="13" t="s">
        <v>28</v>
      </c>
      <c r="S1508" s="13"/>
      <c r="T1508" s="13"/>
      <c r="U1508" s="13" t="s">
        <v>938</v>
      </c>
      <c r="V1508" s="13" t="s">
        <v>938</v>
      </c>
      <c r="W1508" s="59">
        <f t="shared" si="23"/>
        <v>5.3230405464515162E-4</v>
      </c>
    </row>
    <row r="1509" spans="1:29">
      <c r="A1509" s="13" t="s">
        <v>581</v>
      </c>
      <c r="B1509" s="13" t="s">
        <v>471</v>
      </c>
      <c r="C1509" s="139">
        <v>46323</v>
      </c>
      <c r="D1509" s="139" t="s">
        <v>441</v>
      </c>
      <c r="E1509" s="28">
        <v>0.92875321</v>
      </c>
      <c r="F1509" s="13"/>
      <c r="G1509" s="18">
        <v>2500000</v>
      </c>
      <c r="H1509" s="18">
        <v>2321883.0299999998</v>
      </c>
      <c r="I1509" s="18">
        <v>2500000</v>
      </c>
      <c r="J1509" s="18">
        <v>2321883.0299999998</v>
      </c>
      <c r="K1509" s="15">
        <v>90031822</v>
      </c>
      <c r="L1509" s="13" t="s">
        <v>102</v>
      </c>
      <c r="M1509" s="13" t="s">
        <v>103</v>
      </c>
      <c r="N1509" s="139" t="s">
        <v>327</v>
      </c>
      <c r="O1509" s="139" t="s">
        <v>327</v>
      </c>
      <c r="P1509" s="28">
        <v>28</v>
      </c>
      <c r="Q1509" s="13" t="s">
        <v>54</v>
      </c>
      <c r="R1509" s="13" t="s">
        <v>28</v>
      </c>
      <c r="S1509" s="13"/>
      <c r="T1509" s="13"/>
      <c r="U1509" s="13" t="s">
        <v>768</v>
      </c>
      <c r="V1509" s="13" t="s">
        <v>768</v>
      </c>
      <c r="W1509" s="59">
        <f t="shared" si="23"/>
        <v>4.4358670121914215E-5</v>
      </c>
    </row>
    <row r="1510" spans="1:29">
      <c r="A1510" s="13" t="s">
        <v>1507</v>
      </c>
      <c r="B1510" s="13" t="s">
        <v>471</v>
      </c>
      <c r="C1510" s="139">
        <v>46324</v>
      </c>
      <c r="D1510" s="139" t="s">
        <v>441</v>
      </c>
      <c r="E1510" s="28">
        <v>0.91865498999999995</v>
      </c>
      <c r="F1510" s="13"/>
      <c r="G1510" s="18">
        <v>15000000</v>
      </c>
      <c r="H1510" s="18">
        <v>13779824.83</v>
      </c>
      <c r="I1510" s="18">
        <v>15000000</v>
      </c>
      <c r="J1510" s="18">
        <v>13779824.83</v>
      </c>
      <c r="K1510" s="15">
        <v>67448999</v>
      </c>
      <c r="L1510" s="13" t="s">
        <v>102</v>
      </c>
      <c r="M1510" s="13" t="s">
        <v>103</v>
      </c>
      <c r="N1510" s="139" t="s">
        <v>343</v>
      </c>
      <c r="O1510" s="139" t="s">
        <v>343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1506</v>
      </c>
      <c r="V1510" s="13" t="s">
        <v>1506</v>
      </c>
      <c r="W1510" s="59">
        <f t="shared" si="23"/>
        <v>2.6325818143032497E-4</v>
      </c>
    </row>
    <row r="1511" spans="1:29">
      <c r="A1511" s="13" t="s">
        <v>486</v>
      </c>
      <c r="B1511" s="13" t="s">
        <v>471</v>
      </c>
      <c r="C1511" s="139">
        <v>46324</v>
      </c>
      <c r="D1511" s="139" t="s">
        <v>441</v>
      </c>
      <c r="E1511" s="28">
        <v>0.91865516000000003</v>
      </c>
      <c r="F1511" s="13"/>
      <c r="G1511" s="18">
        <v>10655603.279999999</v>
      </c>
      <c r="H1511" s="18">
        <v>9788824.9700000007</v>
      </c>
      <c r="I1511" s="18">
        <v>10655603.279999999</v>
      </c>
      <c r="J1511" s="18">
        <v>9788824.9700000007</v>
      </c>
      <c r="K1511" s="15">
        <v>30832</v>
      </c>
      <c r="L1511" s="13" t="s">
        <v>102</v>
      </c>
      <c r="M1511" s="13" t="s">
        <v>103</v>
      </c>
      <c r="N1511" s="139" t="s">
        <v>495</v>
      </c>
      <c r="O1511" s="139" t="s">
        <v>495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2131</v>
      </c>
      <c r="V1511" s="13" t="s">
        <v>2131</v>
      </c>
      <c r="W1511" s="59">
        <f t="shared" si="23"/>
        <v>1.8701168496217783E-4</v>
      </c>
    </row>
    <row r="1512" spans="1:29">
      <c r="A1512" s="13" t="s">
        <v>554</v>
      </c>
      <c r="B1512" s="13" t="s">
        <v>471</v>
      </c>
      <c r="C1512" s="139">
        <v>46324</v>
      </c>
      <c r="D1512" s="139" t="s">
        <v>441</v>
      </c>
      <c r="E1512" s="28">
        <v>0.91400837000000001</v>
      </c>
      <c r="F1512" s="13"/>
      <c r="G1512" s="18">
        <v>4549416.66</v>
      </c>
      <c r="H1512" s="18">
        <v>4158204.92</v>
      </c>
      <c r="I1512" s="18">
        <v>4549416.66</v>
      </c>
      <c r="J1512" s="18">
        <v>4158204.92</v>
      </c>
      <c r="K1512" s="15">
        <v>50456547</v>
      </c>
      <c r="L1512" s="13" t="s">
        <v>102</v>
      </c>
      <c r="M1512" s="13" t="s">
        <v>103</v>
      </c>
      <c r="N1512" s="139" t="s">
        <v>388</v>
      </c>
      <c r="O1512" s="139" t="s">
        <v>388</v>
      </c>
      <c r="P1512" s="28">
        <v>34</v>
      </c>
      <c r="Q1512" s="13" t="s">
        <v>54</v>
      </c>
      <c r="R1512" s="13" t="s">
        <v>28</v>
      </c>
      <c r="S1512" s="13"/>
      <c r="T1512" s="13"/>
      <c r="U1512" s="13" t="s">
        <v>2208</v>
      </c>
      <c r="V1512" s="13" t="s">
        <v>2208</v>
      </c>
      <c r="W1512" s="59">
        <f t="shared" si="23"/>
        <v>7.9440883955984946E-5</v>
      </c>
    </row>
    <row r="1513" spans="1:29">
      <c r="A1513" s="13" t="s">
        <v>1046</v>
      </c>
      <c r="B1513" s="13" t="s">
        <v>471</v>
      </c>
      <c r="C1513" s="139">
        <v>46324</v>
      </c>
      <c r="D1513" s="139" t="s">
        <v>441</v>
      </c>
      <c r="E1513" s="28">
        <v>0.90259416999999997</v>
      </c>
      <c r="F1513" s="13"/>
      <c r="G1513" s="18">
        <v>3750000</v>
      </c>
      <c r="H1513" s="18">
        <v>3384728.12</v>
      </c>
      <c r="I1513" s="18">
        <v>3750000</v>
      </c>
      <c r="J1513" s="18">
        <v>3384728.12</v>
      </c>
      <c r="K1513" s="15">
        <v>66918205</v>
      </c>
      <c r="L1513" s="13" t="s">
        <v>102</v>
      </c>
      <c r="M1513" s="13" t="s">
        <v>103</v>
      </c>
      <c r="N1513" s="139" t="s">
        <v>364</v>
      </c>
      <c r="O1513" s="139" t="s">
        <v>364</v>
      </c>
      <c r="P1513" s="28">
        <v>39</v>
      </c>
      <c r="Q1513" s="13" t="s">
        <v>54</v>
      </c>
      <c r="R1513" s="13" t="s">
        <v>28</v>
      </c>
      <c r="S1513" s="13"/>
      <c r="T1513" s="13"/>
      <c r="U1513" s="13" t="s">
        <v>1037</v>
      </c>
      <c r="V1513" s="13" t="s">
        <v>1037</v>
      </c>
      <c r="W1513" s="59">
        <f t="shared" si="23"/>
        <v>6.466391122529841E-5</v>
      </c>
    </row>
    <row r="1514" spans="1:29">
      <c r="A1514" s="13" t="s">
        <v>472</v>
      </c>
      <c r="B1514" s="13" t="s">
        <v>471</v>
      </c>
      <c r="C1514" s="139">
        <v>46324</v>
      </c>
      <c r="D1514" s="139" t="s">
        <v>441</v>
      </c>
      <c r="E1514" s="28">
        <v>0.92334954000000002</v>
      </c>
      <c r="F1514" s="13"/>
      <c r="G1514" s="18">
        <v>10000000</v>
      </c>
      <c r="H1514" s="18">
        <v>9233495.3699999992</v>
      </c>
      <c r="I1514" s="18">
        <v>10000000</v>
      </c>
      <c r="J1514" s="18">
        <v>9233495.3699999992</v>
      </c>
      <c r="K1514" s="15">
        <v>728</v>
      </c>
      <c r="L1514" s="13" t="s">
        <v>102</v>
      </c>
      <c r="M1514" s="13" t="s">
        <v>103</v>
      </c>
      <c r="N1514" s="139" t="s">
        <v>172</v>
      </c>
      <c r="O1514" s="139" t="s">
        <v>172</v>
      </c>
      <c r="P1514" s="28">
        <v>30</v>
      </c>
      <c r="Q1514" s="13" t="s">
        <v>54</v>
      </c>
      <c r="R1514" s="13" t="s">
        <v>28</v>
      </c>
      <c r="S1514" s="13"/>
      <c r="T1514" s="13"/>
      <c r="U1514" s="13" t="s">
        <v>1777</v>
      </c>
      <c r="V1514" s="13" t="s">
        <v>1777</v>
      </c>
      <c r="W1514" s="59">
        <f t="shared" si="23"/>
        <v>1.7640232944467159E-4</v>
      </c>
    </row>
    <row r="1515" spans="1:29">
      <c r="A1515" s="13" t="s">
        <v>472</v>
      </c>
      <c r="B1515" s="13" t="s">
        <v>471</v>
      </c>
      <c r="C1515" s="139">
        <v>46324</v>
      </c>
      <c r="D1515" s="139" t="s">
        <v>441</v>
      </c>
      <c r="E1515" s="28">
        <v>0.92334936000000001</v>
      </c>
      <c r="F1515" s="13"/>
      <c r="G1515" s="18">
        <v>6500000</v>
      </c>
      <c r="H1515" s="18">
        <v>6001770.8700000001</v>
      </c>
      <c r="I1515" s="18">
        <v>6500000</v>
      </c>
      <c r="J1515" s="18">
        <v>6001770.8700000001</v>
      </c>
      <c r="K1515" s="15">
        <v>746</v>
      </c>
      <c r="L1515" s="13" t="s">
        <v>102</v>
      </c>
      <c r="M1515" s="13" t="s">
        <v>103</v>
      </c>
      <c r="N1515" s="139" t="s">
        <v>509</v>
      </c>
      <c r="O1515" s="139" t="s">
        <v>509</v>
      </c>
      <c r="P1515" s="28">
        <v>30</v>
      </c>
      <c r="Q1515" s="13" t="s">
        <v>54</v>
      </c>
      <c r="R1515" s="13" t="s">
        <v>28</v>
      </c>
      <c r="S1515" s="13"/>
      <c r="T1515" s="13"/>
      <c r="U1515" s="13" t="s">
        <v>2041</v>
      </c>
      <c r="V1515" s="13" t="s">
        <v>2041</v>
      </c>
      <c r="W1515" s="59">
        <f t="shared" si="23"/>
        <v>1.1466149273232085E-4</v>
      </c>
    </row>
    <row r="1516" spans="1:29">
      <c r="A1516" s="13" t="s">
        <v>472</v>
      </c>
      <c r="B1516" s="13" t="s">
        <v>471</v>
      </c>
      <c r="C1516" s="139">
        <v>46324</v>
      </c>
      <c r="D1516" s="139" t="s">
        <v>441</v>
      </c>
      <c r="E1516" s="28">
        <v>0.92334952000000003</v>
      </c>
      <c r="F1516" s="13"/>
      <c r="G1516" s="18">
        <v>5000000</v>
      </c>
      <c r="H1516" s="18">
        <v>4616747.5999999996</v>
      </c>
      <c r="I1516" s="18">
        <v>5000000</v>
      </c>
      <c r="J1516" s="18">
        <v>4616747.5999999996</v>
      </c>
      <c r="K1516" s="15">
        <v>796</v>
      </c>
      <c r="L1516" s="13" t="s">
        <v>102</v>
      </c>
      <c r="M1516" s="13" t="s">
        <v>103</v>
      </c>
      <c r="N1516" s="139" t="s">
        <v>495</v>
      </c>
      <c r="O1516" s="139" t="s">
        <v>495</v>
      </c>
      <c r="P1516" s="28">
        <v>30</v>
      </c>
      <c r="Q1516" s="13" t="s">
        <v>54</v>
      </c>
      <c r="R1516" s="13" t="s">
        <v>28</v>
      </c>
      <c r="S1516" s="13"/>
      <c r="T1516" s="13"/>
      <c r="U1516" s="13" t="s">
        <v>2187</v>
      </c>
      <c r="V1516" s="13" t="s">
        <v>2187</v>
      </c>
      <c r="W1516" s="59">
        <f t="shared" si="23"/>
        <v>8.8201163098443921E-5</v>
      </c>
    </row>
    <row r="1517" spans="1:29">
      <c r="A1517" s="13" t="s">
        <v>432</v>
      </c>
      <c r="B1517" s="13" t="s">
        <v>471</v>
      </c>
      <c r="C1517" s="139">
        <v>46324</v>
      </c>
      <c r="D1517" s="139" t="s">
        <v>441</v>
      </c>
      <c r="E1517" s="28">
        <v>0.91400837999999995</v>
      </c>
      <c r="F1517" s="13"/>
      <c r="G1517" s="18">
        <v>1020845.65</v>
      </c>
      <c r="H1517" s="18">
        <v>933061.48</v>
      </c>
      <c r="I1517" s="18">
        <v>1020845.65</v>
      </c>
      <c r="J1517" s="18">
        <v>933061.48</v>
      </c>
      <c r="K1517" s="15">
        <v>2906</v>
      </c>
      <c r="L1517" s="13" t="s">
        <v>102</v>
      </c>
      <c r="M1517" s="13" t="s">
        <v>103</v>
      </c>
      <c r="N1517" s="139" t="s">
        <v>388</v>
      </c>
      <c r="O1517" s="139" t="s">
        <v>388</v>
      </c>
      <c r="P1517" s="28">
        <v>34</v>
      </c>
      <c r="Q1517" s="13" t="s">
        <v>54</v>
      </c>
      <c r="R1517" s="13" t="s">
        <v>28</v>
      </c>
      <c r="S1517" s="13"/>
      <c r="T1517" s="13"/>
      <c r="U1517" s="13" t="s">
        <v>2225</v>
      </c>
      <c r="V1517" s="13" t="s">
        <v>2225</v>
      </c>
      <c r="W1517" s="59">
        <f t="shared" si="23"/>
        <v>1.7825775829364263E-5</v>
      </c>
      <c r="AC1517" s="56"/>
    </row>
    <row r="1518" spans="1:29">
      <c r="A1518" s="13" t="s">
        <v>432</v>
      </c>
      <c r="B1518" s="13" t="s">
        <v>471</v>
      </c>
      <c r="C1518" s="139">
        <v>46324</v>
      </c>
      <c r="D1518" s="139" t="s">
        <v>441</v>
      </c>
      <c r="E1518" s="28">
        <v>0.91400837999999995</v>
      </c>
      <c r="F1518" s="13"/>
      <c r="G1518" s="18">
        <v>990902.64</v>
      </c>
      <c r="H1518" s="18">
        <v>905693.31</v>
      </c>
      <c r="I1518" s="18">
        <v>990902.64</v>
      </c>
      <c r="J1518" s="18">
        <v>905693.31</v>
      </c>
      <c r="K1518" s="15">
        <v>2956</v>
      </c>
      <c r="L1518" s="13" t="s">
        <v>102</v>
      </c>
      <c r="M1518" s="13" t="s">
        <v>103</v>
      </c>
      <c r="N1518" s="139" t="s">
        <v>388</v>
      </c>
      <c r="O1518" s="139" t="s">
        <v>388</v>
      </c>
      <c r="P1518" s="28">
        <v>34</v>
      </c>
      <c r="Q1518" s="13" t="s">
        <v>54</v>
      </c>
      <c r="R1518" s="13" t="s">
        <v>28</v>
      </c>
      <c r="S1518" s="13"/>
      <c r="T1518" s="13"/>
      <c r="U1518" s="13" t="s">
        <v>2226</v>
      </c>
      <c r="V1518" s="13" t="s">
        <v>2226</v>
      </c>
      <c r="W1518" s="59">
        <f t="shared" si="23"/>
        <v>1.7302917610761207E-5</v>
      </c>
    </row>
    <row r="1519" spans="1:29">
      <c r="A1519" s="13" t="s">
        <v>581</v>
      </c>
      <c r="B1519" s="13" t="s">
        <v>471</v>
      </c>
      <c r="C1519" s="139">
        <v>46324</v>
      </c>
      <c r="D1519" s="139" t="s">
        <v>441</v>
      </c>
      <c r="E1519" s="28">
        <v>0.92809207000000005</v>
      </c>
      <c r="F1519" s="13"/>
      <c r="G1519" s="18">
        <v>2500000</v>
      </c>
      <c r="H1519" s="18">
        <v>2320230.17</v>
      </c>
      <c r="I1519" s="18">
        <v>2500000</v>
      </c>
      <c r="J1519" s="18">
        <v>2320230.17</v>
      </c>
      <c r="K1519" s="15">
        <v>90031823</v>
      </c>
      <c r="L1519" s="13" t="s">
        <v>102</v>
      </c>
      <c r="M1519" s="13" t="s">
        <v>103</v>
      </c>
      <c r="N1519" s="139" t="s">
        <v>327</v>
      </c>
      <c r="O1519" s="139" t="s">
        <v>327</v>
      </c>
      <c r="P1519" s="28">
        <v>28</v>
      </c>
      <c r="Q1519" s="13" t="s">
        <v>54</v>
      </c>
      <c r="R1519" s="13" t="s">
        <v>28</v>
      </c>
      <c r="S1519" s="13"/>
      <c r="T1519" s="13"/>
      <c r="U1519" s="13" t="s">
        <v>770</v>
      </c>
      <c r="V1519" s="13" t="s">
        <v>770</v>
      </c>
      <c r="W1519" s="59">
        <f t="shared" si="23"/>
        <v>4.4327092875967548E-5</v>
      </c>
    </row>
    <row r="1520" spans="1:29">
      <c r="A1520" s="13" t="s">
        <v>360</v>
      </c>
      <c r="B1520" s="13" t="s">
        <v>471</v>
      </c>
      <c r="C1520" s="139">
        <v>46324</v>
      </c>
      <c r="D1520" s="139" t="s">
        <v>441</v>
      </c>
      <c r="E1520" s="28">
        <v>0.94261673999999995</v>
      </c>
      <c r="F1520" s="13"/>
      <c r="G1520" s="18">
        <v>13000000</v>
      </c>
      <c r="H1520" s="18">
        <v>12254017.6</v>
      </c>
      <c r="I1520" s="18">
        <v>13000000</v>
      </c>
      <c r="J1520" s="18">
        <v>12254017.6</v>
      </c>
      <c r="K1520" s="15">
        <v>34114</v>
      </c>
      <c r="L1520" s="13" t="s">
        <v>102</v>
      </c>
      <c r="M1520" s="13" t="s">
        <v>103</v>
      </c>
      <c r="N1520" s="139" t="s">
        <v>172</v>
      </c>
      <c r="O1520" s="139" t="s">
        <v>172</v>
      </c>
      <c r="P1520" s="28">
        <v>22</v>
      </c>
      <c r="Q1520" s="13" t="s">
        <v>54</v>
      </c>
      <c r="R1520" s="13" t="s">
        <v>28</v>
      </c>
      <c r="S1520" s="13"/>
      <c r="T1520" s="13"/>
      <c r="U1520" s="13" t="s">
        <v>1819</v>
      </c>
      <c r="V1520" s="13" t="s">
        <v>1819</v>
      </c>
      <c r="W1520" s="59">
        <f t="shared" si="23"/>
        <v>2.3410822912407045E-4</v>
      </c>
    </row>
    <row r="1521" spans="1:29">
      <c r="A1521" s="13" t="s">
        <v>486</v>
      </c>
      <c r="B1521" s="13" t="s">
        <v>471</v>
      </c>
      <c r="C1521" s="139">
        <v>46325</v>
      </c>
      <c r="D1521" s="139" t="s">
        <v>441</v>
      </c>
      <c r="E1521" s="28">
        <v>0.91791581</v>
      </c>
      <c r="F1521" s="13"/>
      <c r="G1521" s="18">
        <v>10655603.279999999</v>
      </c>
      <c r="H1521" s="18">
        <v>9780946.6799999997</v>
      </c>
      <c r="I1521" s="18">
        <v>10655603.279999999</v>
      </c>
      <c r="J1521" s="18">
        <v>9780946.6799999997</v>
      </c>
      <c r="K1521" s="15">
        <v>30833</v>
      </c>
      <c r="L1521" s="13" t="s">
        <v>102</v>
      </c>
      <c r="M1521" s="13" t="s">
        <v>103</v>
      </c>
      <c r="N1521" s="139" t="s">
        <v>495</v>
      </c>
      <c r="O1521" s="139" t="s">
        <v>495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2132</v>
      </c>
      <c r="V1521" s="13" t="s">
        <v>2132</v>
      </c>
      <c r="W1521" s="59">
        <f t="shared" si="23"/>
        <v>1.8686117330301178E-4</v>
      </c>
    </row>
    <row r="1522" spans="1:29">
      <c r="A1522" s="13" t="s">
        <v>472</v>
      </c>
      <c r="B1522" s="13" t="s">
        <v>471</v>
      </c>
      <c r="C1522" s="139">
        <v>46325</v>
      </c>
      <c r="D1522" s="139" t="s">
        <v>441</v>
      </c>
      <c r="E1522" s="28">
        <v>0.92264924000000004</v>
      </c>
      <c r="F1522" s="13"/>
      <c r="G1522" s="18">
        <v>5000000</v>
      </c>
      <c r="H1522" s="18">
        <v>4613246.2</v>
      </c>
      <c r="I1522" s="18">
        <v>5000000</v>
      </c>
      <c r="J1522" s="18">
        <v>4613246.2</v>
      </c>
      <c r="K1522" s="15">
        <v>797</v>
      </c>
      <c r="L1522" s="13" t="s">
        <v>102</v>
      </c>
      <c r="M1522" s="13" t="s">
        <v>103</v>
      </c>
      <c r="N1522" s="139" t="s">
        <v>495</v>
      </c>
      <c r="O1522" s="139" t="s">
        <v>495</v>
      </c>
      <c r="P1522" s="28">
        <v>30</v>
      </c>
      <c r="Q1522" s="13" t="s">
        <v>54</v>
      </c>
      <c r="R1522" s="13" t="s">
        <v>28</v>
      </c>
      <c r="S1522" s="13"/>
      <c r="T1522" s="13"/>
      <c r="U1522" s="13" t="s">
        <v>2186</v>
      </c>
      <c r="V1522" s="13" t="s">
        <v>2186</v>
      </c>
      <c r="W1522" s="59">
        <f t="shared" si="23"/>
        <v>8.8134270216434765E-5</v>
      </c>
    </row>
    <row r="1523" spans="1:29">
      <c r="A1523" s="13" t="s">
        <v>432</v>
      </c>
      <c r="B1523" s="13" t="s">
        <v>471</v>
      </c>
      <c r="C1523" s="139">
        <v>46325</v>
      </c>
      <c r="D1523" s="139" t="s">
        <v>441</v>
      </c>
      <c r="E1523" s="28">
        <v>0.91323076999999997</v>
      </c>
      <c r="F1523" s="13"/>
      <c r="G1523" s="18">
        <v>990902.64</v>
      </c>
      <c r="H1523" s="18">
        <v>904922.78</v>
      </c>
      <c r="I1523" s="18">
        <v>990902.64</v>
      </c>
      <c r="J1523" s="18">
        <v>904922.78</v>
      </c>
      <c r="K1523" s="15">
        <v>2957</v>
      </c>
      <c r="L1523" s="13" t="s">
        <v>102</v>
      </c>
      <c r="M1523" s="13" t="s">
        <v>103</v>
      </c>
      <c r="N1523" s="139" t="s">
        <v>388</v>
      </c>
      <c r="O1523" s="139" t="s">
        <v>388</v>
      </c>
      <c r="P1523" s="28">
        <v>34</v>
      </c>
      <c r="Q1523" s="13" t="s">
        <v>54</v>
      </c>
      <c r="R1523" s="13" t="s">
        <v>28</v>
      </c>
      <c r="S1523" s="13"/>
      <c r="T1523" s="13"/>
      <c r="U1523" s="13" t="s">
        <v>2227</v>
      </c>
      <c r="V1523" s="13" t="s">
        <v>2227</v>
      </c>
      <c r="W1523" s="59">
        <f t="shared" si="23"/>
        <v>1.7288196935495737E-5</v>
      </c>
      <c r="AC1523" s="56"/>
    </row>
    <row r="1524" spans="1:29">
      <c r="A1524" s="13" t="s">
        <v>432</v>
      </c>
      <c r="B1524" s="13" t="s">
        <v>471</v>
      </c>
      <c r="C1524" s="139">
        <v>46325</v>
      </c>
      <c r="D1524" s="139" t="s">
        <v>441</v>
      </c>
      <c r="E1524" s="28">
        <v>0.91323076999999997</v>
      </c>
      <c r="F1524" s="13"/>
      <c r="G1524" s="18">
        <v>1020845.65</v>
      </c>
      <c r="H1524" s="18">
        <v>932267.66</v>
      </c>
      <c r="I1524" s="18">
        <v>1020845.65</v>
      </c>
      <c r="J1524" s="18">
        <v>932267.66</v>
      </c>
      <c r="K1524" s="15">
        <v>2907</v>
      </c>
      <c r="L1524" s="13" t="s">
        <v>102</v>
      </c>
      <c r="M1524" s="13" t="s">
        <v>103</v>
      </c>
      <c r="N1524" s="139" t="s">
        <v>388</v>
      </c>
      <c r="O1524" s="139" t="s">
        <v>388</v>
      </c>
      <c r="P1524" s="28">
        <v>34</v>
      </c>
      <c r="Q1524" s="13" t="s">
        <v>54</v>
      </c>
      <c r="R1524" s="13" t="s">
        <v>28</v>
      </c>
      <c r="S1524" s="13"/>
      <c r="T1524" s="13"/>
      <c r="U1524" s="13" t="s">
        <v>2228</v>
      </c>
      <c r="V1524" s="13" t="s">
        <v>2228</v>
      </c>
      <c r="W1524" s="59">
        <f t="shared" si="23"/>
        <v>1.7810610207728202E-5</v>
      </c>
    </row>
    <row r="1525" spans="1:29">
      <c r="A1525" s="13" t="s">
        <v>486</v>
      </c>
      <c r="B1525" s="13" t="s">
        <v>471</v>
      </c>
      <c r="C1525" s="139">
        <v>46328</v>
      </c>
      <c r="D1525" s="139" t="s">
        <v>441</v>
      </c>
      <c r="E1525" s="28">
        <v>0.91570512000000004</v>
      </c>
      <c r="F1525" s="13"/>
      <c r="G1525" s="18">
        <v>10655603.279999999</v>
      </c>
      <c r="H1525" s="18">
        <v>9757390.4499999993</v>
      </c>
      <c r="I1525" s="18">
        <v>10655603.279999999</v>
      </c>
      <c r="J1525" s="18">
        <v>9757390.4499999993</v>
      </c>
      <c r="K1525" s="15">
        <v>30834</v>
      </c>
      <c r="L1525" s="13" t="s">
        <v>102</v>
      </c>
      <c r="M1525" s="13" t="s">
        <v>103</v>
      </c>
      <c r="N1525" s="139" t="s">
        <v>495</v>
      </c>
      <c r="O1525" s="139" t="s">
        <v>495</v>
      </c>
      <c r="P1525" s="28">
        <v>32</v>
      </c>
      <c r="Q1525" s="13" t="s">
        <v>54</v>
      </c>
      <c r="R1525" s="13" t="s">
        <v>28</v>
      </c>
      <c r="S1525" s="13"/>
      <c r="T1525" s="13"/>
      <c r="U1525" s="13" t="s">
        <v>2133</v>
      </c>
      <c r="V1525" s="13" t="s">
        <v>2133</v>
      </c>
      <c r="W1525" s="59">
        <f t="shared" si="23"/>
        <v>1.864111407120565E-4</v>
      </c>
    </row>
    <row r="1526" spans="1:29">
      <c r="A1526" s="13" t="s">
        <v>1046</v>
      </c>
      <c r="B1526" s="13" t="s">
        <v>471</v>
      </c>
      <c r="C1526" s="139">
        <v>46328</v>
      </c>
      <c r="D1526" s="139" t="s">
        <v>441</v>
      </c>
      <c r="E1526" s="28">
        <v>0.89912561999999996</v>
      </c>
      <c r="F1526" s="13"/>
      <c r="G1526" s="18">
        <v>3750000</v>
      </c>
      <c r="H1526" s="18">
        <v>3371721.08</v>
      </c>
      <c r="I1526" s="18">
        <v>3750000</v>
      </c>
      <c r="J1526" s="18">
        <v>3371721.08</v>
      </c>
      <c r="K1526" s="15">
        <v>66918247</v>
      </c>
      <c r="L1526" s="13" t="s">
        <v>102</v>
      </c>
      <c r="M1526" s="13" t="s">
        <v>103</v>
      </c>
      <c r="N1526" s="139" t="s">
        <v>364</v>
      </c>
      <c r="O1526" s="139" t="s">
        <v>364</v>
      </c>
      <c r="P1526" s="28">
        <v>39</v>
      </c>
      <c r="Q1526" s="13" t="s">
        <v>54</v>
      </c>
      <c r="R1526" s="13" t="s">
        <v>28</v>
      </c>
      <c r="S1526" s="13"/>
      <c r="T1526" s="13"/>
      <c r="U1526" s="13" t="s">
        <v>1033</v>
      </c>
      <c r="V1526" s="13" t="s">
        <v>1033</v>
      </c>
      <c r="W1526" s="59">
        <f t="shared" si="23"/>
        <v>6.4415416796781685E-5</v>
      </c>
    </row>
    <row r="1527" spans="1:29">
      <c r="A1527" s="13" t="s">
        <v>737</v>
      </c>
      <c r="B1527" s="13" t="s">
        <v>471</v>
      </c>
      <c r="C1527" s="139">
        <v>46328</v>
      </c>
      <c r="D1527" s="139" t="s">
        <v>441</v>
      </c>
      <c r="E1527" s="28">
        <v>0.92792684000000003</v>
      </c>
      <c r="F1527" s="13"/>
      <c r="G1527" s="18">
        <v>15000000</v>
      </c>
      <c r="H1527" s="18">
        <v>13918902.630000001</v>
      </c>
      <c r="I1527" s="18">
        <v>15000000</v>
      </c>
      <c r="J1527" s="18">
        <v>13918902.630000001</v>
      </c>
      <c r="K1527" s="15">
        <v>235</v>
      </c>
      <c r="L1527" s="13" t="s">
        <v>102</v>
      </c>
      <c r="M1527" s="13" t="s">
        <v>103</v>
      </c>
      <c r="N1527" s="139" t="s">
        <v>402</v>
      </c>
      <c r="O1527" s="139" t="s">
        <v>402</v>
      </c>
      <c r="P1527" s="28">
        <v>27</v>
      </c>
      <c r="Q1527" s="13" t="s">
        <v>54</v>
      </c>
      <c r="R1527" s="13" t="s">
        <v>28</v>
      </c>
      <c r="S1527" s="13"/>
      <c r="T1527" s="13"/>
      <c r="U1527" s="13" t="s">
        <v>1901</v>
      </c>
      <c r="V1527" s="13" t="s">
        <v>1901</v>
      </c>
      <c r="W1527" s="59">
        <f t="shared" si="23"/>
        <v>2.6591520858103447E-4</v>
      </c>
    </row>
    <row r="1528" spans="1:29">
      <c r="A1528" s="13" t="s">
        <v>737</v>
      </c>
      <c r="B1528" s="13" t="s">
        <v>471</v>
      </c>
      <c r="C1528" s="139">
        <v>46328</v>
      </c>
      <c r="D1528" s="139" t="s">
        <v>441</v>
      </c>
      <c r="E1528" s="28">
        <v>0.93041059000000004</v>
      </c>
      <c r="F1528" s="13"/>
      <c r="G1528" s="18">
        <v>15000000</v>
      </c>
      <c r="H1528" s="18">
        <v>13956158.880000001</v>
      </c>
      <c r="I1528" s="18">
        <v>15000000</v>
      </c>
      <c r="J1528" s="18">
        <v>13956158.880000001</v>
      </c>
      <c r="K1528" s="15">
        <v>68218060</v>
      </c>
      <c r="L1528" s="13" t="s">
        <v>102</v>
      </c>
      <c r="M1528" s="13" t="s">
        <v>103</v>
      </c>
      <c r="N1528" s="139" t="s">
        <v>509</v>
      </c>
      <c r="O1528" s="139" t="s">
        <v>509</v>
      </c>
      <c r="P1528" s="28">
        <v>26</v>
      </c>
      <c r="Q1528" s="13" t="s">
        <v>54</v>
      </c>
      <c r="R1528" s="13" t="s">
        <v>28</v>
      </c>
      <c r="S1528" s="13"/>
      <c r="T1528" s="13"/>
      <c r="U1528" s="13" t="s">
        <v>2055</v>
      </c>
      <c r="V1528" s="13" t="s">
        <v>2055</v>
      </c>
      <c r="W1528" s="59">
        <f t="shared" si="23"/>
        <v>2.6662697471325412E-4</v>
      </c>
    </row>
    <row r="1529" spans="1:29">
      <c r="A1529" s="13" t="s">
        <v>737</v>
      </c>
      <c r="B1529" s="13" t="s">
        <v>471</v>
      </c>
      <c r="C1529" s="139">
        <v>46328</v>
      </c>
      <c r="D1529" s="139" t="s">
        <v>441</v>
      </c>
      <c r="E1529" s="28">
        <v>0.93290737999999995</v>
      </c>
      <c r="F1529" s="13"/>
      <c r="G1529" s="18">
        <v>32000000</v>
      </c>
      <c r="H1529" s="18">
        <v>29853036.030000001</v>
      </c>
      <c r="I1529" s="18">
        <v>32000000</v>
      </c>
      <c r="J1529" s="18">
        <v>29853036.030000001</v>
      </c>
      <c r="K1529" s="15">
        <v>5313</v>
      </c>
      <c r="L1529" s="13" t="s">
        <v>102</v>
      </c>
      <c r="M1529" s="13" t="s">
        <v>103</v>
      </c>
      <c r="N1529" s="139" t="s">
        <v>392</v>
      </c>
      <c r="O1529" s="139" t="s">
        <v>392</v>
      </c>
      <c r="P1529" s="28">
        <v>25</v>
      </c>
      <c r="Q1529" s="13" t="s">
        <v>54</v>
      </c>
      <c r="R1529" s="13" t="s">
        <v>28</v>
      </c>
      <c r="S1529" s="13"/>
      <c r="T1529" s="13"/>
      <c r="U1529" s="13" t="s">
        <v>2308</v>
      </c>
      <c r="V1529" s="13" t="s">
        <v>2308</v>
      </c>
      <c r="W1529" s="59">
        <f t="shared" si="23"/>
        <v>5.7033061540244327E-4</v>
      </c>
    </row>
    <row r="1530" spans="1:29">
      <c r="A1530" s="13" t="s">
        <v>432</v>
      </c>
      <c r="B1530" s="13" t="s">
        <v>471</v>
      </c>
      <c r="C1530" s="139">
        <v>46328</v>
      </c>
      <c r="D1530" s="139" t="s">
        <v>441</v>
      </c>
      <c r="E1530" s="28">
        <v>0.91090614999999997</v>
      </c>
      <c r="F1530" s="13"/>
      <c r="G1530" s="18">
        <v>1020845.65</v>
      </c>
      <c r="H1530" s="18">
        <v>929894.58</v>
      </c>
      <c r="I1530" s="18">
        <v>1020845.65</v>
      </c>
      <c r="J1530" s="18">
        <v>929894.58</v>
      </c>
      <c r="K1530" s="15">
        <v>2908</v>
      </c>
      <c r="L1530" s="13" t="s">
        <v>102</v>
      </c>
      <c r="M1530" s="13" t="s">
        <v>103</v>
      </c>
      <c r="N1530" s="139" t="s">
        <v>388</v>
      </c>
      <c r="O1530" s="139" t="s">
        <v>388</v>
      </c>
      <c r="P1530" s="28">
        <v>34</v>
      </c>
      <c r="Q1530" s="13" t="s">
        <v>54</v>
      </c>
      <c r="R1530" s="13" t="s">
        <v>28</v>
      </c>
      <c r="S1530" s="13"/>
      <c r="T1530" s="13"/>
      <c r="U1530" s="13" t="s">
        <v>2209</v>
      </c>
      <c r="V1530" s="13" t="s">
        <v>2209</v>
      </c>
      <c r="W1530" s="59">
        <f t="shared" si="23"/>
        <v>1.7765273439453138E-5</v>
      </c>
    </row>
    <row r="1531" spans="1:29">
      <c r="A1531" s="13" t="s">
        <v>432</v>
      </c>
      <c r="B1531" s="13" t="s">
        <v>471</v>
      </c>
      <c r="C1531" s="139">
        <v>46328</v>
      </c>
      <c r="D1531" s="139" t="s">
        <v>441</v>
      </c>
      <c r="E1531" s="28">
        <v>0.91090614000000003</v>
      </c>
      <c r="F1531" s="13"/>
      <c r="G1531" s="18">
        <v>990902.64</v>
      </c>
      <c r="H1531" s="18">
        <v>902619.3</v>
      </c>
      <c r="I1531" s="18">
        <v>990902.64</v>
      </c>
      <c r="J1531" s="18">
        <v>902619.3</v>
      </c>
      <c r="K1531" s="15">
        <v>2958</v>
      </c>
      <c r="L1531" s="13" t="s">
        <v>102</v>
      </c>
      <c r="M1531" s="13" t="s">
        <v>103</v>
      </c>
      <c r="N1531" s="139" t="s">
        <v>388</v>
      </c>
      <c r="O1531" s="139" t="s">
        <v>388</v>
      </c>
      <c r="P1531" s="28">
        <v>34</v>
      </c>
      <c r="Q1531" s="13" t="s">
        <v>54</v>
      </c>
      <c r="R1531" s="13" t="s">
        <v>28</v>
      </c>
      <c r="S1531" s="13"/>
      <c r="T1531" s="13"/>
      <c r="U1531" s="13" t="s">
        <v>2210</v>
      </c>
      <c r="V1531" s="13" t="s">
        <v>2210</v>
      </c>
      <c r="W1531" s="59">
        <f t="shared" si="23"/>
        <v>1.724418984808771E-5</v>
      </c>
    </row>
    <row r="1532" spans="1:29">
      <c r="A1532" s="13" t="s">
        <v>581</v>
      </c>
      <c r="B1532" s="13" t="s">
        <v>471</v>
      </c>
      <c r="C1532" s="139">
        <v>46328</v>
      </c>
      <c r="D1532" s="139" t="s">
        <v>441</v>
      </c>
      <c r="E1532" s="28">
        <v>0.92545648999999996</v>
      </c>
      <c r="F1532" s="13"/>
      <c r="G1532" s="18">
        <v>2500000</v>
      </c>
      <c r="H1532" s="18">
        <v>2313641.23</v>
      </c>
      <c r="I1532" s="18">
        <v>2500000</v>
      </c>
      <c r="J1532" s="18">
        <v>2313641.23</v>
      </c>
      <c r="K1532" s="15">
        <v>90031824</v>
      </c>
      <c r="L1532" s="13" t="s">
        <v>102</v>
      </c>
      <c r="M1532" s="13" t="s">
        <v>103</v>
      </c>
      <c r="N1532" s="139" t="s">
        <v>327</v>
      </c>
      <c r="O1532" s="139" t="s">
        <v>327</v>
      </c>
      <c r="P1532" s="28">
        <v>28</v>
      </c>
      <c r="Q1532" s="13" t="s">
        <v>54</v>
      </c>
      <c r="R1532" s="13" t="s">
        <v>28</v>
      </c>
      <c r="S1532" s="13"/>
      <c r="T1532" s="13"/>
      <c r="U1532" s="13" t="s">
        <v>772</v>
      </c>
      <c r="V1532" s="13" t="s">
        <v>772</v>
      </c>
      <c r="W1532" s="59">
        <f t="shared" si="23"/>
        <v>4.420121374590944E-5</v>
      </c>
    </row>
    <row r="1533" spans="1:29">
      <c r="A1533" s="13" t="s">
        <v>1938</v>
      </c>
      <c r="B1533" s="13" t="s">
        <v>471</v>
      </c>
      <c r="C1533" s="139">
        <v>46328</v>
      </c>
      <c r="D1533" s="139" t="s">
        <v>441</v>
      </c>
      <c r="E1533" s="28">
        <v>0.91329927</v>
      </c>
      <c r="F1533" s="13"/>
      <c r="G1533" s="18">
        <v>333534247</v>
      </c>
      <c r="H1533" s="18">
        <v>304616585.47000003</v>
      </c>
      <c r="I1533" s="18">
        <v>333534247</v>
      </c>
      <c r="J1533" s="18">
        <v>304616585.47000003</v>
      </c>
      <c r="K1533" s="15">
        <v>155636</v>
      </c>
      <c r="L1533" s="13" t="s">
        <v>102</v>
      </c>
      <c r="M1533" s="13" t="s">
        <v>103</v>
      </c>
      <c r="N1533" s="139" t="s">
        <v>431</v>
      </c>
      <c r="O1533" s="139" t="s">
        <v>431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1926</v>
      </c>
      <c r="V1533" s="13" t="s">
        <v>1926</v>
      </c>
      <c r="W1533" s="59">
        <f t="shared" si="23"/>
        <v>5.8195811132344677E-3</v>
      </c>
    </row>
    <row r="1534" spans="1:29">
      <c r="A1534" s="13" t="s">
        <v>1347</v>
      </c>
      <c r="B1534" s="13" t="s">
        <v>471</v>
      </c>
      <c r="C1534" s="139">
        <v>46329</v>
      </c>
      <c r="D1534" s="139" t="s">
        <v>441</v>
      </c>
      <c r="E1534" s="28">
        <v>0.91254577000000003</v>
      </c>
      <c r="F1534" s="13"/>
      <c r="G1534" s="18">
        <v>1655023.2</v>
      </c>
      <c r="H1534" s="18">
        <v>1510284.42</v>
      </c>
      <c r="I1534" s="18">
        <v>1655023.2</v>
      </c>
      <c r="J1534" s="18">
        <v>1510284.42</v>
      </c>
      <c r="K1534" s="15">
        <v>610</v>
      </c>
      <c r="L1534" s="13" t="s">
        <v>102</v>
      </c>
      <c r="M1534" s="13" t="s">
        <v>103</v>
      </c>
      <c r="N1534" s="139" t="s">
        <v>174</v>
      </c>
      <c r="O1534" s="139" t="s">
        <v>174</v>
      </c>
      <c r="P1534" s="28">
        <v>33</v>
      </c>
      <c r="Q1534" s="13" t="s">
        <v>54</v>
      </c>
      <c r="R1534" s="13" t="s">
        <v>28</v>
      </c>
      <c r="S1534" s="13"/>
      <c r="T1534" s="13"/>
      <c r="U1534" s="13" t="s">
        <v>1340</v>
      </c>
      <c r="V1534" s="13" t="s">
        <v>1340</v>
      </c>
      <c r="W1534" s="59">
        <f t="shared" si="23"/>
        <v>2.8853395072639188E-5</v>
      </c>
    </row>
    <row r="1535" spans="1:29">
      <c r="A1535" s="13" t="s">
        <v>1347</v>
      </c>
      <c r="B1535" s="13" t="s">
        <v>471</v>
      </c>
      <c r="C1535" s="139">
        <v>46329</v>
      </c>
      <c r="D1535" s="139" t="s">
        <v>441</v>
      </c>
      <c r="E1535" s="28">
        <v>0.91254577999999997</v>
      </c>
      <c r="F1535" s="13"/>
      <c r="G1535" s="18">
        <v>3772034.12</v>
      </c>
      <c r="H1535" s="18">
        <v>3442153.82</v>
      </c>
      <c r="I1535" s="18">
        <v>3772034.12</v>
      </c>
      <c r="J1535" s="18">
        <v>3442153.82</v>
      </c>
      <c r="K1535" s="15">
        <v>639</v>
      </c>
      <c r="L1535" s="13" t="s">
        <v>102</v>
      </c>
      <c r="M1535" s="13" t="s">
        <v>103</v>
      </c>
      <c r="N1535" s="139" t="s">
        <v>174</v>
      </c>
      <c r="O1535" s="139" t="s">
        <v>174</v>
      </c>
      <c r="P1535" s="28">
        <v>33</v>
      </c>
      <c r="Q1535" s="13" t="s">
        <v>54</v>
      </c>
      <c r="R1535" s="13" t="s">
        <v>28</v>
      </c>
      <c r="S1535" s="13"/>
      <c r="T1535" s="13"/>
      <c r="U1535" s="13" t="s">
        <v>1342</v>
      </c>
      <c r="V1535" s="13" t="s">
        <v>1342</v>
      </c>
      <c r="W1535" s="59">
        <f t="shared" si="23"/>
        <v>6.5761006836880531E-5</v>
      </c>
    </row>
    <row r="1536" spans="1:29">
      <c r="A1536" s="13" t="s">
        <v>486</v>
      </c>
      <c r="B1536" s="13" t="s">
        <v>471</v>
      </c>
      <c r="C1536" s="139">
        <v>46329</v>
      </c>
      <c r="D1536" s="139" t="s">
        <v>441</v>
      </c>
      <c r="E1536" s="28">
        <v>0.91497050000000002</v>
      </c>
      <c r="F1536" s="13"/>
      <c r="G1536" s="18">
        <v>10655603.279999999</v>
      </c>
      <c r="H1536" s="18">
        <v>9749562.6699999999</v>
      </c>
      <c r="I1536" s="18">
        <v>10655603.279999999</v>
      </c>
      <c r="J1536" s="18">
        <v>9749562.6699999999</v>
      </c>
      <c r="K1536" s="15">
        <v>30835</v>
      </c>
      <c r="L1536" s="13" t="s">
        <v>102</v>
      </c>
      <c r="M1536" s="13" t="s">
        <v>103</v>
      </c>
      <c r="N1536" s="139" t="s">
        <v>495</v>
      </c>
      <c r="O1536" s="139" t="s">
        <v>495</v>
      </c>
      <c r="P1536" s="28">
        <v>32</v>
      </c>
      <c r="Q1536" s="13" t="s">
        <v>54</v>
      </c>
      <c r="R1536" s="13" t="s">
        <v>28</v>
      </c>
      <c r="S1536" s="13"/>
      <c r="T1536" s="13"/>
      <c r="U1536" s="13" t="s">
        <v>2130</v>
      </c>
      <c r="V1536" s="13" t="s">
        <v>2130</v>
      </c>
      <c r="W1536" s="59">
        <f t="shared" si="23"/>
        <v>1.8626159402674959E-4</v>
      </c>
    </row>
    <row r="1537" spans="1:29">
      <c r="A1537" s="13" t="s">
        <v>1586</v>
      </c>
      <c r="B1537" s="13" t="s">
        <v>471</v>
      </c>
      <c r="C1537" s="139">
        <v>46329</v>
      </c>
      <c r="D1537" s="139" t="s">
        <v>441</v>
      </c>
      <c r="E1537" s="28">
        <v>0.91497052999999995</v>
      </c>
      <c r="F1537" s="13"/>
      <c r="G1537" s="18">
        <v>3517425</v>
      </c>
      <c r="H1537" s="18">
        <v>3218340.21</v>
      </c>
      <c r="I1537" s="18">
        <v>3517425</v>
      </c>
      <c r="J1537" s="18">
        <v>3218340.21</v>
      </c>
      <c r="K1537" s="15">
        <v>67525725</v>
      </c>
      <c r="L1537" s="13" t="s">
        <v>102</v>
      </c>
      <c r="M1537" s="13" t="s">
        <v>103</v>
      </c>
      <c r="N1537" s="139" t="s">
        <v>381</v>
      </c>
      <c r="O1537" s="139" t="s">
        <v>381</v>
      </c>
      <c r="P1537" s="28">
        <v>32</v>
      </c>
      <c r="Q1537" s="13" t="s">
        <v>54</v>
      </c>
      <c r="R1537" s="13" t="s">
        <v>28</v>
      </c>
      <c r="S1537" s="13"/>
      <c r="T1537" s="13"/>
      <c r="U1537" s="13" t="s">
        <v>1566</v>
      </c>
      <c r="V1537" s="13" t="s">
        <v>1566</v>
      </c>
      <c r="W1537" s="59">
        <f t="shared" si="23"/>
        <v>6.1485135069651696E-5</v>
      </c>
      <c r="AC1537" s="56"/>
    </row>
    <row r="1538" spans="1:29">
      <c r="A1538" s="13" t="s">
        <v>323</v>
      </c>
      <c r="B1538" s="13" t="s">
        <v>471</v>
      </c>
      <c r="C1538" s="139">
        <v>46329</v>
      </c>
      <c r="D1538" s="139" t="s">
        <v>441</v>
      </c>
      <c r="E1538" s="28">
        <v>0.92979420000000002</v>
      </c>
      <c r="F1538" s="13"/>
      <c r="G1538" s="18">
        <v>15000000</v>
      </c>
      <c r="H1538" s="18">
        <v>13946913.029999999</v>
      </c>
      <c r="I1538" s="18">
        <v>15000000</v>
      </c>
      <c r="J1538" s="18">
        <v>13946913.029999999</v>
      </c>
      <c r="K1538" s="15">
        <v>9621093</v>
      </c>
      <c r="L1538" s="13" t="s">
        <v>102</v>
      </c>
      <c r="M1538" s="13" t="s">
        <v>103</v>
      </c>
      <c r="N1538" s="139" t="s">
        <v>382</v>
      </c>
      <c r="O1538" s="139" t="s">
        <v>382</v>
      </c>
      <c r="P1538" s="28">
        <v>26</v>
      </c>
      <c r="Q1538" s="13" t="s">
        <v>54</v>
      </c>
      <c r="R1538" s="13" t="s">
        <v>28</v>
      </c>
      <c r="S1538" s="13"/>
      <c r="T1538" s="13"/>
      <c r="U1538" s="13" t="s">
        <v>2389</v>
      </c>
      <c r="V1538" s="13" t="s">
        <v>2389</v>
      </c>
      <c r="W1538" s="59">
        <f t="shared" si="23"/>
        <v>2.6645033635341962E-4</v>
      </c>
    </row>
    <row r="1539" spans="1:29">
      <c r="A1539" s="13" t="s">
        <v>432</v>
      </c>
      <c r="B1539" s="13" t="s">
        <v>471</v>
      </c>
      <c r="C1539" s="139">
        <v>46329</v>
      </c>
      <c r="D1539" s="139" t="s">
        <v>441</v>
      </c>
      <c r="E1539" s="28">
        <v>0.91013381999999998</v>
      </c>
      <c r="F1539" s="13"/>
      <c r="G1539" s="18">
        <v>990902.64</v>
      </c>
      <c r="H1539" s="18">
        <v>901854</v>
      </c>
      <c r="I1539" s="18">
        <v>990902.64</v>
      </c>
      <c r="J1539" s="18">
        <v>901854</v>
      </c>
      <c r="K1539" s="15">
        <v>2959</v>
      </c>
      <c r="L1539" s="13" t="s">
        <v>102</v>
      </c>
      <c r="M1539" s="13" t="s">
        <v>103</v>
      </c>
      <c r="N1539" s="139" t="s">
        <v>388</v>
      </c>
      <c r="O1539" s="139" t="s">
        <v>388</v>
      </c>
      <c r="P1539" s="28">
        <v>34</v>
      </c>
      <c r="Q1539" s="13" t="s">
        <v>54</v>
      </c>
      <c r="R1539" s="13" t="s">
        <v>28</v>
      </c>
      <c r="S1539" s="13"/>
      <c r="T1539" s="13"/>
      <c r="U1539" s="13" t="s">
        <v>2213</v>
      </c>
      <c r="V1539" s="13" t="s">
        <v>2213</v>
      </c>
      <c r="W1539" s="59">
        <f t="shared" si="23"/>
        <v>1.7229569089933368E-5</v>
      </c>
    </row>
    <row r="1540" spans="1:29">
      <c r="A1540" s="13" t="s">
        <v>432</v>
      </c>
      <c r="B1540" s="13" t="s">
        <v>471</v>
      </c>
      <c r="C1540" s="139">
        <v>46329</v>
      </c>
      <c r="D1540" s="139" t="s">
        <v>441</v>
      </c>
      <c r="E1540" s="28">
        <v>0.91013381000000004</v>
      </c>
      <c r="F1540" s="13"/>
      <c r="G1540" s="18">
        <v>1020845.65</v>
      </c>
      <c r="H1540" s="18">
        <v>929106.14</v>
      </c>
      <c r="I1540" s="18">
        <v>1020845.65</v>
      </c>
      <c r="J1540" s="18">
        <v>929106.14</v>
      </c>
      <c r="K1540" s="15">
        <v>2909</v>
      </c>
      <c r="L1540" s="13" t="s">
        <v>102</v>
      </c>
      <c r="M1540" s="13" t="s">
        <v>103</v>
      </c>
      <c r="N1540" s="139" t="s">
        <v>388</v>
      </c>
      <c r="O1540" s="139" t="s">
        <v>388</v>
      </c>
      <c r="P1540" s="28">
        <v>34</v>
      </c>
      <c r="Q1540" s="13" t="s">
        <v>54</v>
      </c>
      <c r="R1540" s="13" t="s">
        <v>28</v>
      </c>
      <c r="S1540" s="13"/>
      <c r="T1540" s="13"/>
      <c r="U1540" s="13" t="s">
        <v>2214</v>
      </c>
      <c r="V1540" s="13" t="s">
        <v>2214</v>
      </c>
      <c r="W1540" s="59">
        <f t="shared" si="23"/>
        <v>1.7750210600619725E-5</v>
      </c>
    </row>
    <row r="1541" spans="1:29">
      <c r="A1541" s="13" t="s">
        <v>323</v>
      </c>
      <c r="B1541" s="13" t="s">
        <v>471</v>
      </c>
      <c r="C1541" s="139">
        <v>46329</v>
      </c>
      <c r="D1541" s="139" t="s">
        <v>441</v>
      </c>
      <c r="E1541" s="28">
        <v>0.92729035999999998</v>
      </c>
      <c r="F1541" s="13"/>
      <c r="G1541" s="18">
        <v>10000000</v>
      </c>
      <c r="H1541" s="18">
        <v>9272903.6199999992</v>
      </c>
      <c r="I1541" s="18">
        <v>10000000</v>
      </c>
      <c r="J1541" s="18">
        <v>9272903.6199999992</v>
      </c>
      <c r="K1541" s="15">
        <v>2013</v>
      </c>
      <c r="L1541" s="13" t="s">
        <v>102</v>
      </c>
      <c r="M1541" s="13" t="s">
        <v>103</v>
      </c>
      <c r="N1541" s="139" t="s">
        <v>494</v>
      </c>
      <c r="O1541" s="139" t="s">
        <v>494</v>
      </c>
      <c r="P1541" s="28">
        <v>27</v>
      </c>
      <c r="Q1541" s="13" t="s">
        <v>54</v>
      </c>
      <c r="R1541" s="13" t="s">
        <v>28</v>
      </c>
      <c r="S1541" s="13"/>
      <c r="T1541" s="13"/>
      <c r="U1541" s="13" t="s">
        <v>2019</v>
      </c>
      <c r="V1541" s="13" t="s">
        <v>2019</v>
      </c>
      <c r="W1541" s="59">
        <f t="shared" ref="W1541:W1604" si="24">+J1541/$W$2</f>
        <v>1.7715520869795244E-4</v>
      </c>
      <c r="AC1541" s="56"/>
    </row>
    <row r="1542" spans="1:29">
      <c r="A1542" s="13" t="s">
        <v>380</v>
      </c>
      <c r="B1542" s="13" t="s">
        <v>471</v>
      </c>
      <c r="C1542" s="139">
        <v>46329</v>
      </c>
      <c r="D1542" s="139" t="s">
        <v>441</v>
      </c>
      <c r="E1542" s="28">
        <v>0.91985901000000003</v>
      </c>
      <c r="F1542" s="13"/>
      <c r="G1542" s="18">
        <v>100000000</v>
      </c>
      <c r="H1542" s="18">
        <v>91985901.349999994</v>
      </c>
      <c r="I1542" s="18">
        <v>100000000</v>
      </c>
      <c r="J1542" s="18">
        <v>91985901.349999994</v>
      </c>
      <c r="K1542" s="15">
        <v>6716</v>
      </c>
      <c r="L1542" s="13" t="s">
        <v>102</v>
      </c>
      <c r="M1542" s="13" t="s">
        <v>103</v>
      </c>
      <c r="N1542" s="139" t="s">
        <v>388</v>
      </c>
      <c r="O1542" s="139" t="s">
        <v>388</v>
      </c>
      <c r="P1542" s="28">
        <v>30</v>
      </c>
      <c r="Q1542" s="13" t="s">
        <v>54</v>
      </c>
      <c r="R1542" s="13" t="s">
        <v>28</v>
      </c>
      <c r="S1542" s="13"/>
      <c r="T1542" s="13"/>
      <c r="U1542" s="13" t="s">
        <v>2232</v>
      </c>
      <c r="V1542" s="13" t="s">
        <v>2232</v>
      </c>
      <c r="W1542" s="59">
        <f t="shared" si="24"/>
        <v>1.7573547853750383E-3</v>
      </c>
    </row>
    <row r="1543" spans="1:29">
      <c r="A1543" s="13" t="s">
        <v>163</v>
      </c>
      <c r="B1543" s="13" t="s">
        <v>471</v>
      </c>
      <c r="C1543" s="139">
        <v>46329</v>
      </c>
      <c r="D1543" s="139" t="s">
        <v>441</v>
      </c>
      <c r="E1543" s="28">
        <v>0.92729030000000001</v>
      </c>
      <c r="F1543" s="13"/>
      <c r="G1543" s="18">
        <v>110000000</v>
      </c>
      <c r="H1543" s="18">
        <v>102001933.54000001</v>
      </c>
      <c r="I1543" s="18">
        <v>110000000</v>
      </c>
      <c r="J1543" s="18">
        <v>102001933.54000001</v>
      </c>
      <c r="K1543" s="15">
        <v>377</v>
      </c>
      <c r="L1543" s="13" t="s">
        <v>102</v>
      </c>
      <c r="M1543" s="13" t="s">
        <v>103</v>
      </c>
      <c r="N1543" s="139" t="s">
        <v>493</v>
      </c>
      <c r="O1543" s="139" t="s">
        <v>493</v>
      </c>
      <c r="P1543" s="28">
        <v>27</v>
      </c>
      <c r="Q1543" s="13" t="s">
        <v>54</v>
      </c>
      <c r="R1543" s="13" t="s">
        <v>28</v>
      </c>
      <c r="S1543" s="13"/>
      <c r="T1543" s="13"/>
      <c r="U1543" s="13" t="s">
        <v>1943</v>
      </c>
      <c r="V1543" s="13" t="s">
        <v>1943</v>
      </c>
      <c r="W1543" s="59">
        <f t="shared" si="24"/>
        <v>1.9487071757005254E-3</v>
      </c>
    </row>
    <row r="1544" spans="1:29">
      <c r="A1544" s="13" t="s">
        <v>360</v>
      </c>
      <c r="B1544" s="13" t="s">
        <v>471</v>
      </c>
      <c r="C1544" s="139">
        <v>46329</v>
      </c>
      <c r="D1544" s="139" t="s">
        <v>441</v>
      </c>
      <c r="E1544" s="28">
        <v>0.93994652000000001</v>
      </c>
      <c r="F1544" s="13"/>
      <c r="G1544" s="18">
        <v>13000000</v>
      </c>
      <c r="H1544" s="18">
        <v>12219304.699999999</v>
      </c>
      <c r="I1544" s="18">
        <v>13000000</v>
      </c>
      <c r="J1544" s="18">
        <v>12219304.699999999</v>
      </c>
      <c r="K1544" s="15">
        <v>34115</v>
      </c>
      <c r="L1544" s="13" t="s">
        <v>102</v>
      </c>
      <c r="M1544" s="13" t="s">
        <v>103</v>
      </c>
      <c r="N1544" s="139" t="s">
        <v>172</v>
      </c>
      <c r="O1544" s="139" t="s">
        <v>172</v>
      </c>
      <c r="P1544" s="28">
        <v>22</v>
      </c>
      <c r="Q1544" s="13" t="s">
        <v>54</v>
      </c>
      <c r="R1544" s="13" t="s">
        <v>28</v>
      </c>
      <c r="S1544" s="13"/>
      <c r="T1544" s="13"/>
      <c r="U1544" s="13" t="s">
        <v>1821</v>
      </c>
      <c r="V1544" s="13" t="s">
        <v>1821</v>
      </c>
      <c r="W1544" s="59">
        <f t="shared" si="24"/>
        <v>2.3344505270209755E-4</v>
      </c>
      <c r="AC1544" s="56"/>
    </row>
    <row r="1545" spans="1:29">
      <c r="A1545" s="13" t="s">
        <v>1940</v>
      </c>
      <c r="B1545" s="13" t="s">
        <v>471</v>
      </c>
      <c r="C1545" s="139">
        <v>46329</v>
      </c>
      <c r="D1545" s="139" t="s">
        <v>441</v>
      </c>
      <c r="E1545" s="28">
        <v>0.90773446999999996</v>
      </c>
      <c r="F1545" s="13"/>
      <c r="G1545" s="18">
        <v>10867742.35</v>
      </c>
      <c r="H1545" s="18">
        <v>9865024.3300000001</v>
      </c>
      <c r="I1545" s="18">
        <v>10867742.35</v>
      </c>
      <c r="J1545" s="18">
        <v>9865024.3300000001</v>
      </c>
      <c r="K1545" s="15">
        <v>40603614</v>
      </c>
      <c r="L1545" s="13" t="s">
        <v>102</v>
      </c>
      <c r="M1545" s="13" t="s">
        <v>103</v>
      </c>
      <c r="N1545" s="139" t="s">
        <v>431</v>
      </c>
      <c r="O1545" s="139" t="s">
        <v>431</v>
      </c>
      <c r="P1545" s="28">
        <v>35</v>
      </c>
      <c r="Q1545" s="13" t="s">
        <v>54</v>
      </c>
      <c r="R1545" s="13" t="s">
        <v>28</v>
      </c>
      <c r="S1545" s="13"/>
      <c r="T1545" s="13"/>
      <c r="U1545" s="13" t="s">
        <v>1932</v>
      </c>
      <c r="V1545" s="13" t="s">
        <v>1932</v>
      </c>
      <c r="W1545" s="59">
        <f t="shared" si="24"/>
        <v>1.8846744402930919E-4</v>
      </c>
    </row>
    <row r="1546" spans="1:29">
      <c r="A1546" s="13" t="s">
        <v>129</v>
      </c>
      <c r="B1546" s="13" t="s">
        <v>130</v>
      </c>
      <c r="C1546" s="139">
        <v>46330</v>
      </c>
      <c r="D1546" s="139" t="s">
        <v>441</v>
      </c>
      <c r="E1546" s="28">
        <v>0.97429467999999997</v>
      </c>
      <c r="F1546" s="13" t="s">
        <v>2487</v>
      </c>
      <c r="G1546" s="18">
        <v>100000</v>
      </c>
      <c r="H1546" s="18">
        <v>97429.47</v>
      </c>
      <c r="I1546" s="18">
        <v>148017498.03999999</v>
      </c>
      <c r="J1546" s="18">
        <v>144212663.84</v>
      </c>
      <c r="K1546" s="15">
        <v>155821</v>
      </c>
      <c r="L1546" s="13" t="s">
        <v>102</v>
      </c>
      <c r="M1546" s="13" t="s">
        <v>103</v>
      </c>
      <c r="N1546" s="139" t="s">
        <v>402</v>
      </c>
      <c r="O1546" s="139" t="s">
        <v>402</v>
      </c>
      <c r="P1546" s="28">
        <v>9</v>
      </c>
      <c r="Q1546" s="13" t="s">
        <v>54</v>
      </c>
      <c r="R1546" s="13" t="s">
        <v>28</v>
      </c>
      <c r="S1546" s="13"/>
      <c r="T1546" s="13"/>
      <c r="U1546" s="13" t="s">
        <v>1903</v>
      </c>
      <c r="V1546" s="13" t="s">
        <v>1903</v>
      </c>
      <c r="W1546" s="59">
        <f t="shared" si="24"/>
        <v>2.7551267225899264E-3</v>
      </c>
    </row>
    <row r="1547" spans="1:29">
      <c r="A1547" s="13" t="s">
        <v>403</v>
      </c>
      <c r="B1547" s="13" t="s">
        <v>471</v>
      </c>
      <c r="C1547" s="139">
        <v>46330</v>
      </c>
      <c r="D1547" s="139" t="s">
        <v>441</v>
      </c>
      <c r="E1547" s="28">
        <v>0.91423706000000005</v>
      </c>
      <c r="F1547" s="13"/>
      <c r="G1547" s="18">
        <v>40000000</v>
      </c>
      <c r="H1547" s="18">
        <v>36569482.409999996</v>
      </c>
      <c r="I1547" s="18">
        <v>40000000</v>
      </c>
      <c r="J1547" s="18">
        <v>36569482.409999996</v>
      </c>
      <c r="K1547" s="15">
        <v>13953435</v>
      </c>
      <c r="L1547" s="13" t="s">
        <v>102</v>
      </c>
      <c r="M1547" s="13" t="s">
        <v>103</v>
      </c>
      <c r="N1547" s="139" t="s">
        <v>495</v>
      </c>
      <c r="O1547" s="139" t="s">
        <v>495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2127</v>
      </c>
      <c r="V1547" s="13" t="s">
        <v>2127</v>
      </c>
      <c r="W1547" s="59">
        <f t="shared" si="24"/>
        <v>6.9864570514318052E-4</v>
      </c>
      <c r="AC1547" s="56"/>
    </row>
    <row r="1548" spans="1:29">
      <c r="A1548" s="13" t="s">
        <v>432</v>
      </c>
      <c r="B1548" s="13" t="s">
        <v>471</v>
      </c>
      <c r="C1548" s="139">
        <v>46330</v>
      </c>
      <c r="D1548" s="139" t="s">
        <v>441</v>
      </c>
      <c r="E1548" s="28">
        <v>0.90936278999999998</v>
      </c>
      <c r="F1548" s="13"/>
      <c r="G1548" s="18">
        <v>990902.64</v>
      </c>
      <c r="H1548" s="18">
        <v>901089.99</v>
      </c>
      <c r="I1548" s="18">
        <v>990902.64</v>
      </c>
      <c r="J1548" s="18">
        <v>901089.99</v>
      </c>
      <c r="K1548" s="15">
        <v>2960</v>
      </c>
      <c r="L1548" s="13" t="s">
        <v>102</v>
      </c>
      <c r="M1548" s="13" t="s">
        <v>103</v>
      </c>
      <c r="N1548" s="139" t="s">
        <v>388</v>
      </c>
      <c r="O1548" s="139" t="s">
        <v>388</v>
      </c>
      <c r="P1548" s="28">
        <v>34</v>
      </c>
      <c r="Q1548" s="13" t="s">
        <v>54</v>
      </c>
      <c r="R1548" s="13" t="s">
        <v>28</v>
      </c>
      <c r="S1548" s="13"/>
      <c r="T1548" s="13"/>
      <c r="U1548" s="13" t="s">
        <v>2215</v>
      </c>
      <c r="V1548" s="13" t="s">
        <v>2215</v>
      </c>
      <c r="W1548" s="59">
        <f t="shared" si="24"/>
        <v>1.721497297672613E-5</v>
      </c>
    </row>
    <row r="1549" spans="1:29">
      <c r="A1549" s="13" t="s">
        <v>432</v>
      </c>
      <c r="B1549" s="13" t="s">
        <v>471</v>
      </c>
      <c r="C1549" s="139">
        <v>46330</v>
      </c>
      <c r="D1549" s="139" t="s">
        <v>441</v>
      </c>
      <c r="E1549" s="28">
        <v>0.90936278999999998</v>
      </c>
      <c r="F1549" s="13"/>
      <c r="G1549" s="18">
        <v>1020845.65</v>
      </c>
      <c r="H1549" s="18">
        <v>928319.05</v>
      </c>
      <c r="I1549" s="18">
        <v>1020845.65</v>
      </c>
      <c r="J1549" s="18">
        <v>928319.05</v>
      </c>
      <c r="K1549" s="15">
        <v>2910</v>
      </c>
      <c r="L1549" s="13" t="s">
        <v>102</v>
      </c>
      <c r="M1549" s="13" t="s">
        <v>103</v>
      </c>
      <c r="N1549" s="139" t="s">
        <v>388</v>
      </c>
      <c r="O1549" s="139" t="s">
        <v>388</v>
      </c>
      <c r="P1549" s="28">
        <v>34</v>
      </c>
      <c r="Q1549" s="13" t="s">
        <v>54</v>
      </c>
      <c r="R1549" s="13" t="s">
        <v>28</v>
      </c>
      <c r="S1549" s="13"/>
      <c r="T1549" s="13"/>
      <c r="U1549" s="13" t="s">
        <v>2216</v>
      </c>
      <c r="V1549" s="13" t="s">
        <v>2216</v>
      </c>
      <c r="W1549" s="59">
        <f t="shared" si="24"/>
        <v>1.7735173553010029E-5</v>
      </c>
    </row>
    <row r="1550" spans="1:29">
      <c r="A1550" s="13" t="s">
        <v>1310</v>
      </c>
      <c r="B1550" s="13" t="s">
        <v>471</v>
      </c>
      <c r="C1550" s="139">
        <v>46330</v>
      </c>
      <c r="D1550" s="139" t="s">
        <v>441</v>
      </c>
      <c r="E1550" s="28">
        <v>0.91179341999999997</v>
      </c>
      <c r="F1550" s="13"/>
      <c r="G1550" s="18">
        <v>933333333</v>
      </c>
      <c r="H1550" s="18">
        <v>851007194.96000004</v>
      </c>
      <c r="I1550" s="18">
        <v>933333333</v>
      </c>
      <c r="J1550" s="18">
        <v>851007194.96000004</v>
      </c>
      <c r="K1550" s="15">
        <v>154531</v>
      </c>
      <c r="L1550" s="13" t="s">
        <v>102</v>
      </c>
      <c r="M1550" s="13" t="s">
        <v>103</v>
      </c>
      <c r="N1550" s="139" t="s">
        <v>354</v>
      </c>
      <c r="O1550" s="139" t="s">
        <v>354</v>
      </c>
      <c r="P1550" s="28">
        <v>33</v>
      </c>
      <c r="Q1550" s="13" t="s">
        <v>54</v>
      </c>
      <c r="R1550" s="13" t="s">
        <v>28</v>
      </c>
      <c r="S1550" s="13"/>
      <c r="T1550" s="13"/>
      <c r="U1550" s="13" t="s">
        <v>1699</v>
      </c>
      <c r="V1550" s="13" t="s">
        <v>1699</v>
      </c>
      <c r="W1550" s="59">
        <f t="shared" si="24"/>
        <v>1.6258160701836121E-2</v>
      </c>
    </row>
    <row r="1551" spans="1:29">
      <c r="A1551" s="13" t="s">
        <v>555</v>
      </c>
      <c r="B1551" s="13" t="s">
        <v>471</v>
      </c>
      <c r="C1551" s="139">
        <v>46330</v>
      </c>
      <c r="D1551" s="139" t="s">
        <v>441</v>
      </c>
      <c r="E1551" s="28">
        <v>0.90936278000000004</v>
      </c>
      <c r="F1551" s="13"/>
      <c r="G1551" s="18">
        <v>3000000</v>
      </c>
      <c r="H1551" s="18">
        <v>2728088.35</v>
      </c>
      <c r="I1551" s="18">
        <v>3000000</v>
      </c>
      <c r="J1551" s="18">
        <v>2728088.35</v>
      </c>
      <c r="K1551" s="15">
        <v>4565</v>
      </c>
      <c r="L1551" s="13" t="s">
        <v>102</v>
      </c>
      <c r="M1551" s="13" t="s">
        <v>103</v>
      </c>
      <c r="N1551" s="139" t="s">
        <v>388</v>
      </c>
      <c r="O1551" s="139" t="s">
        <v>388</v>
      </c>
      <c r="P1551" s="28">
        <v>34</v>
      </c>
      <c r="Q1551" s="13" t="s">
        <v>54</v>
      </c>
      <c r="R1551" s="13" t="s">
        <v>28</v>
      </c>
      <c r="S1551" s="13"/>
      <c r="T1551" s="13"/>
      <c r="U1551" s="13" t="s">
        <v>2229</v>
      </c>
      <c r="V1551" s="13" t="s">
        <v>2229</v>
      </c>
      <c r="W1551" s="59">
        <f t="shared" si="24"/>
        <v>5.2119064404845261E-5</v>
      </c>
    </row>
    <row r="1552" spans="1:29">
      <c r="A1552" s="13" t="s">
        <v>344</v>
      </c>
      <c r="B1552" s="13" t="s">
        <v>130</v>
      </c>
      <c r="C1552" s="139">
        <v>46330</v>
      </c>
      <c r="D1552" s="139" t="s">
        <v>441</v>
      </c>
      <c r="E1552" s="28">
        <v>0.97708534000000002</v>
      </c>
      <c r="F1552" s="13" t="s">
        <v>2487</v>
      </c>
      <c r="G1552" s="18">
        <v>500000</v>
      </c>
      <c r="H1552" s="18">
        <v>488542.67</v>
      </c>
      <c r="I1552" s="18">
        <v>740087490.17999995</v>
      </c>
      <c r="J1552" s="18">
        <v>723128636.97000003</v>
      </c>
      <c r="K1552" s="15">
        <v>152502</v>
      </c>
      <c r="L1552" s="13" t="s">
        <v>102</v>
      </c>
      <c r="M1552" s="13" t="s">
        <v>103</v>
      </c>
      <c r="N1552" s="139" t="s">
        <v>373</v>
      </c>
      <c r="O1552" s="139" t="s">
        <v>373</v>
      </c>
      <c r="P1552" s="28">
        <v>8</v>
      </c>
      <c r="Q1552" s="13" t="s">
        <v>54</v>
      </c>
      <c r="R1552" s="13" t="s">
        <v>28</v>
      </c>
      <c r="S1552" s="13"/>
      <c r="T1552" s="13"/>
      <c r="U1552" s="13" t="s">
        <v>1425</v>
      </c>
      <c r="V1552" s="13" t="s">
        <v>1425</v>
      </c>
      <c r="W1552" s="59">
        <f t="shared" si="24"/>
        <v>1.3815090703799018E-2</v>
      </c>
    </row>
    <row r="1553" spans="1:29">
      <c r="A1553" s="13" t="s">
        <v>1507</v>
      </c>
      <c r="B1553" s="13" t="s">
        <v>471</v>
      </c>
      <c r="C1553" s="139">
        <v>46330</v>
      </c>
      <c r="D1553" s="139" t="s">
        <v>441</v>
      </c>
      <c r="E1553" s="28">
        <v>0.90454009999999996</v>
      </c>
      <c r="F1553" s="13"/>
      <c r="G1553" s="18">
        <v>20408241.140000001</v>
      </c>
      <c r="H1553" s="18">
        <v>18460072.440000001</v>
      </c>
      <c r="I1553" s="18">
        <v>20408241.140000001</v>
      </c>
      <c r="J1553" s="18">
        <v>18460072.440000001</v>
      </c>
      <c r="K1553" s="15">
        <v>67998060</v>
      </c>
      <c r="L1553" s="13" t="s">
        <v>102</v>
      </c>
      <c r="M1553" s="13" t="s">
        <v>103</v>
      </c>
      <c r="N1553" s="139" t="s">
        <v>172</v>
      </c>
      <c r="O1553" s="139" t="s">
        <v>172</v>
      </c>
      <c r="P1553" s="28">
        <v>36</v>
      </c>
      <c r="Q1553" s="13" t="s">
        <v>54</v>
      </c>
      <c r="R1553" s="13" t="s">
        <v>28</v>
      </c>
      <c r="S1553" s="13"/>
      <c r="T1553" s="13"/>
      <c r="U1553" s="13" t="s">
        <v>1824</v>
      </c>
      <c r="V1553" s="13" t="s">
        <v>1824</v>
      </c>
      <c r="W1553" s="59">
        <f t="shared" si="24"/>
        <v>3.5267248746488329E-4</v>
      </c>
    </row>
    <row r="1554" spans="1:29">
      <c r="A1554" s="13" t="s">
        <v>1904</v>
      </c>
      <c r="B1554" s="13" t="s">
        <v>471</v>
      </c>
      <c r="C1554" s="139">
        <v>46330</v>
      </c>
      <c r="D1554" s="139" t="s">
        <v>441</v>
      </c>
      <c r="E1554" s="28">
        <v>0.91916410000000004</v>
      </c>
      <c r="F1554" s="13"/>
      <c r="G1554" s="18">
        <v>10900000</v>
      </c>
      <c r="H1554" s="18">
        <v>10018888.710000001</v>
      </c>
      <c r="I1554" s="18">
        <v>10900000</v>
      </c>
      <c r="J1554" s="18">
        <v>10018888.710000001</v>
      </c>
      <c r="K1554" s="15">
        <v>237</v>
      </c>
      <c r="L1554" s="13" t="s">
        <v>102</v>
      </c>
      <c r="M1554" s="13" t="s">
        <v>103</v>
      </c>
      <c r="N1554" s="139" t="s">
        <v>402</v>
      </c>
      <c r="O1554" s="139" t="s">
        <v>402</v>
      </c>
      <c r="P1554" s="28">
        <v>30</v>
      </c>
      <c r="Q1554" s="13" t="s">
        <v>54</v>
      </c>
      <c r="R1554" s="13" t="s">
        <v>28</v>
      </c>
      <c r="S1554" s="13"/>
      <c r="T1554" s="13"/>
      <c r="U1554" s="13" t="s">
        <v>1881</v>
      </c>
      <c r="V1554" s="13" t="s">
        <v>1881</v>
      </c>
      <c r="W1554" s="59">
        <f t="shared" si="24"/>
        <v>1.9140696302649696E-4</v>
      </c>
    </row>
    <row r="1555" spans="1:29">
      <c r="A1555" s="13" t="s">
        <v>1046</v>
      </c>
      <c r="B1555" s="13" t="s">
        <v>471</v>
      </c>
      <c r="C1555" s="139">
        <v>46331</v>
      </c>
      <c r="D1555" s="139" t="s">
        <v>441</v>
      </c>
      <c r="E1555" s="28">
        <v>0.89654171000000005</v>
      </c>
      <c r="F1555" s="13"/>
      <c r="G1555" s="18">
        <v>3750000</v>
      </c>
      <c r="H1555" s="18">
        <v>3362031.43</v>
      </c>
      <c r="I1555" s="18">
        <v>3750000</v>
      </c>
      <c r="J1555" s="18">
        <v>3362031.43</v>
      </c>
      <c r="K1555" s="15">
        <v>66918287</v>
      </c>
      <c r="L1555" s="13" t="s">
        <v>102</v>
      </c>
      <c r="M1555" s="13" t="s">
        <v>103</v>
      </c>
      <c r="N1555" s="139" t="s">
        <v>364</v>
      </c>
      <c r="O1555" s="139" t="s">
        <v>364</v>
      </c>
      <c r="P1555" s="28">
        <v>39</v>
      </c>
      <c r="Q1555" s="13" t="s">
        <v>54</v>
      </c>
      <c r="R1555" s="13" t="s">
        <v>28</v>
      </c>
      <c r="S1555" s="13"/>
      <c r="T1555" s="13"/>
      <c r="U1555" s="13" t="s">
        <v>1034</v>
      </c>
      <c r="V1555" s="13" t="s">
        <v>1034</v>
      </c>
      <c r="W1555" s="59">
        <f t="shared" si="24"/>
        <v>6.4230299810958842E-5</v>
      </c>
    </row>
    <row r="1556" spans="1:29">
      <c r="A1556" s="13" t="s">
        <v>737</v>
      </c>
      <c r="B1556" s="13" t="s">
        <v>471</v>
      </c>
      <c r="C1556" s="139">
        <v>46331</v>
      </c>
      <c r="D1556" s="139" t="s">
        <v>441</v>
      </c>
      <c r="E1556" s="28">
        <v>0.92601997999999996</v>
      </c>
      <c r="F1556" s="13"/>
      <c r="G1556" s="18">
        <v>15000000</v>
      </c>
      <c r="H1556" s="18">
        <v>13890299.76</v>
      </c>
      <c r="I1556" s="18">
        <v>15000000</v>
      </c>
      <c r="J1556" s="18">
        <v>13890299.76</v>
      </c>
      <c r="K1556" s="15">
        <v>236</v>
      </c>
      <c r="L1556" s="13" t="s">
        <v>102</v>
      </c>
      <c r="M1556" s="13" t="s">
        <v>103</v>
      </c>
      <c r="N1556" s="139" t="s">
        <v>402</v>
      </c>
      <c r="O1556" s="139" t="s">
        <v>402</v>
      </c>
      <c r="P1556" s="28">
        <v>27</v>
      </c>
      <c r="Q1556" s="13" t="s">
        <v>54</v>
      </c>
      <c r="R1556" s="13" t="s">
        <v>28</v>
      </c>
      <c r="S1556" s="13"/>
      <c r="T1556" s="13"/>
      <c r="U1556" s="13" t="s">
        <v>1902</v>
      </c>
      <c r="V1556" s="13" t="s">
        <v>1902</v>
      </c>
      <c r="W1556" s="59">
        <f t="shared" si="24"/>
        <v>2.6536876190026861E-4</v>
      </c>
    </row>
    <row r="1557" spans="1:29">
      <c r="A1557" s="13" t="s">
        <v>737</v>
      </c>
      <c r="B1557" s="13" t="s">
        <v>471</v>
      </c>
      <c r="C1557" s="139">
        <v>46331</v>
      </c>
      <c r="D1557" s="139" t="s">
        <v>441</v>
      </c>
      <c r="E1557" s="28">
        <v>0.92601999999999995</v>
      </c>
      <c r="F1557" s="13"/>
      <c r="G1557" s="18">
        <v>25000000</v>
      </c>
      <c r="H1557" s="18">
        <v>23150499.93</v>
      </c>
      <c r="I1557" s="18">
        <v>25000000</v>
      </c>
      <c r="J1557" s="18">
        <v>23150499.93</v>
      </c>
      <c r="K1557" s="15">
        <v>9508922</v>
      </c>
      <c r="L1557" s="13" t="s">
        <v>102</v>
      </c>
      <c r="M1557" s="13" t="s">
        <v>103</v>
      </c>
      <c r="N1557" s="139" t="s">
        <v>783</v>
      </c>
      <c r="O1557" s="139" t="s">
        <v>783</v>
      </c>
      <c r="P1557" s="28">
        <v>27</v>
      </c>
      <c r="Q1557" s="13" t="s">
        <v>54</v>
      </c>
      <c r="R1557" s="13" t="s">
        <v>28</v>
      </c>
      <c r="S1557" s="13"/>
      <c r="T1557" s="13"/>
      <c r="U1557" s="13" t="s">
        <v>2063</v>
      </c>
      <c r="V1557" s="13" t="s">
        <v>2063</v>
      </c>
      <c r="W1557" s="59">
        <f t="shared" si="24"/>
        <v>4.4228127613830237E-4</v>
      </c>
    </row>
    <row r="1558" spans="1:29">
      <c r="A1558" s="13" t="s">
        <v>432</v>
      </c>
      <c r="B1558" s="13" t="s">
        <v>471</v>
      </c>
      <c r="C1558" s="139">
        <v>46331</v>
      </c>
      <c r="D1558" s="139" t="s">
        <v>441</v>
      </c>
      <c r="E1558" s="28">
        <v>0.90859314000000002</v>
      </c>
      <c r="F1558" s="13"/>
      <c r="G1558" s="18">
        <v>1020845.65</v>
      </c>
      <c r="H1558" s="18">
        <v>927533.36</v>
      </c>
      <c r="I1558" s="18">
        <v>1020845.65</v>
      </c>
      <c r="J1558" s="18">
        <v>927533.36</v>
      </c>
      <c r="K1558" s="15">
        <v>2911</v>
      </c>
      <c r="L1558" s="13" t="s">
        <v>102</v>
      </c>
      <c r="M1558" s="13" t="s">
        <v>103</v>
      </c>
      <c r="N1558" s="139" t="s">
        <v>392</v>
      </c>
      <c r="O1558" s="139" t="s">
        <v>392</v>
      </c>
      <c r="P1558" s="28">
        <v>34</v>
      </c>
      <c r="Q1558" s="13" t="s">
        <v>54</v>
      </c>
      <c r="R1558" s="13" t="s">
        <v>28</v>
      </c>
      <c r="S1558" s="13"/>
      <c r="T1558" s="13"/>
      <c r="U1558" s="13" t="s">
        <v>2293</v>
      </c>
      <c r="V1558" s="13" t="s">
        <v>2293</v>
      </c>
      <c r="W1558" s="59">
        <f t="shared" si="24"/>
        <v>1.7720163251854553E-5</v>
      </c>
    </row>
    <row r="1559" spans="1:29">
      <c r="A1559" s="13" t="s">
        <v>432</v>
      </c>
      <c r="B1559" s="13" t="s">
        <v>471</v>
      </c>
      <c r="C1559" s="139">
        <v>46331</v>
      </c>
      <c r="D1559" s="139" t="s">
        <v>441</v>
      </c>
      <c r="E1559" s="28">
        <v>0.90859314000000002</v>
      </c>
      <c r="F1559" s="13"/>
      <c r="G1559" s="18">
        <v>990902.64</v>
      </c>
      <c r="H1559" s="18">
        <v>900327.34</v>
      </c>
      <c r="I1559" s="18">
        <v>990902.64</v>
      </c>
      <c r="J1559" s="18">
        <v>900327.34</v>
      </c>
      <c r="K1559" s="15">
        <v>2961</v>
      </c>
      <c r="L1559" s="13" t="s">
        <v>102</v>
      </c>
      <c r="M1559" s="13" t="s">
        <v>103</v>
      </c>
      <c r="N1559" s="139" t="s">
        <v>392</v>
      </c>
      <c r="O1559" s="139" t="s">
        <v>392</v>
      </c>
      <c r="P1559" s="28">
        <v>34</v>
      </c>
      <c r="Q1559" s="13" t="s">
        <v>54</v>
      </c>
      <c r="R1559" s="13" t="s">
        <v>28</v>
      </c>
      <c r="S1559" s="13"/>
      <c r="T1559" s="13"/>
      <c r="U1559" s="13" t="s">
        <v>2296</v>
      </c>
      <c r="V1559" s="13" t="s">
        <v>2296</v>
      </c>
      <c r="W1559" s="59">
        <f t="shared" si="24"/>
        <v>1.7200402845788708E-5</v>
      </c>
    </row>
    <row r="1560" spans="1:29">
      <c r="A1560" s="13" t="s">
        <v>323</v>
      </c>
      <c r="B1560" s="13" t="s">
        <v>471</v>
      </c>
      <c r="C1560" s="139">
        <v>46331</v>
      </c>
      <c r="D1560" s="139" t="s">
        <v>441</v>
      </c>
      <c r="E1560" s="28">
        <v>0.92348960000000002</v>
      </c>
      <c r="F1560" s="13"/>
      <c r="G1560" s="18">
        <v>60000000</v>
      </c>
      <c r="H1560" s="18">
        <v>55409375.909999996</v>
      </c>
      <c r="I1560" s="18">
        <v>60000000</v>
      </c>
      <c r="J1560" s="18">
        <v>55409375.909999996</v>
      </c>
      <c r="K1560" s="15">
        <v>99</v>
      </c>
      <c r="L1560" s="13" t="s">
        <v>102</v>
      </c>
      <c r="M1560" s="13" t="s">
        <v>103</v>
      </c>
      <c r="N1560" s="139" t="s">
        <v>392</v>
      </c>
      <c r="O1560" s="139" t="s">
        <v>392</v>
      </c>
      <c r="P1560" s="28">
        <v>28</v>
      </c>
      <c r="Q1560" s="13" t="s">
        <v>54</v>
      </c>
      <c r="R1560" s="13" t="s">
        <v>28</v>
      </c>
      <c r="S1560" s="13"/>
      <c r="T1560" s="13"/>
      <c r="U1560" s="13" t="s">
        <v>2324</v>
      </c>
      <c r="V1560" s="13" t="s">
        <v>2324</v>
      </c>
      <c r="W1560" s="59">
        <f t="shared" si="24"/>
        <v>1.0585745258893729E-3</v>
      </c>
    </row>
    <row r="1561" spans="1:29">
      <c r="A1561" s="13" t="s">
        <v>661</v>
      </c>
      <c r="B1561" s="13" t="s">
        <v>471</v>
      </c>
      <c r="C1561" s="139">
        <v>46331</v>
      </c>
      <c r="D1561" s="139" t="s">
        <v>441</v>
      </c>
      <c r="E1561" s="28">
        <v>0.91847009000000002</v>
      </c>
      <c r="F1561" s="13"/>
      <c r="G1561" s="18">
        <v>11923076.92</v>
      </c>
      <c r="H1561" s="18">
        <v>10950989.539999999</v>
      </c>
      <c r="I1561" s="18">
        <v>11923076.92</v>
      </c>
      <c r="J1561" s="18">
        <v>10950989.539999999</v>
      </c>
      <c r="K1561" s="15">
        <v>90021990</v>
      </c>
      <c r="L1561" s="13" t="s">
        <v>102</v>
      </c>
      <c r="M1561" s="13" t="s">
        <v>103</v>
      </c>
      <c r="N1561" s="139" t="s">
        <v>357</v>
      </c>
      <c r="O1561" s="139" t="s">
        <v>357</v>
      </c>
      <c r="P1561" s="28">
        <v>30</v>
      </c>
      <c r="Q1561" s="13" t="s">
        <v>54</v>
      </c>
      <c r="R1561" s="13" t="s">
        <v>28</v>
      </c>
      <c r="S1561" s="13"/>
      <c r="T1561" s="13"/>
      <c r="U1561" s="13" t="s">
        <v>998</v>
      </c>
      <c r="V1561" s="13" t="s">
        <v>998</v>
      </c>
      <c r="W1561" s="59">
        <f t="shared" si="24"/>
        <v>2.0921438601211238E-4</v>
      </c>
    </row>
    <row r="1562" spans="1:29">
      <c r="A1562" s="13" t="s">
        <v>432</v>
      </c>
      <c r="B1562" s="13" t="s">
        <v>471</v>
      </c>
      <c r="C1562" s="139">
        <v>46335</v>
      </c>
      <c r="D1562" s="139" t="s">
        <v>441</v>
      </c>
      <c r="E1562" s="28">
        <v>0.90552750000000004</v>
      </c>
      <c r="F1562" s="13"/>
      <c r="G1562" s="18">
        <v>990902.64</v>
      </c>
      <c r="H1562" s="18">
        <v>897289.59</v>
      </c>
      <c r="I1562" s="18">
        <v>990902.64</v>
      </c>
      <c r="J1562" s="18">
        <v>897289.59</v>
      </c>
      <c r="K1562" s="15">
        <v>2962</v>
      </c>
      <c r="L1562" s="13" t="s">
        <v>102</v>
      </c>
      <c r="M1562" s="13" t="s">
        <v>103</v>
      </c>
      <c r="N1562" s="139" t="s">
        <v>392</v>
      </c>
      <c r="O1562" s="139" t="s">
        <v>392</v>
      </c>
      <c r="P1562" s="28">
        <v>34</v>
      </c>
      <c r="Q1562" s="13" t="s">
        <v>54</v>
      </c>
      <c r="R1562" s="13" t="s">
        <v>28</v>
      </c>
      <c r="S1562" s="13"/>
      <c r="T1562" s="13"/>
      <c r="U1562" s="13" t="s">
        <v>2300</v>
      </c>
      <c r="V1562" s="13" t="s">
        <v>2300</v>
      </c>
      <c r="W1562" s="59">
        <f t="shared" si="24"/>
        <v>1.7142367816279556E-5</v>
      </c>
    </row>
    <row r="1563" spans="1:29">
      <c r="A1563" s="13" t="s">
        <v>432</v>
      </c>
      <c r="B1563" s="13" t="s">
        <v>471</v>
      </c>
      <c r="C1563" s="139">
        <v>46335</v>
      </c>
      <c r="D1563" s="139" t="s">
        <v>441</v>
      </c>
      <c r="E1563" s="28">
        <v>0.90552748999999999</v>
      </c>
      <c r="F1563" s="13"/>
      <c r="G1563" s="18">
        <v>1020845.65</v>
      </c>
      <c r="H1563" s="18">
        <v>924403.8</v>
      </c>
      <c r="I1563" s="18">
        <v>1020845.65</v>
      </c>
      <c r="J1563" s="18">
        <v>924403.8</v>
      </c>
      <c r="K1563" s="15">
        <v>2912</v>
      </c>
      <c r="L1563" s="13" t="s">
        <v>102</v>
      </c>
      <c r="M1563" s="13" t="s">
        <v>103</v>
      </c>
      <c r="N1563" s="139" t="s">
        <v>392</v>
      </c>
      <c r="O1563" s="139" t="s">
        <v>392</v>
      </c>
      <c r="P1563" s="28">
        <v>34</v>
      </c>
      <c r="Q1563" s="13" t="s">
        <v>54</v>
      </c>
      <c r="R1563" s="13" t="s">
        <v>28</v>
      </c>
      <c r="S1563" s="13"/>
      <c r="T1563" s="13"/>
      <c r="U1563" s="13" t="s">
        <v>2301</v>
      </c>
      <c r="V1563" s="13" t="s">
        <v>2301</v>
      </c>
      <c r="W1563" s="59">
        <f t="shared" si="24"/>
        <v>1.7660374228086748E-5</v>
      </c>
    </row>
    <row r="1564" spans="1:29">
      <c r="A1564" s="13" t="s">
        <v>2189</v>
      </c>
      <c r="B1564" s="13" t="s">
        <v>471</v>
      </c>
      <c r="C1564" s="139">
        <v>46335</v>
      </c>
      <c r="D1564" s="139" t="s">
        <v>441</v>
      </c>
      <c r="E1564" s="28">
        <v>0.91058793000000005</v>
      </c>
      <c r="F1564" s="13"/>
      <c r="G1564" s="18">
        <v>475000000</v>
      </c>
      <c r="H1564" s="18">
        <v>432529268.45999998</v>
      </c>
      <c r="I1564" s="18">
        <v>475000000</v>
      </c>
      <c r="J1564" s="18">
        <v>432529268.45999998</v>
      </c>
      <c r="K1564" s="15">
        <v>931</v>
      </c>
      <c r="L1564" s="13" t="s">
        <v>102</v>
      </c>
      <c r="M1564" s="13" t="s">
        <v>103</v>
      </c>
      <c r="N1564" s="139" t="s">
        <v>495</v>
      </c>
      <c r="O1564" s="139" t="s">
        <v>495</v>
      </c>
      <c r="P1564" s="28">
        <v>32</v>
      </c>
      <c r="Q1564" s="13" t="s">
        <v>54</v>
      </c>
      <c r="R1564" s="13" t="s">
        <v>28</v>
      </c>
      <c r="S1564" s="13"/>
      <c r="T1564" s="13"/>
      <c r="U1564" s="13" t="s">
        <v>2162</v>
      </c>
      <c r="V1564" s="13" t="s">
        <v>2162</v>
      </c>
      <c r="W1564" s="59">
        <f t="shared" si="24"/>
        <v>8.2633030560932321E-3</v>
      </c>
      <c r="AC1564"/>
    </row>
    <row r="1565" spans="1:29">
      <c r="A1565" s="13" t="s">
        <v>1046</v>
      </c>
      <c r="B1565" s="13" t="s">
        <v>471</v>
      </c>
      <c r="C1565" s="139">
        <v>46336</v>
      </c>
      <c r="D1565" s="139" t="s">
        <v>441</v>
      </c>
      <c r="E1565" s="28">
        <v>0.89226791000000005</v>
      </c>
      <c r="F1565" s="13"/>
      <c r="G1565" s="18">
        <v>3750000</v>
      </c>
      <c r="H1565" s="18">
        <v>3346004.65</v>
      </c>
      <c r="I1565" s="18">
        <v>3750000</v>
      </c>
      <c r="J1565" s="18">
        <v>3346004.65</v>
      </c>
      <c r="K1565" s="15">
        <v>66918815</v>
      </c>
      <c r="L1565" s="13" t="s">
        <v>102</v>
      </c>
      <c r="M1565" s="13" t="s">
        <v>103</v>
      </c>
      <c r="N1565" s="139" t="s">
        <v>364</v>
      </c>
      <c r="O1565" s="139" t="s">
        <v>364</v>
      </c>
      <c r="P1565" s="28">
        <v>39</v>
      </c>
      <c r="Q1565" s="13" t="s">
        <v>54</v>
      </c>
      <c r="R1565" s="13" t="s">
        <v>28</v>
      </c>
      <c r="S1565" s="13"/>
      <c r="T1565" s="13"/>
      <c r="U1565" s="13" t="s">
        <v>1035</v>
      </c>
      <c r="V1565" s="13" t="s">
        <v>1035</v>
      </c>
      <c r="W1565" s="59">
        <f t="shared" si="24"/>
        <v>6.3924114426961917E-5</v>
      </c>
    </row>
    <row r="1566" spans="1:29">
      <c r="A1566" s="13" t="s">
        <v>186</v>
      </c>
      <c r="B1566" s="13" t="s">
        <v>471</v>
      </c>
      <c r="C1566" s="139">
        <v>46336</v>
      </c>
      <c r="D1566" s="139" t="s">
        <v>441</v>
      </c>
      <c r="E1566" s="28">
        <v>0.90730588000000001</v>
      </c>
      <c r="F1566" s="13"/>
      <c r="G1566" s="18">
        <v>933333333</v>
      </c>
      <c r="H1566" s="18">
        <v>846818820</v>
      </c>
      <c r="I1566" s="18">
        <v>933333333</v>
      </c>
      <c r="J1566" s="18">
        <v>846818820</v>
      </c>
      <c r="K1566" s="15">
        <v>154563</v>
      </c>
      <c r="L1566" s="13" t="s">
        <v>102</v>
      </c>
      <c r="M1566" s="13" t="s">
        <v>103</v>
      </c>
      <c r="N1566" s="139" t="s">
        <v>484</v>
      </c>
      <c r="O1566" s="139" t="s">
        <v>484</v>
      </c>
      <c r="P1566" s="28">
        <v>33</v>
      </c>
      <c r="Q1566" s="13" t="s">
        <v>54</v>
      </c>
      <c r="R1566" s="13" t="s">
        <v>28</v>
      </c>
      <c r="S1566" s="13"/>
      <c r="T1566" s="13"/>
      <c r="U1566" s="13" t="s">
        <v>1702</v>
      </c>
      <c r="V1566" s="13" t="s">
        <v>1702</v>
      </c>
      <c r="W1566" s="59">
        <f t="shared" si="24"/>
        <v>1.617814343102747E-2</v>
      </c>
    </row>
    <row r="1567" spans="1:29">
      <c r="A1567" s="13" t="s">
        <v>432</v>
      </c>
      <c r="B1567" s="13" t="s">
        <v>471</v>
      </c>
      <c r="C1567" s="139">
        <v>46336</v>
      </c>
      <c r="D1567" s="139" t="s">
        <v>441</v>
      </c>
      <c r="E1567" s="28">
        <v>0.90476451999999996</v>
      </c>
      <c r="F1567" s="13"/>
      <c r="G1567" s="18">
        <v>1020845.65</v>
      </c>
      <c r="H1567" s="18">
        <v>923624.92</v>
      </c>
      <c r="I1567" s="18">
        <v>1020845.65</v>
      </c>
      <c r="J1567" s="18">
        <v>923624.92</v>
      </c>
      <c r="K1567" s="15">
        <v>2913</v>
      </c>
      <c r="L1567" s="13" t="s">
        <v>102</v>
      </c>
      <c r="M1567" s="13" t="s">
        <v>103</v>
      </c>
      <c r="N1567" s="139" t="s">
        <v>392</v>
      </c>
      <c r="O1567" s="139" t="s">
        <v>392</v>
      </c>
      <c r="P1567" s="28">
        <v>34</v>
      </c>
      <c r="Q1567" s="13" t="s">
        <v>54</v>
      </c>
      <c r="R1567" s="13" t="s">
        <v>28</v>
      </c>
      <c r="S1567" s="13"/>
      <c r="T1567" s="13"/>
      <c r="U1567" s="13" t="s">
        <v>2294</v>
      </c>
      <c r="V1567" s="13" t="s">
        <v>2294</v>
      </c>
      <c r="W1567" s="59">
        <f t="shared" si="24"/>
        <v>1.7645494029326452E-5</v>
      </c>
      <c r="AC1567" s="56"/>
    </row>
    <row r="1568" spans="1:29">
      <c r="A1568" s="13" t="s">
        <v>432</v>
      </c>
      <c r="B1568" s="13" t="s">
        <v>471</v>
      </c>
      <c r="C1568" s="139">
        <v>46336</v>
      </c>
      <c r="D1568" s="139" t="s">
        <v>441</v>
      </c>
      <c r="E1568" s="28">
        <v>0.90476451999999996</v>
      </c>
      <c r="F1568" s="13"/>
      <c r="G1568" s="18">
        <v>990902.64</v>
      </c>
      <c r="H1568" s="18">
        <v>896533.55</v>
      </c>
      <c r="I1568" s="18">
        <v>990902.64</v>
      </c>
      <c r="J1568" s="18">
        <v>896533.55</v>
      </c>
      <c r="K1568" s="15">
        <v>2963</v>
      </c>
      <c r="L1568" s="13" t="s">
        <v>102</v>
      </c>
      <c r="M1568" s="13" t="s">
        <v>103</v>
      </c>
      <c r="N1568" s="139" t="s">
        <v>392</v>
      </c>
      <c r="O1568" s="139" t="s">
        <v>392</v>
      </c>
      <c r="P1568" s="28">
        <v>34</v>
      </c>
      <c r="Q1568" s="13" t="s">
        <v>54</v>
      </c>
      <c r="R1568" s="13" t="s">
        <v>28</v>
      </c>
      <c r="S1568" s="13"/>
      <c r="T1568" s="13"/>
      <c r="U1568" s="13" t="s">
        <v>2299</v>
      </c>
      <c r="V1568" s="13" t="s">
        <v>2299</v>
      </c>
      <c r="W1568" s="59">
        <f t="shared" si="24"/>
        <v>1.7127923966815283E-5</v>
      </c>
    </row>
    <row r="1569" spans="1:29">
      <c r="A1569" s="13" t="s">
        <v>510</v>
      </c>
      <c r="B1569" s="13" t="s">
        <v>471</v>
      </c>
      <c r="C1569" s="139">
        <v>46337</v>
      </c>
      <c r="D1569" s="139" t="s">
        <v>441</v>
      </c>
      <c r="E1569" s="28">
        <v>0.89892627999999997</v>
      </c>
      <c r="F1569" s="13"/>
      <c r="G1569" s="18">
        <v>8560000</v>
      </c>
      <c r="H1569" s="18">
        <v>7694808.9299999997</v>
      </c>
      <c r="I1569" s="18">
        <v>8560000</v>
      </c>
      <c r="J1569" s="18">
        <v>7694808.9299999997</v>
      </c>
      <c r="K1569" s="15">
        <v>13054211</v>
      </c>
      <c r="L1569" s="13" t="s">
        <v>102</v>
      </c>
      <c r="M1569" s="13" t="s">
        <v>103</v>
      </c>
      <c r="N1569" s="139" t="s">
        <v>327</v>
      </c>
      <c r="O1569" s="139" t="s">
        <v>327</v>
      </c>
      <c r="P1569" s="28">
        <v>36</v>
      </c>
      <c r="Q1569" s="13" t="s">
        <v>54</v>
      </c>
      <c r="R1569" s="13" t="s">
        <v>28</v>
      </c>
      <c r="S1569" s="13"/>
      <c r="T1569" s="13"/>
      <c r="U1569" s="13" t="s">
        <v>747</v>
      </c>
      <c r="V1569" s="13" t="s">
        <v>747</v>
      </c>
      <c r="W1569" s="59">
        <f t="shared" si="24"/>
        <v>1.4700632485221691E-4</v>
      </c>
    </row>
    <row r="1570" spans="1:29">
      <c r="A1570" s="13" t="s">
        <v>821</v>
      </c>
      <c r="B1570" s="13" t="s">
        <v>471</v>
      </c>
      <c r="C1570" s="139">
        <v>46337</v>
      </c>
      <c r="D1570" s="139" t="s">
        <v>441</v>
      </c>
      <c r="E1570" s="28">
        <v>0.90656214000000002</v>
      </c>
      <c r="F1570" s="13"/>
      <c r="G1570" s="18">
        <v>5448062.4299999997</v>
      </c>
      <c r="H1570" s="18">
        <v>4939007.12</v>
      </c>
      <c r="I1570" s="18">
        <v>5448062.4299999997</v>
      </c>
      <c r="J1570" s="18">
        <v>4939007.12</v>
      </c>
      <c r="K1570" s="15">
        <v>90000595</v>
      </c>
      <c r="L1570" s="13" t="s">
        <v>102</v>
      </c>
      <c r="M1570" s="13" t="s">
        <v>103</v>
      </c>
      <c r="N1570" s="139" t="s">
        <v>174</v>
      </c>
      <c r="O1570" s="139" t="s">
        <v>174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1332</v>
      </c>
      <c r="V1570" s="13" t="s">
        <v>1332</v>
      </c>
      <c r="W1570" s="59">
        <f t="shared" si="24"/>
        <v>9.4357805597926954E-5</v>
      </c>
    </row>
    <row r="1571" spans="1:29">
      <c r="A1571" s="13" t="s">
        <v>737</v>
      </c>
      <c r="B1571" s="13" t="s">
        <v>471</v>
      </c>
      <c r="C1571" s="139">
        <v>46337</v>
      </c>
      <c r="D1571" s="139" t="s">
        <v>441</v>
      </c>
      <c r="E1571" s="28">
        <v>0.91694728000000003</v>
      </c>
      <c r="F1571" s="13"/>
      <c r="G1571" s="18">
        <v>35000000</v>
      </c>
      <c r="H1571" s="18">
        <v>32093154.82</v>
      </c>
      <c r="I1571" s="18">
        <v>35000000</v>
      </c>
      <c r="J1571" s="18">
        <v>32093154.82</v>
      </c>
      <c r="K1571" s="15">
        <v>65</v>
      </c>
      <c r="L1571" s="13" t="s">
        <v>102</v>
      </c>
      <c r="M1571" s="13" t="s">
        <v>103</v>
      </c>
      <c r="N1571" s="139" t="s">
        <v>319</v>
      </c>
      <c r="O1571" s="139" t="s">
        <v>319</v>
      </c>
      <c r="P1571" s="28">
        <v>29</v>
      </c>
      <c r="Q1571" s="13" t="s">
        <v>54</v>
      </c>
      <c r="R1571" s="13" t="s">
        <v>28</v>
      </c>
      <c r="S1571" s="13"/>
      <c r="T1571" s="13"/>
      <c r="U1571" s="13" t="s">
        <v>1191</v>
      </c>
      <c r="V1571" s="13" t="s">
        <v>1191</v>
      </c>
      <c r="W1571" s="59">
        <f t="shared" si="24"/>
        <v>6.1312721159424699E-4</v>
      </c>
    </row>
    <row r="1572" spans="1:29">
      <c r="A1572" s="13" t="s">
        <v>432</v>
      </c>
      <c r="B1572" s="13" t="s">
        <v>471</v>
      </c>
      <c r="C1572" s="139">
        <v>46337</v>
      </c>
      <c r="D1572" s="139" t="s">
        <v>441</v>
      </c>
      <c r="E1572" s="28">
        <v>0.90400254999999996</v>
      </c>
      <c r="F1572" s="13"/>
      <c r="G1572" s="18">
        <v>990902.64</v>
      </c>
      <c r="H1572" s="18">
        <v>895778.52</v>
      </c>
      <c r="I1572" s="18">
        <v>990902.64</v>
      </c>
      <c r="J1572" s="18">
        <v>895778.52</v>
      </c>
      <c r="K1572" s="15">
        <v>2964</v>
      </c>
      <c r="L1572" s="13" t="s">
        <v>102</v>
      </c>
      <c r="M1572" s="13" t="s">
        <v>103</v>
      </c>
      <c r="N1572" s="139" t="s">
        <v>392</v>
      </c>
      <c r="O1572" s="139" t="s">
        <v>392</v>
      </c>
      <c r="P1572" s="28">
        <v>34</v>
      </c>
      <c r="Q1572" s="13" t="s">
        <v>54</v>
      </c>
      <c r="R1572" s="13" t="s">
        <v>28</v>
      </c>
      <c r="S1572" s="13"/>
      <c r="T1572" s="13"/>
      <c r="U1572" s="13" t="s">
        <v>2295</v>
      </c>
      <c r="V1572" s="13" t="s">
        <v>2295</v>
      </c>
      <c r="W1572" s="59">
        <f t="shared" si="24"/>
        <v>1.711349941300727E-5</v>
      </c>
    </row>
    <row r="1573" spans="1:29">
      <c r="A1573" s="13" t="s">
        <v>432</v>
      </c>
      <c r="B1573" s="13" t="s">
        <v>471</v>
      </c>
      <c r="C1573" s="139">
        <v>46337</v>
      </c>
      <c r="D1573" s="139" t="s">
        <v>441</v>
      </c>
      <c r="E1573" s="28">
        <v>0.90400256000000001</v>
      </c>
      <c r="F1573" s="13"/>
      <c r="G1573" s="18">
        <v>1020845.65</v>
      </c>
      <c r="H1573" s="18">
        <v>922847.08</v>
      </c>
      <c r="I1573" s="18">
        <v>1020845.65</v>
      </c>
      <c r="J1573" s="18">
        <v>922847.08</v>
      </c>
      <c r="K1573" s="15">
        <v>2915</v>
      </c>
      <c r="L1573" s="13" t="s">
        <v>102</v>
      </c>
      <c r="M1573" s="13" t="s">
        <v>103</v>
      </c>
      <c r="N1573" s="139" t="s">
        <v>392</v>
      </c>
      <c r="O1573" s="139" t="s">
        <v>392</v>
      </c>
      <c r="P1573" s="28">
        <v>34</v>
      </c>
      <c r="Q1573" s="13" t="s">
        <v>54</v>
      </c>
      <c r="R1573" s="13" t="s">
        <v>28</v>
      </c>
      <c r="S1573" s="13"/>
      <c r="T1573" s="13"/>
      <c r="U1573" s="13" t="s">
        <v>2297</v>
      </c>
      <c r="V1573" s="13" t="s">
        <v>2297</v>
      </c>
      <c r="W1573" s="59">
        <f t="shared" si="24"/>
        <v>1.7630633699360722E-5</v>
      </c>
    </row>
    <row r="1574" spans="1:29">
      <c r="A1574" s="13" t="s">
        <v>432</v>
      </c>
      <c r="B1574" s="13" t="s">
        <v>471</v>
      </c>
      <c r="C1574" s="139">
        <v>46337</v>
      </c>
      <c r="D1574" s="139" t="s">
        <v>441</v>
      </c>
      <c r="E1574" s="28">
        <v>0.90400256000000001</v>
      </c>
      <c r="F1574" s="13"/>
      <c r="G1574" s="18">
        <v>1020845.65</v>
      </c>
      <c r="H1574" s="18">
        <v>922847.08</v>
      </c>
      <c r="I1574" s="18">
        <v>1020845.65</v>
      </c>
      <c r="J1574" s="18">
        <v>922847.08</v>
      </c>
      <c r="K1574" s="15">
        <v>2914</v>
      </c>
      <c r="L1574" s="13" t="s">
        <v>102</v>
      </c>
      <c r="M1574" s="13" t="s">
        <v>103</v>
      </c>
      <c r="N1574" s="139" t="s">
        <v>392</v>
      </c>
      <c r="O1574" s="139" t="s">
        <v>392</v>
      </c>
      <c r="P1574" s="28">
        <v>34</v>
      </c>
      <c r="Q1574" s="13" t="s">
        <v>54</v>
      </c>
      <c r="R1574" s="13" t="s">
        <v>28</v>
      </c>
      <c r="S1574" s="13"/>
      <c r="T1574" s="13"/>
      <c r="U1574" s="13" t="s">
        <v>2298</v>
      </c>
      <c r="V1574" s="13" t="s">
        <v>2298</v>
      </c>
      <c r="W1574" s="59">
        <f t="shared" si="24"/>
        <v>1.7630633699360722E-5</v>
      </c>
    </row>
    <row r="1575" spans="1:29">
      <c r="A1575" s="13" t="s">
        <v>323</v>
      </c>
      <c r="B1575" s="13" t="s">
        <v>471</v>
      </c>
      <c r="C1575" s="139">
        <v>46337</v>
      </c>
      <c r="D1575" s="139" t="s">
        <v>441</v>
      </c>
      <c r="E1575" s="28">
        <v>0.91958092999999996</v>
      </c>
      <c r="F1575" s="13"/>
      <c r="G1575" s="18">
        <v>60000000</v>
      </c>
      <c r="H1575" s="18">
        <v>55174855.509999998</v>
      </c>
      <c r="I1575" s="18">
        <v>60000000</v>
      </c>
      <c r="J1575" s="18">
        <v>55174855.509999998</v>
      </c>
      <c r="K1575" s="15">
        <v>100</v>
      </c>
      <c r="L1575" s="13" t="s">
        <v>102</v>
      </c>
      <c r="M1575" s="13" t="s">
        <v>103</v>
      </c>
      <c r="N1575" s="139" t="s">
        <v>392</v>
      </c>
      <c r="O1575" s="139" t="s">
        <v>392</v>
      </c>
      <c r="P1575" s="28">
        <v>28</v>
      </c>
      <c r="Q1575" s="13" t="s">
        <v>54</v>
      </c>
      <c r="R1575" s="13" t="s">
        <v>28</v>
      </c>
      <c r="S1575" s="13"/>
      <c r="T1575" s="13"/>
      <c r="U1575" s="13" t="s">
        <v>2325</v>
      </c>
      <c r="V1575" s="13" t="s">
        <v>2325</v>
      </c>
      <c r="W1575" s="59">
        <f t="shared" si="24"/>
        <v>1.0540941050731444E-3</v>
      </c>
    </row>
    <row r="1576" spans="1:29">
      <c r="A1576" s="13" t="s">
        <v>323</v>
      </c>
      <c r="B1576" s="13" t="s">
        <v>471</v>
      </c>
      <c r="C1576" s="139">
        <v>46337</v>
      </c>
      <c r="D1576" s="139" t="s">
        <v>441</v>
      </c>
      <c r="E1576" s="28">
        <v>0.92222956</v>
      </c>
      <c r="F1576" s="13"/>
      <c r="G1576" s="18">
        <v>10000000</v>
      </c>
      <c r="H1576" s="18">
        <v>9222295.6400000006</v>
      </c>
      <c r="I1576" s="18">
        <v>10000000</v>
      </c>
      <c r="J1576" s="18">
        <v>9222295.6400000006</v>
      </c>
      <c r="K1576" s="15">
        <v>2014</v>
      </c>
      <c r="L1576" s="13" t="s">
        <v>102</v>
      </c>
      <c r="M1576" s="13" t="s">
        <v>103</v>
      </c>
      <c r="N1576" s="139" t="s">
        <v>494</v>
      </c>
      <c r="O1576" s="139" t="s">
        <v>494</v>
      </c>
      <c r="P1576" s="28">
        <v>27</v>
      </c>
      <c r="Q1576" s="13" t="s">
        <v>54</v>
      </c>
      <c r="R1576" s="13" t="s">
        <v>28</v>
      </c>
      <c r="S1576" s="13"/>
      <c r="T1576" s="13"/>
      <c r="U1576" s="13" t="s">
        <v>2022</v>
      </c>
      <c r="V1576" s="13" t="s">
        <v>2022</v>
      </c>
      <c r="W1576" s="59">
        <f t="shared" si="24"/>
        <v>1.7618836296914053E-4</v>
      </c>
    </row>
    <row r="1577" spans="1:29">
      <c r="A1577" s="13" t="s">
        <v>322</v>
      </c>
      <c r="B1577" s="13" t="s">
        <v>471</v>
      </c>
      <c r="C1577" s="139">
        <v>46337</v>
      </c>
      <c r="D1577" s="139" t="s">
        <v>441</v>
      </c>
      <c r="E1577" s="28">
        <v>0.91694721999999995</v>
      </c>
      <c r="F1577" s="13"/>
      <c r="G1577" s="18">
        <v>5109127.71</v>
      </c>
      <c r="H1577" s="18">
        <v>4684800.4400000004</v>
      </c>
      <c r="I1577" s="18">
        <v>5109127.71</v>
      </c>
      <c r="J1577" s="18">
        <v>4684800.4400000004</v>
      </c>
      <c r="K1577" s="15">
        <v>90000654</v>
      </c>
      <c r="L1577" s="13" t="s">
        <v>102</v>
      </c>
      <c r="M1577" s="13" t="s">
        <v>103</v>
      </c>
      <c r="N1577" s="139" t="s">
        <v>431</v>
      </c>
      <c r="O1577" s="139" t="s">
        <v>431</v>
      </c>
      <c r="P1577" s="28">
        <v>29</v>
      </c>
      <c r="Q1577" s="13" t="s">
        <v>54</v>
      </c>
      <c r="R1577" s="13" t="s">
        <v>28</v>
      </c>
      <c r="S1577" s="13"/>
      <c r="T1577" s="13"/>
      <c r="U1577" s="13" t="s">
        <v>1923</v>
      </c>
      <c r="V1577" s="13" t="s">
        <v>1923</v>
      </c>
      <c r="W1577" s="59">
        <f t="shared" si="24"/>
        <v>8.9501286076826449E-5</v>
      </c>
    </row>
    <row r="1578" spans="1:29">
      <c r="A1578" s="13" t="s">
        <v>698</v>
      </c>
      <c r="B1578" s="13" t="s">
        <v>471</v>
      </c>
      <c r="C1578" s="139">
        <v>46338</v>
      </c>
      <c r="D1578" s="139" t="s">
        <v>441</v>
      </c>
      <c r="E1578" s="28">
        <v>0.91627977000000005</v>
      </c>
      <c r="F1578" s="13"/>
      <c r="G1578" s="18">
        <v>11000000</v>
      </c>
      <c r="H1578" s="18">
        <v>10079077.5</v>
      </c>
      <c r="I1578" s="18">
        <v>11000000</v>
      </c>
      <c r="J1578" s="18">
        <v>10079077.5</v>
      </c>
      <c r="K1578" s="15">
        <v>90000056</v>
      </c>
      <c r="L1578" s="13" t="s">
        <v>102</v>
      </c>
      <c r="M1578" s="13" t="s">
        <v>103</v>
      </c>
      <c r="N1578" s="139" t="s">
        <v>402</v>
      </c>
      <c r="O1578" s="139" t="s">
        <v>402</v>
      </c>
      <c r="P1578" s="28">
        <v>29</v>
      </c>
      <c r="Q1578" s="13" t="s">
        <v>54</v>
      </c>
      <c r="R1578" s="13" t="s">
        <v>28</v>
      </c>
      <c r="S1578" s="13"/>
      <c r="T1578" s="13"/>
      <c r="U1578" s="13" t="s">
        <v>1872</v>
      </c>
      <c r="V1578" s="13" t="s">
        <v>1872</v>
      </c>
      <c r="W1578" s="59">
        <f t="shared" si="24"/>
        <v>1.9255684639536209E-4</v>
      </c>
    </row>
    <row r="1579" spans="1:29">
      <c r="A1579" s="13" t="s">
        <v>510</v>
      </c>
      <c r="B1579" s="13" t="s">
        <v>471</v>
      </c>
      <c r="C1579" s="139">
        <v>46338</v>
      </c>
      <c r="D1579" s="139" t="s">
        <v>441</v>
      </c>
      <c r="E1579" s="28">
        <v>0.89812994000000002</v>
      </c>
      <c r="F1579" s="13"/>
      <c r="G1579" s="18">
        <v>8560000</v>
      </c>
      <c r="H1579" s="18">
        <v>7687992.2800000003</v>
      </c>
      <c r="I1579" s="18">
        <v>8560000</v>
      </c>
      <c r="J1579" s="18">
        <v>7687992.2800000003</v>
      </c>
      <c r="K1579" s="15">
        <v>13054212</v>
      </c>
      <c r="L1579" s="13" t="s">
        <v>102</v>
      </c>
      <c r="M1579" s="13" t="s">
        <v>103</v>
      </c>
      <c r="N1579" s="139" t="s">
        <v>327</v>
      </c>
      <c r="O1579" s="139" t="s">
        <v>327</v>
      </c>
      <c r="P1579" s="28">
        <v>36</v>
      </c>
      <c r="Q1579" s="13" t="s">
        <v>54</v>
      </c>
      <c r="R1579" s="13" t="s">
        <v>28</v>
      </c>
      <c r="S1579" s="13"/>
      <c r="T1579" s="13"/>
      <c r="U1579" s="13" t="s">
        <v>740</v>
      </c>
      <c r="V1579" s="13" t="s">
        <v>740</v>
      </c>
      <c r="W1579" s="59">
        <f t="shared" si="24"/>
        <v>1.4687609541137961E-4</v>
      </c>
    </row>
    <row r="1580" spans="1:29">
      <c r="A1580" s="13" t="s">
        <v>491</v>
      </c>
      <c r="B1580" s="13" t="s">
        <v>471</v>
      </c>
      <c r="C1580" s="139">
        <v>46338</v>
      </c>
      <c r="D1580" s="139" t="s">
        <v>441</v>
      </c>
      <c r="E1580" s="28">
        <v>0.90324194000000002</v>
      </c>
      <c r="F1580" s="13"/>
      <c r="G1580" s="18">
        <v>4000000</v>
      </c>
      <c r="H1580" s="18">
        <v>3612967.76</v>
      </c>
      <c r="I1580" s="18">
        <v>4000000</v>
      </c>
      <c r="J1580" s="18">
        <v>3612967.76</v>
      </c>
      <c r="K1580" s="15">
        <v>90000052</v>
      </c>
      <c r="L1580" s="13" t="s">
        <v>102</v>
      </c>
      <c r="M1580" s="13" t="s">
        <v>103</v>
      </c>
      <c r="N1580" s="139" t="s">
        <v>400</v>
      </c>
      <c r="O1580" s="139" t="s">
        <v>400</v>
      </c>
      <c r="P1580" s="28">
        <v>34</v>
      </c>
      <c r="Q1580" s="13" t="s">
        <v>54</v>
      </c>
      <c r="R1580" s="13" t="s">
        <v>28</v>
      </c>
      <c r="S1580" s="13"/>
      <c r="T1580" s="13"/>
      <c r="U1580" s="13" t="s">
        <v>1547</v>
      </c>
      <c r="V1580" s="13" t="s">
        <v>1547</v>
      </c>
      <c r="W1580" s="59">
        <f t="shared" si="24"/>
        <v>6.9024340570227315E-5</v>
      </c>
      <c r="AC1580" s="56"/>
    </row>
    <row r="1581" spans="1:29">
      <c r="A1581" s="13" t="s">
        <v>1046</v>
      </c>
      <c r="B1581" s="13" t="s">
        <v>471</v>
      </c>
      <c r="C1581" s="139">
        <v>46338</v>
      </c>
      <c r="D1581" s="139" t="s">
        <v>441</v>
      </c>
      <c r="E1581" s="28">
        <v>0.89056988999999998</v>
      </c>
      <c r="F1581" s="13"/>
      <c r="G1581" s="18">
        <v>3750000</v>
      </c>
      <c r="H1581" s="18">
        <v>3339637.08</v>
      </c>
      <c r="I1581" s="18">
        <v>3750000</v>
      </c>
      <c r="J1581" s="18">
        <v>3339637.08</v>
      </c>
      <c r="K1581" s="15">
        <v>66918856</v>
      </c>
      <c r="L1581" s="13" t="s">
        <v>102</v>
      </c>
      <c r="M1581" s="13" t="s">
        <v>103</v>
      </c>
      <c r="N1581" s="139" t="s">
        <v>364</v>
      </c>
      <c r="O1581" s="139" t="s">
        <v>364</v>
      </c>
      <c r="P1581" s="28">
        <v>39</v>
      </c>
      <c r="Q1581" s="13" t="s">
        <v>54</v>
      </c>
      <c r="R1581" s="13" t="s">
        <v>28</v>
      </c>
      <c r="S1581" s="13"/>
      <c r="T1581" s="13"/>
      <c r="U1581" s="13" t="s">
        <v>1028</v>
      </c>
      <c r="V1581" s="13" t="s">
        <v>1028</v>
      </c>
      <c r="W1581" s="59">
        <f t="shared" si="24"/>
        <v>6.3802464484454612E-5</v>
      </c>
    </row>
    <row r="1582" spans="1:29">
      <c r="A1582" s="13" t="s">
        <v>661</v>
      </c>
      <c r="B1582" s="13" t="s">
        <v>471</v>
      </c>
      <c r="C1582" s="139">
        <v>46338</v>
      </c>
      <c r="D1582" s="139" t="s">
        <v>441</v>
      </c>
      <c r="E1582" s="28">
        <v>0.91627970000000003</v>
      </c>
      <c r="F1582" s="13"/>
      <c r="G1582" s="18">
        <v>17118303</v>
      </c>
      <c r="H1582" s="18">
        <v>15685153.470000001</v>
      </c>
      <c r="I1582" s="18">
        <v>17118303</v>
      </c>
      <c r="J1582" s="18">
        <v>15685153.470000001</v>
      </c>
      <c r="K1582" s="15">
        <v>27672</v>
      </c>
      <c r="L1582" s="13" t="s">
        <v>102</v>
      </c>
      <c r="M1582" s="13" t="s">
        <v>103</v>
      </c>
      <c r="N1582" s="139" t="s">
        <v>341</v>
      </c>
      <c r="O1582" s="139" t="s">
        <v>341</v>
      </c>
      <c r="P1582" s="28">
        <v>29</v>
      </c>
      <c r="Q1582" s="13" t="s">
        <v>54</v>
      </c>
      <c r="R1582" s="13" t="s">
        <v>28</v>
      </c>
      <c r="S1582" s="13"/>
      <c r="T1582" s="13"/>
      <c r="U1582" s="13" t="s">
        <v>911</v>
      </c>
      <c r="V1582" s="13" t="s">
        <v>911</v>
      </c>
      <c r="W1582" s="59">
        <f t="shared" si="24"/>
        <v>2.9965874232145459E-4</v>
      </c>
    </row>
    <row r="1583" spans="1:29">
      <c r="A1583" s="13" t="s">
        <v>323</v>
      </c>
      <c r="B1583" s="13" t="s">
        <v>471</v>
      </c>
      <c r="C1583" s="139">
        <v>46339</v>
      </c>
      <c r="D1583" s="139" t="s">
        <v>441</v>
      </c>
      <c r="E1583" s="28">
        <v>0.92367657000000003</v>
      </c>
      <c r="F1583" s="13"/>
      <c r="G1583" s="18">
        <v>15000000</v>
      </c>
      <c r="H1583" s="18">
        <v>13855148.58</v>
      </c>
      <c r="I1583" s="18">
        <v>15000000</v>
      </c>
      <c r="J1583" s="18">
        <v>13855148.58</v>
      </c>
      <c r="K1583" s="15">
        <v>9621094</v>
      </c>
      <c r="L1583" s="13" t="s">
        <v>102</v>
      </c>
      <c r="M1583" s="13" t="s">
        <v>103</v>
      </c>
      <c r="N1583" s="139" t="s">
        <v>382</v>
      </c>
      <c r="O1583" s="139" t="s">
        <v>382</v>
      </c>
      <c r="P1583" s="28">
        <v>26</v>
      </c>
      <c r="Q1583" s="13" t="s">
        <v>54</v>
      </c>
      <c r="R1583" s="13" t="s">
        <v>28</v>
      </c>
      <c r="S1583" s="13"/>
      <c r="T1583" s="13"/>
      <c r="U1583" s="13" t="s">
        <v>2383</v>
      </c>
      <c r="V1583" s="13" t="s">
        <v>2383</v>
      </c>
      <c r="W1583" s="59">
        <f t="shared" si="24"/>
        <v>2.6469721230975543E-4</v>
      </c>
    </row>
    <row r="1584" spans="1:29">
      <c r="A1584" s="13" t="s">
        <v>1046</v>
      </c>
      <c r="B1584" s="13" t="s">
        <v>471</v>
      </c>
      <c r="C1584" s="139">
        <v>46342</v>
      </c>
      <c r="D1584" s="139" t="s">
        <v>441</v>
      </c>
      <c r="E1584" s="28">
        <v>0.88719298000000002</v>
      </c>
      <c r="F1584" s="13"/>
      <c r="G1584" s="18">
        <v>3750000</v>
      </c>
      <c r="H1584" s="18">
        <v>3326973.66</v>
      </c>
      <c r="I1584" s="18">
        <v>3750000</v>
      </c>
      <c r="J1584" s="18">
        <v>3326973.66</v>
      </c>
      <c r="K1584" s="15">
        <v>66918897</v>
      </c>
      <c r="L1584" s="13" t="s">
        <v>102</v>
      </c>
      <c r="M1584" s="13" t="s">
        <v>103</v>
      </c>
      <c r="N1584" s="139" t="s">
        <v>364</v>
      </c>
      <c r="O1584" s="139" t="s">
        <v>364</v>
      </c>
      <c r="P1584" s="28">
        <v>39</v>
      </c>
      <c r="Q1584" s="13" t="s">
        <v>54</v>
      </c>
      <c r="R1584" s="13" t="s">
        <v>28</v>
      </c>
      <c r="S1584" s="13"/>
      <c r="T1584" s="13"/>
      <c r="U1584" s="13" t="s">
        <v>1029</v>
      </c>
      <c r="V1584" s="13" t="s">
        <v>1029</v>
      </c>
      <c r="W1584" s="59">
        <f t="shared" si="24"/>
        <v>6.3560534782080566E-5</v>
      </c>
    </row>
    <row r="1585" spans="1:29">
      <c r="A1585" s="13" t="s">
        <v>510</v>
      </c>
      <c r="B1585" s="13" t="s">
        <v>471</v>
      </c>
      <c r="C1585" s="139">
        <v>46343</v>
      </c>
      <c r="D1585" s="139" t="s">
        <v>441</v>
      </c>
      <c r="E1585" s="28">
        <v>0.89416965000000004</v>
      </c>
      <c r="F1585" s="13"/>
      <c r="G1585" s="18">
        <v>9450000</v>
      </c>
      <c r="H1585" s="18">
        <v>8449903.1799999997</v>
      </c>
      <c r="I1585" s="18">
        <v>9450000</v>
      </c>
      <c r="J1585" s="18">
        <v>8449903.1799999997</v>
      </c>
      <c r="K1585" s="15">
        <v>66335143</v>
      </c>
      <c r="L1585" s="13" t="s">
        <v>102</v>
      </c>
      <c r="M1585" s="13" t="s">
        <v>103</v>
      </c>
      <c r="N1585" s="139" t="s">
        <v>327</v>
      </c>
      <c r="O1585" s="139" t="s">
        <v>327</v>
      </c>
      <c r="P1585" s="28">
        <v>36</v>
      </c>
      <c r="Q1585" s="13" t="s">
        <v>54</v>
      </c>
      <c r="R1585" s="13" t="s">
        <v>28</v>
      </c>
      <c r="S1585" s="13"/>
      <c r="T1585" s="13"/>
      <c r="U1585" s="13" t="s">
        <v>742</v>
      </c>
      <c r="V1585" s="13" t="s">
        <v>742</v>
      </c>
      <c r="W1585" s="59">
        <f t="shared" si="24"/>
        <v>1.6143210613143329E-4</v>
      </c>
    </row>
    <row r="1586" spans="1:29">
      <c r="A1586" s="13" t="s">
        <v>1507</v>
      </c>
      <c r="B1586" s="13" t="s">
        <v>471</v>
      </c>
      <c r="C1586" s="139">
        <v>46343</v>
      </c>
      <c r="D1586" s="139" t="s">
        <v>441</v>
      </c>
      <c r="E1586" s="28">
        <v>0.90480927</v>
      </c>
      <c r="F1586" s="13"/>
      <c r="G1586" s="18">
        <v>15000000</v>
      </c>
      <c r="H1586" s="18">
        <v>13572139.1</v>
      </c>
      <c r="I1586" s="18">
        <v>15000000</v>
      </c>
      <c r="J1586" s="18">
        <v>13572139.1</v>
      </c>
      <c r="K1586" s="15">
        <v>67449055</v>
      </c>
      <c r="L1586" s="13" t="s">
        <v>102</v>
      </c>
      <c r="M1586" s="13" t="s">
        <v>103</v>
      </c>
      <c r="N1586" s="139" t="s">
        <v>343</v>
      </c>
      <c r="O1586" s="139" t="s">
        <v>343</v>
      </c>
      <c r="P1586" s="28">
        <v>32</v>
      </c>
      <c r="Q1586" s="13" t="s">
        <v>54</v>
      </c>
      <c r="R1586" s="13" t="s">
        <v>28</v>
      </c>
      <c r="S1586" s="13"/>
      <c r="T1586" s="13"/>
      <c r="U1586" s="13" t="s">
        <v>1504</v>
      </c>
      <c r="V1586" s="13" t="s">
        <v>1504</v>
      </c>
      <c r="W1586" s="59">
        <f t="shared" si="24"/>
        <v>2.5929042652318008E-4</v>
      </c>
    </row>
    <row r="1587" spans="1:29">
      <c r="A1587" s="13" t="s">
        <v>653</v>
      </c>
      <c r="B1587" s="13" t="s">
        <v>130</v>
      </c>
      <c r="C1587" s="139">
        <v>46343</v>
      </c>
      <c r="D1587" s="139" t="s">
        <v>441</v>
      </c>
      <c r="E1587" s="28">
        <v>0.97437156000000003</v>
      </c>
      <c r="F1587" s="13" t="s">
        <v>2487</v>
      </c>
      <c r="G1587" s="18">
        <v>18230</v>
      </c>
      <c r="H1587" s="18">
        <v>17762.79</v>
      </c>
      <c r="I1587" s="18">
        <v>26983589.890000001</v>
      </c>
      <c r="J1587" s="18">
        <v>26292037.34</v>
      </c>
      <c r="K1587" s="15">
        <v>146446</v>
      </c>
      <c r="L1587" s="13" t="s">
        <v>102</v>
      </c>
      <c r="M1587" s="13" t="s">
        <v>103</v>
      </c>
      <c r="N1587" s="139" t="s">
        <v>358</v>
      </c>
      <c r="O1587" s="139" t="s">
        <v>358</v>
      </c>
      <c r="P1587" s="28">
        <v>8</v>
      </c>
      <c r="Q1587" s="13" t="s">
        <v>54</v>
      </c>
      <c r="R1587" s="13" t="s">
        <v>28</v>
      </c>
      <c r="S1587" s="13"/>
      <c r="T1587" s="13"/>
      <c r="U1587" s="13" t="s">
        <v>633</v>
      </c>
      <c r="V1587" s="13" t="s">
        <v>633</v>
      </c>
      <c r="W1587" s="59">
        <f t="shared" si="24"/>
        <v>5.0229912365486857E-4</v>
      </c>
    </row>
    <row r="1588" spans="1:29">
      <c r="A1588" s="13" t="s">
        <v>737</v>
      </c>
      <c r="B1588" s="13" t="s">
        <v>471</v>
      </c>
      <c r="C1588" s="139">
        <v>46343</v>
      </c>
      <c r="D1588" s="139" t="s">
        <v>441</v>
      </c>
      <c r="E1588" s="28">
        <v>0.91295663000000005</v>
      </c>
      <c r="F1588" s="13"/>
      <c r="G1588" s="18">
        <v>35000000</v>
      </c>
      <c r="H1588" s="18">
        <v>31953481.920000002</v>
      </c>
      <c r="I1588" s="18">
        <v>35000000</v>
      </c>
      <c r="J1588" s="18">
        <v>31953481.920000002</v>
      </c>
      <c r="K1588" s="15">
        <v>66</v>
      </c>
      <c r="L1588" s="13" t="s">
        <v>102</v>
      </c>
      <c r="M1588" s="13" t="s">
        <v>103</v>
      </c>
      <c r="N1588" s="139" t="s">
        <v>319</v>
      </c>
      <c r="O1588" s="139" t="s">
        <v>319</v>
      </c>
      <c r="P1588" s="28">
        <v>29</v>
      </c>
      <c r="Q1588" s="13" t="s">
        <v>54</v>
      </c>
      <c r="R1588" s="13" t="s">
        <v>28</v>
      </c>
      <c r="S1588" s="13"/>
      <c r="T1588" s="13"/>
      <c r="U1588" s="13" t="s">
        <v>1192</v>
      </c>
      <c r="V1588" s="13" t="s">
        <v>1192</v>
      </c>
      <c r="W1588" s="59">
        <f t="shared" si="24"/>
        <v>6.1045881529003224E-4</v>
      </c>
    </row>
    <row r="1589" spans="1:29">
      <c r="A1589" s="13" t="s">
        <v>737</v>
      </c>
      <c r="B1589" s="13" t="s">
        <v>471</v>
      </c>
      <c r="C1589" s="139">
        <v>46343</v>
      </c>
      <c r="D1589" s="139" t="s">
        <v>441</v>
      </c>
      <c r="E1589" s="28">
        <v>0.92405064000000003</v>
      </c>
      <c r="F1589" s="13"/>
      <c r="G1589" s="18">
        <v>32000000</v>
      </c>
      <c r="H1589" s="18">
        <v>29569620.43</v>
      </c>
      <c r="I1589" s="18">
        <v>32000000</v>
      </c>
      <c r="J1589" s="18">
        <v>29569620.43</v>
      </c>
      <c r="K1589" s="15">
        <v>5314</v>
      </c>
      <c r="L1589" s="13" t="s">
        <v>102</v>
      </c>
      <c r="M1589" s="13" t="s">
        <v>103</v>
      </c>
      <c r="N1589" s="139" t="s">
        <v>392</v>
      </c>
      <c r="O1589" s="139" t="s">
        <v>392</v>
      </c>
      <c r="P1589" s="28">
        <v>25</v>
      </c>
      <c r="Q1589" s="13" t="s">
        <v>54</v>
      </c>
      <c r="R1589" s="13" t="s">
        <v>28</v>
      </c>
      <c r="S1589" s="13"/>
      <c r="T1589" s="13"/>
      <c r="U1589" s="13" t="s">
        <v>2309</v>
      </c>
      <c r="V1589" s="13" t="s">
        <v>2309</v>
      </c>
      <c r="W1589" s="59">
        <f t="shared" si="24"/>
        <v>5.6491607085159038E-4</v>
      </c>
    </row>
    <row r="1590" spans="1:29">
      <c r="A1590" s="13" t="s">
        <v>510</v>
      </c>
      <c r="B1590" s="13" t="s">
        <v>471</v>
      </c>
      <c r="C1590" s="139">
        <v>46344</v>
      </c>
      <c r="D1590" s="139" t="s">
        <v>441</v>
      </c>
      <c r="E1590" s="28">
        <v>0.89338171</v>
      </c>
      <c r="F1590" s="13"/>
      <c r="G1590" s="18">
        <v>9450000</v>
      </c>
      <c r="H1590" s="18">
        <v>8442457.1600000001</v>
      </c>
      <c r="I1590" s="18">
        <v>9450000</v>
      </c>
      <c r="J1590" s="18">
        <v>8442457.1600000001</v>
      </c>
      <c r="K1590" s="15">
        <v>66335193</v>
      </c>
      <c r="L1590" s="13" t="s">
        <v>102</v>
      </c>
      <c r="M1590" s="13" t="s">
        <v>103</v>
      </c>
      <c r="N1590" s="139" t="s">
        <v>327</v>
      </c>
      <c r="O1590" s="139" t="s">
        <v>327</v>
      </c>
      <c r="P1590" s="28">
        <v>36</v>
      </c>
      <c r="Q1590" s="13" t="s">
        <v>54</v>
      </c>
      <c r="R1590" s="13" t="s">
        <v>28</v>
      </c>
      <c r="S1590" s="13"/>
      <c r="T1590" s="13"/>
      <c r="U1590" s="13" t="s">
        <v>743</v>
      </c>
      <c r="V1590" s="13" t="s">
        <v>743</v>
      </c>
      <c r="W1590" s="59">
        <f t="shared" si="24"/>
        <v>1.6128985282210052E-4</v>
      </c>
    </row>
    <row r="1591" spans="1:29">
      <c r="A1591" s="13" t="s">
        <v>580</v>
      </c>
      <c r="B1591" s="13" t="s">
        <v>471</v>
      </c>
      <c r="C1591" s="139">
        <v>46344</v>
      </c>
      <c r="D1591" s="139" t="s">
        <v>441</v>
      </c>
      <c r="E1591" s="28">
        <v>0.90680991</v>
      </c>
      <c r="F1591" s="13"/>
      <c r="G1591" s="18">
        <v>2500000</v>
      </c>
      <c r="H1591" s="18">
        <v>2267024.77</v>
      </c>
      <c r="I1591" s="18">
        <v>2500000</v>
      </c>
      <c r="J1591" s="18">
        <v>2267024.77</v>
      </c>
      <c r="K1591" s="15">
        <v>90003663</v>
      </c>
      <c r="L1591" s="13" t="s">
        <v>102</v>
      </c>
      <c r="M1591" s="13" t="s">
        <v>103</v>
      </c>
      <c r="N1591" s="139" t="s">
        <v>367</v>
      </c>
      <c r="O1591" s="139" t="s">
        <v>367</v>
      </c>
      <c r="P1591" s="28">
        <v>31</v>
      </c>
      <c r="Q1591" s="13" t="s">
        <v>54</v>
      </c>
      <c r="R1591" s="13" t="s">
        <v>28</v>
      </c>
      <c r="S1591" s="13"/>
      <c r="T1591" s="13"/>
      <c r="U1591" s="13" t="s">
        <v>1860</v>
      </c>
      <c r="V1591" s="13" t="s">
        <v>1860</v>
      </c>
      <c r="W1591" s="59">
        <f t="shared" si="24"/>
        <v>4.3310624450637571E-5</v>
      </c>
    </row>
    <row r="1592" spans="1:29">
      <c r="A1592" s="13" t="s">
        <v>323</v>
      </c>
      <c r="B1592" s="13" t="s">
        <v>471</v>
      </c>
      <c r="C1592" s="139">
        <v>46344</v>
      </c>
      <c r="D1592" s="139" t="s">
        <v>441</v>
      </c>
      <c r="E1592" s="28">
        <v>0.92064774000000005</v>
      </c>
      <c r="F1592" s="13"/>
      <c r="G1592" s="18">
        <v>15000000</v>
      </c>
      <c r="H1592" s="18">
        <v>13809716.07</v>
      </c>
      <c r="I1592" s="18">
        <v>15000000</v>
      </c>
      <c r="J1592" s="18">
        <v>13809716.07</v>
      </c>
      <c r="K1592" s="15">
        <v>9621095</v>
      </c>
      <c r="L1592" s="13" t="s">
        <v>102</v>
      </c>
      <c r="M1592" s="13" t="s">
        <v>103</v>
      </c>
      <c r="N1592" s="139" t="s">
        <v>382</v>
      </c>
      <c r="O1592" s="139" t="s">
        <v>382</v>
      </c>
      <c r="P1592" s="28">
        <v>26</v>
      </c>
      <c r="Q1592" s="13" t="s">
        <v>54</v>
      </c>
      <c r="R1592" s="13" t="s">
        <v>28</v>
      </c>
      <c r="S1592" s="13"/>
      <c r="T1592" s="13"/>
      <c r="U1592" s="13" t="s">
        <v>2386</v>
      </c>
      <c r="V1592" s="13" t="s">
        <v>2386</v>
      </c>
      <c r="W1592" s="59">
        <f t="shared" si="24"/>
        <v>2.638292419176808E-4</v>
      </c>
    </row>
    <row r="1593" spans="1:29">
      <c r="A1593" s="13" t="s">
        <v>491</v>
      </c>
      <c r="B1593" s="13" t="s">
        <v>471</v>
      </c>
      <c r="C1593" s="139">
        <v>46344</v>
      </c>
      <c r="D1593" s="139" t="s">
        <v>441</v>
      </c>
      <c r="E1593" s="28">
        <v>0.89603546000000001</v>
      </c>
      <c r="F1593" s="13"/>
      <c r="G1593" s="18">
        <v>1500000</v>
      </c>
      <c r="H1593" s="18">
        <v>1344053.19</v>
      </c>
      <c r="I1593" s="18">
        <v>1500000</v>
      </c>
      <c r="J1593" s="18">
        <v>1344053.19</v>
      </c>
      <c r="K1593" s="15">
        <v>5</v>
      </c>
      <c r="L1593" s="13" t="s">
        <v>102</v>
      </c>
      <c r="M1593" s="13" t="s">
        <v>103</v>
      </c>
      <c r="N1593" s="139" t="s">
        <v>399</v>
      </c>
      <c r="O1593" s="139" t="s">
        <v>399</v>
      </c>
      <c r="P1593" s="28">
        <v>35</v>
      </c>
      <c r="Q1593" s="13" t="s">
        <v>54</v>
      </c>
      <c r="R1593" s="13" t="s">
        <v>28</v>
      </c>
      <c r="S1593" s="13"/>
      <c r="T1593" s="13"/>
      <c r="U1593" s="13" t="s">
        <v>826</v>
      </c>
      <c r="V1593" s="13" t="s">
        <v>826</v>
      </c>
      <c r="W1593" s="59">
        <f t="shared" si="24"/>
        <v>2.5677612227312112E-5</v>
      </c>
      <c r="AC1593" s="56"/>
    </row>
    <row r="1594" spans="1:29">
      <c r="A1594" s="13" t="s">
        <v>1046</v>
      </c>
      <c r="B1594" s="13" t="s">
        <v>471</v>
      </c>
      <c r="C1594" s="139">
        <v>46345</v>
      </c>
      <c r="D1594" s="139" t="s">
        <v>441</v>
      </c>
      <c r="E1594" s="28">
        <v>0.88467709999999999</v>
      </c>
      <c r="F1594" s="13"/>
      <c r="G1594" s="18">
        <v>3750000</v>
      </c>
      <c r="H1594" s="18">
        <v>3317539.11</v>
      </c>
      <c r="I1594" s="18">
        <v>3750000</v>
      </c>
      <c r="J1594" s="18">
        <v>3317539.11</v>
      </c>
      <c r="K1594" s="15">
        <v>66918963</v>
      </c>
      <c r="L1594" s="13" t="s">
        <v>102</v>
      </c>
      <c r="M1594" s="13" t="s">
        <v>103</v>
      </c>
      <c r="N1594" s="139" t="s">
        <v>364</v>
      </c>
      <c r="O1594" s="139" t="s">
        <v>364</v>
      </c>
      <c r="P1594" s="28">
        <v>39</v>
      </c>
      <c r="Q1594" s="13" t="s">
        <v>54</v>
      </c>
      <c r="R1594" s="13" t="s">
        <v>28</v>
      </c>
      <c r="S1594" s="13"/>
      <c r="T1594" s="13"/>
      <c r="U1594" s="13" t="s">
        <v>1025</v>
      </c>
      <c r="V1594" s="13" t="s">
        <v>1025</v>
      </c>
      <c r="W1594" s="59">
        <f t="shared" si="24"/>
        <v>6.3380291382309157E-5</v>
      </c>
    </row>
    <row r="1595" spans="1:29">
      <c r="A1595" s="13" t="s">
        <v>1075</v>
      </c>
      <c r="B1595" s="13" t="s">
        <v>471</v>
      </c>
      <c r="C1595" s="139">
        <v>46346</v>
      </c>
      <c r="D1595" s="139" t="s">
        <v>441</v>
      </c>
      <c r="E1595" s="28">
        <v>0.89720275000000005</v>
      </c>
      <c r="F1595" s="13"/>
      <c r="G1595" s="18">
        <v>5000300.25</v>
      </c>
      <c r="H1595" s="18">
        <v>4486283.13</v>
      </c>
      <c r="I1595" s="18">
        <v>5000300.25</v>
      </c>
      <c r="J1595" s="18">
        <v>4486283.13</v>
      </c>
      <c r="K1595" s="15">
        <v>359</v>
      </c>
      <c r="L1595" s="13" t="s">
        <v>102</v>
      </c>
      <c r="M1595" s="13" t="s">
        <v>103</v>
      </c>
      <c r="N1595" s="139" t="s">
        <v>392</v>
      </c>
      <c r="O1595" s="139" t="s">
        <v>392</v>
      </c>
      <c r="P1595" s="28">
        <v>34</v>
      </c>
      <c r="Q1595" s="13" t="s">
        <v>54</v>
      </c>
      <c r="R1595" s="13" t="s">
        <v>28</v>
      </c>
      <c r="S1595" s="13"/>
      <c r="T1595" s="13"/>
      <c r="U1595" s="13" t="s">
        <v>2283</v>
      </c>
      <c r="V1595" s="13" t="s">
        <v>2283</v>
      </c>
      <c r="W1595" s="59">
        <f t="shared" si="24"/>
        <v>8.5708690259551448E-5</v>
      </c>
    </row>
    <row r="1596" spans="1:29">
      <c r="A1596" s="13" t="s">
        <v>323</v>
      </c>
      <c r="B1596" s="13" t="s">
        <v>471</v>
      </c>
      <c r="C1596" s="139">
        <v>46346</v>
      </c>
      <c r="D1596" s="139" t="s">
        <v>441</v>
      </c>
      <c r="E1596" s="28">
        <v>0.91944188999999998</v>
      </c>
      <c r="F1596" s="13"/>
      <c r="G1596" s="18">
        <v>15000000</v>
      </c>
      <c r="H1596" s="18">
        <v>13791628.32</v>
      </c>
      <c r="I1596" s="18">
        <v>15000000</v>
      </c>
      <c r="J1596" s="18">
        <v>13791628.32</v>
      </c>
      <c r="K1596" s="15">
        <v>9621096</v>
      </c>
      <c r="L1596" s="13" t="s">
        <v>102</v>
      </c>
      <c r="M1596" s="13" t="s">
        <v>103</v>
      </c>
      <c r="N1596" s="139" t="s">
        <v>382</v>
      </c>
      <c r="O1596" s="139" t="s">
        <v>382</v>
      </c>
      <c r="P1596" s="28">
        <v>26</v>
      </c>
      <c r="Q1596" s="13" t="s">
        <v>54</v>
      </c>
      <c r="R1596" s="13" t="s">
        <v>28</v>
      </c>
      <c r="S1596" s="13"/>
      <c r="T1596" s="13"/>
      <c r="U1596" s="13" t="s">
        <v>2390</v>
      </c>
      <c r="V1596" s="13" t="s">
        <v>2390</v>
      </c>
      <c r="W1596" s="59">
        <f t="shared" si="24"/>
        <v>2.6348368250528537E-4</v>
      </c>
    </row>
    <row r="1597" spans="1:29">
      <c r="A1597" s="13" t="s">
        <v>1075</v>
      </c>
      <c r="B1597" s="13" t="s">
        <v>471</v>
      </c>
      <c r="C1597" s="139">
        <v>46350</v>
      </c>
      <c r="D1597" s="139" t="s">
        <v>441</v>
      </c>
      <c r="E1597" s="28">
        <v>0.89421337000000001</v>
      </c>
      <c r="F1597" s="13"/>
      <c r="G1597" s="18">
        <v>5000300.25</v>
      </c>
      <c r="H1597" s="18">
        <v>4471335.33</v>
      </c>
      <c r="I1597" s="18">
        <v>5000300.25</v>
      </c>
      <c r="J1597" s="18">
        <v>4471335.33</v>
      </c>
      <c r="K1597" s="15">
        <v>360</v>
      </c>
      <c r="L1597" s="13" t="s">
        <v>102</v>
      </c>
      <c r="M1597" s="13" t="s">
        <v>103</v>
      </c>
      <c r="N1597" s="139" t="s">
        <v>392</v>
      </c>
      <c r="O1597" s="139" t="s">
        <v>392</v>
      </c>
      <c r="P1597" s="28">
        <v>34</v>
      </c>
      <c r="Q1597" s="13" t="s">
        <v>54</v>
      </c>
      <c r="R1597" s="13" t="s">
        <v>28</v>
      </c>
      <c r="S1597" s="13"/>
      <c r="T1597" s="13"/>
      <c r="U1597" s="13" t="s">
        <v>2285</v>
      </c>
      <c r="V1597" s="13" t="s">
        <v>2285</v>
      </c>
      <c r="W1597" s="59">
        <f t="shared" si="24"/>
        <v>8.5423118367823408E-5</v>
      </c>
      <c r="AC1597" s="56"/>
    </row>
    <row r="1598" spans="1:29">
      <c r="A1598" s="13" t="s">
        <v>510</v>
      </c>
      <c r="B1598" s="13" t="s">
        <v>471</v>
      </c>
      <c r="C1598" s="139">
        <v>46351</v>
      </c>
      <c r="D1598" s="139" t="s">
        <v>441</v>
      </c>
      <c r="E1598" s="28">
        <v>0.88790511999999999</v>
      </c>
      <c r="F1598" s="13"/>
      <c r="G1598" s="18">
        <v>9450000</v>
      </c>
      <c r="H1598" s="18">
        <v>8390703.4000000004</v>
      </c>
      <c r="I1598" s="18">
        <v>9450000</v>
      </c>
      <c r="J1598" s="18">
        <v>8390703.4000000004</v>
      </c>
      <c r="K1598" s="15">
        <v>66335232</v>
      </c>
      <c r="L1598" s="13" t="s">
        <v>102</v>
      </c>
      <c r="M1598" s="13" t="s">
        <v>103</v>
      </c>
      <c r="N1598" s="139" t="s">
        <v>327</v>
      </c>
      <c r="O1598" s="139" t="s">
        <v>327</v>
      </c>
      <c r="P1598" s="28">
        <v>36</v>
      </c>
      <c r="Q1598" s="13" t="s">
        <v>54</v>
      </c>
      <c r="R1598" s="13" t="s">
        <v>28</v>
      </c>
      <c r="S1598" s="13"/>
      <c r="T1598" s="13"/>
      <c r="U1598" s="13" t="s">
        <v>745</v>
      </c>
      <c r="V1598" s="13" t="s">
        <v>745</v>
      </c>
      <c r="W1598" s="59">
        <f t="shared" si="24"/>
        <v>1.6030111741306111E-4</v>
      </c>
      <c r="AC1598" s="56"/>
    </row>
    <row r="1599" spans="1:29">
      <c r="A1599" s="13" t="s">
        <v>1075</v>
      </c>
      <c r="B1599" s="13" t="s">
        <v>471</v>
      </c>
      <c r="C1599" s="139">
        <v>46351</v>
      </c>
      <c r="D1599" s="139" t="s">
        <v>441</v>
      </c>
      <c r="E1599" s="28">
        <v>0.89346932999999995</v>
      </c>
      <c r="F1599" s="13"/>
      <c r="G1599" s="18">
        <v>5000300.25</v>
      </c>
      <c r="H1599" s="18">
        <v>4467614.91</v>
      </c>
      <c r="I1599" s="18">
        <v>5000300.25</v>
      </c>
      <c r="J1599" s="18">
        <v>4467614.91</v>
      </c>
      <c r="K1599" s="15">
        <v>361</v>
      </c>
      <c r="L1599" s="13" t="s">
        <v>102</v>
      </c>
      <c r="M1599" s="13" t="s">
        <v>103</v>
      </c>
      <c r="N1599" s="139" t="s">
        <v>392</v>
      </c>
      <c r="O1599" s="139" t="s">
        <v>392</v>
      </c>
      <c r="P1599" s="28">
        <v>34</v>
      </c>
      <c r="Q1599" s="13" t="s">
        <v>54</v>
      </c>
      <c r="R1599" s="13" t="s">
        <v>28</v>
      </c>
      <c r="S1599" s="13"/>
      <c r="T1599" s="13"/>
      <c r="U1599" s="13" t="s">
        <v>2292</v>
      </c>
      <c r="V1599" s="13" t="s">
        <v>2292</v>
      </c>
      <c r="W1599" s="59">
        <f t="shared" si="24"/>
        <v>8.535204119409732E-5</v>
      </c>
    </row>
    <row r="1600" spans="1:29">
      <c r="A1600" s="13" t="s">
        <v>737</v>
      </c>
      <c r="B1600" s="13" t="s">
        <v>471</v>
      </c>
      <c r="C1600" s="139">
        <v>46351</v>
      </c>
      <c r="D1600" s="139" t="s">
        <v>441</v>
      </c>
      <c r="E1600" s="28">
        <v>0.90768936</v>
      </c>
      <c r="F1600" s="13"/>
      <c r="G1600" s="18">
        <v>30000000</v>
      </c>
      <c r="H1600" s="18">
        <v>27230680.879999999</v>
      </c>
      <c r="I1600" s="18">
        <v>30000000</v>
      </c>
      <c r="J1600" s="18">
        <v>27230680.879999999</v>
      </c>
      <c r="K1600" s="15">
        <v>67</v>
      </c>
      <c r="L1600" s="13" t="s">
        <v>102</v>
      </c>
      <c r="M1600" s="13" t="s">
        <v>103</v>
      </c>
      <c r="N1600" s="139" t="s">
        <v>319</v>
      </c>
      <c r="O1600" s="139" t="s">
        <v>319</v>
      </c>
      <c r="P1600" s="28">
        <v>29</v>
      </c>
      <c r="Q1600" s="13" t="s">
        <v>54</v>
      </c>
      <c r="R1600" s="13" t="s">
        <v>28</v>
      </c>
      <c r="S1600" s="13"/>
      <c r="T1600" s="13"/>
      <c r="U1600" s="13" t="s">
        <v>1193</v>
      </c>
      <c r="V1600" s="13" t="s">
        <v>1193</v>
      </c>
      <c r="W1600" s="59">
        <f t="shared" si="24"/>
        <v>5.2023154256441453E-4</v>
      </c>
    </row>
    <row r="1601" spans="1:29">
      <c r="A1601" s="13" t="s">
        <v>661</v>
      </c>
      <c r="B1601" s="13" t="s">
        <v>471</v>
      </c>
      <c r="C1601" s="139">
        <v>46351</v>
      </c>
      <c r="D1601" s="139" t="s">
        <v>441</v>
      </c>
      <c r="E1601" s="28">
        <v>0.90480923999999996</v>
      </c>
      <c r="F1601" s="13"/>
      <c r="G1601" s="18">
        <v>9478811.3499999996</v>
      </c>
      <c r="H1601" s="18">
        <v>8576516.1199999992</v>
      </c>
      <c r="I1601" s="18">
        <v>9478811.3499999996</v>
      </c>
      <c r="J1601" s="18">
        <v>8576516.1199999992</v>
      </c>
      <c r="K1601" s="15">
        <v>90020413</v>
      </c>
      <c r="L1601" s="13" t="s">
        <v>102</v>
      </c>
      <c r="M1601" s="13" t="s">
        <v>103</v>
      </c>
      <c r="N1601" s="139" t="s">
        <v>319</v>
      </c>
      <c r="O1601" s="139" t="s">
        <v>319</v>
      </c>
      <c r="P1601" s="28">
        <v>30</v>
      </c>
      <c r="Q1601" s="13" t="s">
        <v>54</v>
      </c>
      <c r="R1601" s="13" t="s">
        <v>28</v>
      </c>
      <c r="S1601" s="13"/>
      <c r="T1601" s="13"/>
      <c r="U1601" s="13" t="s">
        <v>1183</v>
      </c>
      <c r="V1601" s="13" t="s">
        <v>1183</v>
      </c>
      <c r="W1601" s="59">
        <f t="shared" si="24"/>
        <v>1.638509969911618E-4</v>
      </c>
    </row>
    <row r="1602" spans="1:29">
      <c r="A1602" s="13" t="s">
        <v>1075</v>
      </c>
      <c r="B1602" s="13" t="s">
        <v>471</v>
      </c>
      <c r="C1602" s="139">
        <v>46352</v>
      </c>
      <c r="D1602" s="139" t="s">
        <v>441</v>
      </c>
      <c r="E1602" s="28">
        <v>0.89272625999999999</v>
      </c>
      <c r="F1602" s="13"/>
      <c r="G1602" s="18">
        <v>5000300.25</v>
      </c>
      <c r="H1602" s="18">
        <v>4463899.3600000003</v>
      </c>
      <c r="I1602" s="18">
        <v>5000300.25</v>
      </c>
      <c r="J1602" s="18">
        <v>4463899.3600000003</v>
      </c>
      <c r="K1602" s="15">
        <v>363</v>
      </c>
      <c r="L1602" s="13" t="s">
        <v>102</v>
      </c>
      <c r="M1602" s="13" t="s">
        <v>103</v>
      </c>
      <c r="N1602" s="139" t="s">
        <v>392</v>
      </c>
      <c r="O1602" s="139" t="s">
        <v>392</v>
      </c>
      <c r="P1602" s="28">
        <v>34</v>
      </c>
      <c r="Q1602" s="13" t="s">
        <v>54</v>
      </c>
      <c r="R1602" s="13" t="s">
        <v>28</v>
      </c>
      <c r="S1602" s="13"/>
      <c r="T1602" s="13"/>
      <c r="U1602" s="13" t="s">
        <v>2288</v>
      </c>
      <c r="V1602" s="13" t="s">
        <v>2288</v>
      </c>
      <c r="W1602" s="59">
        <f t="shared" si="24"/>
        <v>8.5281057059822699E-5</v>
      </c>
    </row>
    <row r="1603" spans="1:29">
      <c r="A1603" s="13" t="s">
        <v>1075</v>
      </c>
      <c r="B1603" s="13" t="s">
        <v>471</v>
      </c>
      <c r="C1603" s="139">
        <v>46352</v>
      </c>
      <c r="D1603" s="139" t="s">
        <v>441</v>
      </c>
      <c r="E1603" s="28">
        <v>0.89272625999999999</v>
      </c>
      <c r="F1603" s="13"/>
      <c r="G1603" s="18">
        <v>5000300.25</v>
      </c>
      <c r="H1603" s="18">
        <v>4463899.3600000003</v>
      </c>
      <c r="I1603" s="18">
        <v>5000300.25</v>
      </c>
      <c r="J1603" s="18">
        <v>4463899.3600000003</v>
      </c>
      <c r="K1603" s="15">
        <v>364</v>
      </c>
      <c r="L1603" s="13" t="s">
        <v>102</v>
      </c>
      <c r="M1603" s="13" t="s">
        <v>103</v>
      </c>
      <c r="N1603" s="139" t="s">
        <v>392</v>
      </c>
      <c r="O1603" s="139" t="s">
        <v>392</v>
      </c>
      <c r="P1603" s="28">
        <v>34</v>
      </c>
      <c r="Q1603" s="13" t="s">
        <v>54</v>
      </c>
      <c r="R1603" s="13" t="s">
        <v>28</v>
      </c>
      <c r="S1603" s="13"/>
      <c r="T1603" s="13"/>
      <c r="U1603" s="13" t="s">
        <v>2289</v>
      </c>
      <c r="V1603" s="13" t="s">
        <v>2289</v>
      </c>
      <c r="W1603" s="59">
        <f t="shared" si="24"/>
        <v>8.5281057059822699E-5</v>
      </c>
    </row>
    <row r="1604" spans="1:29">
      <c r="A1604" s="13" t="s">
        <v>1075</v>
      </c>
      <c r="B1604" s="13" t="s">
        <v>471</v>
      </c>
      <c r="C1604" s="139">
        <v>46352</v>
      </c>
      <c r="D1604" s="139" t="s">
        <v>441</v>
      </c>
      <c r="E1604" s="28">
        <v>0.89272625999999999</v>
      </c>
      <c r="F1604" s="13"/>
      <c r="G1604" s="18">
        <v>5000300.25</v>
      </c>
      <c r="H1604" s="18">
        <v>4463899.3600000003</v>
      </c>
      <c r="I1604" s="18">
        <v>5000300.25</v>
      </c>
      <c r="J1604" s="18">
        <v>4463899.3600000003</v>
      </c>
      <c r="K1604" s="15">
        <v>365</v>
      </c>
      <c r="L1604" s="13" t="s">
        <v>102</v>
      </c>
      <c r="M1604" s="13" t="s">
        <v>103</v>
      </c>
      <c r="N1604" s="139" t="s">
        <v>392</v>
      </c>
      <c r="O1604" s="139" t="s">
        <v>392</v>
      </c>
      <c r="P1604" s="28">
        <v>34</v>
      </c>
      <c r="Q1604" s="13" t="s">
        <v>54</v>
      </c>
      <c r="R1604" s="13" t="s">
        <v>28</v>
      </c>
      <c r="S1604" s="13"/>
      <c r="T1604" s="13"/>
      <c r="U1604" s="13" t="s">
        <v>2290</v>
      </c>
      <c r="V1604" s="13" t="s">
        <v>2290</v>
      </c>
      <c r="W1604" s="59">
        <f t="shared" si="24"/>
        <v>8.5281057059822699E-5</v>
      </c>
    </row>
    <row r="1605" spans="1:29">
      <c r="A1605" s="13" t="s">
        <v>1075</v>
      </c>
      <c r="B1605" s="13" t="s">
        <v>471</v>
      </c>
      <c r="C1605" s="139">
        <v>46352</v>
      </c>
      <c r="D1605" s="139" t="s">
        <v>441</v>
      </c>
      <c r="E1605" s="28">
        <v>0.89272625999999999</v>
      </c>
      <c r="F1605" s="13"/>
      <c r="G1605" s="18">
        <v>5000300.25</v>
      </c>
      <c r="H1605" s="18">
        <v>4463899.3600000003</v>
      </c>
      <c r="I1605" s="18">
        <v>5000300.25</v>
      </c>
      <c r="J1605" s="18">
        <v>4463899.3600000003</v>
      </c>
      <c r="K1605" s="15">
        <v>362</v>
      </c>
      <c r="L1605" s="13" t="s">
        <v>102</v>
      </c>
      <c r="M1605" s="13" t="s">
        <v>103</v>
      </c>
      <c r="N1605" s="139" t="s">
        <v>392</v>
      </c>
      <c r="O1605" s="139" t="s">
        <v>392</v>
      </c>
      <c r="P1605" s="28">
        <v>34</v>
      </c>
      <c r="Q1605" s="13" t="s">
        <v>54</v>
      </c>
      <c r="R1605" s="13" t="s">
        <v>28</v>
      </c>
      <c r="S1605" s="13"/>
      <c r="T1605" s="13"/>
      <c r="U1605" s="13" t="s">
        <v>2291</v>
      </c>
      <c r="V1605" s="13" t="s">
        <v>2291</v>
      </c>
      <c r="W1605" s="59">
        <f t="shared" ref="W1605:W1668" si="25">+J1605/$W$2</f>
        <v>8.5281057059822699E-5</v>
      </c>
    </row>
    <row r="1606" spans="1:29">
      <c r="A1606" s="13" t="s">
        <v>491</v>
      </c>
      <c r="B1606" s="13" t="s">
        <v>471</v>
      </c>
      <c r="C1606" s="139">
        <v>46352</v>
      </c>
      <c r="D1606" s="139" t="s">
        <v>441</v>
      </c>
      <c r="E1606" s="28">
        <v>0.89272631999999996</v>
      </c>
      <c r="F1606" s="13"/>
      <c r="G1606" s="18">
        <v>4000000</v>
      </c>
      <c r="H1606" s="18">
        <v>3570905.28</v>
      </c>
      <c r="I1606" s="18">
        <v>4000000</v>
      </c>
      <c r="J1606" s="18">
        <v>3570905.28</v>
      </c>
      <c r="K1606" s="15">
        <v>90000053</v>
      </c>
      <c r="L1606" s="13" t="s">
        <v>102</v>
      </c>
      <c r="M1606" s="13" t="s">
        <v>103</v>
      </c>
      <c r="N1606" s="139" t="s">
        <v>400</v>
      </c>
      <c r="O1606" s="139" t="s">
        <v>400</v>
      </c>
      <c r="P1606" s="28">
        <v>34</v>
      </c>
      <c r="Q1606" s="13" t="s">
        <v>54</v>
      </c>
      <c r="R1606" s="13" t="s">
        <v>28</v>
      </c>
      <c r="S1606" s="13"/>
      <c r="T1606" s="13"/>
      <c r="U1606" s="13" t="s">
        <v>1551</v>
      </c>
      <c r="V1606" s="13" t="s">
        <v>1551</v>
      </c>
      <c r="W1606" s="59">
        <f t="shared" si="25"/>
        <v>6.8220753287525314E-5</v>
      </c>
    </row>
    <row r="1607" spans="1:29">
      <c r="A1607" s="13" t="s">
        <v>821</v>
      </c>
      <c r="B1607" s="13" t="s">
        <v>471</v>
      </c>
      <c r="C1607" s="139">
        <v>46352</v>
      </c>
      <c r="D1607" s="139" t="s">
        <v>441</v>
      </c>
      <c r="E1607" s="28">
        <v>0.89555178000000002</v>
      </c>
      <c r="F1607" s="13"/>
      <c r="G1607" s="18">
        <v>5448062.4299999997</v>
      </c>
      <c r="H1607" s="18">
        <v>4879022.03</v>
      </c>
      <c r="I1607" s="18">
        <v>5448062.4299999997</v>
      </c>
      <c r="J1607" s="18">
        <v>4879022.03</v>
      </c>
      <c r="K1607" s="15">
        <v>90000596</v>
      </c>
      <c r="L1607" s="13" t="s">
        <v>102</v>
      </c>
      <c r="M1607" s="13" t="s">
        <v>103</v>
      </c>
      <c r="N1607" s="139" t="s">
        <v>174</v>
      </c>
      <c r="O1607" s="139" t="s">
        <v>174</v>
      </c>
      <c r="P1607" s="28">
        <v>33</v>
      </c>
      <c r="Q1607" s="13" t="s">
        <v>54</v>
      </c>
      <c r="R1607" s="13" t="s">
        <v>28</v>
      </c>
      <c r="S1607" s="13"/>
      <c r="T1607" s="13"/>
      <c r="U1607" s="13" t="s">
        <v>1334</v>
      </c>
      <c r="V1607" s="13" t="s">
        <v>1334</v>
      </c>
      <c r="W1607" s="59">
        <f t="shared" si="25"/>
        <v>9.3211813838151126E-5</v>
      </c>
    </row>
    <row r="1608" spans="1:29">
      <c r="A1608" s="13" t="s">
        <v>737</v>
      </c>
      <c r="B1608" s="13" t="s">
        <v>471</v>
      </c>
      <c r="C1608" s="139">
        <v>46352</v>
      </c>
      <c r="D1608" s="139" t="s">
        <v>441</v>
      </c>
      <c r="E1608" s="28">
        <v>0.91288813999999996</v>
      </c>
      <c r="F1608" s="13"/>
      <c r="G1608" s="18">
        <v>25000000</v>
      </c>
      <c r="H1608" s="18">
        <v>22822203.41</v>
      </c>
      <c r="I1608" s="18">
        <v>25000000</v>
      </c>
      <c r="J1608" s="18">
        <v>22822203.41</v>
      </c>
      <c r="K1608" s="15">
        <v>9508923</v>
      </c>
      <c r="L1608" s="13" t="s">
        <v>102</v>
      </c>
      <c r="M1608" s="13" t="s">
        <v>103</v>
      </c>
      <c r="N1608" s="139" t="s">
        <v>783</v>
      </c>
      <c r="O1608" s="139" t="s">
        <v>783</v>
      </c>
      <c r="P1608" s="28">
        <v>27</v>
      </c>
      <c r="Q1608" s="13" t="s">
        <v>54</v>
      </c>
      <c r="R1608" s="13" t="s">
        <v>28</v>
      </c>
      <c r="S1608" s="13"/>
      <c r="T1608" s="13"/>
      <c r="U1608" s="13" t="s">
        <v>2066</v>
      </c>
      <c r="V1608" s="13" t="s">
        <v>2066</v>
      </c>
      <c r="W1608" s="59">
        <f t="shared" si="25"/>
        <v>4.3600929910729216E-4</v>
      </c>
    </row>
    <row r="1609" spans="1:29">
      <c r="A1609" s="13" t="s">
        <v>737</v>
      </c>
      <c r="B1609" s="13" t="s">
        <v>471</v>
      </c>
      <c r="C1609" s="139">
        <v>46352</v>
      </c>
      <c r="D1609" s="139" t="s">
        <v>441</v>
      </c>
      <c r="E1609" s="28">
        <v>0.91584299999999996</v>
      </c>
      <c r="F1609" s="13"/>
      <c r="G1609" s="18">
        <v>15000000</v>
      </c>
      <c r="H1609" s="18">
        <v>13737645.060000001</v>
      </c>
      <c r="I1609" s="18">
        <v>15000000</v>
      </c>
      <c r="J1609" s="18">
        <v>13737645.060000001</v>
      </c>
      <c r="K1609" s="15">
        <v>20411017</v>
      </c>
      <c r="L1609" s="13" t="s">
        <v>102</v>
      </c>
      <c r="M1609" s="13" t="s">
        <v>103</v>
      </c>
      <c r="N1609" s="139" t="s">
        <v>382</v>
      </c>
      <c r="O1609" s="139" t="s">
        <v>382</v>
      </c>
      <c r="P1609" s="28">
        <v>26</v>
      </c>
      <c r="Q1609" s="13" t="s">
        <v>54</v>
      </c>
      <c r="R1609" s="13" t="s">
        <v>28</v>
      </c>
      <c r="S1609" s="13"/>
      <c r="T1609" s="13"/>
      <c r="U1609" s="13" t="s">
        <v>2355</v>
      </c>
      <c r="V1609" s="13" t="s">
        <v>2355</v>
      </c>
      <c r="W1609" s="59">
        <f t="shared" si="25"/>
        <v>2.6245235336789748E-4</v>
      </c>
    </row>
    <row r="1610" spans="1:29">
      <c r="A1610" s="13" t="s">
        <v>323</v>
      </c>
      <c r="B1610" s="13" t="s">
        <v>471</v>
      </c>
      <c r="C1610" s="139">
        <v>46352</v>
      </c>
      <c r="D1610" s="139" t="s">
        <v>441</v>
      </c>
      <c r="E1610" s="28">
        <v>0.91584297000000003</v>
      </c>
      <c r="F1610" s="13"/>
      <c r="G1610" s="18">
        <v>5000000</v>
      </c>
      <c r="H1610" s="18">
        <v>4579214.84</v>
      </c>
      <c r="I1610" s="18">
        <v>5000000</v>
      </c>
      <c r="J1610" s="18">
        <v>4579214.84</v>
      </c>
      <c r="K1610" s="15">
        <v>491505</v>
      </c>
      <c r="L1610" s="13" t="s">
        <v>102</v>
      </c>
      <c r="M1610" s="13" t="s">
        <v>103</v>
      </c>
      <c r="N1610" s="139" t="s">
        <v>441</v>
      </c>
      <c r="O1610" s="139" t="s">
        <v>441</v>
      </c>
      <c r="P1610" s="28">
        <v>26</v>
      </c>
      <c r="Q1610" s="13" t="s">
        <v>54</v>
      </c>
      <c r="R1610" s="13" t="s">
        <v>28</v>
      </c>
      <c r="S1610" s="13"/>
      <c r="T1610" s="13"/>
      <c r="U1610" s="13" t="s">
        <v>2428</v>
      </c>
      <c r="V1610" s="13" t="s">
        <v>2428</v>
      </c>
      <c r="W1610" s="59">
        <f t="shared" si="25"/>
        <v>8.7484114350469324E-5</v>
      </c>
    </row>
    <row r="1611" spans="1:29">
      <c r="A1611" s="13" t="s">
        <v>1759</v>
      </c>
      <c r="B1611" s="13" t="s">
        <v>471</v>
      </c>
      <c r="C1611" s="139">
        <v>46352</v>
      </c>
      <c r="D1611" s="139" t="s">
        <v>441</v>
      </c>
      <c r="E1611" s="28">
        <v>0.91881687999999995</v>
      </c>
      <c r="F1611" s="13"/>
      <c r="G1611" s="18">
        <v>19922304</v>
      </c>
      <c r="H1611" s="18">
        <v>18304949.219999999</v>
      </c>
      <c r="I1611" s="18">
        <v>19922304</v>
      </c>
      <c r="J1611" s="18">
        <v>18304949.219999999</v>
      </c>
      <c r="K1611" s="15">
        <v>67863958</v>
      </c>
      <c r="L1611" s="13" t="s">
        <v>102</v>
      </c>
      <c r="M1611" s="13" t="s">
        <v>103</v>
      </c>
      <c r="N1611" s="139" t="s">
        <v>439</v>
      </c>
      <c r="O1611" s="139" t="s">
        <v>439</v>
      </c>
      <c r="P1611" s="28">
        <v>25</v>
      </c>
      <c r="Q1611" s="13" t="s">
        <v>54</v>
      </c>
      <c r="R1611" s="13" t="s">
        <v>28</v>
      </c>
      <c r="S1611" s="13"/>
      <c r="T1611" s="13"/>
      <c r="U1611" s="13" t="s">
        <v>1746</v>
      </c>
      <c r="V1611" s="13" t="s">
        <v>1746</v>
      </c>
      <c r="W1611" s="59">
        <f t="shared" si="25"/>
        <v>3.4970891882024347E-4</v>
      </c>
    </row>
    <row r="1612" spans="1:29">
      <c r="A1612" s="13" t="s">
        <v>1075</v>
      </c>
      <c r="B1612" s="13" t="s">
        <v>471</v>
      </c>
      <c r="C1612" s="139">
        <v>46353</v>
      </c>
      <c r="D1612" s="139" t="s">
        <v>441</v>
      </c>
      <c r="E1612" s="28">
        <v>0.89198443999999999</v>
      </c>
      <c r="F1612" s="13"/>
      <c r="G1612" s="18">
        <v>5000300.25</v>
      </c>
      <c r="H1612" s="18">
        <v>4460190</v>
      </c>
      <c r="I1612" s="18">
        <v>5000300.25</v>
      </c>
      <c r="J1612" s="18">
        <v>4460190</v>
      </c>
      <c r="K1612" s="15">
        <v>366</v>
      </c>
      <c r="L1612" s="13" t="s">
        <v>102</v>
      </c>
      <c r="M1612" s="13" t="s">
        <v>103</v>
      </c>
      <c r="N1612" s="139" t="s">
        <v>392</v>
      </c>
      <c r="O1612" s="139" t="s">
        <v>392</v>
      </c>
      <c r="P1612" s="28">
        <v>34</v>
      </c>
      <c r="Q1612" s="13" t="s">
        <v>54</v>
      </c>
      <c r="R1612" s="13" t="s">
        <v>28</v>
      </c>
      <c r="S1612" s="13"/>
      <c r="T1612" s="13"/>
      <c r="U1612" s="13" t="s">
        <v>2287</v>
      </c>
      <c r="V1612" s="13" t="s">
        <v>2287</v>
      </c>
      <c r="W1612" s="59">
        <f t="shared" si="25"/>
        <v>8.5210191183084953E-5</v>
      </c>
    </row>
    <row r="1613" spans="1:29">
      <c r="A1613" s="13" t="s">
        <v>1507</v>
      </c>
      <c r="B1613" s="13" t="s">
        <v>471</v>
      </c>
      <c r="C1613" s="139">
        <v>46353</v>
      </c>
      <c r="D1613" s="139" t="s">
        <v>441</v>
      </c>
      <c r="E1613" s="28">
        <v>0.88635282000000004</v>
      </c>
      <c r="F1613" s="13"/>
      <c r="G1613" s="18">
        <v>29362361.710000001</v>
      </c>
      <c r="H1613" s="18">
        <v>26025412.09</v>
      </c>
      <c r="I1613" s="18">
        <v>29362361.710000001</v>
      </c>
      <c r="J1613" s="18">
        <v>26025412.09</v>
      </c>
      <c r="K1613" s="15">
        <v>67998146</v>
      </c>
      <c r="L1613" s="13" t="s">
        <v>102</v>
      </c>
      <c r="M1613" s="13" t="s">
        <v>103</v>
      </c>
      <c r="N1613" s="139" t="s">
        <v>172</v>
      </c>
      <c r="O1613" s="139" t="s">
        <v>172</v>
      </c>
      <c r="P1613" s="28">
        <v>36</v>
      </c>
      <c r="Q1613" s="13" t="s">
        <v>54</v>
      </c>
      <c r="R1613" s="13" t="s">
        <v>28</v>
      </c>
      <c r="S1613" s="13"/>
      <c r="T1613" s="13"/>
      <c r="U1613" s="13" t="s">
        <v>1823</v>
      </c>
      <c r="V1613" s="13" t="s">
        <v>1823</v>
      </c>
      <c r="W1613" s="59">
        <f t="shared" si="25"/>
        <v>4.9720535219519133E-4</v>
      </c>
      <c r="AC1613" s="56"/>
    </row>
    <row r="1614" spans="1:29">
      <c r="A1614" s="13" t="s">
        <v>323</v>
      </c>
      <c r="B1614" s="13" t="s">
        <v>471</v>
      </c>
      <c r="C1614" s="139">
        <v>46356</v>
      </c>
      <c r="D1614" s="139" t="s">
        <v>441</v>
      </c>
      <c r="E1614" s="28">
        <v>0.91345924999999994</v>
      </c>
      <c r="F1614" s="13"/>
      <c r="G1614" s="18">
        <v>5000000</v>
      </c>
      <c r="H1614" s="18">
        <v>4567296.2699999996</v>
      </c>
      <c r="I1614" s="18">
        <v>5000000</v>
      </c>
      <c r="J1614" s="18">
        <v>4567296.2699999996</v>
      </c>
      <c r="K1614" s="15">
        <v>491506</v>
      </c>
      <c r="L1614" s="13" t="s">
        <v>102</v>
      </c>
      <c r="M1614" s="13" t="s">
        <v>103</v>
      </c>
      <c r="N1614" s="139" t="s">
        <v>441</v>
      </c>
      <c r="O1614" s="139" t="s">
        <v>441</v>
      </c>
      <c r="P1614" s="28">
        <v>26</v>
      </c>
      <c r="Q1614" s="13" t="s">
        <v>54</v>
      </c>
      <c r="R1614" s="13" t="s">
        <v>28</v>
      </c>
      <c r="S1614" s="13"/>
      <c r="T1614" s="13"/>
      <c r="U1614" s="13" t="s">
        <v>2424</v>
      </c>
      <c r="V1614" s="13" t="s">
        <v>2424</v>
      </c>
      <c r="W1614" s="59">
        <f t="shared" si="25"/>
        <v>8.725641471697187E-5</v>
      </c>
    </row>
    <row r="1615" spans="1:29">
      <c r="A1615" s="13" t="s">
        <v>698</v>
      </c>
      <c r="B1615" s="13" t="s">
        <v>471</v>
      </c>
      <c r="C1615" s="139">
        <v>46358</v>
      </c>
      <c r="D1615" s="139" t="s">
        <v>441</v>
      </c>
      <c r="E1615" s="28">
        <v>0.90615699999999999</v>
      </c>
      <c r="F1615" s="13"/>
      <c r="G1615" s="18">
        <v>30000000</v>
      </c>
      <c r="H1615" s="18">
        <v>27184709.870000001</v>
      </c>
      <c r="I1615" s="18">
        <v>30000000</v>
      </c>
      <c r="J1615" s="18">
        <v>27184709.870000001</v>
      </c>
      <c r="K1615" s="15">
        <v>29600860</v>
      </c>
      <c r="L1615" s="13" t="s">
        <v>102</v>
      </c>
      <c r="M1615" s="13" t="s">
        <v>103</v>
      </c>
      <c r="N1615" s="139" t="s">
        <v>494</v>
      </c>
      <c r="O1615" s="139" t="s">
        <v>494</v>
      </c>
      <c r="P1615" s="28">
        <v>28</v>
      </c>
      <c r="Q1615" s="13" t="s">
        <v>54</v>
      </c>
      <c r="R1615" s="13" t="s">
        <v>28</v>
      </c>
      <c r="S1615" s="13"/>
      <c r="T1615" s="13"/>
      <c r="U1615" s="13" t="s">
        <v>1982</v>
      </c>
      <c r="V1615" s="13" t="s">
        <v>1982</v>
      </c>
      <c r="W1615" s="59">
        <f t="shared" si="25"/>
        <v>5.1935328433976957E-4</v>
      </c>
      <c r="AC1615" s="56"/>
    </row>
    <row r="1616" spans="1:29">
      <c r="A1616" s="13" t="s">
        <v>323</v>
      </c>
      <c r="B1616" s="13" t="s">
        <v>471</v>
      </c>
      <c r="C1616" s="139">
        <v>46358</v>
      </c>
      <c r="D1616" s="139" t="s">
        <v>441</v>
      </c>
      <c r="E1616" s="28">
        <v>0.91227194</v>
      </c>
      <c r="F1616" s="13"/>
      <c r="G1616" s="18">
        <v>5000000</v>
      </c>
      <c r="H1616" s="18">
        <v>4561359.68</v>
      </c>
      <c r="I1616" s="18">
        <v>5000000</v>
      </c>
      <c r="J1616" s="18">
        <v>4561359.68</v>
      </c>
      <c r="K1616" s="15">
        <v>491507</v>
      </c>
      <c r="L1616" s="13" t="s">
        <v>102</v>
      </c>
      <c r="M1616" s="13" t="s">
        <v>103</v>
      </c>
      <c r="N1616" s="139" t="s">
        <v>441</v>
      </c>
      <c r="O1616" s="139" t="s">
        <v>441</v>
      </c>
      <c r="P1616" s="28">
        <v>26</v>
      </c>
      <c r="Q1616" s="13" t="s">
        <v>54</v>
      </c>
      <c r="R1616" s="13" t="s">
        <v>28</v>
      </c>
      <c r="S1616" s="13"/>
      <c r="T1616" s="13"/>
      <c r="U1616" s="13" t="s">
        <v>2429</v>
      </c>
      <c r="V1616" s="13" t="s">
        <v>2429</v>
      </c>
      <c r="W1616" s="59">
        <f t="shared" si="25"/>
        <v>8.71429984793507E-5</v>
      </c>
    </row>
    <row r="1617" spans="1:29">
      <c r="A1617" s="13" t="s">
        <v>323</v>
      </c>
      <c r="B1617" s="13" t="s">
        <v>471</v>
      </c>
      <c r="C1617" s="139">
        <v>46358</v>
      </c>
      <c r="D1617" s="139" t="s">
        <v>441</v>
      </c>
      <c r="E1617" s="28">
        <v>0.90615699999999999</v>
      </c>
      <c r="F1617" s="13"/>
      <c r="G1617" s="18">
        <v>7000000</v>
      </c>
      <c r="H1617" s="18">
        <v>6343098.9699999997</v>
      </c>
      <c r="I1617" s="18">
        <v>7000000</v>
      </c>
      <c r="J1617" s="18">
        <v>6343098.9699999997</v>
      </c>
      <c r="K1617" s="15">
        <v>67768339</v>
      </c>
      <c r="L1617" s="13" t="s">
        <v>102</v>
      </c>
      <c r="M1617" s="13" t="s">
        <v>103</v>
      </c>
      <c r="N1617" s="139" t="s">
        <v>494</v>
      </c>
      <c r="O1617" s="139" t="s">
        <v>494</v>
      </c>
      <c r="P1617" s="28">
        <v>28</v>
      </c>
      <c r="Q1617" s="13" t="s">
        <v>54</v>
      </c>
      <c r="R1617" s="13" t="s">
        <v>28</v>
      </c>
      <c r="S1617" s="13"/>
      <c r="T1617" s="13"/>
      <c r="U1617" s="13" t="s">
        <v>1995</v>
      </c>
      <c r="V1617" s="13" t="s">
        <v>1995</v>
      </c>
      <c r="W1617" s="59">
        <f t="shared" si="25"/>
        <v>1.2118243301898108E-4</v>
      </c>
    </row>
    <row r="1618" spans="1:29">
      <c r="A1618" s="13" t="s">
        <v>322</v>
      </c>
      <c r="B1618" s="13" t="s">
        <v>471</v>
      </c>
      <c r="C1618" s="139">
        <v>46358</v>
      </c>
      <c r="D1618" s="139" t="s">
        <v>441</v>
      </c>
      <c r="E1618" s="28">
        <v>0.90313010000000005</v>
      </c>
      <c r="F1618" s="13"/>
      <c r="G1618" s="18">
        <v>4103981.39</v>
      </c>
      <c r="H1618" s="18">
        <v>3706429.13</v>
      </c>
      <c r="I1618" s="18">
        <v>4103981.39</v>
      </c>
      <c r="J1618" s="18">
        <v>3706429.13</v>
      </c>
      <c r="K1618" s="15">
        <v>90000123</v>
      </c>
      <c r="L1618" s="13" t="s">
        <v>102</v>
      </c>
      <c r="M1618" s="13" t="s">
        <v>103</v>
      </c>
      <c r="N1618" s="139" t="s">
        <v>431</v>
      </c>
      <c r="O1618" s="139" t="s">
        <v>431</v>
      </c>
      <c r="P1618" s="28">
        <v>29</v>
      </c>
      <c r="Q1618" s="13" t="s">
        <v>54</v>
      </c>
      <c r="R1618" s="13" t="s">
        <v>28</v>
      </c>
      <c r="S1618" s="13"/>
      <c r="T1618" s="13"/>
      <c r="U1618" s="13" t="s">
        <v>1920</v>
      </c>
      <c r="V1618" s="13" t="s">
        <v>1920</v>
      </c>
      <c r="W1618" s="59">
        <f t="shared" si="25"/>
        <v>7.0809883608961776E-5</v>
      </c>
    </row>
    <row r="1619" spans="1:29">
      <c r="A1619" s="13" t="s">
        <v>737</v>
      </c>
      <c r="B1619" s="13" t="s">
        <v>471</v>
      </c>
      <c r="C1619" s="139">
        <v>46359</v>
      </c>
      <c r="D1619" s="139" t="s">
        <v>441</v>
      </c>
      <c r="E1619" s="28">
        <v>0.90859323000000003</v>
      </c>
      <c r="F1619" s="13"/>
      <c r="G1619" s="18">
        <v>25000000</v>
      </c>
      <c r="H1619" s="18">
        <v>22714830.629999999</v>
      </c>
      <c r="I1619" s="18">
        <v>25000000</v>
      </c>
      <c r="J1619" s="18">
        <v>22714830.629999999</v>
      </c>
      <c r="K1619" s="15">
        <v>9508924</v>
      </c>
      <c r="L1619" s="13" t="s">
        <v>102</v>
      </c>
      <c r="M1619" s="13" t="s">
        <v>103</v>
      </c>
      <c r="N1619" s="139" t="s">
        <v>783</v>
      </c>
      <c r="O1619" s="139" t="s">
        <v>783</v>
      </c>
      <c r="P1619" s="28">
        <v>27</v>
      </c>
      <c r="Q1619" s="13" t="s">
        <v>54</v>
      </c>
      <c r="R1619" s="13" t="s">
        <v>28</v>
      </c>
      <c r="S1619" s="13"/>
      <c r="T1619" s="13"/>
      <c r="U1619" s="13" t="s">
        <v>2061</v>
      </c>
      <c r="V1619" s="13" t="s">
        <v>2061</v>
      </c>
      <c r="W1619" s="59">
        <f t="shared" si="25"/>
        <v>4.3395798400375186E-4</v>
      </c>
    </row>
    <row r="1620" spans="1:29">
      <c r="A1620" s="13" t="s">
        <v>1904</v>
      </c>
      <c r="B1620" s="13" t="s">
        <v>471</v>
      </c>
      <c r="C1620" s="139">
        <v>46360</v>
      </c>
      <c r="D1620" s="139" t="s">
        <v>441</v>
      </c>
      <c r="E1620" s="28">
        <v>0.89879352000000001</v>
      </c>
      <c r="F1620" s="13"/>
      <c r="G1620" s="18">
        <v>18700000</v>
      </c>
      <c r="H1620" s="18">
        <v>16807438.75</v>
      </c>
      <c r="I1620" s="18">
        <v>18700000</v>
      </c>
      <c r="J1620" s="18">
        <v>16807438.75</v>
      </c>
      <c r="K1620" s="15">
        <v>238</v>
      </c>
      <c r="L1620" s="13" t="s">
        <v>102</v>
      </c>
      <c r="M1620" s="13" t="s">
        <v>103</v>
      </c>
      <c r="N1620" s="139" t="s">
        <v>402</v>
      </c>
      <c r="O1620" s="139" t="s">
        <v>402</v>
      </c>
      <c r="P1620" s="28">
        <v>30</v>
      </c>
      <c r="Q1620" s="13" t="s">
        <v>54</v>
      </c>
      <c r="R1620" s="13" t="s">
        <v>28</v>
      </c>
      <c r="S1620" s="13"/>
      <c r="T1620" s="13"/>
      <c r="U1620" s="13" t="s">
        <v>1877</v>
      </c>
      <c r="V1620" s="13" t="s">
        <v>1877</v>
      </c>
      <c r="W1620" s="59">
        <f t="shared" si="25"/>
        <v>3.2109956508253918E-4</v>
      </c>
    </row>
    <row r="1621" spans="1:29">
      <c r="A1621" s="13" t="s">
        <v>700</v>
      </c>
      <c r="B1621" s="13" t="s">
        <v>471</v>
      </c>
      <c r="C1621" s="139">
        <v>46365</v>
      </c>
      <c r="D1621" s="139" t="s">
        <v>441</v>
      </c>
      <c r="E1621" s="28">
        <v>0.87416793999999998</v>
      </c>
      <c r="F1621" s="13"/>
      <c r="G1621" s="18">
        <v>15000000</v>
      </c>
      <c r="H1621" s="18">
        <v>13112519.15</v>
      </c>
      <c r="I1621" s="18">
        <v>15000000</v>
      </c>
      <c r="J1621" s="18">
        <v>13112519.15</v>
      </c>
      <c r="K1621" s="15">
        <v>90023082</v>
      </c>
      <c r="L1621" s="13" t="s">
        <v>102</v>
      </c>
      <c r="M1621" s="13" t="s">
        <v>103</v>
      </c>
      <c r="N1621" s="139" t="s">
        <v>174</v>
      </c>
      <c r="O1621" s="139" t="s">
        <v>174</v>
      </c>
      <c r="P1621" s="28">
        <v>37</v>
      </c>
      <c r="Q1621" s="13" t="s">
        <v>54</v>
      </c>
      <c r="R1621" s="13" t="s">
        <v>28</v>
      </c>
      <c r="S1621" s="13"/>
      <c r="T1621" s="13"/>
      <c r="U1621" s="13" t="s">
        <v>1325</v>
      </c>
      <c r="V1621" s="13" t="s">
        <v>1325</v>
      </c>
      <c r="W1621" s="59">
        <f t="shared" si="25"/>
        <v>2.505095665573356E-4</v>
      </c>
    </row>
    <row r="1622" spans="1:29">
      <c r="A1622" s="13" t="s">
        <v>700</v>
      </c>
      <c r="B1622" s="13" t="s">
        <v>471</v>
      </c>
      <c r="C1622" s="139">
        <v>46365</v>
      </c>
      <c r="D1622" s="139" t="s">
        <v>441</v>
      </c>
      <c r="E1622" s="28">
        <v>0.87416793999999998</v>
      </c>
      <c r="F1622" s="13"/>
      <c r="G1622" s="18">
        <v>15000000</v>
      </c>
      <c r="H1622" s="18">
        <v>13112519.15</v>
      </c>
      <c r="I1622" s="18">
        <v>15000000</v>
      </c>
      <c r="J1622" s="18">
        <v>13112519.15</v>
      </c>
      <c r="K1622" s="15">
        <v>90023081</v>
      </c>
      <c r="L1622" s="13" t="s">
        <v>102</v>
      </c>
      <c r="M1622" s="13" t="s">
        <v>103</v>
      </c>
      <c r="N1622" s="139" t="s">
        <v>174</v>
      </c>
      <c r="O1622" s="139" t="s">
        <v>174</v>
      </c>
      <c r="P1622" s="28">
        <v>37</v>
      </c>
      <c r="Q1622" s="13" t="s">
        <v>54</v>
      </c>
      <c r="R1622" s="13" t="s">
        <v>28</v>
      </c>
      <c r="S1622" s="13"/>
      <c r="T1622" s="13"/>
      <c r="U1622" s="13" t="s">
        <v>1327</v>
      </c>
      <c r="V1622" s="13" t="s">
        <v>1327</v>
      </c>
      <c r="W1622" s="59">
        <f t="shared" si="25"/>
        <v>2.505095665573356E-4</v>
      </c>
    </row>
    <row r="1623" spans="1:29">
      <c r="A1623" s="13" t="s">
        <v>322</v>
      </c>
      <c r="B1623" s="13" t="s">
        <v>471</v>
      </c>
      <c r="C1623" s="139">
        <v>46365</v>
      </c>
      <c r="D1623" s="139" t="s">
        <v>441</v>
      </c>
      <c r="E1623" s="28">
        <v>0.89861647</v>
      </c>
      <c r="F1623" s="13"/>
      <c r="G1623" s="18">
        <v>8106418.25</v>
      </c>
      <c r="H1623" s="18">
        <v>7284560.9400000004</v>
      </c>
      <c r="I1623" s="18">
        <v>8106418.25</v>
      </c>
      <c r="J1623" s="18">
        <v>7284560.9400000004</v>
      </c>
      <c r="K1623" s="15">
        <v>90000807</v>
      </c>
      <c r="L1623" s="13" t="s">
        <v>102</v>
      </c>
      <c r="M1623" s="13" t="s">
        <v>103</v>
      </c>
      <c r="N1623" s="139" t="s">
        <v>431</v>
      </c>
      <c r="O1623" s="139" t="s">
        <v>431</v>
      </c>
      <c r="P1623" s="28">
        <v>29</v>
      </c>
      <c r="Q1623" s="13" t="s">
        <v>54</v>
      </c>
      <c r="R1623" s="13" t="s">
        <v>28</v>
      </c>
      <c r="S1623" s="13"/>
      <c r="T1623" s="13"/>
      <c r="U1623" s="13" t="s">
        <v>1922</v>
      </c>
      <c r="V1623" s="13" t="s">
        <v>1922</v>
      </c>
      <c r="W1623" s="59">
        <f t="shared" si="25"/>
        <v>1.391686969349362E-4</v>
      </c>
      <c r="AC1623" s="56"/>
    </row>
    <row r="1624" spans="1:29">
      <c r="A1624" s="13" t="s">
        <v>700</v>
      </c>
      <c r="B1624" s="13" t="s">
        <v>471</v>
      </c>
      <c r="C1624" s="139">
        <v>46366</v>
      </c>
      <c r="D1624" s="139" t="s">
        <v>441</v>
      </c>
      <c r="E1624" s="28">
        <v>0.87339392999999999</v>
      </c>
      <c r="F1624" s="13"/>
      <c r="G1624" s="18">
        <v>15000000</v>
      </c>
      <c r="H1624" s="18">
        <v>13100909</v>
      </c>
      <c r="I1624" s="18">
        <v>15000000</v>
      </c>
      <c r="J1624" s="18">
        <v>13100909</v>
      </c>
      <c r="K1624" s="15">
        <v>90023083</v>
      </c>
      <c r="L1624" s="13" t="s">
        <v>102</v>
      </c>
      <c r="M1624" s="13" t="s">
        <v>103</v>
      </c>
      <c r="N1624" s="139" t="s">
        <v>174</v>
      </c>
      <c r="O1624" s="139" t="s">
        <v>174</v>
      </c>
      <c r="P1624" s="28">
        <v>37</v>
      </c>
      <c r="Q1624" s="13" t="s">
        <v>54</v>
      </c>
      <c r="R1624" s="13" t="s">
        <v>28</v>
      </c>
      <c r="S1624" s="13"/>
      <c r="T1624" s="13"/>
      <c r="U1624" s="13" t="s">
        <v>1328</v>
      </c>
      <c r="V1624" s="13" t="s">
        <v>1328</v>
      </c>
      <c r="W1624" s="59">
        <f t="shared" si="25"/>
        <v>2.5028775916770323E-4</v>
      </c>
    </row>
    <row r="1625" spans="1:29">
      <c r="A1625" s="13" t="s">
        <v>1863</v>
      </c>
      <c r="B1625" s="13" t="s">
        <v>471</v>
      </c>
      <c r="C1625" s="139">
        <v>46367</v>
      </c>
      <c r="D1625" s="139" t="s">
        <v>441</v>
      </c>
      <c r="E1625" s="28">
        <v>0.90052310999999996</v>
      </c>
      <c r="F1625" s="13"/>
      <c r="G1625" s="18">
        <v>69542230</v>
      </c>
      <c r="H1625" s="18">
        <v>62624385.280000001</v>
      </c>
      <c r="I1625" s="18">
        <v>69542230</v>
      </c>
      <c r="J1625" s="18">
        <v>62624385.280000001</v>
      </c>
      <c r="K1625" s="15">
        <v>155355</v>
      </c>
      <c r="L1625" s="13" t="s">
        <v>102</v>
      </c>
      <c r="M1625" s="13" t="s">
        <v>103</v>
      </c>
      <c r="N1625" s="139" t="s">
        <v>367</v>
      </c>
      <c r="O1625" s="139" t="s">
        <v>367</v>
      </c>
      <c r="P1625" s="28">
        <v>28</v>
      </c>
      <c r="Q1625" s="13" t="s">
        <v>54</v>
      </c>
      <c r="R1625" s="13" t="s">
        <v>28</v>
      </c>
      <c r="S1625" s="13"/>
      <c r="T1625" s="13"/>
      <c r="U1625" s="13" t="s">
        <v>1858</v>
      </c>
      <c r="V1625" s="13" t="s">
        <v>1858</v>
      </c>
      <c r="W1625" s="59">
        <f t="shared" si="25"/>
        <v>1.1964144671935436E-3</v>
      </c>
    </row>
    <row r="1626" spans="1:29">
      <c r="A1626" s="13" t="s">
        <v>491</v>
      </c>
      <c r="B1626" s="13" t="s">
        <v>471</v>
      </c>
      <c r="C1626" s="139">
        <v>46367</v>
      </c>
      <c r="D1626" s="139" t="s">
        <v>441</v>
      </c>
      <c r="E1626" s="28">
        <v>0.88172788000000002</v>
      </c>
      <c r="F1626" s="13"/>
      <c r="G1626" s="18">
        <v>4000000</v>
      </c>
      <c r="H1626" s="18">
        <v>3526911.54</v>
      </c>
      <c r="I1626" s="18">
        <v>4000000</v>
      </c>
      <c r="J1626" s="18">
        <v>3526911.54</v>
      </c>
      <c r="K1626" s="15">
        <v>90000054</v>
      </c>
      <c r="L1626" s="13" t="s">
        <v>102</v>
      </c>
      <c r="M1626" s="13" t="s">
        <v>103</v>
      </c>
      <c r="N1626" s="139" t="s">
        <v>400</v>
      </c>
      <c r="O1626" s="139" t="s">
        <v>400</v>
      </c>
      <c r="P1626" s="28">
        <v>34</v>
      </c>
      <c r="Q1626" s="13" t="s">
        <v>54</v>
      </c>
      <c r="R1626" s="13" t="s">
        <v>28</v>
      </c>
      <c r="S1626" s="13"/>
      <c r="T1626" s="13"/>
      <c r="U1626" s="13" t="s">
        <v>1545</v>
      </c>
      <c r="V1626" s="13" t="s">
        <v>1545</v>
      </c>
      <c r="W1626" s="59">
        <f t="shared" si="25"/>
        <v>6.7380270035408485E-5</v>
      </c>
    </row>
    <row r="1627" spans="1:29">
      <c r="A1627" s="13" t="s">
        <v>700</v>
      </c>
      <c r="B1627" s="13" t="s">
        <v>471</v>
      </c>
      <c r="C1627" s="139">
        <v>46367</v>
      </c>
      <c r="D1627" s="139" t="s">
        <v>441</v>
      </c>
      <c r="E1627" s="28">
        <v>0.87262128999999999</v>
      </c>
      <c r="F1627" s="13"/>
      <c r="G1627" s="18">
        <v>15000000</v>
      </c>
      <c r="H1627" s="18">
        <v>13089319.42</v>
      </c>
      <c r="I1627" s="18">
        <v>15000000</v>
      </c>
      <c r="J1627" s="18">
        <v>13089319.42</v>
      </c>
      <c r="K1627" s="15">
        <v>90023086</v>
      </c>
      <c r="L1627" s="13" t="s">
        <v>102</v>
      </c>
      <c r="M1627" s="13" t="s">
        <v>103</v>
      </c>
      <c r="N1627" s="139" t="s">
        <v>174</v>
      </c>
      <c r="O1627" s="139" t="s">
        <v>174</v>
      </c>
      <c r="P1627" s="28">
        <v>37</v>
      </c>
      <c r="Q1627" s="13" t="s">
        <v>54</v>
      </c>
      <c r="R1627" s="13" t="s">
        <v>28</v>
      </c>
      <c r="S1627" s="13"/>
      <c r="T1627" s="13"/>
      <c r="U1627" s="13" t="s">
        <v>1329</v>
      </c>
      <c r="V1627" s="13" t="s">
        <v>1329</v>
      </c>
      <c r="W1627" s="59">
        <f t="shared" si="25"/>
        <v>2.5006634475990185E-4</v>
      </c>
    </row>
    <row r="1628" spans="1:29">
      <c r="A1628" s="13" t="s">
        <v>322</v>
      </c>
      <c r="B1628" s="13" t="s">
        <v>471</v>
      </c>
      <c r="C1628" s="139">
        <v>46367</v>
      </c>
      <c r="D1628" s="139" t="s">
        <v>441</v>
      </c>
      <c r="E1628" s="28">
        <v>0.89733521999999999</v>
      </c>
      <c r="F1628" s="13"/>
      <c r="G1628" s="18">
        <v>5311841.87</v>
      </c>
      <c r="H1628" s="18">
        <v>4766502.8</v>
      </c>
      <c r="I1628" s="18">
        <v>5311841.87</v>
      </c>
      <c r="J1628" s="18">
        <v>4766502.8</v>
      </c>
      <c r="K1628" s="15">
        <v>90000278</v>
      </c>
      <c r="L1628" s="13" t="s">
        <v>102</v>
      </c>
      <c r="M1628" s="13" t="s">
        <v>103</v>
      </c>
      <c r="N1628" s="139" t="s">
        <v>431</v>
      </c>
      <c r="O1628" s="139" t="s">
        <v>431</v>
      </c>
      <c r="P1628" s="28">
        <v>29</v>
      </c>
      <c r="Q1628" s="13" t="s">
        <v>54</v>
      </c>
      <c r="R1628" s="13" t="s">
        <v>28</v>
      </c>
      <c r="S1628" s="13"/>
      <c r="T1628" s="13"/>
      <c r="U1628" s="13" t="s">
        <v>1917</v>
      </c>
      <c r="V1628" s="13" t="s">
        <v>1917</v>
      </c>
      <c r="W1628" s="59">
        <f t="shared" si="25"/>
        <v>9.1062177813660351E-5</v>
      </c>
    </row>
    <row r="1629" spans="1:29">
      <c r="A1629" s="13" t="s">
        <v>323</v>
      </c>
      <c r="B1629" s="13" t="s">
        <v>471</v>
      </c>
      <c r="C1629" s="139">
        <v>46371</v>
      </c>
      <c r="D1629" s="139" t="s">
        <v>441</v>
      </c>
      <c r="E1629" s="28">
        <v>0.90462982000000003</v>
      </c>
      <c r="F1629" s="13"/>
      <c r="G1629" s="18">
        <v>5000000</v>
      </c>
      <c r="H1629" s="18">
        <v>4523149.09</v>
      </c>
      <c r="I1629" s="18">
        <v>5000000</v>
      </c>
      <c r="J1629" s="18">
        <v>4523149.09</v>
      </c>
      <c r="K1629" s="15">
        <v>491508</v>
      </c>
      <c r="L1629" s="13" t="s">
        <v>102</v>
      </c>
      <c r="M1629" s="13" t="s">
        <v>103</v>
      </c>
      <c r="N1629" s="139" t="s">
        <v>441</v>
      </c>
      <c r="O1629" s="139" t="s">
        <v>441</v>
      </c>
      <c r="P1629" s="28">
        <v>26</v>
      </c>
      <c r="Q1629" s="13" t="s">
        <v>54</v>
      </c>
      <c r="R1629" s="13" t="s">
        <v>28</v>
      </c>
      <c r="S1629" s="13"/>
      <c r="T1629" s="13"/>
      <c r="U1629" s="13" t="s">
        <v>2425</v>
      </c>
      <c r="V1629" s="13" t="s">
        <v>2425</v>
      </c>
      <c r="W1629" s="59">
        <f t="shared" si="25"/>
        <v>8.6413000053472323E-5</v>
      </c>
    </row>
    <row r="1630" spans="1:29">
      <c r="A1630" s="13" t="s">
        <v>653</v>
      </c>
      <c r="B1630" s="13" t="s">
        <v>130</v>
      </c>
      <c r="C1630" s="139">
        <v>46372</v>
      </c>
      <c r="D1630" s="139" t="s">
        <v>441</v>
      </c>
      <c r="E1630" s="28">
        <v>0.96837485999999995</v>
      </c>
      <c r="F1630" s="13" t="s">
        <v>2487</v>
      </c>
      <c r="G1630" s="18">
        <v>18230</v>
      </c>
      <c r="H1630" s="18">
        <v>17653.47</v>
      </c>
      <c r="I1630" s="18">
        <v>26983589.890000001</v>
      </c>
      <c r="J1630" s="18">
        <v>26130224.609999999</v>
      </c>
      <c r="K1630" s="15">
        <v>146447</v>
      </c>
      <c r="L1630" s="13" t="s">
        <v>102</v>
      </c>
      <c r="M1630" s="13" t="s">
        <v>103</v>
      </c>
      <c r="N1630" s="139" t="s">
        <v>358</v>
      </c>
      <c r="O1630" s="139" t="s">
        <v>358</v>
      </c>
      <c r="P1630" s="28">
        <v>8</v>
      </c>
      <c r="Q1630" s="13" t="s">
        <v>54</v>
      </c>
      <c r="R1630" s="13" t="s">
        <v>28</v>
      </c>
      <c r="S1630" s="13"/>
      <c r="T1630" s="13"/>
      <c r="U1630" s="13" t="s">
        <v>637</v>
      </c>
      <c r="V1630" s="13" t="s">
        <v>637</v>
      </c>
      <c r="W1630" s="59">
        <f t="shared" si="25"/>
        <v>4.9920775452952707E-4</v>
      </c>
    </row>
    <row r="1631" spans="1:29">
      <c r="A1631" s="13" t="s">
        <v>322</v>
      </c>
      <c r="B1631" s="13" t="s">
        <v>471</v>
      </c>
      <c r="C1631" s="139">
        <v>46372</v>
      </c>
      <c r="D1631" s="139" t="s">
        <v>441</v>
      </c>
      <c r="E1631" s="28">
        <v>0.89414773000000003</v>
      </c>
      <c r="F1631" s="13"/>
      <c r="G1631" s="18">
        <v>4396334.17</v>
      </c>
      <c r="H1631" s="18">
        <v>3930972.21</v>
      </c>
      <c r="I1631" s="18">
        <v>4396334.17</v>
      </c>
      <c r="J1631" s="18">
        <v>3930972.21</v>
      </c>
      <c r="K1631" s="15">
        <v>90000109</v>
      </c>
      <c r="L1631" s="13" t="s">
        <v>102</v>
      </c>
      <c r="M1631" s="13" t="s">
        <v>103</v>
      </c>
      <c r="N1631" s="139" t="s">
        <v>431</v>
      </c>
      <c r="O1631" s="139" t="s">
        <v>431</v>
      </c>
      <c r="P1631" s="28">
        <v>29</v>
      </c>
      <c r="Q1631" s="13" t="s">
        <v>54</v>
      </c>
      <c r="R1631" s="13" t="s">
        <v>28</v>
      </c>
      <c r="S1631" s="13"/>
      <c r="T1631" s="13"/>
      <c r="U1631" s="13" t="s">
        <v>1916</v>
      </c>
      <c r="V1631" s="13" t="s">
        <v>1916</v>
      </c>
      <c r="W1631" s="59">
        <f t="shared" si="25"/>
        <v>7.5099691616162988E-5</v>
      </c>
    </row>
    <row r="1632" spans="1:29">
      <c r="A1632" s="13" t="s">
        <v>698</v>
      </c>
      <c r="B1632" s="13" t="s">
        <v>471</v>
      </c>
      <c r="C1632" s="139">
        <v>46373</v>
      </c>
      <c r="D1632" s="139" t="s">
        <v>441</v>
      </c>
      <c r="E1632" s="28">
        <v>0.89680596999999995</v>
      </c>
      <c r="F1632" s="13"/>
      <c r="G1632" s="18">
        <v>30000000</v>
      </c>
      <c r="H1632" s="18">
        <v>26904178.989999998</v>
      </c>
      <c r="I1632" s="18">
        <v>30000000</v>
      </c>
      <c r="J1632" s="18">
        <v>26904178.989999998</v>
      </c>
      <c r="K1632" s="15">
        <v>29600864</v>
      </c>
      <c r="L1632" s="13" t="s">
        <v>102</v>
      </c>
      <c r="M1632" s="13" t="s">
        <v>103</v>
      </c>
      <c r="N1632" s="139" t="s">
        <v>494</v>
      </c>
      <c r="O1632" s="139" t="s">
        <v>494</v>
      </c>
      <c r="P1632" s="28">
        <v>28</v>
      </c>
      <c r="Q1632" s="13" t="s">
        <v>54</v>
      </c>
      <c r="R1632" s="13" t="s">
        <v>28</v>
      </c>
      <c r="S1632" s="13"/>
      <c r="T1632" s="13"/>
      <c r="U1632" s="13" t="s">
        <v>1984</v>
      </c>
      <c r="V1632" s="13" t="s">
        <v>1984</v>
      </c>
      <c r="W1632" s="59">
        <f t="shared" si="25"/>
        <v>5.1399385123993317E-4</v>
      </c>
    </row>
    <row r="1633" spans="1:29">
      <c r="A1633" s="13" t="s">
        <v>737</v>
      </c>
      <c r="B1633" s="13" t="s">
        <v>471</v>
      </c>
      <c r="C1633" s="139">
        <v>46373</v>
      </c>
      <c r="D1633" s="139" t="s">
        <v>441</v>
      </c>
      <c r="E1633" s="28">
        <v>0.90012351000000002</v>
      </c>
      <c r="F1633" s="13"/>
      <c r="G1633" s="18">
        <v>25000000</v>
      </c>
      <c r="H1633" s="18">
        <v>22503087.780000001</v>
      </c>
      <c r="I1633" s="18">
        <v>25000000</v>
      </c>
      <c r="J1633" s="18">
        <v>22503087.780000001</v>
      </c>
      <c r="K1633" s="15">
        <v>9508925</v>
      </c>
      <c r="L1633" s="13" t="s">
        <v>102</v>
      </c>
      <c r="M1633" s="13" t="s">
        <v>103</v>
      </c>
      <c r="N1633" s="139" t="s">
        <v>783</v>
      </c>
      <c r="O1633" s="139" t="s">
        <v>783</v>
      </c>
      <c r="P1633" s="28">
        <v>27</v>
      </c>
      <c r="Q1633" s="13" t="s">
        <v>54</v>
      </c>
      <c r="R1633" s="13" t="s">
        <v>28</v>
      </c>
      <c r="S1633" s="13"/>
      <c r="T1633" s="13"/>
      <c r="U1633" s="13" t="s">
        <v>2060</v>
      </c>
      <c r="V1633" s="13" t="s">
        <v>2060</v>
      </c>
      <c r="W1633" s="59">
        <f t="shared" si="25"/>
        <v>4.2991271940064053E-4</v>
      </c>
    </row>
    <row r="1634" spans="1:29">
      <c r="A1634" s="13" t="s">
        <v>737</v>
      </c>
      <c r="B1634" s="13" t="s">
        <v>471</v>
      </c>
      <c r="C1634" s="139">
        <v>46373</v>
      </c>
      <c r="D1634" s="139" t="s">
        <v>441</v>
      </c>
      <c r="E1634" s="28">
        <v>0.90346536</v>
      </c>
      <c r="F1634" s="13"/>
      <c r="G1634" s="18">
        <v>15000000</v>
      </c>
      <c r="H1634" s="18">
        <v>13551980.449999999</v>
      </c>
      <c r="I1634" s="18">
        <v>15000000</v>
      </c>
      <c r="J1634" s="18">
        <v>13551980.449999999</v>
      </c>
      <c r="K1634" s="15">
        <v>20411019</v>
      </c>
      <c r="L1634" s="13" t="s">
        <v>102</v>
      </c>
      <c r="M1634" s="13" t="s">
        <v>103</v>
      </c>
      <c r="N1634" s="139" t="s">
        <v>382</v>
      </c>
      <c r="O1634" s="139" t="s">
        <v>382</v>
      </c>
      <c r="P1634" s="28">
        <v>26</v>
      </c>
      <c r="Q1634" s="13" t="s">
        <v>54</v>
      </c>
      <c r="R1634" s="13" t="s">
        <v>28</v>
      </c>
      <c r="S1634" s="13"/>
      <c r="T1634" s="13"/>
      <c r="U1634" s="13" t="s">
        <v>2356</v>
      </c>
      <c r="V1634" s="13" t="s">
        <v>2356</v>
      </c>
      <c r="W1634" s="59">
        <f t="shared" si="25"/>
        <v>2.589053033736073E-4</v>
      </c>
    </row>
    <row r="1635" spans="1:29">
      <c r="A1635" s="13" t="s">
        <v>323</v>
      </c>
      <c r="B1635" s="13" t="s">
        <v>471</v>
      </c>
      <c r="C1635" s="139">
        <v>46373</v>
      </c>
      <c r="D1635" s="139" t="s">
        <v>441</v>
      </c>
      <c r="E1635" s="28">
        <v>0.90346554000000001</v>
      </c>
      <c r="F1635" s="13"/>
      <c r="G1635" s="18">
        <v>5000000</v>
      </c>
      <c r="H1635" s="18">
        <v>4517327.6900000004</v>
      </c>
      <c r="I1635" s="18">
        <v>5000000</v>
      </c>
      <c r="J1635" s="18">
        <v>4517327.6900000004</v>
      </c>
      <c r="K1635" s="15">
        <v>491509</v>
      </c>
      <c r="L1635" s="13" t="s">
        <v>102</v>
      </c>
      <c r="M1635" s="13" t="s">
        <v>103</v>
      </c>
      <c r="N1635" s="139" t="s">
        <v>441</v>
      </c>
      <c r="O1635" s="139" t="s">
        <v>441</v>
      </c>
      <c r="P1635" s="28">
        <v>26</v>
      </c>
      <c r="Q1635" s="13" t="s">
        <v>54</v>
      </c>
      <c r="R1635" s="13" t="s">
        <v>28</v>
      </c>
      <c r="S1635" s="13"/>
      <c r="T1635" s="13"/>
      <c r="U1635" s="13" t="s">
        <v>2430</v>
      </c>
      <c r="V1635" s="13" t="s">
        <v>2430</v>
      </c>
      <c r="W1635" s="59">
        <f t="shared" si="25"/>
        <v>8.6301784475895321E-5</v>
      </c>
      <c r="AC1635" s="56"/>
    </row>
    <row r="1636" spans="1:29">
      <c r="A1636" s="13" t="s">
        <v>1507</v>
      </c>
      <c r="B1636" s="13" t="s">
        <v>471</v>
      </c>
      <c r="C1636" s="139">
        <v>46374</v>
      </c>
      <c r="D1636" s="139" t="s">
        <v>441</v>
      </c>
      <c r="E1636" s="28">
        <v>0.87037401000000003</v>
      </c>
      <c r="F1636" s="13"/>
      <c r="G1636" s="18">
        <v>22578937.030000001</v>
      </c>
      <c r="H1636" s="18">
        <v>19652119.890000001</v>
      </c>
      <c r="I1636" s="18">
        <v>22578937.030000001</v>
      </c>
      <c r="J1636" s="18">
        <v>19652119.890000001</v>
      </c>
      <c r="K1636" s="15">
        <v>67998226</v>
      </c>
      <c r="L1636" s="13" t="s">
        <v>102</v>
      </c>
      <c r="M1636" s="13" t="s">
        <v>103</v>
      </c>
      <c r="N1636" s="139" t="s">
        <v>367</v>
      </c>
      <c r="O1636" s="139" t="s">
        <v>367</v>
      </c>
      <c r="P1636" s="28">
        <v>36</v>
      </c>
      <c r="Q1636" s="13" t="s">
        <v>54</v>
      </c>
      <c r="R1636" s="13" t="s">
        <v>28</v>
      </c>
      <c r="S1636" s="13"/>
      <c r="T1636" s="13"/>
      <c r="U1636" s="13" t="s">
        <v>1851</v>
      </c>
      <c r="V1636" s="13" t="s">
        <v>1851</v>
      </c>
      <c r="W1636" s="59">
        <f t="shared" si="25"/>
        <v>3.7544608928763272E-4</v>
      </c>
    </row>
    <row r="1637" spans="1:29">
      <c r="A1637" s="13" t="s">
        <v>970</v>
      </c>
      <c r="B1637" s="13" t="s">
        <v>471</v>
      </c>
      <c r="C1637" s="139">
        <v>46377</v>
      </c>
      <c r="D1637" s="139" t="s">
        <v>441</v>
      </c>
      <c r="E1637" s="28">
        <v>0.89098297000000004</v>
      </c>
      <c r="F1637" s="13"/>
      <c r="G1637" s="18">
        <v>14000000</v>
      </c>
      <c r="H1637" s="18">
        <v>12473761.59</v>
      </c>
      <c r="I1637" s="18">
        <v>14000000</v>
      </c>
      <c r="J1637" s="18">
        <v>12473761.59</v>
      </c>
      <c r="K1637" s="15">
        <v>118</v>
      </c>
      <c r="L1637" s="13" t="s">
        <v>102</v>
      </c>
      <c r="M1637" s="13" t="s">
        <v>103</v>
      </c>
      <c r="N1637" s="139" t="s">
        <v>493</v>
      </c>
      <c r="O1637" s="139" t="s">
        <v>493</v>
      </c>
      <c r="P1637" s="28">
        <v>29</v>
      </c>
      <c r="Q1637" s="13" t="s">
        <v>54</v>
      </c>
      <c r="R1637" s="13" t="s">
        <v>28</v>
      </c>
      <c r="S1637" s="13"/>
      <c r="T1637" s="13"/>
      <c r="U1637" s="13" t="s">
        <v>1955</v>
      </c>
      <c r="V1637" s="13" t="s">
        <v>1955</v>
      </c>
      <c r="W1637" s="59">
        <f t="shared" si="25"/>
        <v>2.3830635238770585E-4</v>
      </c>
    </row>
    <row r="1638" spans="1:29">
      <c r="A1638" s="13" t="s">
        <v>323</v>
      </c>
      <c r="B1638" s="13" t="s">
        <v>471</v>
      </c>
      <c r="C1638" s="139">
        <v>46377</v>
      </c>
      <c r="D1638" s="139" t="s">
        <v>441</v>
      </c>
      <c r="E1638" s="28">
        <v>0.90114574000000003</v>
      </c>
      <c r="F1638" s="13"/>
      <c r="G1638" s="18">
        <v>5000000</v>
      </c>
      <c r="H1638" s="18">
        <v>4505728.6900000004</v>
      </c>
      <c r="I1638" s="18">
        <v>5000000</v>
      </c>
      <c r="J1638" s="18">
        <v>4505728.6900000004</v>
      </c>
      <c r="K1638" s="15">
        <v>491510</v>
      </c>
      <c r="L1638" s="13" t="s">
        <v>102</v>
      </c>
      <c r="M1638" s="13" t="s">
        <v>103</v>
      </c>
      <c r="N1638" s="139" t="s">
        <v>441</v>
      </c>
      <c r="O1638" s="139" t="s">
        <v>441</v>
      </c>
      <c r="P1638" s="28">
        <v>26</v>
      </c>
      <c r="Q1638" s="13" t="s">
        <v>54</v>
      </c>
      <c r="R1638" s="13" t="s">
        <v>28</v>
      </c>
      <c r="S1638" s="13"/>
      <c r="T1638" s="13"/>
      <c r="U1638" s="13" t="s">
        <v>2427</v>
      </c>
      <c r="V1638" s="13" t="s">
        <v>2427</v>
      </c>
      <c r="W1638" s="59">
        <f t="shared" si="25"/>
        <v>8.608019010266625E-5</v>
      </c>
      <c r="AC1638" s="56"/>
    </row>
    <row r="1639" spans="1:29">
      <c r="A1639" s="13" t="s">
        <v>522</v>
      </c>
      <c r="B1639" s="13" t="s">
        <v>471</v>
      </c>
      <c r="C1639" s="139">
        <v>46377</v>
      </c>
      <c r="D1639" s="139" t="s">
        <v>441</v>
      </c>
      <c r="E1639" s="28">
        <v>0.90114574000000003</v>
      </c>
      <c r="F1639" s="13"/>
      <c r="G1639" s="18">
        <v>20000000</v>
      </c>
      <c r="H1639" s="18">
        <v>18022914.739999998</v>
      </c>
      <c r="I1639" s="18">
        <v>20000000</v>
      </c>
      <c r="J1639" s="18">
        <v>18022914.739999998</v>
      </c>
      <c r="K1639" s="15">
        <v>79700360</v>
      </c>
      <c r="L1639" s="13" t="s">
        <v>102</v>
      </c>
      <c r="M1639" s="13" t="s">
        <v>103</v>
      </c>
      <c r="N1639" s="139" t="s">
        <v>441</v>
      </c>
      <c r="O1639" s="139" t="s">
        <v>441</v>
      </c>
      <c r="P1639" s="28">
        <v>26</v>
      </c>
      <c r="Q1639" s="13" t="s">
        <v>54</v>
      </c>
      <c r="R1639" s="13" t="s">
        <v>28</v>
      </c>
      <c r="S1639" s="13"/>
      <c r="T1639" s="13"/>
      <c r="U1639" s="13" t="s">
        <v>2445</v>
      </c>
      <c r="V1639" s="13" t="s">
        <v>2445</v>
      </c>
      <c r="W1639" s="59">
        <f t="shared" si="25"/>
        <v>3.4432076002857275E-4</v>
      </c>
    </row>
    <row r="1640" spans="1:29">
      <c r="A1640" s="13" t="s">
        <v>700</v>
      </c>
      <c r="B1640" s="13" t="s">
        <v>471</v>
      </c>
      <c r="C1640" s="139">
        <v>46378</v>
      </c>
      <c r="D1640" s="139" t="s">
        <v>441</v>
      </c>
      <c r="E1640" s="28">
        <v>0.86421228999999999</v>
      </c>
      <c r="F1640" s="13"/>
      <c r="G1640" s="18">
        <v>15000000</v>
      </c>
      <c r="H1640" s="18">
        <v>12963184.289999999</v>
      </c>
      <c r="I1640" s="18">
        <v>15000000</v>
      </c>
      <c r="J1640" s="18">
        <v>12963184.289999999</v>
      </c>
      <c r="K1640" s="15">
        <v>90023099</v>
      </c>
      <c r="L1640" s="13" t="s">
        <v>102</v>
      </c>
      <c r="M1640" s="13" t="s">
        <v>103</v>
      </c>
      <c r="N1640" s="139" t="s">
        <v>351</v>
      </c>
      <c r="O1640" s="139" t="s">
        <v>351</v>
      </c>
      <c r="P1640" s="28">
        <v>37</v>
      </c>
      <c r="Q1640" s="13" t="s">
        <v>54</v>
      </c>
      <c r="R1640" s="13" t="s">
        <v>28</v>
      </c>
      <c r="S1640" s="13"/>
      <c r="T1640" s="13"/>
      <c r="U1640" s="13" t="s">
        <v>1368</v>
      </c>
      <c r="V1640" s="13" t="s">
        <v>1368</v>
      </c>
      <c r="W1640" s="59">
        <f t="shared" si="25"/>
        <v>2.4765658227395319E-4</v>
      </c>
    </row>
    <row r="1641" spans="1:29">
      <c r="A1641" s="13" t="s">
        <v>522</v>
      </c>
      <c r="B1641" s="13" t="s">
        <v>471</v>
      </c>
      <c r="C1641" s="139">
        <v>46378</v>
      </c>
      <c r="D1641" s="139" t="s">
        <v>441</v>
      </c>
      <c r="E1641" s="28">
        <v>0.90056758999999997</v>
      </c>
      <c r="F1641" s="13"/>
      <c r="G1641" s="18">
        <v>20000000</v>
      </c>
      <c r="H1641" s="18">
        <v>18011351.890000001</v>
      </c>
      <c r="I1641" s="18">
        <v>20000000</v>
      </c>
      <c r="J1641" s="18">
        <v>18011351.890000001</v>
      </c>
      <c r="K1641" s="15">
        <v>79700361</v>
      </c>
      <c r="L1641" s="13" t="s">
        <v>102</v>
      </c>
      <c r="M1641" s="13" t="s">
        <v>103</v>
      </c>
      <c r="N1641" s="139" t="s">
        <v>441</v>
      </c>
      <c r="O1641" s="139" t="s">
        <v>441</v>
      </c>
      <c r="P1641" s="28">
        <v>26</v>
      </c>
      <c r="Q1641" s="13" t="s">
        <v>54</v>
      </c>
      <c r="R1641" s="13" t="s">
        <v>28</v>
      </c>
      <c r="S1641" s="13"/>
      <c r="T1641" s="13"/>
      <c r="U1641" s="13" t="s">
        <v>2444</v>
      </c>
      <c r="V1641" s="13" t="s">
        <v>2444</v>
      </c>
      <c r="W1641" s="59">
        <f t="shared" si="25"/>
        <v>3.4409985628700094E-4</v>
      </c>
    </row>
    <row r="1642" spans="1:29">
      <c r="A1642" s="13" t="s">
        <v>1507</v>
      </c>
      <c r="B1642" s="13" t="s">
        <v>471</v>
      </c>
      <c r="C1642" s="139">
        <v>46379</v>
      </c>
      <c r="D1642" s="139" t="s">
        <v>441</v>
      </c>
      <c r="E1642" s="28">
        <v>0.86665418000000005</v>
      </c>
      <c r="F1642" s="13"/>
      <c r="G1642" s="18">
        <v>20078937.030000001</v>
      </c>
      <c r="H1642" s="18">
        <v>17401494.640000001</v>
      </c>
      <c r="I1642" s="18">
        <v>20078937.030000001</v>
      </c>
      <c r="J1642" s="18">
        <v>17401494.640000001</v>
      </c>
      <c r="K1642" s="15">
        <v>67998257</v>
      </c>
      <c r="L1642" s="13" t="s">
        <v>102</v>
      </c>
      <c r="M1642" s="13" t="s">
        <v>103</v>
      </c>
      <c r="N1642" s="139" t="s">
        <v>494</v>
      </c>
      <c r="O1642" s="139" t="s">
        <v>494</v>
      </c>
      <c r="P1642" s="28">
        <v>36</v>
      </c>
      <c r="Q1642" s="13" t="s">
        <v>54</v>
      </c>
      <c r="R1642" s="13" t="s">
        <v>28</v>
      </c>
      <c r="S1642" s="13"/>
      <c r="T1642" s="13"/>
      <c r="U1642" s="13" t="s">
        <v>1985</v>
      </c>
      <c r="V1642" s="13" t="s">
        <v>1985</v>
      </c>
      <c r="W1642" s="59">
        <f t="shared" si="25"/>
        <v>3.3244877127338256E-4</v>
      </c>
    </row>
    <row r="1643" spans="1:29">
      <c r="A1643" s="13" t="s">
        <v>491</v>
      </c>
      <c r="B1643" s="13" t="s">
        <v>471</v>
      </c>
      <c r="C1643" s="139">
        <v>46379</v>
      </c>
      <c r="D1643" s="139" t="s">
        <v>441</v>
      </c>
      <c r="E1643" s="28">
        <v>0.87312230999999996</v>
      </c>
      <c r="F1643" s="13"/>
      <c r="G1643" s="18">
        <v>4000000</v>
      </c>
      <c r="H1643" s="18">
        <v>3492489.24</v>
      </c>
      <c r="I1643" s="18">
        <v>4000000</v>
      </c>
      <c r="J1643" s="18">
        <v>3492489.24</v>
      </c>
      <c r="K1643" s="15">
        <v>90000055</v>
      </c>
      <c r="L1643" s="13" t="s">
        <v>102</v>
      </c>
      <c r="M1643" s="13" t="s">
        <v>103</v>
      </c>
      <c r="N1643" s="139" t="s">
        <v>400</v>
      </c>
      <c r="O1643" s="139" t="s">
        <v>400</v>
      </c>
      <c r="P1643" s="28">
        <v>34</v>
      </c>
      <c r="Q1643" s="13" t="s">
        <v>54</v>
      </c>
      <c r="R1643" s="13" t="s">
        <v>28</v>
      </c>
      <c r="S1643" s="13"/>
      <c r="T1643" s="13"/>
      <c r="U1643" s="13" t="s">
        <v>1549</v>
      </c>
      <c r="V1643" s="13" t="s">
        <v>1549</v>
      </c>
      <c r="W1643" s="59">
        <f t="shared" si="25"/>
        <v>6.6722645413147666E-5</v>
      </c>
    </row>
    <row r="1644" spans="1:29">
      <c r="A1644" s="13" t="s">
        <v>1862</v>
      </c>
      <c r="B1644" s="13" t="s">
        <v>471</v>
      </c>
      <c r="C1644" s="139">
        <v>46379</v>
      </c>
      <c r="D1644" s="139" t="s">
        <v>441</v>
      </c>
      <c r="E1644" s="28">
        <v>0.88635268</v>
      </c>
      <c r="F1644" s="13"/>
      <c r="G1644" s="18">
        <v>83000000</v>
      </c>
      <c r="H1644" s="18">
        <v>73567272.069999993</v>
      </c>
      <c r="I1644" s="18">
        <v>83000000</v>
      </c>
      <c r="J1644" s="18">
        <v>73567272.069999993</v>
      </c>
      <c r="K1644" s="15">
        <v>68158784</v>
      </c>
      <c r="L1644" s="13" t="s">
        <v>102</v>
      </c>
      <c r="M1644" s="13" t="s">
        <v>103</v>
      </c>
      <c r="N1644" s="139" t="s">
        <v>783</v>
      </c>
      <c r="O1644" s="139" t="s">
        <v>783</v>
      </c>
      <c r="P1644" s="28">
        <v>30</v>
      </c>
      <c r="Q1644" s="13" t="s">
        <v>54</v>
      </c>
      <c r="R1644" s="13" t="s">
        <v>28</v>
      </c>
      <c r="S1644" s="13"/>
      <c r="T1644" s="13"/>
      <c r="U1644" s="13" t="s">
        <v>2059</v>
      </c>
      <c r="V1644" s="13" t="s">
        <v>2059</v>
      </c>
      <c r="W1644" s="59">
        <f t="shared" si="25"/>
        <v>1.4054740533256936E-3</v>
      </c>
    </row>
    <row r="1645" spans="1:29">
      <c r="A1645" s="13" t="s">
        <v>522</v>
      </c>
      <c r="B1645" s="13" t="s">
        <v>471</v>
      </c>
      <c r="C1645" s="139">
        <v>46379</v>
      </c>
      <c r="D1645" s="139" t="s">
        <v>441</v>
      </c>
      <c r="E1645" s="28">
        <v>0.89999019000000002</v>
      </c>
      <c r="F1645" s="13"/>
      <c r="G1645" s="18">
        <v>20000000</v>
      </c>
      <c r="H1645" s="18">
        <v>17999803.850000001</v>
      </c>
      <c r="I1645" s="18">
        <v>20000000</v>
      </c>
      <c r="J1645" s="18">
        <v>17999803.850000001</v>
      </c>
      <c r="K1645" s="15">
        <v>79700362</v>
      </c>
      <c r="L1645" s="13" t="s">
        <v>102</v>
      </c>
      <c r="M1645" s="13" t="s">
        <v>103</v>
      </c>
      <c r="N1645" s="139" t="s">
        <v>441</v>
      </c>
      <c r="O1645" s="139" t="s">
        <v>441</v>
      </c>
      <c r="P1645" s="28">
        <v>26</v>
      </c>
      <c r="Q1645" s="13" t="s">
        <v>54</v>
      </c>
      <c r="R1645" s="13" t="s">
        <v>28</v>
      </c>
      <c r="S1645" s="13"/>
      <c r="T1645" s="13"/>
      <c r="U1645" s="13" t="s">
        <v>2443</v>
      </c>
      <c r="V1645" s="13" t="s">
        <v>2443</v>
      </c>
      <c r="W1645" s="59">
        <f t="shared" si="25"/>
        <v>3.4387923548470553E-4</v>
      </c>
    </row>
    <row r="1646" spans="1:29">
      <c r="A1646" s="13" t="s">
        <v>737</v>
      </c>
      <c r="B1646" s="13" t="s">
        <v>471</v>
      </c>
      <c r="C1646" s="139">
        <v>46384</v>
      </c>
      <c r="D1646" s="139" t="s">
        <v>441</v>
      </c>
      <c r="E1646" s="28">
        <v>0.89007042000000003</v>
      </c>
      <c r="F1646" s="13"/>
      <c r="G1646" s="18">
        <v>20000000</v>
      </c>
      <c r="H1646" s="18">
        <v>17801408.449999999</v>
      </c>
      <c r="I1646" s="18">
        <v>20000000</v>
      </c>
      <c r="J1646" s="18">
        <v>17801408.449999999</v>
      </c>
      <c r="K1646" s="15">
        <v>20411015</v>
      </c>
      <c r="L1646" s="13" t="s">
        <v>102</v>
      </c>
      <c r="M1646" s="13" t="s">
        <v>103</v>
      </c>
      <c r="N1646" s="139" t="s">
        <v>402</v>
      </c>
      <c r="O1646" s="139" t="s">
        <v>402</v>
      </c>
      <c r="P1646" s="28">
        <v>28</v>
      </c>
      <c r="Q1646" s="13" t="s">
        <v>54</v>
      </c>
      <c r="R1646" s="13" t="s">
        <v>28</v>
      </c>
      <c r="S1646" s="13"/>
      <c r="T1646" s="13"/>
      <c r="U1646" s="13" t="s">
        <v>1869</v>
      </c>
      <c r="V1646" s="13" t="s">
        <v>1869</v>
      </c>
      <c r="W1646" s="59">
        <f t="shared" si="25"/>
        <v>3.4008896871045495E-4</v>
      </c>
    </row>
    <row r="1647" spans="1:29">
      <c r="A1647" s="13" t="s">
        <v>522</v>
      </c>
      <c r="B1647" s="13" t="s">
        <v>471</v>
      </c>
      <c r="C1647" s="139">
        <v>46384</v>
      </c>
      <c r="D1647" s="139" t="s">
        <v>441</v>
      </c>
      <c r="E1647" s="28">
        <v>0.89711467</v>
      </c>
      <c r="F1647" s="13"/>
      <c r="G1647" s="18">
        <v>20000000</v>
      </c>
      <c r="H1647" s="18">
        <v>17942293.489999998</v>
      </c>
      <c r="I1647" s="18">
        <v>20000000</v>
      </c>
      <c r="J1647" s="18">
        <v>17942293.489999998</v>
      </c>
      <c r="K1647" s="15">
        <v>79700363</v>
      </c>
      <c r="L1647" s="13" t="s">
        <v>102</v>
      </c>
      <c r="M1647" s="13" t="s">
        <v>103</v>
      </c>
      <c r="N1647" s="139" t="s">
        <v>441</v>
      </c>
      <c r="O1647" s="139" t="s">
        <v>441</v>
      </c>
      <c r="P1647" s="28">
        <v>26</v>
      </c>
      <c r="Q1647" s="13" t="s">
        <v>54</v>
      </c>
      <c r="R1647" s="13" t="s">
        <v>28</v>
      </c>
      <c r="S1647" s="13"/>
      <c r="T1647" s="13"/>
      <c r="U1647" s="13" t="s">
        <v>2442</v>
      </c>
      <c r="V1647" s="13" t="s">
        <v>2442</v>
      </c>
      <c r="W1647" s="59">
        <f t="shared" si="25"/>
        <v>3.4278052247682731E-4</v>
      </c>
    </row>
    <row r="1648" spans="1:29">
      <c r="A1648" s="13" t="s">
        <v>522</v>
      </c>
      <c r="B1648" s="13" t="s">
        <v>471</v>
      </c>
      <c r="C1648" s="139">
        <v>46385</v>
      </c>
      <c r="D1648" s="139" t="s">
        <v>441</v>
      </c>
      <c r="E1648" s="28">
        <v>0.89654168999999995</v>
      </c>
      <c r="F1648" s="13"/>
      <c r="G1648" s="18">
        <v>20000000</v>
      </c>
      <c r="H1648" s="18">
        <v>17930833.77</v>
      </c>
      <c r="I1648" s="18">
        <v>20000000</v>
      </c>
      <c r="J1648" s="18">
        <v>17930833.77</v>
      </c>
      <c r="K1648" s="15">
        <v>79700364</v>
      </c>
      <c r="L1648" s="13" t="s">
        <v>102</v>
      </c>
      <c r="M1648" s="13" t="s">
        <v>103</v>
      </c>
      <c r="N1648" s="139" t="s">
        <v>441</v>
      </c>
      <c r="O1648" s="139" t="s">
        <v>441</v>
      </c>
      <c r="P1648" s="28">
        <v>26</v>
      </c>
      <c r="Q1648" s="13" t="s">
        <v>54</v>
      </c>
      <c r="R1648" s="13" t="s">
        <v>28</v>
      </c>
      <c r="S1648" s="13"/>
      <c r="T1648" s="13"/>
      <c r="U1648" s="13" t="s">
        <v>2446</v>
      </c>
      <c r="V1648" s="13" t="s">
        <v>2446</v>
      </c>
      <c r="W1648" s="59">
        <f t="shared" si="25"/>
        <v>3.4256158899370116E-4</v>
      </c>
      <c r="AC1648" s="56"/>
    </row>
    <row r="1649" spans="1:29">
      <c r="A1649" s="13" t="s">
        <v>737</v>
      </c>
      <c r="B1649" s="13" t="s">
        <v>471</v>
      </c>
      <c r="C1649" s="139">
        <v>46386</v>
      </c>
      <c r="D1649" s="139" t="s">
        <v>441</v>
      </c>
      <c r="E1649" s="28">
        <v>0.89239882000000004</v>
      </c>
      <c r="F1649" s="13"/>
      <c r="G1649" s="18">
        <v>3400000</v>
      </c>
      <c r="H1649" s="18">
        <v>3034155.98</v>
      </c>
      <c r="I1649" s="18">
        <v>3400000</v>
      </c>
      <c r="J1649" s="18">
        <v>3034155.98</v>
      </c>
      <c r="K1649" s="15">
        <v>68062415</v>
      </c>
      <c r="L1649" s="13" t="s">
        <v>102</v>
      </c>
      <c r="M1649" s="13" t="s">
        <v>103</v>
      </c>
      <c r="N1649" s="139" t="s">
        <v>493</v>
      </c>
      <c r="O1649" s="139" t="s">
        <v>493</v>
      </c>
      <c r="P1649" s="28">
        <v>27</v>
      </c>
      <c r="Q1649" s="13" t="s">
        <v>54</v>
      </c>
      <c r="R1649" s="13" t="s">
        <v>28</v>
      </c>
      <c r="S1649" s="13"/>
      <c r="T1649" s="13"/>
      <c r="U1649" s="13" t="s">
        <v>1951</v>
      </c>
      <c r="V1649" s="13" t="s">
        <v>1951</v>
      </c>
      <c r="W1649" s="59">
        <f t="shared" si="25"/>
        <v>5.7966367158148083E-5</v>
      </c>
    </row>
    <row r="1650" spans="1:29">
      <c r="A1650" s="13" t="s">
        <v>970</v>
      </c>
      <c r="B1650" s="13" t="s">
        <v>471</v>
      </c>
      <c r="C1650" s="139">
        <v>46386</v>
      </c>
      <c r="D1650" s="139" t="s">
        <v>441</v>
      </c>
      <c r="E1650" s="28">
        <v>0.88534223999999995</v>
      </c>
      <c r="F1650" s="13"/>
      <c r="G1650" s="18">
        <v>14000000</v>
      </c>
      <c r="H1650" s="18">
        <v>12394791.289999999</v>
      </c>
      <c r="I1650" s="18">
        <v>14000000</v>
      </c>
      <c r="J1650" s="18">
        <v>12394791.289999999</v>
      </c>
      <c r="K1650" s="15">
        <v>119</v>
      </c>
      <c r="L1650" s="13" t="s">
        <v>102</v>
      </c>
      <c r="M1650" s="13" t="s">
        <v>103</v>
      </c>
      <c r="N1650" s="139" t="s">
        <v>493</v>
      </c>
      <c r="O1650" s="139" t="s">
        <v>493</v>
      </c>
      <c r="P1650" s="28">
        <v>29</v>
      </c>
      <c r="Q1650" s="13" t="s">
        <v>54</v>
      </c>
      <c r="R1650" s="13" t="s">
        <v>28</v>
      </c>
      <c r="S1650" s="13"/>
      <c r="T1650" s="13"/>
      <c r="U1650" s="13" t="s">
        <v>1958</v>
      </c>
      <c r="V1650" s="13" t="s">
        <v>1958</v>
      </c>
      <c r="W1650" s="59">
        <f t="shared" si="25"/>
        <v>2.367976555921017E-4</v>
      </c>
    </row>
    <row r="1651" spans="1:29">
      <c r="A1651" s="13" t="s">
        <v>737</v>
      </c>
      <c r="B1651" s="13" t="s">
        <v>471</v>
      </c>
      <c r="C1651" s="139">
        <v>46391</v>
      </c>
      <c r="D1651" s="139" t="s">
        <v>441</v>
      </c>
      <c r="E1651" s="28">
        <v>0.89311934000000004</v>
      </c>
      <c r="F1651" s="13"/>
      <c r="G1651" s="18">
        <v>25000000</v>
      </c>
      <c r="H1651" s="18">
        <v>22327983.510000002</v>
      </c>
      <c r="I1651" s="18">
        <v>25000000</v>
      </c>
      <c r="J1651" s="18">
        <v>22327983.510000002</v>
      </c>
      <c r="K1651" s="15">
        <v>9508926</v>
      </c>
      <c r="L1651" s="13" t="s">
        <v>102</v>
      </c>
      <c r="M1651" s="13" t="s">
        <v>103</v>
      </c>
      <c r="N1651" s="139" t="s">
        <v>382</v>
      </c>
      <c r="O1651" s="139" t="s">
        <v>382</v>
      </c>
      <c r="P1651" s="28">
        <v>26</v>
      </c>
      <c r="Q1651" s="13" t="s">
        <v>54</v>
      </c>
      <c r="R1651" s="13" t="s">
        <v>28</v>
      </c>
      <c r="S1651" s="13"/>
      <c r="T1651" s="13"/>
      <c r="U1651" s="13" t="s">
        <v>2361</v>
      </c>
      <c r="V1651" s="13" t="s">
        <v>2361</v>
      </c>
      <c r="W1651" s="59">
        <f t="shared" si="25"/>
        <v>4.265674205851922E-4</v>
      </c>
    </row>
    <row r="1652" spans="1:29">
      <c r="A1652" s="13" t="s">
        <v>1862</v>
      </c>
      <c r="B1652" s="13" t="s">
        <v>471</v>
      </c>
      <c r="C1652" s="139">
        <v>46392</v>
      </c>
      <c r="D1652" s="139" t="s">
        <v>441</v>
      </c>
      <c r="E1652" s="28">
        <v>0.87803721999999995</v>
      </c>
      <c r="F1652" s="13"/>
      <c r="G1652" s="18">
        <v>83000000</v>
      </c>
      <c r="H1652" s="18">
        <v>72877089.329999998</v>
      </c>
      <c r="I1652" s="18">
        <v>83000000</v>
      </c>
      <c r="J1652" s="18">
        <v>72877089.329999998</v>
      </c>
      <c r="K1652" s="15">
        <v>68158884</v>
      </c>
      <c r="L1652" s="13" t="s">
        <v>102</v>
      </c>
      <c r="M1652" s="13" t="s">
        <v>103</v>
      </c>
      <c r="N1652" s="139" t="s">
        <v>783</v>
      </c>
      <c r="O1652" s="139" t="s">
        <v>783</v>
      </c>
      <c r="P1652" s="28">
        <v>30</v>
      </c>
      <c r="Q1652" s="13" t="s">
        <v>54</v>
      </c>
      <c r="R1652" s="13" t="s">
        <v>28</v>
      </c>
      <c r="S1652" s="13"/>
      <c r="T1652" s="13"/>
      <c r="U1652" s="13" t="s">
        <v>2058</v>
      </c>
      <c r="V1652" s="13" t="s">
        <v>2058</v>
      </c>
      <c r="W1652" s="59">
        <f t="shared" si="25"/>
        <v>1.3922883811398304E-3</v>
      </c>
    </row>
    <row r="1653" spans="1:29">
      <c r="A1653" s="13" t="s">
        <v>323</v>
      </c>
      <c r="B1653" s="13" t="s">
        <v>471</v>
      </c>
      <c r="C1653" s="139">
        <v>46392</v>
      </c>
      <c r="D1653" s="139" t="s">
        <v>441</v>
      </c>
      <c r="E1653" s="28">
        <v>0.88523479999999999</v>
      </c>
      <c r="F1653" s="13"/>
      <c r="G1653" s="18">
        <v>7000000</v>
      </c>
      <c r="H1653" s="18">
        <v>6196643.5899999999</v>
      </c>
      <c r="I1653" s="18">
        <v>7000000</v>
      </c>
      <c r="J1653" s="18">
        <v>6196643.5899999999</v>
      </c>
      <c r="K1653" s="15">
        <v>67768341</v>
      </c>
      <c r="L1653" s="13" t="s">
        <v>102</v>
      </c>
      <c r="M1653" s="13" t="s">
        <v>103</v>
      </c>
      <c r="N1653" s="139" t="s">
        <v>494</v>
      </c>
      <c r="O1653" s="139" t="s">
        <v>494</v>
      </c>
      <c r="P1653" s="28">
        <v>28</v>
      </c>
      <c r="Q1653" s="13" t="s">
        <v>54</v>
      </c>
      <c r="R1653" s="13" t="s">
        <v>28</v>
      </c>
      <c r="S1653" s="13"/>
      <c r="T1653" s="13"/>
      <c r="U1653" s="13" t="s">
        <v>1994</v>
      </c>
      <c r="V1653" s="13" t="s">
        <v>1994</v>
      </c>
      <c r="W1653" s="59">
        <f t="shared" si="25"/>
        <v>1.1838446007845808E-4</v>
      </c>
    </row>
    <row r="1654" spans="1:29">
      <c r="A1654" s="13" t="s">
        <v>970</v>
      </c>
      <c r="B1654" s="13" t="s">
        <v>471</v>
      </c>
      <c r="C1654" s="139">
        <v>46393</v>
      </c>
      <c r="D1654" s="139" t="s">
        <v>441</v>
      </c>
      <c r="E1654" s="28">
        <v>0.88100423000000005</v>
      </c>
      <c r="F1654" s="13"/>
      <c r="G1654" s="18">
        <v>14000000</v>
      </c>
      <c r="H1654" s="18">
        <v>12334059.17</v>
      </c>
      <c r="I1654" s="18">
        <v>14000000</v>
      </c>
      <c r="J1654" s="18">
        <v>12334059.17</v>
      </c>
      <c r="K1654" s="15">
        <v>120</v>
      </c>
      <c r="L1654" s="13" t="s">
        <v>102</v>
      </c>
      <c r="M1654" s="13" t="s">
        <v>103</v>
      </c>
      <c r="N1654" s="139" t="s">
        <v>493</v>
      </c>
      <c r="O1654" s="139" t="s">
        <v>493</v>
      </c>
      <c r="P1654" s="28">
        <v>29</v>
      </c>
      <c r="Q1654" s="13" t="s">
        <v>54</v>
      </c>
      <c r="R1654" s="13" t="s">
        <v>28</v>
      </c>
      <c r="S1654" s="13"/>
      <c r="T1654" s="13"/>
      <c r="U1654" s="13" t="s">
        <v>1952</v>
      </c>
      <c r="V1654" s="13" t="s">
        <v>1952</v>
      </c>
      <c r="W1654" s="59">
        <f t="shared" si="25"/>
        <v>2.3563739211539914E-4</v>
      </c>
      <c r="AC1654" s="56"/>
    </row>
    <row r="1655" spans="1:29">
      <c r="A1655" s="13" t="s">
        <v>1904</v>
      </c>
      <c r="B1655" s="13" t="s">
        <v>471</v>
      </c>
      <c r="C1655" s="139">
        <v>46393</v>
      </c>
      <c r="D1655" s="139" t="s">
        <v>441</v>
      </c>
      <c r="E1655" s="28">
        <v>0.87740395000000004</v>
      </c>
      <c r="F1655" s="13"/>
      <c r="G1655" s="18">
        <v>5600000</v>
      </c>
      <c r="H1655" s="18">
        <v>4913462.12</v>
      </c>
      <c r="I1655" s="18">
        <v>5600000</v>
      </c>
      <c r="J1655" s="18">
        <v>4913462.12</v>
      </c>
      <c r="K1655" s="15">
        <v>239</v>
      </c>
      <c r="L1655" s="13" t="s">
        <v>102</v>
      </c>
      <c r="M1655" s="13" t="s">
        <v>103</v>
      </c>
      <c r="N1655" s="139" t="s">
        <v>402</v>
      </c>
      <c r="O1655" s="139" t="s">
        <v>402</v>
      </c>
      <c r="P1655" s="28">
        <v>30</v>
      </c>
      <c r="Q1655" s="13" t="s">
        <v>54</v>
      </c>
      <c r="R1655" s="13" t="s">
        <v>28</v>
      </c>
      <c r="S1655" s="13"/>
      <c r="T1655" s="13"/>
      <c r="U1655" s="13" t="s">
        <v>1879</v>
      </c>
      <c r="V1655" s="13" t="s">
        <v>1879</v>
      </c>
      <c r="W1655" s="59">
        <f t="shared" si="25"/>
        <v>9.3869778331426672E-5</v>
      </c>
      <c r="AC1655" s="56"/>
    </row>
    <row r="1656" spans="1:29">
      <c r="A1656" s="13" t="s">
        <v>1863</v>
      </c>
      <c r="B1656" s="13" t="s">
        <v>471</v>
      </c>
      <c r="C1656" s="139">
        <v>46399</v>
      </c>
      <c r="D1656" s="139" t="s">
        <v>441</v>
      </c>
      <c r="E1656" s="28">
        <v>0.88104674999999999</v>
      </c>
      <c r="F1656" s="13"/>
      <c r="G1656" s="18">
        <v>71389290</v>
      </c>
      <c r="H1656" s="18">
        <v>62897301.75</v>
      </c>
      <c r="I1656" s="18">
        <v>71389290</v>
      </c>
      <c r="J1656" s="18">
        <v>62897301.75</v>
      </c>
      <c r="K1656" s="15">
        <v>155356</v>
      </c>
      <c r="L1656" s="13" t="s">
        <v>102</v>
      </c>
      <c r="M1656" s="13" t="s">
        <v>103</v>
      </c>
      <c r="N1656" s="139" t="s">
        <v>367</v>
      </c>
      <c r="O1656" s="139" t="s">
        <v>367</v>
      </c>
      <c r="P1656" s="28">
        <v>28</v>
      </c>
      <c r="Q1656" s="13" t="s">
        <v>54</v>
      </c>
      <c r="R1656" s="13" t="s">
        <v>28</v>
      </c>
      <c r="S1656" s="13"/>
      <c r="T1656" s="13"/>
      <c r="U1656" s="13" t="s">
        <v>1856</v>
      </c>
      <c r="V1656" s="13" t="s">
        <v>1856</v>
      </c>
      <c r="W1656" s="59">
        <f t="shared" si="25"/>
        <v>1.2016284299587426E-3</v>
      </c>
    </row>
    <row r="1657" spans="1:29">
      <c r="A1657" s="13" t="s">
        <v>970</v>
      </c>
      <c r="B1657" s="13" t="s">
        <v>471</v>
      </c>
      <c r="C1657" s="139">
        <v>46400</v>
      </c>
      <c r="D1657" s="139" t="s">
        <v>441</v>
      </c>
      <c r="E1657" s="28">
        <v>0.87670851999999999</v>
      </c>
      <c r="F1657" s="13"/>
      <c r="G1657" s="18">
        <v>14000000</v>
      </c>
      <c r="H1657" s="18">
        <v>12273919.26</v>
      </c>
      <c r="I1657" s="18">
        <v>14000000</v>
      </c>
      <c r="J1657" s="18">
        <v>12273919.26</v>
      </c>
      <c r="K1657" s="15">
        <v>121</v>
      </c>
      <c r="L1657" s="13" t="s">
        <v>102</v>
      </c>
      <c r="M1657" s="13" t="s">
        <v>103</v>
      </c>
      <c r="N1657" s="139" t="s">
        <v>493</v>
      </c>
      <c r="O1657" s="139" t="s">
        <v>493</v>
      </c>
      <c r="P1657" s="28">
        <v>29</v>
      </c>
      <c r="Q1657" s="13" t="s">
        <v>54</v>
      </c>
      <c r="R1657" s="13" t="s">
        <v>28</v>
      </c>
      <c r="S1657" s="13"/>
      <c r="T1657" s="13"/>
      <c r="U1657" s="13" t="s">
        <v>1953</v>
      </c>
      <c r="V1657" s="13" t="s">
        <v>1953</v>
      </c>
      <c r="W1657" s="59">
        <f t="shared" si="25"/>
        <v>2.3448844257987857E-4</v>
      </c>
      <c r="AC1657" s="56"/>
    </row>
    <row r="1658" spans="1:29">
      <c r="A1658" s="13" t="s">
        <v>653</v>
      </c>
      <c r="B1658" s="13" t="s">
        <v>130</v>
      </c>
      <c r="C1658" s="139">
        <v>46401</v>
      </c>
      <c r="D1658" s="139" t="s">
        <v>441</v>
      </c>
      <c r="E1658" s="28">
        <v>0.96245126000000003</v>
      </c>
      <c r="F1658" s="13" t="s">
        <v>2487</v>
      </c>
      <c r="G1658" s="18">
        <v>18230</v>
      </c>
      <c r="H1658" s="18">
        <v>17545.490000000002</v>
      </c>
      <c r="I1658" s="18">
        <v>26983589.890000001</v>
      </c>
      <c r="J1658" s="18">
        <v>25970395.32</v>
      </c>
      <c r="K1658" s="15">
        <v>146448</v>
      </c>
      <c r="L1658" s="13" t="s">
        <v>102</v>
      </c>
      <c r="M1658" s="13" t="s">
        <v>103</v>
      </c>
      <c r="N1658" s="139" t="s">
        <v>358</v>
      </c>
      <c r="O1658" s="139" t="s">
        <v>358</v>
      </c>
      <c r="P1658" s="28">
        <v>8</v>
      </c>
      <c r="Q1658" s="13" t="s">
        <v>54</v>
      </c>
      <c r="R1658" s="13" t="s">
        <v>28</v>
      </c>
      <c r="S1658" s="13"/>
      <c r="T1658" s="13"/>
      <c r="U1658" s="13" t="s">
        <v>647</v>
      </c>
      <c r="V1658" s="13" t="s">
        <v>647</v>
      </c>
      <c r="W1658" s="59">
        <f t="shared" si="25"/>
        <v>4.9615427825215846E-4</v>
      </c>
    </row>
    <row r="1659" spans="1:29">
      <c r="A1659" s="13" t="s">
        <v>737</v>
      </c>
      <c r="B1659" s="13" t="s">
        <v>471</v>
      </c>
      <c r="C1659" s="139">
        <v>46401</v>
      </c>
      <c r="D1659" s="139" t="s">
        <v>441</v>
      </c>
      <c r="E1659" s="28">
        <v>0.88747334</v>
      </c>
      <c r="F1659" s="13"/>
      <c r="G1659" s="18">
        <v>25000000</v>
      </c>
      <c r="H1659" s="18">
        <v>22186833.469999999</v>
      </c>
      <c r="I1659" s="18">
        <v>25000000</v>
      </c>
      <c r="J1659" s="18">
        <v>22186833.469999999</v>
      </c>
      <c r="K1659" s="15">
        <v>9508927</v>
      </c>
      <c r="L1659" s="13" t="s">
        <v>102</v>
      </c>
      <c r="M1659" s="13" t="s">
        <v>103</v>
      </c>
      <c r="N1659" s="139" t="s">
        <v>382</v>
      </c>
      <c r="O1659" s="139" t="s">
        <v>382</v>
      </c>
      <c r="P1659" s="28">
        <v>26</v>
      </c>
      <c r="Q1659" s="13" t="s">
        <v>54</v>
      </c>
      <c r="R1659" s="13" t="s">
        <v>28</v>
      </c>
      <c r="S1659" s="13"/>
      <c r="T1659" s="13"/>
      <c r="U1659" s="13" t="s">
        <v>2363</v>
      </c>
      <c r="V1659" s="13" t="s">
        <v>2363</v>
      </c>
      <c r="W1659" s="59">
        <f t="shared" si="25"/>
        <v>4.2387080409712771E-4</v>
      </c>
    </row>
    <row r="1660" spans="1:29">
      <c r="A1660" s="13" t="s">
        <v>737</v>
      </c>
      <c r="B1660" s="13" t="s">
        <v>471</v>
      </c>
      <c r="C1660" s="139">
        <v>46406</v>
      </c>
      <c r="D1660" s="139" t="s">
        <v>441</v>
      </c>
      <c r="E1660" s="28">
        <v>0.88077026000000003</v>
      </c>
      <c r="F1660" s="13"/>
      <c r="G1660" s="18">
        <v>2000000</v>
      </c>
      <c r="H1660" s="18">
        <v>1761540.52</v>
      </c>
      <c r="I1660" s="18">
        <v>2000000</v>
      </c>
      <c r="J1660" s="18">
        <v>1761540.52</v>
      </c>
      <c r="K1660" s="15">
        <v>113</v>
      </c>
      <c r="L1660" s="13" t="s">
        <v>102</v>
      </c>
      <c r="M1660" s="13" t="s">
        <v>103</v>
      </c>
      <c r="N1660" s="139" t="s">
        <v>493</v>
      </c>
      <c r="O1660" s="139" t="s">
        <v>493</v>
      </c>
      <c r="P1660" s="28">
        <v>27</v>
      </c>
      <c r="Q1660" s="13" t="s">
        <v>54</v>
      </c>
      <c r="R1660" s="13" t="s">
        <v>28</v>
      </c>
      <c r="S1660" s="13"/>
      <c r="T1660" s="13"/>
      <c r="U1660" s="13" t="s">
        <v>1949</v>
      </c>
      <c r="V1660" s="13" t="s">
        <v>1949</v>
      </c>
      <c r="W1660" s="59">
        <f t="shared" si="25"/>
        <v>3.3653544913098074E-5</v>
      </c>
    </row>
    <row r="1661" spans="1:29">
      <c r="A1661" s="13" t="s">
        <v>970</v>
      </c>
      <c r="B1661" s="13" t="s">
        <v>471</v>
      </c>
      <c r="C1661" s="139">
        <v>46407</v>
      </c>
      <c r="D1661" s="139" t="s">
        <v>441</v>
      </c>
      <c r="E1661" s="28">
        <v>0.87245450000000002</v>
      </c>
      <c r="F1661" s="13"/>
      <c r="G1661" s="18">
        <v>14000000</v>
      </c>
      <c r="H1661" s="18">
        <v>12214362.99</v>
      </c>
      <c r="I1661" s="18">
        <v>14000000</v>
      </c>
      <c r="J1661" s="18">
        <v>12214362.99</v>
      </c>
      <c r="K1661" s="15">
        <v>122</v>
      </c>
      <c r="L1661" s="13" t="s">
        <v>102</v>
      </c>
      <c r="M1661" s="13" t="s">
        <v>103</v>
      </c>
      <c r="N1661" s="139" t="s">
        <v>493</v>
      </c>
      <c r="O1661" s="139" t="s">
        <v>493</v>
      </c>
      <c r="P1661" s="28">
        <v>29</v>
      </c>
      <c r="Q1661" s="13" t="s">
        <v>54</v>
      </c>
      <c r="R1661" s="13" t="s">
        <v>28</v>
      </c>
      <c r="S1661" s="13"/>
      <c r="T1661" s="13"/>
      <c r="U1661" s="13" t="s">
        <v>1957</v>
      </c>
      <c r="V1661" s="13" t="s">
        <v>1957</v>
      </c>
      <c r="W1661" s="59">
        <f t="shared" si="25"/>
        <v>2.3335064325903096E-4</v>
      </c>
    </row>
    <row r="1662" spans="1:29">
      <c r="A1662" s="13" t="s">
        <v>338</v>
      </c>
      <c r="B1662" s="13" t="s">
        <v>130</v>
      </c>
      <c r="C1662" s="139">
        <v>46414</v>
      </c>
      <c r="D1662" s="139" t="s">
        <v>441</v>
      </c>
      <c r="E1662" s="28">
        <v>0.95027342000000004</v>
      </c>
      <c r="F1662" s="13" t="s">
        <v>2487</v>
      </c>
      <c r="G1662" s="18">
        <v>13904</v>
      </c>
      <c r="H1662" s="18">
        <v>13212.6</v>
      </c>
      <c r="I1662" s="18">
        <v>20580352.93</v>
      </c>
      <c r="J1662" s="18">
        <v>19556959.949999999</v>
      </c>
      <c r="K1662" s="15">
        <v>134916</v>
      </c>
      <c r="L1662" s="13" t="s">
        <v>102</v>
      </c>
      <c r="M1662" s="13" t="s">
        <v>103</v>
      </c>
      <c r="N1662" s="139" t="s">
        <v>145</v>
      </c>
      <c r="O1662" s="139" t="s">
        <v>145</v>
      </c>
      <c r="P1662" s="28">
        <v>10</v>
      </c>
      <c r="Q1662" s="13" t="s">
        <v>54</v>
      </c>
      <c r="R1662" s="13" t="s">
        <v>28</v>
      </c>
      <c r="S1662" s="13"/>
      <c r="T1662" s="13"/>
      <c r="U1662" s="13" t="s">
        <v>336</v>
      </c>
      <c r="V1662" s="13" t="s">
        <v>336</v>
      </c>
      <c r="W1662" s="59">
        <f t="shared" si="25"/>
        <v>3.7362809573122122E-4</v>
      </c>
      <c r="AC1662" s="56"/>
    </row>
    <row r="1663" spans="1:29">
      <c r="A1663" s="13" t="s">
        <v>737</v>
      </c>
      <c r="B1663" s="13" t="s">
        <v>471</v>
      </c>
      <c r="C1663" s="139">
        <v>46415</v>
      </c>
      <c r="D1663" s="139" t="s">
        <v>441</v>
      </c>
      <c r="E1663" s="28">
        <v>0.87968776000000004</v>
      </c>
      <c r="F1663" s="13"/>
      <c r="G1663" s="18">
        <v>25000000</v>
      </c>
      <c r="H1663" s="18">
        <v>21992194.120000001</v>
      </c>
      <c r="I1663" s="18">
        <v>25000000</v>
      </c>
      <c r="J1663" s="18">
        <v>21992194.120000001</v>
      </c>
      <c r="K1663" s="15">
        <v>9508928</v>
      </c>
      <c r="L1663" s="13" t="s">
        <v>102</v>
      </c>
      <c r="M1663" s="13" t="s">
        <v>103</v>
      </c>
      <c r="N1663" s="139" t="s">
        <v>382</v>
      </c>
      <c r="O1663" s="139" t="s">
        <v>382</v>
      </c>
      <c r="P1663" s="28">
        <v>26</v>
      </c>
      <c r="Q1663" s="13" t="s">
        <v>54</v>
      </c>
      <c r="R1663" s="13" t="s">
        <v>28</v>
      </c>
      <c r="S1663" s="13"/>
      <c r="T1663" s="13"/>
      <c r="U1663" s="13" t="s">
        <v>2359</v>
      </c>
      <c r="V1663" s="13" t="s">
        <v>2359</v>
      </c>
      <c r="W1663" s="59">
        <f t="shared" si="25"/>
        <v>4.2015229519386325E-4</v>
      </c>
    </row>
    <row r="1664" spans="1:29">
      <c r="A1664" s="13" t="s">
        <v>1904</v>
      </c>
      <c r="B1664" s="13" t="s">
        <v>471</v>
      </c>
      <c r="C1664" s="139">
        <v>46428</v>
      </c>
      <c r="D1664" s="139" t="s">
        <v>441</v>
      </c>
      <c r="E1664" s="28">
        <v>0.85580323000000003</v>
      </c>
      <c r="F1664" s="13"/>
      <c r="G1664" s="18">
        <v>12500000</v>
      </c>
      <c r="H1664" s="18">
        <v>10697540.359999999</v>
      </c>
      <c r="I1664" s="18">
        <v>12500000</v>
      </c>
      <c r="J1664" s="18">
        <v>10697540.359999999</v>
      </c>
      <c r="K1664" s="15">
        <v>240</v>
      </c>
      <c r="L1664" s="13" t="s">
        <v>102</v>
      </c>
      <c r="M1664" s="13" t="s">
        <v>103</v>
      </c>
      <c r="N1664" s="139" t="s">
        <v>402</v>
      </c>
      <c r="O1664" s="139" t="s">
        <v>402</v>
      </c>
      <c r="P1664" s="28">
        <v>30</v>
      </c>
      <c r="Q1664" s="13" t="s">
        <v>54</v>
      </c>
      <c r="R1664" s="13" t="s">
        <v>28</v>
      </c>
      <c r="S1664" s="13"/>
      <c r="T1664" s="13"/>
      <c r="U1664" s="13" t="s">
        <v>1873</v>
      </c>
      <c r="V1664" s="13" t="s">
        <v>1873</v>
      </c>
      <c r="W1664" s="59">
        <f t="shared" si="25"/>
        <v>2.0437233823320699E-4</v>
      </c>
    </row>
    <row r="1665" spans="1:29">
      <c r="A1665" s="13" t="s">
        <v>1863</v>
      </c>
      <c r="B1665" s="13" t="s">
        <v>471</v>
      </c>
      <c r="C1665" s="139">
        <v>46429</v>
      </c>
      <c r="D1665" s="139" t="s">
        <v>441</v>
      </c>
      <c r="E1665" s="28">
        <v>0.86353749999999996</v>
      </c>
      <c r="F1665" s="13"/>
      <c r="G1665" s="18">
        <v>74495580</v>
      </c>
      <c r="H1665" s="18">
        <v>64329726.560000002</v>
      </c>
      <c r="I1665" s="18">
        <v>74495580</v>
      </c>
      <c r="J1665" s="18">
        <v>64329726.560000002</v>
      </c>
      <c r="K1665" s="15">
        <v>155357</v>
      </c>
      <c r="L1665" s="13" t="s">
        <v>102</v>
      </c>
      <c r="M1665" s="13" t="s">
        <v>103</v>
      </c>
      <c r="N1665" s="139" t="s">
        <v>367</v>
      </c>
      <c r="O1665" s="139" t="s">
        <v>367</v>
      </c>
      <c r="P1665" s="28">
        <v>28</v>
      </c>
      <c r="Q1665" s="13" t="s">
        <v>54</v>
      </c>
      <c r="R1665" s="13" t="s">
        <v>28</v>
      </c>
      <c r="S1665" s="13"/>
      <c r="T1665" s="13"/>
      <c r="U1665" s="13" t="s">
        <v>1854</v>
      </c>
      <c r="V1665" s="13" t="s">
        <v>1854</v>
      </c>
      <c r="W1665" s="59">
        <f t="shared" si="25"/>
        <v>1.2289943475352347E-3</v>
      </c>
    </row>
    <row r="1666" spans="1:29">
      <c r="A1666" s="13" t="s">
        <v>653</v>
      </c>
      <c r="B1666" s="13" t="s">
        <v>130</v>
      </c>
      <c r="C1666" s="139">
        <v>46433</v>
      </c>
      <c r="D1666" s="139" t="s">
        <v>441</v>
      </c>
      <c r="E1666" s="28">
        <v>0.95599608999999997</v>
      </c>
      <c r="F1666" s="13" t="s">
        <v>2487</v>
      </c>
      <c r="G1666" s="18">
        <v>18230</v>
      </c>
      <c r="H1666" s="18">
        <v>17427.810000000001</v>
      </c>
      <c r="I1666" s="18">
        <v>26983589.890000001</v>
      </c>
      <c r="J1666" s="18">
        <v>25796208.32</v>
      </c>
      <c r="K1666" s="15">
        <v>146450</v>
      </c>
      <c r="L1666" s="13" t="s">
        <v>102</v>
      </c>
      <c r="M1666" s="13" t="s">
        <v>103</v>
      </c>
      <c r="N1666" s="139" t="s">
        <v>358</v>
      </c>
      <c r="O1666" s="139" t="s">
        <v>358</v>
      </c>
      <c r="P1666" s="28">
        <v>8</v>
      </c>
      <c r="Q1666" s="13" t="s">
        <v>54</v>
      </c>
      <c r="R1666" s="13" t="s">
        <v>28</v>
      </c>
      <c r="S1666" s="13"/>
      <c r="T1666" s="13"/>
      <c r="U1666" s="13" t="s">
        <v>649</v>
      </c>
      <c r="V1666" s="13" t="s">
        <v>649</v>
      </c>
      <c r="W1666" s="59">
        <f t="shared" si="25"/>
        <v>4.9282650352247027E-4</v>
      </c>
    </row>
    <row r="1667" spans="1:29">
      <c r="A1667" s="13" t="s">
        <v>1904</v>
      </c>
      <c r="B1667" s="13" t="s">
        <v>471</v>
      </c>
      <c r="C1667" s="139">
        <v>46434</v>
      </c>
      <c r="D1667" s="139" t="s">
        <v>441</v>
      </c>
      <c r="E1667" s="28">
        <v>0.85220644999999995</v>
      </c>
      <c r="F1667" s="13"/>
      <c r="G1667" s="18">
        <v>12500000</v>
      </c>
      <c r="H1667" s="18">
        <v>10652580.6</v>
      </c>
      <c r="I1667" s="18">
        <v>12500000</v>
      </c>
      <c r="J1667" s="18">
        <v>10652580.6</v>
      </c>
      <c r="K1667" s="15">
        <v>241</v>
      </c>
      <c r="L1667" s="13" t="s">
        <v>102</v>
      </c>
      <c r="M1667" s="13" t="s">
        <v>103</v>
      </c>
      <c r="N1667" s="139" t="s">
        <v>402</v>
      </c>
      <c r="O1667" s="139" t="s">
        <v>402</v>
      </c>
      <c r="P1667" s="28">
        <v>30</v>
      </c>
      <c r="Q1667" s="13" t="s">
        <v>54</v>
      </c>
      <c r="R1667" s="13" t="s">
        <v>28</v>
      </c>
      <c r="S1667" s="13"/>
      <c r="T1667" s="13"/>
      <c r="U1667" s="13" t="s">
        <v>1875</v>
      </c>
      <c r="V1667" s="13" t="s">
        <v>1875</v>
      </c>
      <c r="W1667" s="59">
        <f t="shared" si="25"/>
        <v>2.035133995455848E-4</v>
      </c>
    </row>
    <row r="1668" spans="1:29">
      <c r="A1668" s="13" t="s">
        <v>653</v>
      </c>
      <c r="B1668" s="13" t="s">
        <v>130</v>
      </c>
      <c r="C1668" s="139">
        <v>46463</v>
      </c>
      <c r="D1668" s="139" t="s">
        <v>441</v>
      </c>
      <c r="E1668" s="28">
        <v>0.95002969000000004</v>
      </c>
      <c r="F1668" s="13" t="s">
        <v>2487</v>
      </c>
      <c r="G1668" s="18">
        <v>18230</v>
      </c>
      <c r="H1668" s="18">
        <v>17319.04</v>
      </c>
      <c r="I1668" s="18">
        <v>26983589.890000001</v>
      </c>
      <c r="J1668" s="18">
        <v>25635209.690000001</v>
      </c>
      <c r="K1668" s="15">
        <v>146451</v>
      </c>
      <c r="L1668" s="13" t="s">
        <v>102</v>
      </c>
      <c r="M1668" s="13" t="s">
        <v>103</v>
      </c>
      <c r="N1668" s="139" t="s">
        <v>358</v>
      </c>
      <c r="O1668" s="139" t="s">
        <v>358</v>
      </c>
      <c r="P1668" s="28">
        <v>8</v>
      </c>
      <c r="Q1668" s="13" t="s">
        <v>54</v>
      </c>
      <c r="R1668" s="13" t="s">
        <v>28</v>
      </c>
      <c r="S1668" s="13"/>
      <c r="T1668" s="13"/>
      <c r="U1668" s="13" t="s">
        <v>641</v>
      </c>
      <c r="V1668" s="13" t="s">
        <v>641</v>
      </c>
      <c r="W1668" s="59">
        <f t="shared" si="25"/>
        <v>4.8975068746025892E-4</v>
      </c>
    </row>
    <row r="1669" spans="1:29">
      <c r="A1669" s="13" t="s">
        <v>653</v>
      </c>
      <c r="B1669" s="13" t="s">
        <v>130</v>
      </c>
      <c r="C1669" s="139">
        <v>46491</v>
      </c>
      <c r="D1669" s="139" t="s">
        <v>441</v>
      </c>
      <c r="E1669" s="28">
        <v>0.94452093999999998</v>
      </c>
      <c r="F1669" s="13" t="s">
        <v>2487</v>
      </c>
      <c r="G1669" s="18">
        <v>18230</v>
      </c>
      <c r="H1669" s="18">
        <v>17218.62</v>
      </c>
      <c r="I1669" s="18">
        <v>26983589.890000001</v>
      </c>
      <c r="J1669" s="18">
        <v>25486570.52</v>
      </c>
      <c r="K1669" s="15">
        <v>146452</v>
      </c>
      <c r="L1669" s="13" t="s">
        <v>102</v>
      </c>
      <c r="M1669" s="13" t="s">
        <v>103</v>
      </c>
      <c r="N1669" s="139" t="s">
        <v>358</v>
      </c>
      <c r="O1669" s="139" t="s">
        <v>358</v>
      </c>
      <c r="P1669" s="28">
        <v>8</v>
      </c>
      <c r="Q1669" s="13" t="s">
        <v>54</v>
      </c>
      <c r="R1669" s="13" t="s">
        <v>28</v>
      </c>
      <c r="S1669" s="13"/>
      <c r="T1669" s="13"/>
      <c r="U1669" s="13" t="s">
        <v>645</v>
      </c>
      <c r="V1669" s="13" t="s">
        <v>645</v>
      </c>
      <c r="W1669" s="59">
        <f t="shared" ref="W1669:W1674" si="26">+J1669/$W$2</f>
        <v>4.8691099406311769E-4</v>
      </c>
    </row>
    <row r="1670" spans="1:29">
      <c r="A1670" s="13" t="s">
        <v>653</v>
      </c>
      <c r="B1670" s="13" t="s">
        <v>130</v>
      </c>
      <c r="C1670" s="139">
        <v>46521</v>
      </c>
      <c r="D1670" s="139" t="s">
        <v>441</v>
      </c>
      <c r="E1670" s="28">
        <v>0.93868874000000002</v>
      </c>
      <c r="F1670" s="13" t="s">
        <v>2487</v>
      </c>
      <c r="G1670" s="18">
        <v>18230</v>
      </c>
      <c r="H1670" s="18">
        <v>17112.3</v>
      </c>
      <c r="I1670" s="18">
        <v>26983589.890000001</v>
      </c>
      <c r="J1670" s="18">
        <v>25329198.32</v>
      </c>
      <c r="K1670" s="15">
        <v>146453</v>
      </c>
      <c r="L1670" s="13" t="s">
        <v>102</v>
      </c>
      <c r="M1670" s="13" t="s">
        <v>103</v>
      </c>
      <c r="N1670" s="139" t="s">
        <v>358</v>
      </c>
      <c r="O1670" s="139" t="s">
        <v>358</v>
      </c>
      <c r="P1670" s="28">
        <v>8</v>
      </c>
      <c r="Q1670" s="13" t="s">
        <v>54</v>
      </c>
      <c r="R1670" s="13" t="s">
        <v>28</v>
      </c>
      <c r="S1670" s="13"/>
      <c r="T1670" s="13"/>
      <c r="U1670" s="13" t="s">
        <v>643</v>
      </c>
      <c r="V1670" s="13" t="s">
        <v>643</v>
      </c>
      <c r="W1670" s="59">
        <f t="shared" si="26"/>
        <v>4.839044595323236E-4</v>
      </c>
    </row>
    <row r="1671" spans="1:29">
      <c r="A1671" s="13" t="s">
        <v>653</v>
      </c>
      <c r="B1671" s="13" t="s">
        <v>130</v>
      </c>
      <c r="C1671" s="139">
        <v>46553</v>
      </c>
      <c r="D1671" s="139" t="s">
        <v>441</v>
      </c>
      <c r="E1671" s="28">
        <v>0.93255171000000003</v>
      </c>
      <c r="F1671" s="13" t="s">
        <v>2487</v>
      </c>
      <c r="G1671" s="18">
        <v>18230</v>
      </c>
      <c r="H1671" s="18">
        <v>17000.419999999998</v>
      </c>
      <c r="I1671" s="18">
        <v>26983589.890000001</v>
      </c>
      <c r="J1671" s="18">
        <v>25163596.34</v>
      </c>
      <c r="K1671" s="15">
        <v>146455</v>
      </c>
      <c r="L1671" s="13" t="s">
        <v>102</v>
      </c>
      <c r="M1671" s="13" t="s">
        <v>103</v>
      </c>
      <c r="N1671" s="139" t="s">
        <v>358</v>
      </c>
      <c r="O1671" s="139" t="s">
        <v>358</v>
      </c>
      <c r="P1671" s="28">
        <v>8</v>
      </c>
      <c r="Q1671" s="13" t="s">
        <v>54</v>
      </c>
      <c r="R1671" s="13" t="s">
        <v>28</v>
      </c>
      <c r="S1671" s="13"/>
      <c r="T1671" s="13"/>
      <c r="U1671" s="13" t="s">
        <v>639</v>
      </c>
      <c r="V1671" s="13" t="s">
        <v>639</v>
      </c>
      <c r="W1671" s="59">
        <f t="shared" si="26"/>
        <v>4.8074069826293874E-4</v>
      </c>
      <c r="AC1671" s="56"/>
    </row>
    <row r="1672" spans="1:29">
      <c r="A1672" s="13" t="s">
        <v>338</v>
      </c>
      <c r="B1672" s="13" t="s">
        <v>130</v>
      </c>
      <c r="C1672" s="139">
        <v>46596</v>
      </c>
      <c r="D1672" s="139" t="s">
        <v>441</v>
      </c>
      <c r="E1672" s="28">
        <v>0.90728231999999998</v>
      </c>
      <c r="F1672" s="13" t="s">
        <v>2487</v>
      </c>
      <c r="G1672" s="18">
        <v>20856</v>
      </c>
      <c r="H1672" s="18">
        <v>18922.28</v>
      </c>
      <c r="I1672" s="18">
        <v>30870529.390000001</v>
      </c>
      <c r="J1672" s="18">
        <v>28008285.43</v>
      </c>
      <c r="K1672" s="15">
        <v>134917</v>
      </c>
      <c r="L1672" s="13" t="s">
        <v>102</v>
      </c>
      <c r="M1672" s="13" t="s">
        <v>103</v>
      </c>
      <c r="N1672" s="139" t="s">
        <v>145</v>
      </c>
      <c r="O1672" s="139" t="s">
        <v>145</v>
      </c>
      <c r="P1672" s="28">
        <v>10</v>
      </c>
      <c r="Q1672" s="13" t="s">
        <v>54</v>
      </c>
      <c r="R1672" s="13" t="s">
        <v>28</v>
      </c>
      <c r="S1672" s="13"/>
      <c r="T1672" s="13"/>
      <c r="U1672" s="13" t="s">
        <v>332</v>
      </c>
      <c r="V1672" s="13" t="s">
        <v>332</v>
      </c>
      <c r="W1672" s="59">
        <f t="shared" si="26"/>
        <v>5.3508737434968304E-4</v>
      </c>
      <c r="AC1672" s="56"/>
    </row>
    <row r="1673" spans="1:29">
      <c r="A1673" s="13" t="s">
        <v>338</v>
      </c>
      <c r="B1673" s="13" t="s">
        <v>130</v>
      </c>
      <c r="C1673" s="139">
        <v>46779</v>
      </c>
      <c r="D1673" s="139" t="s">
        <v>441</v>
      </c>
      <c r="E1673" s="28">
        <v>0.86780734999999998</v>
      </c>
      <c r="F1673" s="13" t="s">
        <v>2487</v>
      </c>
      <c r="G1673" s="18">
        <v>20856</v>
      </c>
      <c r="H1673" s="18">
        <v>18098.990000000002</v>
      </c>
      <c r="I1673" s="18">
        <v>30870529.390000001</v>
      </c>
      <c r="J1673" s="18">
        <v>26789672.170000002</v>
      </c>
      <c r="K1673" s="15">
        <v>134918</v>
      </c>
      <c r="L1673" s="13" t="s">
        <v>102</v>
      </c>
      <c r="M1673" s="13" t="s">
        <v>103</v>
      </c>
      <c r="N1673" s="139" t="s">
        <v>145</v>
      </c>
      <c r="O1673" s="139" t="s">
        <v>145</v>
      </c>
      <c r="P1673" s="28">
        <v>10</v>
      </c>
      <c r="Q1673" s="13" t="s">
        <v>54</v>
      </c>
      <c r="R1673" s="13" t="s">
        <v>28</v>
      </c>
      <c r="S1673" s="13"/>
      <c r="T1673" s="13"/>
      <c r="U1673" s="13" t="s">
        <v>330</v>
      </c>
      <c r="V1673" s="13" t="s">
        <v>330</v>
      </c>
      <c r="W1673" s="59">
        <f t="shared" si="26"/>
        <v>5.1180624308333738E-4</v>
      </c>
    </row>
    <row r="1674" spans="1:29">
      <c r="A1674" s="13" t="s">
        <v>338</v>
      </c>
      <c r="B1674" s="13" t="s">
        <v>130</v>
      </c>
      <c r="C1674" s="139">
        <v>46961</v>
      </c>
      <c r="D1674" s="139" t="s">
        <v>441</v>
      </c>
      <c r="E1674" s="28">
        <v>0.83181590000000005</v>
      </c>
      <c r="F1674" s="13" t="s">
        <v>2487</v>
      </c>
      <c r="G1674" s="18">
        <v>20856</v>
      </c>
      <c r="H1674" s="18">
        <v>17348.349999999999</v>
      </c>
      <c r="I1674" s="18">
        <v>30870529.390000001</v>
      </c>
      <c r="J1674" s="18">
        <v>25678593.620000001</v>
      </c>
      <c r="K1674" s="15">
        <v>134919</v>
      </c>
      <c r="L1674" s="13" t="s">
        <v>102</v>
      </c>
      <c r="M1674" s="13" t="s">
        <v>103</v>
      </c>
      <c r="N1674" s="139" t="s">
        <v>145</v>
      </c>
      <c r="O1674" s="139" t="s">
        <v>145</v>
      </c>
      <c r="P1674" s="28">
        <v>10</v>
      </c>
      <c r="Q1674" s="13" t="s">
        <v>54</v>
      </c>
      <c r="R1674" s="13" t="s">
        <v>28</v>
      </c>
      <c r="S1674" s="13"/>
      <c r="T1674" s="13"/>
      <c r="U1674" s="13" t="s">
        <v>334</v>
      </c>
      <c r="V1674" s="13" t="s">
        <v>334</v>
      </c>
      <c r="W1674" s="59">
        <f t="shared" si="26"/>
        <v>4.9057952053005493E-4</v>
      </c>
    </row>
  </sheetData>
  <autoFilter ref="A3:AI3" xr:uid="{A4EE9D7C-6CE1-4D24-BFA5-FB4DE12DAF08}">
    <sortState xmlns:xlrd2="http://schemas.microsoft.com/office/spreadsheetml/2017/richdata2" ref="A4:AI1674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396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339</v>
      </c>
      <c r="C4" s="13" t="s">
        <v>277</v>
      </c>
      <c r="D4" s="28">
        <v>334081676.28821802</v>
      </c>
      <c r="E4" s="18">
        <v>582099569.70000005</v>
      </c>
      <c r="F4" s="13" t="s">
        <v>123</v>
      </c>
      <c r="G4" s="139" t="s">
        <v>441</v>
      </c>
      <c r="H4" s="13" t="s">
        <v>275</v>
      </c>
      <c r="I4" s="93">
        <v>1.7423869999999999</v>
      </c>
      <c r="J4" s="28">
        <v>1.4744998600000001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3149946637.4699998</v>
      </c>
      <c r="F5" s="13" t="s">
        <v>123</v>
      </c>
      <c r="G5" s="139" t="s">
        <v>441</v>
      </c>
      <c r="H5" s="13" t="s">
        <v>275</v>
      </c>
      <c r="I5" s="93">
        <v>1.7423869999999999</v>
      </c>
      <c r="J5" s="28">
        <v>7.9790402</v>
      </c>
    </row>
    <row r="6" spans="1:10">
      <c r="A6" s="13" t="s">
        <v>102</v>
      </c>
      <c r="B6" s="13" t="s">
        <v>1844</v>
      </c>
      <c r="C6" s="13" t="s">
        <v>277</v>
      </c>
      <c r="D6" s="28">
        <v>290751767.77074802</v>
      </c>
      <c r="E6" s="18">
        <v>506602100.38999999</v>
      </c>
      <c r="F6" s="13" t="s">
        <v>123</v>
      </c>
      <c r="G6" s="139" t="s">
        <v>441</v>
      </c>
      <c r="H6" s="13" t="s">
        <v>275</v>
      </c>
      <c r="I6" s="93">
        <v>1.7423869999999999</v>
      </c>
      <c r="J6" s="28">
        <v>1.2832593699999999</v>
      </c>
    </row>
    <row r="7" spans="1:10">
      <c r="A7" s="13" t="s">
        <v>102</v>
      </c>
      <c r="B7" s="13" t="s">
        <v>1845</v>
      </c>
      <c r="C7" s="13" t="s">
        <v>277</v>
      </c>
      <c r="D7" s="28">
        <v>581503535.54149604</v>
      </c>
      <c r="E7" s="18">
        <v>1013204200.78</v>
      </c>
      <c r="F7" s="13" t="s">
        <v>123</v>
      </c>
      <c r="G7" s="139" t="s">
        <v>441</v>
      </c>
      <c r="H7" s="13" t="s">
        <v>275</v>
      </c>
      <c r="I7" s="93">
        <v>1.7423869999999999</v>
      </c>
      <c r="J7" s="28">
        <v>2.5665187299999999</v>
      </c>
    </row>
    <row r="8" spans="1:10">
      <c r="A8" s="13" t="s">
        <v>102</v>
      </c>
      <c r="B8" s="13" t="s">
        <v>273</v>
      </c>
      <c r="C8" s="13" t="s">
        <v>277</v>
      </c>
      <c r="D8" s="28">
        <v>19326824603.062725</v>
      </c>
      <c r="E8" s="18">
        <v>33674807939.66</v>
      </c>
      <c r="F8" s="13" t="s">
        <v>123</v>
      </c>
      <c r="G8" s="139" t="s">
        <v>441</v>
      </c>
      <c r="H8" s="13" t="s">
        <v>275</v>
      </c>
      <c r="I8" s="93">
        <v>1.7423869999999999</v>
      </c>
      <c r="J8" s="28">
        <v>85.30069786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551103254.75999999</v>
      </c>
      <c r="F9" s="13" t="s">
        <v>123</v>
      </c>
      <c r="G9" s="139" t="s">
        <v>441</v>
      </c>
      <c r="H9" s="13" t="s">
        <v>275</v>
      </c>
      <c r="I9" s="93">
        <v>1.7423869999999999</v>
      </c>
      <c r="J9" s="28">
        <v>1.3959839700000001</v>
      </c>
    </row>
    <row r="10" spans="1:10">
      <c r="A10" s="13" t="s">
        <v>102</v>
      </c>
      <c r="B10" s="13" t="s">
        <v>273</v>
      </c>
      <c r="C10" s="13" t="s">
        <v>274</v>
      </c>
      <c r="D10" s="28">
        <v>4097256252.7985072</v>
      </c>
      <c r="E10" s="18">
        <v>5913844465.8299999</v>
      </c>
      <c r="F10" s="13" t="s">
        <v>123</v>
      </c>
      <c r="G10" s="139" t="s">
        <v>441</v>
      </c>
      <c r="H10" s="13" t="s">
        <v>275</v>
      </c>
      <c r="I10" s="93">
        <v>1.4433670000000001</v>
      </c>
      <c r="J10" s="28">
        <v>90.146178359999993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646438591.5</v>
      </c>
      <c r="F11" s="13" t="s">
        <v>123</v>
      </c>
      <c r="G11" s="139" t="s">
        <v>441</v>
      </c>
      <c r="H11" s="13" t="s">
        <v>275</v>
      </c>
      <c r="I11" s="93">
        <v>1.4433670000000001</v>
      </c>
      <c r="J11" s="28">
        <v>9.8538216399999996</v>
      </c>
    </row>
    <row r="12" spans="1:10">
      <c r="A12" s="13" t="s">
        <v>102</v>
      </c>
      <c r="B12" s="13" t="s">
        <v>273</v>
      </c>
      <c r="C12" s="13" t="s">
        <v>276</v>
      </c>
      <c r="D12" s="28">
        <v>3355279228.648129</v>
      </c>
      <c r="E12" s="18">
        <v>5803096347.6700001</v>
      </c>
      <c r="F12" s="13" t="s">
        <v>123</v>
      </c>
      <c r="G12" s="139" t="s">
        <v>441</v>
      </c>
      <c r="H12" s="13" t="s">
        <v>275</v>
      </c>
      <c r="I12" s="93">
        <v>1.7295419999999999</v>
      </c>
      <c r="J12" s="28">
        <v>95.200890549999997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292536071.38</v>
      </c>
      <c r="F13" s="13" t="s">
        <v>123</v>
      </c>
      <c r="G13" s="139" t="s">
        <v>441</v>
      </c>
      <c r="H13" s="13" t="s">
        <v>275</v>
      </c>
      <c r="I13" s="93">
        <v>1.7295419999999999</v>
      </c>
      <c r="J13" s="28">
        <v>4.7991094500000004</v>
      </c>
    </row>
    <row r="14" spans="1:10">
      <c r="A14" s="148"/>
      <c r="B14" s="148"/>
      <c r="C14" s="148"/>
      <c r="D14" s="149">
        <v>30726832530.979042</v>
      </c>
      <c r="E14" s="147">
        <f>+SUM(E4:E13)</f>
        <v>52133679179.139999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2026-07-21T13:44:08Z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
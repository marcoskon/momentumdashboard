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988" documentId="8_{EB75218D-2B89-4C0B-9C31-74AD954AF6A1}" xr6:coauthVersionLast="47" xr6:coauthVersionMax="47" xr10:uidLastSave="{26D54688-AC8C-4CC0-9FFE-49BF8713CDFF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32" i="1"/>
  <c r="L12" i="1" l="1"/>
  <c r="L11" i="1"/>
  <c r="I119" i="3" l="1"/>
  <c r="L23" i="1" l="1"/>
  <c r="L1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516" i="7" l="1"/>
  <c r="W372" i="7"/>
  <c r="W89" i="7"/>
  <c r="W241" i="7"/>
  <c r="W392" i="7"/>
  <c r="W862" i="7"/>
  <c r="W549" i="7"/>
  <c r="W161" i="7"/>
  <c r="W446" i="7"/>
  <c r="W185" i="7"/>
  <c r="W298" i="7"/>
  <c r="W309" i="7"/>
  <c r="W750" i="7"/>
  <c r="W504" i="7"/>
  <c r="W895" i="7"/>
  <c r="W1068" i="7"/>
  <c r="W374" i="7"/>
  <c r="W915" i="7"/>
  <c r="W966" i="7"/>
  <c r="W182" i="7"/>
  <c r="W702" i="7"/>
  <c r="W957" i="7"/>
  <c r="W310" i="7"/>
  <c r="W75" i="7"/>
  <c r="W567" i="7"/>
  <c r="W726" i="7"/>
  <c r="W522" i="7"/>
  <c r="W170" i="7"/>
  <c r="W187" i="7"/>
  <c r="W1053" i="7"/>
  <c r="W52" i="7"/>
  <c r="W889" i="7"/>
  <c r="W315" i="7"/>
  <c r="W866" i="7"/>
  <c r="W5" i="7"/>
  <c r="W365" i="7"/>
  <c r="W984" i="7"/>
  <c r="W72" i="7"/>
  <c r="W539" i="7"/>
  <c r="W1073" i="7"/>
  <c r="W375" i="7"/>
  <c r="W196" i="7"/>
  <c r="W297" i="7"/>
  <c r="W447" i="7"/>
  <c r="W1097" i="7"/>
  <c r="W788" i="7"/>
  <c r="W528" i="7"/>
  <c r="W946" i="7"/>
  <c r="W1151" i="7"/>
  <c r="W351" i="7"/>
  <c r="W981" i="7"/>
  <c r="W255" i="7"/>
  <c r="W1062" i="7"/>
  <c r="W1011" i="7"/>
  <c r="W728" i="7"/>
  <c r="W512" i="7"/>
  <c r="W414" i="7"/>
  <c r="W580" i="7"/>
  <c r="W492" i="7"/>
  <c r="W486" i="7"/>
  <c r="W1098" i="7"/>
  <c r="W841" i="7"/>
  <c r="W773" i="7"/>
  <c r="W149" i="7"/>
  <c r="W781" i="7"/>
  <c r="W1157" i="7"/>
  <c r="W1140" i="7"/>
  <c r="W869" i="7"/>
  <c r="W677" i="7"/>
  <c r="W1163" i="7"/>
  <c r="W628" i="7"/>
  <c r="W972" i="7"/>
  <c r="W506" i="7"/>
  <c r="W526" i="7"/>
  <c r="W35" i="7"/>
  <c r="W519" i="7"/>
  <c r="W465" i="7"/>
  <c r="W584" i="7"/>
  <c r="W655" i="7"/>
  <c r="W998" i="7"/>
  <c r="W846" i="7"/>
  <c r="W849" i="7"/>
  <c r="W12" i="7"/>
  <c r="W740" i="7"/>
  <c r="W928" i="7"/>
  <c r="W532" i="7"/>
  <c r="W1106" i="7"/>
  <c r="W919" i="7"/>
  <c r="W237" i="7"/>
  <c r="W160" i="7"/>
  <c r="W412" i="7"/>
  <c r="W716" i="7"/>
  <c r="W789" i="7"/>
  <c r="W691" i="7"/>
  <c r="W1063" i="7"/>
  <c r="W902" i="7"/>
  <c r="W678" i="7"/>
  <c r="W791" i="7"/>
  <c r="W191" i="7"/>
  <c r="W954" i="7"/>
  <c r="W1161" i="7"/>
  <c r="W367" i="7"/>
  <c r="W350" i="7"/>
  <c r="W945" i="7"/>
  <c r="W17" i="7"/>
  <c r="W803" i="7"/>
  <c r="W1010" i="7"/>
  <c r="W295" i="7"/>
  <c r="W596" i="7"/>
  <c r="W850" i="7"/>
  <c r="W28" i="7"/>
  <c r="W67" i="7"/>
  <c r="W1104" i="7"/>
  <c r="W1129" i="7"/>
  <c r="W737" i="7"/>
  <c r="W746" i="7"/>
  <c r="W588" i="7"/>
  <c r="W201" i="7"/>
  <c r="W1150" i="7"/>
  <c r="W1085" i="7"/>
  <c r="W178" i="7"/>
  <c r="W681" i="7"/>
  <c r="W377" i="7"/>
  <c r="W420" i="7"/>
  <c r="W73" i="7"/>
  <c r="W531" i="7"/>
  <c r="W1031" i="7"/>
  <c r="W589" i="7"/>
  <c r="W541" i="7"/>
  <c r="W880" i="7"/>
  <c r="W851" i="7"/>
  <c r="W839" i="7"/>
  <c r="W403" i="7"/>
  <c r="W860" i="7"/>
  <c r="W376" i="7"/>
  <c r="W987" i="7"/>
  <c r="W610" i="7"/>
  <c r="W153" i="7"/>
  <c r="W62" i="7"/>
  <c r="W116" i="7"/>
  <c r="W1057" i="7"/>
  <c r="W262" i="7"/>
  <c r="W454" i="7"/>
  <c r="W444" i="7"/>
  <c r="W1148" i="7"/>
  <c r="W622" i="7"/>
  <c r="W1074" i="7"/>
  <c r="W1080" i="7"/>
  <c r="W491" i="7"/>
  <c r="W1077" i="7"/>
  <c r="W640" i="7"/>
  <c r="W463" i="7"/>
  <c r="W147" i="7"/>
  <c r="W579" i="7"/>
  <c r="W123" i="7"/>
  <c r="W834" i="7"/>
  <c r="W900" i="7"/>
  <c r="W1028" i="7"/>
  <c r="W80" i="7"/>
  <c r="W783" i="7"/>
  <c r="W1039" i="7"/>
  <c r="W810" i="7"/>
  <c r="W1082" i="7"/>
  <c r="W731" i="7"/>
  <c r="W461" i="7"/>
  <c r="W672" i="7"/>
  <c r="W55" i="7"/>
  <c r="W595" i="7"/>
  <c r="W873" i="7"/>
  <c r="W6" i="7"/>
  <c r="W661" i="7"/>
  <c r="W556" i="7"/>
  <c r="W339" i="7"/>
  <c r="W597" i="7"/>
  <c r="W1091" i="7"/>
  <c r="W1024" i="7"/>
  <c r="W105" i="7"/>
  <c r="W386" i="7"/>
  <c r="W1133" i="7"/>
  <c r="W128" i="7"/>
  <c r="W1123" i="7"/>
  <c r="W700" i="7"/>
  <c r="W470" i="7"/>
  <c r="W680" i="7"/>
  <c r="W174" i="7"/>
  <c r="W768" i="7"/>
  <c r="W1127" i="7"/>
  <c r="W827" i="7"/>
  <c r="W373" i="7"/>
  <c r="W670" i="7"/>
  <c r="W535" i="7"/>
  <c r="W1169" i="7"/>
  <c r="W499" i="7"/>
  <c r="W489" i="7"/>
  <c r="W1078" i="7"/>
  <c r="W122" i="7"/>
  <c r="W441" i="7"/>
  <c r="W61" i="7"/>
  <c r="W266" i="7"/>
  <c r="W793" i="7"/>
  <c r="W847" i="7"/>
  <c r="W1035" i="7"/>
  <c r="W1126" i="7"/>
  <c r="W890" i="7"/>
  <c r="W423" i="7"/>
  <c r="W20" i="7"/>
  <c r="W418" i="7"/>
  <c r="W848" i="7"/>
  <c r="W64" i="7"/>
  <c r="W631" i="7"/>
  <c r="W577" i="7"/>
  <c r="W1154" i="7"/>
  <c r="W366" i="7"/>
  <c r="W140" i="7"/>
  <c r="W44" i="7"/>
  <c r="W286" i="7"/>
  <c r="W910" i="7"/>
  <c r="W208" i="7"/>
  <c r="W130" i="7"/>
  <c r="W620" i="7"/>
  <c r="W436" i="7"/>
  <c r="W471" i="7"/>
  <c r="W1052" i="7"/>
  <c r="W795" i="7"/>
  <c r="W650" i="7"/>
  <c r="W875" i="7"/>
  <c r="W332" i="7"/>
  <c r="W1115" i="7"/>
  <c r="W1034" i="7"/>
  <c r="W879" i="7"/>
  <c r="W952" i="7"/>
  <c r="W916" i="7"/>
  <c r="W131" i="7"/>
  <c r="W992" i="7"/>
  <c r="W760" i="7"/>
  <c r="W296" i="7"/>
  <c r="W1019" i="7"/>
  <c r="W559" i="7"/>
  <c r="W1108" i="7"/>
  <c r="W100" i="7"/>
  <c r="W694" i="7"/>
  <c r="W561" i="7"/>
  <c r="W440" i="7"/>
  <c r="W854" i="7"/>
  <c r="W258" i="7"/>
  <c r="W1135" i="7"/>
  <c r="W800" i="7"/>
  <c r="W917" i="7"/>
  <c r="W1164" i="7"/>
  <c r="W914" i="7"/>
  <c r="W553" i="7"/>
  <c r="W37" i="7"/>
  <c r="W738" i="7"/>
  <c r="W1116" i="7"/>
  <c r="W724" i="7"/>
  <c r="W31" i="7"/>
  <c r="W935" i="7"/>
  <c r="W108" i="7"/>
  <c r="W939" i="7"/>
  <c r="W27" i="7"/>
  <c r="W819" i="7"/>
  <c r="W381" i="7"/>
  <c r="W1032" i="7"/>
  <c r="W659" i="7"/>
  <c r="W338" i="7"/>
  <c r="W181" i="7"/>
  <c r="W1147" i="7"/>
  <c r="W469" i="7"/>
  <c r="W99" i="7"/>
  <c r="W749" i="7"/>
  <c r="W1146" i="7"/>
  <c r="W656" i="7"/>
  <c r="W607" i="7"/>
  <c r="W482" i="7"/>
  <c r="W551" i="7"/>
  <c r="W500" i="7"/>
  <c r="W172" i="7"/>
  <c r="W587" i="7"/>
  <c r="W168" i="7"/>
  <c r="W501" i="7"/>
  <c r="W254" i="7"/>
  <c r="W399" i="7"/>
  <c r="W511" i="7"/>
  <c r="W683" i="7"/>
  <c r="W369" i="7"/>
  <c r="W904" i="7"/>
  <c r="W211" i="7"/>
  <c r="W892" i="7"/>
  <c r="W581" i="7"/>
  <c r="W548" i="7"/>
  <c r="W120" i="7"/>
  <c r="W503" i="7"/>
  <c r="W962" i="7"/>
  <c r="W219" i="7"/>
  <c r="W162" i="7"/>
  <c r="W668" i="7"/>
  <c r="W13" i="7"/>
  <c r="W1083" i="7"/>
  <c r="W801" i="7"/>
  <c r="W508" i="7"/>
  <c r="W71" i="7"/>
  <c r="W193" i="7"/>
  <c r="W450" i="7"/>
  <c r="W554" i="7"/>
  <c r="W743" i="7"/>
  <c r="W1056" i="7"/>
  <c r="W762" i="7"/>
  <c r="W701" i="7"/>
  <c r="W356" i="7"/>
  <c r="W114" i="7"/>
  <c r="W453" i="7"/>
  <c r="W433" i="7"/>
  <c r="W78" i="7"/>
  <c r="W861" i="7"/>
  <c r="W195" i="7"/>
  <c r="W786" i="7"/>
  <c r="W643" i="7"/>
  <c r="W515" i="7"/>
  <c r="W836" i="7"/>
  <c r="W514" i="7"/>
  <c r="W583" i="7"/>
  <c r="W285" i="7"/>
  <c r="W328" i="7"/>
  <c r="W216" i="7"/>
  <c r="W734" i="7"/>
  <c r="W627" i="7"/>
  <c r="W907" i="7"/>
  <c r="W767" i="7"/>
  <c r="W473" i="7"/>
  <c r="W213" i="7"/>
  <c r="W779" i="7"/>
  <c r="W808" i="7"/>
  <c r="W194" i="7"/>
  <c r="W837" i="7"/>
  <c r="W718" i="7"/>
  <c r="W989" i="7"/>
  <c r="W782" i="7"/>
  <c r="W821" i="7"/>
  <c r="W621" i="7"/>
  <c r="W148" i="7"/>
  <c r="W612" i="7"/>
  <c r="W594" i="7"/>
  <c r="W360" i="7"/>
  <c r="W275" i="7"/>
  <c r="W657" i="7"/>
  <c r="W347" i="7"/>
  <c r="W637" i="7"/>
  <c r="W279" i="7"/>
  <c r="W176" i="7"/>
  <c r="W481" i="7"/>
  <c r="W540" i="7"/>
  <c r="W1136" i="7"/>
  <c r="W1096" i="7"/>
  <c r="W290" i="7"/>
  <c r="W112" i="7"/>
  <c r="W1071" i="7"/>
  <c r="W316" i="7"/>
  <c r="W304" i="7"/>
  <c r="W348" i="7"/>
  <c r="W1006" i="7"/>
  <c r="W330" i="7"/>
  <c r="W284" i="7"/>
  <c r="W510" i="7"/>
  <c r="W468" i="7"/>
  <c r="W648" i="7"/>
  <c r="W488" i="7"/>
  <c r="W18" i="7"/>
  <c r="W1013" i="7"/>
  <c r="W49" i="7"/>
  <c r="W764" i="7"/>
  <c r="W226" i="7"/>
  <c r="W200" i="7"/>
  <c r="W582" i="7"/>
  <c r="W938" i="7"/>
  <c r="W422" i="7"/>
  <c r="W1041" i="7"/>
  <c r="W498" i="7"/>
  <c r="W1018" i="7"/>
  <c r="W1066" i="7"/>
  <c r="W199" i="7"/>
  <c r="W221" i="7"/>
  <c r="W570" i="7"/>
  <c r="W4" i="7"/>
  <c r="W336" i="7"/>
  <c r="W1061" i="7"/>
  <c r="W317" i="7"/>
  <c r="W234" i="7"/>
  <c r="W991" i="7"/>
  <c r="W443" i="7"/>
  <c r="W611" i="7"/>
  <c r="W1162" i="7"/>
  <c r="W605" i="7"/>
  <c r="W212" i="7"/>
  <c r="W1069" i="7"/>
  <c r="W69" i="7"/>
  <c r="W305" i="7"/>
  <c r="W974" i="7"/>
  <c r="W214" i="7"/>
  <c r="W125" i="7"/>
  <c r="W964" i="7"/>
  <c r="W342" i="7"/>
  <c r="W192" i="7"/>
  <c r="W86" i="7"/>
  <c r="W357" i="7"/>
  <c r="W1118" i="7"/>
  <c r="W529" i="7"/>
  <c r="W1037" i="7"/>
  <c r="W204" i="7"/>
  <c r="W457" i="7"/>
  <c r="W1008" i="7"/>
  <c r="W963" i="7"/>
  <c r="W877" i="7"/>
  <c r="W645" i="7"/>
  <c r="W301" i="7"/>
  <c r="W411" i="7"/>
  <c r="W666" i="7"/>
  <c r="W845" i="7"/>
  <c r="W797" i="7"/>
  <c r="W507" i="7"/>
  <c r="W667" i="7"/>
  <c r="W635" i="7"/>
  <c r="W699" i="7"/>
  <c r="W674" i="7"/>
  <c r="W207" i="7"/>
  <c r="W361" i="7"/>
  <c r="W98" i="7"/>
  <c r="W882" i="7"/>
  <c r="W1107" i="7"/>
  <c r="W566" i="7"/>
  <c r="W404" i="7"/>
  <c r="W352" i="7"/>
  <c r="W557" i="7"/>
  <c r="W253" i="7"/>
  <c r="W439" i="7"/>
  <c r="W164" i="7"/>
  <c r="W260" i="7"/>
  <c r="W95" i="7"/>
  <c r="W983" i="7"/>
  <c r="W1025" i="7"/>
  <c r="W124" i="7"/>
  <c r="W816" i="7"/>
  <c r="W302" i="7"/>
  <c r="W704" i="7"/>
  <c r="W807" i="7"/>
  <c r="W1060" i="7"/>
  <c r="W337" i="7"/>
  <c r="W349" i="7"/>
  <c r="W523" i="7"/>
  <c r="W388" i="7"/>
  <c r="W256" i="7"/>
  <c r="W757" i="7"/>
  <c r="W968" i="7"/>
  <c r="W614" i="7"/>
  <c r="W960" i="7"/>
  <c r="W1138" i="7"/>
  <c r="W155" i="7"/>
  <c r="W472" i="7"/>
  <c r="W903" i="7"/>
  <c r="W944" i="7"/>
  <c r="W1143" i="7"/>
  <c r="W1110" i="7"/>
  <c r="W424" i="7"/>
  <c r="W980" i="7"/>
  <c r="W9" i="7"/>
  <c r="W387" i="7"/>
  <c r="W419" i="7"/>
  <c r="W1000" i="7"/>
  <c r="W755" i="7"/>
  <c r="W487" i="7"/>
  <c r="W56" i="7"/>
  <c r="W842" i="7"/>
  <c r="W252" i="7"/>
  <c r="W496" i="7"/>
  <c r="W1084" i="7"/>
  <c r="W363" i="7"/>
  <c r="W289" i="7"/>
  <c r="W940" i="7"/>
  <c r="W626" i="7"/>
  <c r="W58" i="7"/>
  <c r="W238" i="7"/>
  <c r="W817" i="7"/>
  <c r="W922" i="7"/>
  <c r="W733" i="7"/>
  <c r="W283" i="7"/>
  <c r="W303" i="7"/>
  <c r="W664" i="7"/>
  <c r="W951" i="7"/>
  <c r="W864" i="7"/>
  <c r="W57" i="7"/>
  <c r="W856" i="7"/>
  <c r="W90" i="7"/>
  <c r="W206" i="7"/>
  <c r="W383" i="7"/>
  <c r="W389" i="7"/>
  <c r="W973" i="7"/>
  <c r="W416" i="7"/>
  <c r="W362" i="7"/>
  <c r="W894" i="7"/>
  <c r="W872" i="7"/>
  <c r="W961" i="7"/>
  <c r="W536" i="7"/>
  <c r="W794" i="7"/>
  <c r="W636" i="7"/>
  <c r="W83" i="7"/>
  <c r="W1065" i="7"/>
  <c r="W669" i="7"/>
  <c r="W604" i="7"/>
  <c r="W218" i="7"/>
  <c r="W925" i="7"/>
  <c r="W633" i="7"/>
  <c r="W578" i="7"/>
  <c r="W151" i="7"/>
  <c r="W355" i="7"/>
  <c r="W652" i="7"/>
  <c r="W110" i="7"/>
  <c r="W84" i="7"/>
  <c r="W129" i="7"/>
  <c r="W478" i="7"/>
  <c r="W435" i="7"/>
  <c r="W822" i="7"/>
  <c r="W832" i="7"/>
  <c r="W1046" i="7"/>
  <c r="W852" i="7"/>
  <c r="W118" i="7"/>
  <c r="W562" i="7"/>
  <c r="W14" i="7"/>
  <c r="W574" i="7"/>
  <c r="W426" i="7"/>
  <c r="W76" i="7"/>
  <c r="W324" i="7"/>
  <c r="W458" i="7"/>
  <c r="W314" i="7"/>
  <c r="W53" i="7"/>
  <c r="W1058" i="7"/>
  <c r="W513" i="7"/>
  <c r="W654" i="7"/>
  <c r="W91" i="7"/>
  <c r="W921" i="7"/>
  <c r="W615" i="7"/>
  <c r="W231" i="7"/>
  <c r="W1048" i="7"/>
  <c r="W265" i="7"/>
  <c r="W397" i="7"/>
  <c r="W8" i="7"/>
  <c r="W723" i="7"/>
  <c r="W157" i="7"/>
  <c r="W1090" i="7"/>
  <c r="W918" i="7"/>
  <c r="W281" i="7"/>
  <c r="W466" i="7"/>
  <c r="W325" i="7"/>
  <c r="W934" i="7"/>
  <c r="W593" i="7"/>
  <c r="W543" i="7"/>
  <c r="W227" i="7"/>
  <c r="W276" i="7"/>
  <c r="W1079" i="7"/>
  <c r="W364" i="7"/>
  <c r="W988" i="7"/>
  <c r="W264" i="7"/>
  <c r="W382" i="7"/>
  <c r="W257" i="7"/>
  <c r="W456" i="7"/>
  <c r="W270" i="7"/>
  <c r="W641" i="7"/>
  <c r="W1130" i="7"/>
  <c r="W394" i="7"/>
  <c r="W857" i="7"/>
  <c r="W644" i="7"/>
  <c r="W868" i="7"/>
  <c r="W978" i="7"/>
  <c r="W913" i="7"/>
  <c r="W111" i="7"/>
  <c r="W698" i="7"/>
  <c r="W47" i="7"/>
  <c r="W1070" i="7"/>
  <c r="W575" i="7"/>
  <c r="W624" i="7"/>
  <c r="W619" i="7"/>
  <c r="W165" i="7"/>
  <c r="W550" i="7"/>
  <c r="W141" i="7"/>
  <c r="W359" i="7"/>
  <c r="W671" i="7"/>
  <c r="W245" i="7"/>
  <c r="W721" i="7"/>
  <c r="W947" i="7"/>
  <c r="W770" i="7"/>
  <c r="W896" i="7"/>
  <c r="W142" i="7"/>
  <c r="W608" i="7"/>
  <c r="W1001" i="7"/>
  <c r="W933" i="7"/>
  <c r="W335" i="7"/>
  <c r="W51" i="7"/>
  <c r="W333" i="7"/>
  <c r="W897" i="7"/>
  <c r="W250" i="7"/>
  <c r="W708" i="7"/>
  <c r="W1165" i="7"/>
  <c r="W1120" i="7"/>
  <c r="W220" i="7"/>
  <c r="W485" i="7"/>
  <c r="W127" i="7"/>
  <c r="W427" i="7"/>
  <c r="W294" i="7"/>
  <c r="W429" i="7"/>
  <c r="W592" i="7"/>
  <c r="W623" i="7"/>
  <c r="W197" i="7"/>
  <c r="W887" i="7"/>
  <c r="W159" i="7"/>
  <c r="W908" i="7"/>
  <c r="W686" i="7"/>
  <c r="W415" i="7"/>
  <c r="W215" i="7"/>
  <c r="W25" i="7"/>
  <c r="W649" i="7"/>
  <c r="W1023" i="7"/>
  <c r="W445" i="7"/>
  <c r="W646" i="7"/>
  <c r="W1128" i="7"/>
  <c r="W299" i="7"/>
  <c r="W117" i="7"/>
  <c r="W936" i="7"/>
  <c r="W1036" i="7"/>
  <c r="W54" i="7"/>
  <c r="W232" i="7"/>
  <c r="W167" i="7"/>
  <c r="W1137" i="7"/>
  <c r="W1112" i="7"/>
  <c r="W1134" i="7"/>
  <c r="W483" i="7"/>
  <c r="W765" i="7"/>
  <c r="W753" i="7"/>
  <c r="W658" i="7"/>
  <c r="W909" i="7"/>
  <c r="W930" i="7"/>
  <c r="W288" i="7"/>
  <c r="W747" i="7"/>
  <c r="W1159" i="7"/>
  <c r="W36" i="7"/>
  <c r="W407" i="7"/>
  <c r="W251" i="7"/>
  <c r="W448" i="7"/>
  <c r="W1002" i="7"/>
  <c r="W1166" i="7"/>
  <c r="W405" i="7"/>
  <c r="W205" i="7"/>
  <c r="W772" i="7"/>
  <c r="W395" i="7"/>
  <c r="W948" i="7"/>
  <c r="W542" i="7"/>
  <c r="W1016" i="7"/>
  <c r="W732" i="7"/>
  <c r="W707" i="7"/>
  <c r="W665" i="7"/>
  <c r="W1059" i="7"/>
  <c r="W774" i="7"/>
  <c r="W222" i="7"/>
  <c r="W410" i="7"/>
  <c r="W690" i="7"/>
  <c r="W115" i="7"/>
  <c r="W43" i="7"/>
  <c r="W1021" i="7"/>
  <c r="W1155" i="7"/>
  <c r="W322" i="7"/>
  <c r="W787" i="7"/>
  <c r="W599" i="7"/>
  <c r="W306" i="7"/>
  <c r="W70" i="7"/>
  <c r="W1105" i="7"/>
  <c r="W442" i="7"/>
  <c r="W867" i="7"/>
  <c r="W855" i="7"/>
  <c r="W269" i="7"/>
  <c r="W87" i="7"/>
  <c r="W965" i="7"/>
  <c r="W630" i="7"/>
  <c r="W564" i="7"/>
  <c r="W345" i="7"/>
  <c r="W958" i="7"/>
  <c r="W1139" i="7"/>
  <c r="W675" i="7"/>
  <c r="W247" i="7"/>
  <c r="W756" i="7"/>
  <c r="W239" i="7"/>
  <c r="W341" i="7"/>
  <c r="W1007" i="7"/>
  <c r="W1114" i="7"/>
  <c r="W996" i="7"/>
  <c r="W1102" i="7"/>
  <c r="W97" i="7"/>
  <c r="W229" i="7"/>
  <c r="W271" i="7"/>
  <c r="W180" i="7"/>
  <c r="W741" i="7"/>
  <c r="W109" i="7"/>
  <c r="W825" i="7"/>
  <c r="W1117" i="7"/>
  <c r="W977" i="7"/>
  <c r="W1125" i="7"/>
  <c r="W830" i="7"/>
  <c r="W950" i="7"/>
  <c r="W1050" i="7"/>
  <c r="W74" i="7"/>
  <c r="W790" i="7"/>
  <c r="W1045" i="7"/>
  <c r="W224" i="7"/>
  <c r="W725" i="7"/>
  <c r="W517" i="7"/>
  <c r="W38" i="7"/>
  <c r="W30" i="7"/>
  <c r="W400" i="7"/>
  <c r="W969" i="7"/>
  <c r="W687" i="7"/>
  <c r="W198" i="7"/>
  <c r="W638" i="7"/>
  <c r="W1094" i="7"/>
  <c r="W242" i="7"/>
  <c r="W475" i="7"/>
  <c r="W976" i="7"/>
  <c r="W752" i="7"/>
  <c r="W777" i="7"/>
  <c r="W813" i="7"/>
  <c r="W113" i="7"/>
  <c r="W371" i="7"/>
  <c r="W343" i="7"/>
  <c r="W1051" i="7"/>
  <c r="W46" i="7"/>
  <c r="W920" i="7"/>
  <c r="W455" i="7"/>
  <c r="W16" i="7"/>
  <c r="W10" i="7"/>
  <c r="W776" i="7"/>
  <c r="W769" i="7"/>
  <c r="W986" i="7"/>
  <c r="W617" i="7"/>
  <c r="W107" i="7"/>
  <c r="W792" i="7"/>
  <c r="W629" i="7"/>
  <c r="W240" i="7"/>
  <c r="W146" i="7"/>
  <c r="W1109" i="7"/>
  <c r="W876" i="7"/>
  <c r="W838" i="7"/>
  <c r="W228" i="7"/>
  <c r="W706" i="7"/>
  <c r="W479" i="7"/>
  <c r="W602" i="7"/>
  <c r="W560" i="7"/>
  <c r="W331" i="7"/>
  <c r="W135" i="7"/>
  <c r="W385" i="7"/>
  <c r="W717" i="7"/>
  <c r="W692" i="7"/>
  <c r="W509" i="7"/>
  <c r="W1168" i="7"/>
  <c r="W1004" i="7"/>
  <c r="W370" i="7"/>
  <c r="W452" i="7"/>
  <c r="W40" i="7"/>
  <c r="W33" i="7"/>
  <c r="W340" i="7"/>
  <c r="W425" i="7"/>
  <c r="W634" i="7"/>
  <c r="W778" i="7"/>
  <c r="W1099" i="7"/>
  <c r="W65" i="7"/>
  <c r="W923" i="7"/>
  <c r="W203" i="7"/>
  <c r="W460" i="7"/>
  <c r="W703" i="7"/>
  <c r="W537" i="7"/>
  <c r="W970" i="7"/>
  <c r="W402" i="7"/>
  <c r="W524" i="7"/>
  <c r="W1122" i="7"/>
  <c r="W1015" i="7"/>
  <c r="W586" i="7"/>
  <c r="W521" i="7"/>
  <c r="W334" i="7"/>
  <c r="W106" i="7"/>
  <c r="W7" i="7"/>
  <c r="W1055" i="7"/>
  <c r="W697" i="7"/>
  <c r="W430" i="7"/>
  <c r="W719" i="7"/>
  <c r="W754" i="7"/>
  <c r="W685" i="7"/>
  <c r="W134" i="7"/>
  <c r="W434" i="7"/>
  <c r="W993" i="7"/>
  <c r="W784" i="7"/>
  <c r="W1101" i="7"/>
  <c r="W175" i="7"/>
  <c r="W1171" i="7"/>
  <c r="W625" i="7"/>
  <c r="W932" i="7"/>
  <c r="W568" i="7"/>
  <c r="W1005" i="7"/>
  <c r="W870" i="7"/>
  <c r="W495" i="7"/>
  <c r="W480" i="7"/>
  <c r="W999" i="7"/>
  <c r="W812" i="7"/>
  <c r="W354" i="7"/>
  <c r="W494" i="7"/>
  <c r="W525" i="7"/>
  <c r="W905" i="7"/>
  <c r="W384" i="7"/>
  <c r="W1103" i="7"/>
  <c r="W805" i="7"/>
  <c r="W179" i="7"/>
  <c r="W104" i="7"/>
  <c r="W378" i="7"/>
  <c r="W823" i="7"/>
  <c r="W358" i="7"/>
  <c r="W1040" i="7"/>
  <c r="W971" i="7"/>
  <c r="W527" i="7"/>
  <c r="W720" i="7"/>
  <c r="W398" i="7"/>
  <c r="W1042" i="7"/>
  <c r="W1026" i="7"/>
  <c r="W710" i="7"/>
  <c r="W236" i="7"/>
  <c r="W967" i="7"/>
  <c r="W926" i="7"/>
  <c r="W156" i="7"/>
  <c r="W267" i="7"/>
  <c r="W189" i="7"/>
  <c r="W820" i="7"/>
  <c r="W225" i="7"/>
  <c r="W713" i="7"/>
  <c r="W431" i="7"/>
  <c r="W796" i="7"/>
  <c r="W158" i="7"/>
  <c r="W248" i="7"/>
  <c r="W79" i="7"/>
  <c r="W119" i="7"/>
  <c r="W533" i="7"/>
  <c r="W136" i="7"/>
  <c r="W1145" i="7"/>
  <c r="W34" i="7"/>
  <c r="W150" i="7"/>
  <c r="W1100" i="7"/>
  <c r="W785" i="7"/>
  <c r="W949" i="7"/>
  <c r="W259" i="7"/>
  <c r="W573" i="7"/>
  <c r="W277" i="7"/>
  <c r="W467" i="7"/>
  <c r="W742" i="7"/>
  <c r="W1020" i="7"/>
  <c r="W679" i="7"/>
  <c r="W763" i="7"/>
  <c r="W1121" i="7"/>
  <c r="W313" i="7"/>
  <c r="W994" i="7"/>
  <c r="W843" i="7"/>
  <c r="W272" i="7"/>
  <c r="W217" i="7"/>
  <c r="W505" i="7"/>
  <c r="W1095" i="7"/>
  <c r="W569" i="7"/>
  <c r="W329" i="7"/>
  <c r="W63" i="7"/>
  <c r="W188" i="7"/>
  <c r="W898" i="7"/>
  <c r="W102" i="7"/>
  <c r="W824" i="7"/>
  <c r="W802" i="7"/>
  <c r="W696" i="7"/>
  <c r="W863" i="7"/>
  <c r="W233" i="7"/>
  <c r="W878" i="7"/>
  <c r="W391" i="7"/>
  <c r="W759" i="7"/>
  <c r="W818" i="7"/>
  <c r="W811" i="7"/>
  <c r="W809" i="7"/>
  <c r="W42" i="7"/>
  <c r="W143" i="7"/>
  <c r="W565" i="7"/>
  <c r="W177" i="7"/>
  <c r="W45" i="7"/>
  <c r="W886" i="7"/>
  <c r="W662" i="7"/>
  <c r="W380" i="7"/>
  <c r="W804" i="7"/>
  <c r="W202" i="7"/>
  <c r="W173" i="7"/>
  <c r="W171" i="7"/>
  <c r="W735" i="7"/>
  <c r="W606" i="7"/>
  <c r="W344" i="7"/>
  <c r="W139" i="7"/>
  <c r="W60" i="7"/>
  <c r="W462" i="7"/>
  <c r="W210" i="7"/>
  <c r="W653" i="7"/>
  <c r="W1173" i="7"/>
  <c r="W844" i="7"/>
  <c r="W282" i="7"/>
  <c r="W21" i="7"/>
  <c r="W1111" i="7"/>
  <c r="W41" i="7"/>
  <c r="W682" i="7"/>
  <c r="W552" i="7"/>
  <c r="W94" i="7"/>
  <c r="W1014" i="7"/>
  <c r="W154" i="7"/>
  <c r="W209" i="7"/>
  <c r="W1003" i="7"/>
  <c r="W585" i="7"/>
  <c r="W152" i="7"/>
  <c r="W883" i="7"/>
  <c r="W326" i="7"/>
  <c r="W722" i="7"/>
  <c r="W663" i="7"/>
  <c r="W166" i="7"/>
  <c r="W572" i="7"/>
  <c r="W287" i="7"/>
  <c r="W321" i="7"/>
  <c r="W280" i="7"/>
  <c r="W715" i="7"/>
  <c r="W771" i="7"/>
  <c r="W899" i="7"/>
  <c r="W534" i="7"/>
  <c r="W274" i="7"/>
  <c r="W449" i="7"/>
  <c r="W893" i="7"/>
  <c r="W24" i="7"/>
  <c r="W406" i="7"/>
  <c r="W603" i="7"/>
  <c r="W169" i="7"/>
  <c r="W979" i="7"/>
  <c r="W730" i="7"/>
  <c r="W684" i="7"/>
  <c r="W421" i="7"/>
  <c r="W1044" i="7"/>
  <c r="W438" i="7"/>
  <c r="W490" i="7"/>
  <c r="W829" i="7"/>
  <c r="W601" i="7"/>
  <c r="W929" i="7"/>
  <c r="W235" i="7"/>
  <c r="W884" i="7"/>
  <c r="W319" i="7"/>
  <c r="W1030" i="7"/>
  <c r="W695" i="7"/>
  <c r="W1153" i="7"/>
  <c r="W1142" i="7"/>
  <c r="W307" i="7"/>
  <c r="W1033" i="7"/>
  <c r="W396" i="7"/>
  <c r="W927" i="7"/>
  <c r="W19" i="7"/>
  <c r="W600" i="7"/>
  <c r="W32" i="7"/>
  <c r="W712" i="7"/>
  <c r="W616" i="7"/>
  <c r="W246" i="7"/>
  <c r="W1072" i="7"/>
  <c r="W831" i="7"/>
  <c r="W673" i="7"/>
  <c r="W93" i="7"/>
  <c r="W942" i="7"/>
  <c r="W833" i="7"/>
  <c r="W81" i="7"/>
  <c r="W186" i="7"/>
  <c r="W1086" i="7"/>
  <c r="W881" i="7"/>
  <c r="W137" i="7"/>
  <c r="W126" i="7"/>
  <c r="W840" i="7"/>
  <c r="W59" i="7"/>
  <c r="W121" i="7"/>
  <c r="W1087" i="7"/>
  <c r="W806" i="7"/>
  <c r="W1124" i="7"/>
  <c r="W1119" i="7"/>
  <c r="W727" i="7"/>
  <c r="W1131" i="7"/>
  <c r="W937" i="7"/>
  <c r="W1092" i="7"/>
  <c r="W474" i="7"/>
  <c r="W428" i="7"/>
  <c r="W995" i="7"/>
  <c r="W497" i="7"/>
  <c r="W393" i="7"/>
  <c r="W997" i="7"/>
  <c r="W835" i="7"/>
  <c r="W632" i="7"/>
  <c r="W1022" i="7"/>
  <c r="W558" i="7"/>
  <c r="W379" i="7"/>
  <c r="W798" i="7"/>
  <c r="W477" i="7"/>
  <c r="W417" i="7"/>
  <c r="W688" i="7"/>
  <c r="W92" i="7"/>
  <c r="W775" i="7"/>
  <c r="W874" i="7"/>
  <c r="W729" i="7"/>
  <c r="W871" i="7"/>
  <c r="W1113" i="7"/>
  <c r="W249" i="7"/>
  <c r="W1076" i="7"/>
  <c r="W368" i="7"/>
  <c r="W941" i="7"/>
  <c r="W642" i="7"/>
  <c r="W955" i="7"/>
  <c r="W88" i="7"/>
  <c r="W132" i="7"/>
  <c r="W50" i="7"/>
  <c r="W799" i="7"/>
  <c r="W190" i="7"/>
  <c r="W77" i="7"/>
  <c r="W138" i="7"/>
  <c r="W1089" i="7"/>
  <c r="W163" i="7"/>
  <c r="W748" i="7"/>
  <c r="W858" i="7"/>
  <c r="W1093" i="7"/>
  <c r="W401" i="7"/>
  <c r="W96" i="7"/>
  <c r="W484" i="7"/>
  <c r="W311" i="7"/>
  <c r="W1141" i="7"/>
  <c r="W22" i="7"/>
  <c r="W183" i="7"/>
  <c r="W591" i="7"/>
  <c r="W1012" i="7"/>
  <c r="W353" i="7"/>
  <c r="W68" i="7"/>
  <c r="W660" i="7"/>
  <c r="W133" i="7"/>
  <c r="W891" i="7"/>
  <c r="W261" i="7"/>
  <c r="W413" i="7"/>
  <c r="W639" i="7"/>
  <c r="W409" i="7"/>
  <c r="W318" i="7"/>
  <c r="W408" i="7"/>
  <c r="W1081" i="7"/>
  <c r="W943" i="7"/>
  <c r="W390" i="7"/>
  <c r="W292" i="7"/>
  <c r="W23" i="7"/>
  <c r="W1043" i="7"/>
  <c r="W103" i="7"/>
  <c r="W244" i="7"/>
  <c r="W1152" i="7"/>
  <c r="W766" i="7"/>
  <c r="W912" i="7"/>
  <c r="W1049" i="7"/>
  <c r="W705" i="7"/>
  <c r="W1172" i="7"/>
  <c r="W1149" i="7"/>
  <c r="W744" i="7"/>
  <c r="W761" i="7"/>
  <c r="W230" i="7"/>
  <c r="W990" i="7"/>
  <c r="W736" i="7"/>
  <c r="W758" i="7"/>
  <c r="W1054" i="7"/>
  <c r="W888" i="7"/>
  <c r="W590" i="7"/>
  <c r="W1170" i="7"/>
  <c r="W828" i="7"/>
  <c r="W546" i="7"/>
  <c r="W745" i="7"/>
  <c r="W1156" i="7"/>
  <c r="W300" i="7"/>
  <c r="W85" i="7"/>
  <c r="W982" i="7"/>
  <c r="W865" i="7"/>
  <c r="W476" i="7"/>
  <c r="W613" i="7"/>
  <c r="W437" i="7"/>
  <c r="W598" i="7"/>
  <c r="W906" i="7"/>
  <c r="W327" i="7"/>
  <c r="W66" i="7"/>
  <c r="W959" i="7"/>
  <c r="W647" i="7"/>
  <c r="W651" i="7"/>
  <c r="W1029" i="7"/>
  <c r="W544" i="7"/>
  <c r="W464" i="7"/>
  <c r="W1167" i="7"/>
  <c r="W1009" i="7"/>
  <c r="W323" i="7"/>
  <c r="W1158" i="7"/>
  <c r="W618" i="7"/>
  <c r="W459" i="7"/>
  <c r="W273" i="7"/>
  <c r="W144" i="7"/>
  <c r="W689" i="7"/>
  <c r="W291" i="7"/>
  <c r="W676" i="7"/>
  <c r="W826" i="7"/>
  <c r="W859" i="7"/>
  <c r="W530" i="7"/>
  <c r="W145" i="7"/>
  <c r="W293" i="7"/>
  <c r="W924" i="7"/>
  <c r="W751" i="7"/>
  <c r="W901" i="7"/>
  <c r="W953" i="7"/>
  <c r="W985" i="7"/>
  <c r="W709" i="7"/>
  <c r="W520" i="7"/>
  <c r="W931" i="7"/>
  <c r="W184" i="7"/>
  <c r="W711" i="7"/>
  <c r="W263" i="7"/>
  <c r="W1088" i="7"/>
  <c r="W502" i="7"/>
  <c r="W82" i="7"/>
  <c r="W885" i="7"/>
  <c r="W571" i="7"/>
  <c r="W11" i="7"/>
  <c r="W518" i="7"/>
  <c r="W1017" i="7"/>
  <c r="W29" i="7"/>
  <c r="W223" i="7"/>
  <c r="W48" i="7"/>
  <c r="W268" i="7"/>
  <c r="W576" i="7"/>
  <c r="W547" i="7"/>
  <c r="W975" i="7"/>
  <c r="W320" i="7"/>
  <c r="W1160" i="7"/>
  <c r="W243" i="7"/>
  <c r="W1027" i="7"/>
  <c r="W814" i="7"/>
  <c r="W15" i="7"/>
  <c r="W432" i="7"/>
  <c r="W308" i="7"/>
  <c r="W1038" i="7"/>
  <c r="W555" i="7"/>
  <c r="W278" i="7"/>
  <c r="W1047" i="7"/>
  <c r="W26" i="7"/>
  <c r="W451" i="7"/>
  <c r="W1144" i="7"/>
  <c r="W1064" i="7"/>
  <c r="W609" i="7"/>
  <c r="W693" i="7"/>
  <c r="W545" i="7"/>
  <c r="W1132" i="7"/>
  <c r="W815" i="7"/>
  <c r="W1075" i="7"/>
  <c r="W312" i="7"/>
  <c r="W538" i="7"/>
  <c r="W346" i="7"/>
  <c r="W1067" i="7"/>
  <c r="W563" i="7"/>
  <c r="W739" i="7"/>
  <c r="W493" i="7"/>
  <c r="W714" i="7"/>
  <c r="W780" i="7"/>
  <c r="W956" i="7"/>
  <c r="W39" i="7"/>
  <c r="W853" i="7"/>
  <c r="W911" i="7"/>
  <c r="W101" i="7"/>
  <c r="M7" i="1"/>
  <c r="M11" i="1" l="1"/>
  <c r="M12" i="1"/>
  <c r="N7" i="1"/>
  <c r="M10" i="1"/>
  <c r="N11" i="1" l="1"/>
  <c r="N12" i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<sst xmlns="http://schemas.openxmlformats.org/spreadsheetml/2006/main" count="17677" uniqueCount="1917">
  <si>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</si>
  <si>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</si>
  <si>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</si>
  <si>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</si>
  <si>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</si>
  <si>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</si>
  <si>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</si>
  <si>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</si>
  <si>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</si>
  <si>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</si>
  <si>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</si>
  <si>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</si>
  <si>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</si>
  <si>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</si>
  <si>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</si>
  <si>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</si>
  <si>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</si>
  <si>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</si>
  <si>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</si>
  <si>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</si>
  <si>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</si>
  <si>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</si>
  <si>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</si>
  <si>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</si>
  <si>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</si>
  <si>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</si>
  <si>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</si>
  <si>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</si>
  <si>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</si>
  <si>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</si>
  <si>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</si>
  <si>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</si>
  <si>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</si>
  <si>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</si>
  <si>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</si>
  <si>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</si>
  <si>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</si>
  <si>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</si>
  <si>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</si>
  <si>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</si>
  <si>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</si>
  <si>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</si>
  <si>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</si>
  <si>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</si>
  <si>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</si>
  <si>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</si>
  <si>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</si>
  <si>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</si>
  <si>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</si>
  <si>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</si>
  <si>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</si>
  <si>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</si>
  <si>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</si>
  <si>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</si>
  <si>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</si>
  <si>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</si>
  <si>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</si>
  <si>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</si>
  <si>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</si>
  <si>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</si>
  <si>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</si>
  <si>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</si>
  <si>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</si>
  <si>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</si>
  <si>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</si>
  <si>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</si>
  <si>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</si>
  <si>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</si>
  <si>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</si>
  <si>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</si>
  <si>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</si>
  <si>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</si>
  <si>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</si>
  <si>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</si>
  <si>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</si>
  <si>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</si>
  <si>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</si>
  <si>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</si>
  <si>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</si>
  <si>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</si>
  <si>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</si>
  <si>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</si>
  <si>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</si>
  <si>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</si>
  <si>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</si>
  <si>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</si>
  <si>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</si>
  <si>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</si>
  <si>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</si>
  <si>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</si>
  <si>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</si>
  <si>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</si>
  <si>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</si>
  <si>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</si>
  <si>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</si>
  <si>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</si>
  <si>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</si>
  <si>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</si>
  <si>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</si>
  <si>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</si>
  <si>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</si>
  <si>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</si>
  <si>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</si>
  <si>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</si>
  <si>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</si>
  <si>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</si>
  <si>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</si>
  <si>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</si>
  <si>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</si>
  <si>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</si>
  <si>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</si>
  <si>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</si>
  <si>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</si>
  <si>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</si>
  <si>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</si>
  <si>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</si>
  <si>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</si>
  <si>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</si>
  <si>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</si>
  <si>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</si>
  <si>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</si>
  <si>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</si>
  <si>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</si>
  <si>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</si>
  <si>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</si>
  <si>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</si>
  <si>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</si>
  <si>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</si>
  <si>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</si>
  <si>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</si>
  <si>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</si>
  <si>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</si>
  <si>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</si>
  <si>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</si>
  <si>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</si>
  <si>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</si>
  <si>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</si>
  <si>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</si>
  <si>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</si>
  <si>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</si>
  <si>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</si>
  <si>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</si>
  <si>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</si>
  <si>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</si>
  <si>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</si>
  <si>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</si>
  <si>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</si>
  <si>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</si>
  <si>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</si>
  <si>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</si>
  <si>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</si>
  <si>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</si>
  <si>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</si>
  <si>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</si>
  <si>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</si>
  <si>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</si>
  <si>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</si>
  <si>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</si>
  <si>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</si>
  <si>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</si>
  <si>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</si>
  <si>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</si>
  <si>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</si>
  <si>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</si>
  <si>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</si>
  <si>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</si>
  <si>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</si>
  <si>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</si>
  <si>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</si>
  <si>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</si>
  <si>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</si>
  <si>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</si>
  <si>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</si>
  <si>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</si>
  <si>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</si>
  <si>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</si>
  <si>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</si>
  <si>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</si>
  <si>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</si>
  <si>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</si>
  <si>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</si>
  <si>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</si>
  <si>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</si>
  <si>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</si>
  <si>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</si>
  <si>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</si>
  <si>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</si>
  <si>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</si>
  <si>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</si>
  <si>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</si>
  <si>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</si>
  <si>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</si>
  <si>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</si>
  <si>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</si>
  <si>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</si>
  <si>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</si>
  <si>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</si>
  <si>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</si>
  <si>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</si>
  <si>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</si>
  <si>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</si>
  <si>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</si>
  <si>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</si>
  <si>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</si>
  <si>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</si>
  <si>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</si>
  <si>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</si>
  <si>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</si>
  <si>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</si>
  <si>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</si>
  <si>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</si>
  <si>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</si>
  <si>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</si>
  <si>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</si>
  <si>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</si>
  <si>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</si>
  <si>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</si>
  <si>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</si>
  <si>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</si>
  <si>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</si>
  <si>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</si>
  <si>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</si>
  <si>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</si>
  <si>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</si>
  <si>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</si>
  <si>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</si>
  <si>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</si>
  <si>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</si>
  <si>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</si>
  <si>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</si>
  <si>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</si>
  <si>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</si>
  <si>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</si>
  <si>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</si>
  <si>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</si>
  <si>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</si>
  <si>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</si>
  <si>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</si>
  <si>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</si>
  <si>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</si>
  <si>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</si>
  <si>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</si>
  <si>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</si>
  <si>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</si>
  <si>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</si>
  <si>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</si>
  <si>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</si>
  <si>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</si>
  <si>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</si>
  <si>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</si>
  <si>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</si>
  <si>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</si>
  <si>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</si>
  <si>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</si>
  <si>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</si>
  <si>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</si>
  <si>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</si>
  <si>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</si>
  <si>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</si>
  <si>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</si>
  <si>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</si>
  <si>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</si>
  <si>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</si>
  <si>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</si>
  <si>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</si>
  <si>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</si>
  <si>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</si>
  <si>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</si>
  <si>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</si>
  <si>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</si>
  <si>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</si>
  <si>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</si>
  <si>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</si>
  <si>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</si>
  <si>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</si>
  <si>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</si>
  <si>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</si>
  <si>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</si>
  <si>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</si>
  <si>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</si>
  <si>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</si>
  <si>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</si>
  <si>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</si>
  <si>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</si>
  <si>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</si>
  <si>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</si>
  <si>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</si>
  <si>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</si>
  <si>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</si>
  <si>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</si>
  <si>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</si>
  <si>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</si>
  <si>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</si>
  <si>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</si>
  <si>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</si>
  <si>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</si>
  <si>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</si>
  <si>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</si>
  <si>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</si>
  <si>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</si>
  <si>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</si>
  <si>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</si>
  <si>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</si>
  <si>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</si>
  <si>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</si>
  <si>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</si>
  <si>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</si>
  <si>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</si>
  <si>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</si>
  <si>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</si>
  <si>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</si>
  <si>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</si>
  <si>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</si>
  <si>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</si>
  <si>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</si>
  <si>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</si>
  <si>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</si>
  <si>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</si>
  <si>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</si>
  <si>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</si>
  <si>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</si>
  <si>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</si>
  <si>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</si>
  <si>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</si>
  <si>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</si>
  <si>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</si>
  <si>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</si>
  <si>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</si>
  <si>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</si>
  <si>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</si>
  <si>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</si>
  <si>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</si>
  <si>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</si>
  <si>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</si>
  <si>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</si>
  <si>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</si>
  <si>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</si>
  <si>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</si>
  <si>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</si>
  <si>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</si>
  <si>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</si>
  <si>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</si>
  <si>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</si>
  <si>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</si>
  <si>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</si>
  <si>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</si>
  <si>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</si>
  <si>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</si>
  <si>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</si>
  <si>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</si>
  <si>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</si>
  <si>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</si>
  <si>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</si>
  <si>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</si>
  <si>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</si>
  <si>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</si>
  <si>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</si>
  <si>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</si>
  <si>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</si>
  <si>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</si>
  <si>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</si>
  <si>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</si>
  <si>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</si>
  <si>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</si>
  <si>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</si>
  <si>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</si>
  <si>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</si>
  <si>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</si>
  <si>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</si>
  <si>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</si>
  <si>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</si>
  <si>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</si>
  <si>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</si>
  <si>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</si>
  <si>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</si>
  <si>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</si>
  <si>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</si>
  <si>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</si>
  <si>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</si>
  <si>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</si>
  <si>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</si>
  <si>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</si>
  <si>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</si>
  <si>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</si>
  <si>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</si>
  <si>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</si>
  <si>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</si>
  <si>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</si>
  <si>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</si>
  <si>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</si>
  <si>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</si>
  <si>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</si>
  <si>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</si>
  <si>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</si>
  <si>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</si>
  <si>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</si>
  <si>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</si>
  <si>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</si>
  <si>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</si>
  <si>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</si>
  <si>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</si>
  <si>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</si>
  <si>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</si>
  <si>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</si>
  <si>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</si>
  <si>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</si>
  <si>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</si>
  <si>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</si>
  <si>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</si>
  <si>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</si>
  <si>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</si>
  <si>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</si>
  <si>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</si>
  <si>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</si>
  <si>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</si>
  <si>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</si>
  <si>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</si>
  <si>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</si>
  <si>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</si>
  <si>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</si>
  <si>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</si>
  <si>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</si>
  <si>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</si>
  <si>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</si>
  <si>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</si>
  <si>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</si>
  <si>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</si>
  <si>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</si>
  <si>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</si>
  <si>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</si>
  <si>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</si>
  <si>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</si>
  <si>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</si>
  <si>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</si>
  <si>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</si>
  <si>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</si>
  <si>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</si>
  <si>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</si>
  <si>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</si>
  <si>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</si>
  <si>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</si>
  <si>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</si>
  <si>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</si>
  <si>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</si>
  <si>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</si>
  <si>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</si>
  <si>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</si>
  <si>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</si>
  <si>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</si>
  <si>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</si>
  <si>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</si>
  <si>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</si>
  <si>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</si>
  <si>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</si>
  <si>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</si>
  <si>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</si>
  <si>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</si>
  <si>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</si>
  <si>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</si>
  <si>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</si>
  <si>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</si>
  <si>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</si>
  <si>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</si>
  <si>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</si>
  <si>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</si>
  <si>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</si>
  <si>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</si>
  <si>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*BIF150500007</t>
  </si>
  <si>
    <t>*BIF120500002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</si>
  <si>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</si>
  <si>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</si>
  <si>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</si>
  <si>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</si>
  <si>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</si>
  <si>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</si>
  <si>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</si>
  <si>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</si>
  <si>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</si>
  <si>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</si>
  <si>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</si>
  <si>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</si>
  <si>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</si>
  <si>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</si>
  <si>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</si>
  <si>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</si>
  <si>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</si>
  <si>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</si>
  <si>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</si>
  <si>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</si>
  <si>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</si>
  <si>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</si>
  <si>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</si>
  <si>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</si>
  <si>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</si>
  <si>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</si>
  <si>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</si>
  <si>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</si>
  <si>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</si>
  <si>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</si>
  <si>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</si>
  <si>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</si>
  <si>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</si>
  <si>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</si>
  <si>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</si>
  <si>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</si>
  <si>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</si>
  <si>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</si>
  <si>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</si>
  <si>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</si>
  <si>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</si>
  <si>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</si>
  <si>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</si>
  <si>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</si>
  <si>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</si>
  <si>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</si>
  <si>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</si>
  <si>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</si>
  <si>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</si>
  <si>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</si>
  <si>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</si>
  <si>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</si>
  <si>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</si>
  <si>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</si>
  <si>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</si>
  <si>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</si>
  <si>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</si>
  <si>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</si>
  <si>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</si>
  <si>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</si>
  <si>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</si>
  <si>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</si>
  <si>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</si>
  <si>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</si>
  <si>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</si>
  <si>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</si>
  <si>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</si>
  <si>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</si>
  <si>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</si>
  <si>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</si>
  <si>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</si>
  <si>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</si>
  <si>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</si>
  <si>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</si>
  <si>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</si>
  <si>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</si>
  <si>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</si>
  <si>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</si>
  <si>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</si>
  <si>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</si>
  <si>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</si>
  <si>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</si>
  <si>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</si>
  <si>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</si>
  <si>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</si>
  <si>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</si>
  <si>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</si>
  <si>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</si>
  <si>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</si>
  <si>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</si>
  <si>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</si>
  <si>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</si>
  <si>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</si>
  <si>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</si>
  <si>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</si>
  <si>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</si>
  <si>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</si>
  <si>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</si>
  <si>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</si>
  <si>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</si>
  <si>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</si>
  <si>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</si>
  <si>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</si>
  <si>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</si>
  <si>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</si>
  <si>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</si>
  <si>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</si>
  <si>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</si>
  <si>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</si>
  <si>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</si>
  <si>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</si>
  <si>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</si>
  <si>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</si>
  <si>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</si>
  <si>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*MAV150501236</t>
  </si>
  <si>
    <t>*MAV140500928</t>
  </si>
  <si>
    <t>*MAV120501374</t>
  </si>
  <si>
    <t>*MAV130501058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</si>
  <si>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</si>
  <si>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</si>
  <si>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</si>
  <si>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</si>
  <si>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</si>
  <si>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</si>
  <si>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</si>
  <si>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</si>
  <si>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*MAV120501386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</si>
  <si>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</si>
  <si>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</si>
  <si>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</si>
  <si>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</si>
  <si>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</si>
  <si>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</si>
  <si>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</si>
  <si>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</si>
  <si>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</si>
  <si>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</si>
  <si>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</si>
  <si>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</si>
  <si>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</si>
  <si>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</si>
  <si>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</si>
  <si>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</si>
  <si>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</si>
  <si>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</si>
  <si>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</si>
  <si>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</si>
  <si>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</si>
  <si>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</si>
  <si>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</si>
  <si>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</si>
  <si>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</si>
  <si>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</si>
  <si>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</si>
  <si>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</si>
  <si>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</si>
  <si>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</si>
  <si>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</si>
  <si>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</si>
  <si>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</si>
  <si>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</si>
  <si>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</si>
  <si>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</si>
  <si>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</si>
  <si>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</si>
  <si>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</si>
  <si>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</si>
  <si>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</si>
  <si>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</si>
  <si>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</si>
  <si>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</si>
  <si>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</si>
  <si>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</si>
  <si>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</si>
  <si>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</si>
  <si>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</si>
  <si>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</si>
  <si>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</si>
  <si>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</si>
  <si>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</si>
  <si>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</si>
  <si>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</si>
  <si>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</si>
  <si>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</si>
  <si>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</si>
  <si>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</si>
  <si>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</si>
  <si>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</si>
  <si>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</si>
  <si>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</si>
  <si>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</si>
  <si>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</si>
  <si>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</si>
  <si>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</si>
  <si>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</si>
  <si>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</si>
  <si>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</si>
  <si>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</si>
  <si>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</si>
  <si>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</si>
  <si>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</si>
  <si>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</si>
  <si>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</si>
  <si>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*MAV180500712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</si>
  <si>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</si>
  <si>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</si>
  <si>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</si>
  <si>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</si>
  <si>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</si>
  <si>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</si>
  <si>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</si>
  <si>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</si>
  <si>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*MAV130501138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</si>
  <si>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</si>
  <si>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</si>
  <si>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</si>
  <si>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</si>
  <si>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</si>
  <si>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</si>
  <si>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</si>
  <si>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</si>
  <si>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</si>
  <si>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</si>
  <si>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</si>
  <si>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</si>
  <si>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*MAV150501369</t>
  </si>
  <si>
    <t>*MAV150501368</t>
  </si>
  <si>
    <t>*MAV120501493</t>
  </si>
  <si>
    <t>*MAV150501367</t>
  </si>
  <si>
    <t>*MAV020601009</t>
  </si>
  <si>
    <t>*MAV030600939</t>
  </si>
  <si>
    <t>*MAV040600716</t>
  </si>
  <si>
    <t>*MAV010600780</t>
  </si>
  <si>
    <t>*MAV160501186</t>
  </si>
  <si>
    <t>*MAV120501494</t>
  </si>
  <si>
    <t>*MAV300501454</t>
  </si>
  <si>
    <t>*MAV210501019</t>
  </si>
  <si>
    <t>*MAV120501495</t>
  </si>
  <si>
    <t>*MAV200501461</t>
  </si>
  <si>
    <t>*MAV160501185</t>
  </si>
  <si>
    <t>*MAV130501137</t>
  </si>
  <si>
    <t>*MAV230501057</t>
  </si>
  <si>
    <t>*MAV160501183</t>
  </si>
  <si>
    <t>ALGABO SA</t>
  </si>
  <si>
    <t>DESUR SA</t>
  </si>
  <si>
    <t>EDITAR SRL</t>
  </si>
  <si>
    <t>PROMO DIRECTA SRL</t>
  </si>
  <si>
    <t>SA IMP Y EXP DE LA PATAGONIA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</si>
  <si>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</si>
  <si>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</si>
  <si>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</si>
  <si>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</si>
  <si>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</si>
  <si>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</si>
  <si>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</si>
  <si>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</si>
  <si>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</si>
  <si>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</si>
  <si>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</si>
  <si>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</si>
  <si>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</si>
  <si>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</si>
  <si>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</si>
  <si>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</si>
  <si>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</si>
  <si>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</si>
  <si>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</si>
  <si>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</si>
  <si>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</si>
  <si>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</si>
  <si>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</si>
  <si>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</si>
  <si>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</si>
  <si>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</si>
  <si>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</si>
  <si>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</si>
  <si>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</si>
  <si>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</si>
  <si>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</si>
  <si>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</si>
  <si>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</si>
  <si>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</si>
  <si>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</si>
  <si>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</si>
  <si>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</si>
  <si>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</si>
  <si>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</si>
  <si>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</si>
  <si>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</si>
  <si>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</si>
  <si>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</si>
  <si>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</si>
  <si>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</si>
  <si>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</si>
  <si>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</si>
  <si>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</si>
  <si>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</si>
  <si>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</si>
  <si>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</si>
  <si>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</si>
  <si>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</si>
  <si>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</si>
  <si>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</si>
  <si>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</si>
  <si>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</si>
  <si>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</si>
  <si>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</si>
  <si>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*MAV250500567</t>
  </si>
  <si>
    <t>*MAV200501505</t>
  </si>
  <si>
    <t>*MAV230501077</t>
  </si>
  <si>
    <t>*MAV120501553</t>
  </si>
  <si>
    <t>CELULOSA CAMPANA SA</t>
  </si>
  <si>
    <t>COOPERATIVA DE TRABAJO ASISTEN LIMITADA</t>
  </si>
  <si>
    <t>ELANDIU SRL</t>
  </si>
  <si>
    <t>FERRARO MAZZANTI SRL</t>
  </si>
  <si>
    <t>KOKY BH SRL</t>
  </si>
  <si>
    <t>NEO-ONE SOCIEDAD ANONIMA</t>
  </si>
  <si>
    <t>OLLIARI ENVASES SRL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</si>
  <si>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</si>
  <si>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</si>
  <si>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</si>
  <si>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</si>
  <si>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</si>
  <si>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</si>
  <si>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</si>
  <si>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</si>
  <si>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</si>
  <si>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</si>
  <si>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</si>
  <si>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</si>
  <si>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</si>
  <si>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</si>
  <si>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</si>
  <si>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</si>
  <si>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</si>
  <si>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</si>
  <si>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</si>
  <si>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</si>
  <si>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</si>
  <si>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</si>
  <si>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</si>
  <si>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</si>
  <si>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</si>
  <si>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</si>
  <si>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</si>
  <si>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</si>
  <si>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</si>
  <si>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</si>
  <si>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</si>
  <si>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</si>
  <si>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</si>
  <si>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</si>
  <si>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</si>
  <si>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</si>
  <si>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</si>
  <si>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</si>
  <si>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</si>
  <si>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</si>
  <si>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</si>
  <si>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</si>
  <si>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</si>
  <si>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%INC160500033</t>
  </si>
  <si>
    <t>%INC160500034</t>
  </si>
  <si>
    <t>%INC180500037</t>
  </si>
  <si>
    <t>%INC180500038</t>
  </si>
  <si>
    <t>%INC190500034</t>
  </si>
  <si>
    <t>%INC190600019</t>
  </si>
  <si>
    <t>%INC150500018</t>
  </si>
  <si>
    <t>%INC160500035</t>
  </si>
  <si>
    <t>%INC240500028</t>
  </si>
  <si>
    <t>*MAV100601462</t>
  </si>
  <si>
    <t>*MAV170601089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</si>
  <si>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</si>
  <si>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</si>
  <si>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</si>
  <si>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</si>
  <si>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</si>
  <si>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</si>
  <si>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</si>
  <si>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</si>
  <si>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</si>
  <si>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</si>
  <si>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</si>
  <si>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</si>
  <si>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</si>
  <si>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</si>
  <si>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</si>
  <si>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</si>
  <si>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</si>
  <si>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</si>
  <si>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</si>
  <si>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</si>
  <si>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</si>
  <si>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</si>
  <si>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</si>
  <si>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</si>
  <si>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</si>
  <si>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</si>
  <si>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</si>
  <si>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</si>
  <si>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</si>
  <si>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</si>
  <si>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</si>
  <si>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</si>
  <si>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</si>
  <si>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</si>
  <si>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</si>
  <si>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</si>
  <si>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</si>
  <si>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</si>
  <si>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</si>
  <si>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</si>
  <si>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</si>
  <si>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</si>
  <si>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</si>
  <si>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</si>
  <si>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</si>
  <si>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</si>
  <si>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</si>
  <si>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</si>
  <si>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</si>
  <si>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</si>
  <si>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</si>
  <si>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</si>
  <si>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</si>
  <si>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</si>
  <si>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</si>
  <si>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</si>
  <si>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</si>
  <si>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</si>
  <si>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</si>
  <si>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</si>
  <si>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</si>
  <si>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</si>
  <si>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</si>
  <si>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</si>
  <si>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</si>
  <si>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</si>
  <si>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</si>
  <si>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</si>
  <si>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</si>
  <si>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</si>
  <si>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</si>
  <si>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</si>
  <si>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</si>
  <si>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</si>
  <si>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</si>
  <si>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</si>
  <si>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</si>
  <si>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</si>
  <si>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</si>
  <si>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</si>
  <si>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</si>
  <si>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</si>
  <si>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</si>
  <si>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</si>
  <si>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</si>
  <si>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</si>
  <si>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</si>
  <si>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</si>
  <si>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</si>
  <si>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</si>
  <si>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</si>
  <si>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</si>
  <si>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</si>
  <si>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</si>
  <si>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</si>
  <si>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</si>
  <si>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</si>
  <si>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</si>
  <si>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</si>
  <si>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</si>
  <si>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</si>
  <si>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</si>
  <si>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</si>
  <si>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</si>
  <si>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</si>
  <si>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</si>
  <si>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</si>
  <si>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</si>
  <si>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</si>
  <si>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</si>
  <si>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</si>
  <si>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</si>
  <si>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</si>
  <si>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</si>
  <si>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</si>
  <si>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</si>
  <si>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</si>
  <si>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</si>
  <si>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</si>
  <si>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</si>
  <si>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</si>
  <si>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</si>
  <si>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</si>
  <si>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</si>
  <si>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</si>
  <si>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</si>
  <si>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</si>
  <si>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</si>
  <si>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</si>
  <si>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</si>
  <si>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</si>
  <si>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</si>
  <si>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</si>
  <si>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</si>
  <si>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</si>
  <si>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</si>
  <si>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</si>
  <si>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</si>
  <si>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</si>
  <si>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</si>
  <si>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</si>
  <si>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</si>
  <si>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</si>
  <si>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</si>
  <si>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</si>
  <si>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</si>
  <si>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</si>
  <si>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</si>
  <si>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</si>
  <si>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</si>
  <si>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</si>
  <si>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</si>
  <si>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</si>
  <si>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</si>
  <si>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</si>
  <si>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</si>
  <si>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</si>
  <si>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</si>
  <si>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</si>
  <si>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</si>
  <si>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</si>
  <si>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</si>
  <si>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</si>
  <si>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</si>
  <si>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</si>
  <si>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</si>
  <si>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</si>
  <si>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</si>
  <si>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</si>
  <si>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</si>
  <si>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</si>
  <si>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</si>
  <si>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</si>
  <si>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</si>
  <si>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</si>
  <si>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</si>
  <si>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</si>
  <si>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</si>
  <si>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</si>
  <si>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</si>
  <si>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</si>
  <si>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</si>
  <si>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</si>
  <si>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</si>
  <si>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</si>
  <si>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</si>
  <si>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</si>
  <si>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</si>
  <si>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</si>
  <si>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</si>
  <si>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</si>
  <si>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</si>
  <si>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</si>
  <si>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</si>
  <si>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</si>
  <si>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</si>
  <si>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</si>
  <si>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</si>
  <si>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</si>
  <si>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</si>
  <si>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</si>
  <si>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</si>
  <si>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</si>
  <si>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</si>
  <si>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</si>
  <si>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</si>
  <si>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</si>
  <si>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</si>
  <si>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</si>
  <si>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</si>
  <si>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</si>
  <si>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</si>
  <si>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</si>
  <si>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</si>
  <si>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</si>
  <si>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</si>
  <si>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</si>
  <si>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</si>
  <si>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</si>
  <si>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</si>
  <si>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</si>
  <si>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</si>
  <si>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</si>
  <si>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</si>
  <si>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</si>
  <si>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</si>
  <si>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</si>
  <si>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</si>
  <si>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</si>
  <si>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</si>
  <si>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</si>
  <si>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</si>
  <si>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</si>
  <si>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</si>
  <si>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</si>
  <si>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</si>
  <si>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</si>
  <si>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</si>
  <si>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</si>
  <si>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</si>
  <si>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</si>
  <si>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</si>
  <si>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</si>
  <si>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</si>
  <si>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</si>
  <si>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</si>
  <si>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</si>
  <si>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</si>
  <si>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</si>
  <si>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</si>
  <si>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</si>
  <si>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</si>
  <si>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</si>
  <si>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</si>
  <si>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</si>
  <si>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</si>
  <si>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</si>
  <si>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</si>
  <si>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</si>
  <si>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</si>
  <si>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</si>
  <si>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</si>
  <si>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</si>
  <si>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</si>
  <si>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</si>
  <si>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</si>
  <si>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</si>
  <si>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</si>
  <si>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</si>
  <si>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</si>
  <si>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</si>
  <si>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</si>
  <si>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</si>
  <si>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</si>
  <si>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</si>
  <si>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</si>
  <si>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</si>
  <si>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</si>
  <si>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</si>
  <si>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</si>
  <si>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</si>
  <si>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</si>
  <si>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</si>
  <si>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</si>
  <si>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</si>
  <si>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</si>
  <si>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</si>
  <si>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</si>
  <si>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</si>
  <si>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</si>
  <si>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</si>
  <si>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*MOV120500068</t>
  </si>
  <si>
    <t>*MOV120500069</t>
  </si>
  <si>
    <t>*MOV130500081</t>
  </si>
  <si>
    <t>*MOV140500050</t>
  </si>
  <si>
    <t>*MOV150500055</t>
  </si>
  <si>
    <t>*MOV150500056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</si>
  <si>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</si>
  <si>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</si>
  <si>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</si>
  <si>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</si>
  <si>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</si>
  <si>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</si>
  <si>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</si>
  <si>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</si>
  <si>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</si>
  <si>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</si>
  <si>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</si>
  <si>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</si>
  <si>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</si>
  <si>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</si>
  <si>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</si>
  <si>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</si>
  <si>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</si>
  <si>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</si>
  <si>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</si>
  <si>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</si>
  <si>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</si>
  <si>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</si>
  <si>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</si>
  <si>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</si>
  <si>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</si>
  <si>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</si>
  <si>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</si>
  <si>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</si>
  <si>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</si>
  <si>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</si>
  <si>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</si>
  <si>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</si>
  <si>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</si>
  <si>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</si>
  <si>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</si>
  <si>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</si>
  <si>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</si>
  <si>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*MAV220600889</t>
  </si>
  <si>
    <t>*MAV130501354</t>
  </si>
  <si>
    <t>*MAV200701011</t>
  </si>
  <si>
    <t>*MAV030800729</t>
  </si>
  <si>
    <t>*MAV170901008</t>
  </si>
  <si>
    <t>21/09/2026</t>
  </si>
  <si>
    <t>*MAV130501356</t>
  </si>
  <si>
    <t>*MAV130501352</t>
  </si>
  <si>
    <t>*MAV130501357</t>
  </si>
  <si>
    <t>*MAV130501358</t>
  </si>
  <si>
    <t>*MAV150501682</t>
  </si>
  <si>
    <t>*MAV120501729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</si>
  <si>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</si>
  <si>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</si>
  <si>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</si>
  <si>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</si>
  <si>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</si>
  <si>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</si>
  <si>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</si>
  <si>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</si>
  <si>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</si>
  <si>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</si>
  <si>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</si>
  <si>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</si>
  <si>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</si>
  <si>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</si>
  <si>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</si>
  <si>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</si>
  <si>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</si>
  <si>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</si>
  <si>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</si>
  <si>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</si>
  <si>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</si>
  <si>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</si>
  <si>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</si>
  <si>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</si>
  <si>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</si>
  <si>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</si>
  <si>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</si>
  <si>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</si>
  <si>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</si>
  <si>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</si>
  <si>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</si>
  <si>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</si>
  <si>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</si>
  <si>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</si>
  <si>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</si>
  <si>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</si>
  <si>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</si>
  <si>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</si>
  <si>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</si>
  <si>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</si>
  <si>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</si>
  <si>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</si>
  <si>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</si>
  <si>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</si>
  <si>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</si>
  <si>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</si>
  <si>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</si>
  <si>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</si>
  <si>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</si>
  <si>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</si>
  <si>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</si>
  <si>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</si>
  <si>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</si>
  <si>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</si>
  <si>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</si>
  <si>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</si>
  <si>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</si>
  <si>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</si>
  <si>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</si>
  <si>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</si>
  <si>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</si>
  <si>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</si>
  <si>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</si>
  <si>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</si>
  <si>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</si>
  <si>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</si>
  <si>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</si>
  <si>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</si>
  <si>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</si>
  <si>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</si>
  <si>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</si>
  <si>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</si>
  <si>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</si>
  <si>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</si>
  <si>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</si>
  <si>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</si>
  <si>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</si>
  <si>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</si>
  <si>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</si>
  <si>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</si>
  <si>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</si>
  <si>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</si>
  <si>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</si>
  <si>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</si>
  <si>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</si>
  <si>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</si>
  <si>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</si>
  <si>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</si>
  <si>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</si>
  <si>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</si>
  <si>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</si>
  <si>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</si>
  <si>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</si>
  <si>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</si>
  <si>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</si>
  <si>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</si>
  <si>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</si>
  <si>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</si>
  <si>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</si>
  <si>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</si>
  <si>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</si>
  <si>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</si>
  <si>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</si>
  <si>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</si>
  <si>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</si>
  <si>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</si>
  <si>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</si>
  <si>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</si>
  <si>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</si>
  <si>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</si>
  <si>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</si>
  <si>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</si>
  <si>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</si>
  <si>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</si>
  <si>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</si>
  <si>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</si>
  <si>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</si>
  <si>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</si>
  <si>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</si>
  <si>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</si>
  <si>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</si>
  <si>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</si>
  <si>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</si>
  <si>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</si>
  <si>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</si>
  <si>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</si>
  <si>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</si>
  <si>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</si>
  <si>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</si>
  <si>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</si>
  <si>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</si>
  <si>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</si>
  <si>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</si>
  <si>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</si>
  <si>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</si>
  <si>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</si>
  <si>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</si>
  <si>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</si>
  <si>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</si>
  <si>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</si>
  <si>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</si>
  <si>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</si>
  <si>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</si>
  <si>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</si>
  <si>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</si>
  <si>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</si>
  <si>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</si>
  <si>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</si>
  <si>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</si>
  <si>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</si>
  <si>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</si>
  <si>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</si>
  <si>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</si>
  <si>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</si>
  <si>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</si>
  <si>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</si>
  <si>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</si>
  <si>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</si>
  <si>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</si>
  <si>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</si>
  <si>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</si>
  <si>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</si>
  <si>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</si>
  <si>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</si>
  <si>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</si>
  <si>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</si>
  <si>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</si>
  <si>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</si>
  <si>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</si>
  <si>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</si>
  <si>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</si>
  <si>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</si>
  <si>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</si>
  <si>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</si>
  <si>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</si>
  <si>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</si>
  <si>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</si>
  <si>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</si>
  <si>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</si>
  <si>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</si>
  <si>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</si>
  <si>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</si>
  <si>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</si>
  <si>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</si>
  <si>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</si>
  <si>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</si>
  <si>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</si>
  <si>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</si>
  <si>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</si>
  <si>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</si>
  <si>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</si>
  <si>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</si>
  <si>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</si>
  <si>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</si>
  <si>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</si>
  <si>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</si>
  <si>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</si>
  <si>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</si>
  <si>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</si>
  <si>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</si>
  <si>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</si>
  <si>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</si>
  <si>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</si>
  <si>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</si>
  <si>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</si>
  <si>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</si>
  <si>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</si>
  <si>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</si>
  <si>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</si>
  <si>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</si>
  <si>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</si>
  <si>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</si>
  <si>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</si>
  <si>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</si>
  <si>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</si>
  <si>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</si>
  <si>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</si>
  <si>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</si>
  <si>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</si>
  <si>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</si>
  <si>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</si>
  <si>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</si>
  <si>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</si>
  <si>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</si>
  <si>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</si>
  <si>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</si>
  <si>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</si>
  <si>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</si>
  <si>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</si>
  <si>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</si>
  <si>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</si>
  <si>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</si>
  <si>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</si>
  <si>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</si>
  <si>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</si>
  <si>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</si>
  <si>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</si>
  <si>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</si>
  <si>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</si>
  <si>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</si>
  <si>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</si>
  <si>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</si>
  <si>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</si>
  <si>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</si>
  <si>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</si>
  <si>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</si>
  <si>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</si>
  <si>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</si>
  <si>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</si>
  <si>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</si>
  <si>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</si>
  <si>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</si>
  <si>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</si>
  <si>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</si>
  <si>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</si>
  <si>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</si>
  <si>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</si>
  <si>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</si>
  <si>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</si>
  <si>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</si>
  <si>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</si>
  <si>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</si>
  <si>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</si>
  <si>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</si>
  <si>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</si>
  <si>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</si>
  <si>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</si>
  <si>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</si>
  <si>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</si>
  <si>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</si>
  <si>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</si>
  <si>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</si>
  <si>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</si>
  <si>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</si>
  <si>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</si>
  <si>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</si>
  <si>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</si>
  <si>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</si>
  <si>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</si>
  <si>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</si>
  <si>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</si>
  <si>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</si>
  <si>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</si>
  <si>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</si>
  <si>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</si>
  <si>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</si>
  <si>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</si>
  <si>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</si>
  <si>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</si>
  <si>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</si>
  <si>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</si>
  <si>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</si>
  <si>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</si>
  <si>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</si>
  <si>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</si>
  <si>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</si>
  <si>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</si>
  <si>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</si>
  <si>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</si>
  <si>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</si>
  <si>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</si>
  <si>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</si>
  <si>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</si>
  <si>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</si>
  <si>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</si>
  <si>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</si>
  <si>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</si>
  <si>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</si>
  <si>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</si>
  <si>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</si>
  <si>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</si>
  <si>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</si>
  <si>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</si>
  <si>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</si>
  <si>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</si>
  <si>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</si>
  <si>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</si>
  <si>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</si>
  <si>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</si>
  <si>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</si>
  <si>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</si>
  <si>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</si>
  <si>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</si>
  <si>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</si>
  <si>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</si>
  <si>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</si>
  <si>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</si>
  <si>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</si>
  <si>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</si>
  <si>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</si>
  <si>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</si>
  <si>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</si>
  <si>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</si>
  <si>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</si>
  <si>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</si>
  <si>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</si>
  <si>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</si>
  <si>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</si>
  <si>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</si>
  <si>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</si>
  <si>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</si>
  <si>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</si>
  <si>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</si>
  <si>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</si>
  <si>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</si>
  <si>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</si>
  <si>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</si>
  <si>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</si>
  <si>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</si>
  <si>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</si>
  <si>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</si>
  <si>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</si>
  <si>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</si>
  <si>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</si>
  <si>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</si>
  <si>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</si>
  <si>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</si>
  <si>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</si>
  <si>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</si>
  <si>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</si>
  <si>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</si>
  <si>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</si>
  <si>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</si>
  <si>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</si>
  <si>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</si>
  <si>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</si>
  <si>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</si>
  <si>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</si>
  <si>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</si>
  <si>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</si>
  <si>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</si>
  <si>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</si>
  <si>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</si>
  <si>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</si>
  <si>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</si>
  <si>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</si>
  <si>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</si>
  <si>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</si>
  <si>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</si>
  <si>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</si>
  <si>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</si>
  <si>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</si>
  <si>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</si>
  <si>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</si>
  <si>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</si>
  <si>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</si>
  <si>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</si>
  <si>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</si>
  <si>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</si>
  <si>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</si>
  <si>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</si>
  <si>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</si>
  <si>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</si>
  <si>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</si>
  <si>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</si>
  <si>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</si>
  <si>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</si>
  <si>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</si>
  <si>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</si>
  <si>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</si>
  <si>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</si>
  <si>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</si>
  <si>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</si>
  <si>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</si>
  <si>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</si>
  <si>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</si>
  <si>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</si>
  <si>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</si>
  <si>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</si>
  <si>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</si>
  <si>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</si>
  <si>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</si>
  <si>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</si>
  <si>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</si>
  <si>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</si>
  <si>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</si>
  <si>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</si>
  <si>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</si>
  <si>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</si>
  <si>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</si>
  <si>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</si>
  <si>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</si>
  <si>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</si>
  <si>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</si>
  <si>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</si>
  <si>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</si>
  <si>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</si>
  <si>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</si>
  <si>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</si>
  <si>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</si>
  <si>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</si>
  <si>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</si>
  <si>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</si>
  <si>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</si>
  <si>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</si>
  <si>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</si>
  <si>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</si>
  <si>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</si>
  <si>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</si>
  <si>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</si>
  <si>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</si>
  <si>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</si>
  <si>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</si>
  <si>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</si>
  <si>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</si>
  <si>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</si>
  <si>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</si>
  <si>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</si>
  <si>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</si>
  <si>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</si>
  <si>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</si>
  <si>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</si>
  <si>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</si>
  <si>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</si>
  <si>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</si>
  <si>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</si>
  <si>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</si>
  <si>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</si>
  <si>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</si>
  <si>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</si>
  <si>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</si>
  <si>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</si>
  <si>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</si>
  <si>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</si>
  <si>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</si>
  <si>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</si>
  <si>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</si>
  <si>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</si>
  <si>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</si>
  <si>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</si>
  <si>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</si>
  <si>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</si>
  <si>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</si>
  <si>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</si>
  <si>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</si>
  <si>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</si>
  <si>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</si>
  <si>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</si>
  <si>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</si>
  <si>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</si>
  <si>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</si>
  <si>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</si>
  <si>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</si>
  <si>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</si>
  <si>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</si>
  <si>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</si>
  <si>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</si>
  <si>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</si>
  <si>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</si>
  <si>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</si>
  <si>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</si>
  <si>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</si>
  <si>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</si>
  <si>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</si>
  <si>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</si>
  <si>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</si>
  <si>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</si>
  <si>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</si>
  <si>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</si>
  <si>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</si>
  <si>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</si>
  <si>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</si>
  <si>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</si>
  <si>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</si>
  <si>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</si>
  <si>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</si>
  <si>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</si>
  <si>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</si>
  <si>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</si>
  <si>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</si>
  <si>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</si>
  <si>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</si>
  <si>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</si>
  <si>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</si>
  <si>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</si>
  <si>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</si>
  <si>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</si>
  <si>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</si>
  <si>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</si>
  <si>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</si>
  <si>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</si>
  <si>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</si>
  <si>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</si>
  <si>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</si>
  <si>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</si>
  <si>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</si>
  <si>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</si>
  <si>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</si>
  <si>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</si>
  <si>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</si>
  <si>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</si>
  <si>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</si>
  <si>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</si>
  <si>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</si>
  <si>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</si>
  <si>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</si>
  <si>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</si>
  <si>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</si>
  <si>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</si>
  <si>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</si>
  <si>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</si>
  <si>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</si>
  <si>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</si>
  <si>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</si>
  <si>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</si>
  <si>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</si>
  <si>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</si>
  <si>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</si>
  <si>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</si>
  <si>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</si>
  <si>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</si>
  <si>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</si>
  <si>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</si>
  <si>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</si>
  <si>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</si>
  <si>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</si>
  <si>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</si>
  <si>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</si>
  <si>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</si>
  <si>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</si>
  <si>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</si>
  <si>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</si>
  <si>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</si>
  <si>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</si>
  <si>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</si>
  <si>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</si>
  <si>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</si>
  <si>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</si>
  <si>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</si>
  <si>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</si>
  <si>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</si>
  <si>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</si>
  <si>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</si>
  <si>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</si>
  <si>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</si>
  <si>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</si>
  <si>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</si>
  <si>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</si>
  <si>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</si>
  <si>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</si>
  <si>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</si>
  <si>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</si>
  <si>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</si>
  <si>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</si>
  <si>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</si>
  <si>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</si>
  <si>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</si>
  <si>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</si>
  <si>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</si>
  <si>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</si>
  <si>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</si>
  <si>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</si>
  <si>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</si>
  <si>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</si>
  <si>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</si>
  <si>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</si>
  <si>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</si>
  <si>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</si>
  <si>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</si>
  <si>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</si>
  <si>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</si>
  <si>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</si>
  <si>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</si>
  <si>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</si>
  <si>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</si>
  <si>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</si>
  <si>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</si>
  <si>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</si>
  <si>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</si>
  <si>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</si>
  <si>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</si>
  <si>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</si>
  <si>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</si>
  <si>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</si>
  <si>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</si>
  <si>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</si>
  <si>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</si>
  <si>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</si>
  <si>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</si>
  <si>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</si>
  <si>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</si>
  <si>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</si>
  <si>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</si>
  <si>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</si>
  <si>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</si>
  <si>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</si>
  <si>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</si>
  <si>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</si>
  <si>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</si>
  <si>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</si>
  <si>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</si>
  <si>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</si>
  <si>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</si>
  <si>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</si>
  <si>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</si>
  <si>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</si>
  <si>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</si>
  <si>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</si>
  <si>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</si>
  <si>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</si>
  <si>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</si>
  <si>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</si>
  <si>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</si>
  <si>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</si>
  <si>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</si>
  <si>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</si>
  <si>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</si>
  <si>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</si>
  <si>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</si>
  <si>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</si>
  <si>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</si>
  <si>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</si>
  <si>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</si>
  <si>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</si>
  <si>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</si>
  <si>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</si>
  <si>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</si>
  <si>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</si>
  <si>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</si>
  <si>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</si>
  <si>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</si>
  <si>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</si>
  <si>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</si>
  <si>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</si>
  <si>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</si>
  <si>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</si>
  <si>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</si>
  <si>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</si>
  <si>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</si>
  <si>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</si>
  <si>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</si>
  <si>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</si>
  <si>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</si>
  <si>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</si>
  <si>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</si>
  <si>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</si>
  <si>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</si>
  <si>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</si>
  <si>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</si>
  <si>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</si>
  <si>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</si>
  <si>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</si>
  <si>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</si>
  <si>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</si>
  <si>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</si>
  <si>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</si>
  <si>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</si>
  <si>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</si>
  <si>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</si>
  <si>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</si>
  <si>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</si>
  <si>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</si>
  <si>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</si>
  <si>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</si>
  <si>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</si>
  <si>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</si>
  <si>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</si>
  <si>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</si>
  <si>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</si>
  <si>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</si>
  <si>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</si>
  <si>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</si>
  <si>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</si>
  <si>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</si>
  <si>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</si>
  <si>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</si>
  <si>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</si>
  <si>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</si>
  <si>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</si>
  <si>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</si>
  <si>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</si>
  <si>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</si>
  <si>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</si>
  <si>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15/5/2026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</si>
  <si>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10:22:06</t>
  </si>
  <si>
    <t xml:space="preserve">                                                                                                                Informe de Gestión al 14/5/2026</t>
  </si>
  <si>
    <t>RESCATES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</si>
  <si>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</si>
  <si>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</si>
  <si>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</si>
  <si>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</si>
  <si>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</si>
  <si>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</si>
  <si>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</si>
  <si>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</si>
  <si>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</si>
  <si>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</si>
  <si>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</si>
  <si>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 xml:space="preserve">La Duration del Fondo es de 20 días </t>
  </si>
  <si>
    <t>1 US3 = 1393,2322905547 $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</si>
</sst>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57.445691203706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53">
        <s v="TEXTUM SA"/>
        <s v="EDITAR SRL"/>
        <s v="TECNOGRAF SA"/>
        <s v="BROADBANDTECH SA"/>
        <s v="PLANTIUM S.A."/>
        <s v="PAMPA VIDA S.R.L."/>
        <s v="MINIGRAF SRL"/>
        <s v="BiBank S.A."/>
        <s v="Casa Hutton SA"/>
        <s v="Movil SGR"/>
        <s v="SA IMP Y EXP DE LA PATAGONIA"/>
        <s v="CEIBO CREDITOS S.A.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AGRITAM SRL"/>
        <s v="SUAVENOL S.R.L."/>
        <s v="DROGUERIA GARZON SA"/>
        <s v="SION S A"/>
        <s v="ELIAS SEMILLAS E INSUMOS SRL"/>
        <s v="INC SOCIEDAD ANONIMA"/>
        <s v="C P S COMUNICACIONES S.A.U."/>
        <s v="DRACONIS S.A."/>
        <s v="INDUSTRIAS ERCA S A"/>
        <s v="VINOX SRL"/>
        <s v="DESUR SA"/>
        <s v="FERRARO MAZZANTI SRL"/>
        <s v="I-LED ARGENTINA S.A."/>
        <s v="INTANSIA S.R.L"/>
        <s v="NVX SAS"/>
        <s v="DISTRIBUIDORA LEO SRL"/>
        <s v="ESPECIALIDADES AGROPECUARIAS S.A."/>
        <s v="AVAL AR SGR"/>
        <s v="Grupo Grafico del Norte SA"/>
        <s v="LAROCCA NEUMATICOS S A"/>
        <s v="CONTIMEDIOS S R L"/>
        <s v="EL AUDITOR SA"/>
        <s v="KOKY BH SRL"/>
        <s v="NEW ARRECIFE S.A."/>
        <s v="VISOMA S.A.S."/>
        <s v="GRAF ASOCIADAS S.A."/>
        <s v="AVAL FEDERAL S.G.R."/>
        <s v="MILLS S.G.R."/>
        <s v="CONAVAL SGR"/>
        <s v="CELULOSA CAMPANA SA"/>
        <s v="DHN DESARROLLADORA SRL"/>
        <s v="SAN MARCOS TRADING S.A."/>
        <s v="TALLERES METALURGICOS CRUCIANELLI SA"/>
        <s v="CLUB SOCIAL Y DEPORTIVO DEFENSA Y JUSTICIA"/>
        <s v="NEO-ONE SOCIEDAD ANONIMA"/>
        <s v="AREA RIO NEGRO NORTE"/>
        <s v="GREEN TRADE SOCIEDAD ANONIMA"/>
        <s v="COTO"/>
        <s v="SES SA"/>
        <s v="ALGABO SA"/>
        <s v="PROMO DIRECTA SRL"/>
        <s v="CONSTRUCCIONES S&amp;C SAS"/>
        <s v="LW GROUP SRL"/>
        <s v="RUMBOFISH S.A."/>
        <s v="LA NUEVA METROPOL SOCIEDAD ANONIMA DE TRANSPORTE AUTOMOTOR COMERCIAL E IND"/>
        <s v="Neuquén Pymes S.G.R. "/>
        <s v="ARROLLAR SA"/>
        <s v="BUENA ONDA TELEVISORA COLOR SRL"/>
        <s v="OLLIARI ENVASES SRL"/>
        <s v="BP FAMILY S.R.L."/>
        <s v="EMOVA MOVILIDAD S.A."/>
        <s v="OSCAR PEMAN Y ASOCIADOS S.A."/>
        <s v="Vinculos S.G.R."/>
        <s v="LOS GROBO SGR"/>
        <s v="ILSA SA"/>
        <s v="ROSSMORE PHARMA"/>
        <s v="COOPERATIVA DE VIVIENDA CREDITO Y CONSUMO PARA EL DESARROLLO LIMITADA"/>
        <s v="ACINDAR PYMES SGR"/>
        <s v="INTEGRA PYMES SGR"/>
        <s v="MASTELLONE HNOS SA"/>
        <s v="LITTLE BLUE SRL"/>
        <s v="AGROTRANSPORTE ALDAO S.A."/>
        <s v="ELANDIU SRL"/>
        <s v="PROYECTOS DEL NORTE SRL"/>
        <s v="SANATORIO REGIONAL SRL"/>
        <s v="JUARROS JOSE LUIS"/>
        <s v="DEMAGRO SRL"/>
        <s v="DANBURY S. A"/>
        <s v="QUILMES"/>
        <s v="CUYO AVAL SGR"/>
        <s v="DOS MATES SA"/>
        <s v="TARJETA NARANJA SA"/>
        <s v="POLIMEROS EXPRESS SA"/>
        <s v="S.E.S. S.A. - CONSTRUERE INGENIERIA S.A."/>
        <s v="Fidus S.G.R."/>
        <s v="DESDE EL MAR S.A."/>
        <s v="DROGUERIA DISVAL S R L"/>
        <s v="AYVU S.A."/>
        <s v="VICTORIO PODESTA Y CIA S.A."/>
        <s v="VITALCAN S.A."/>
        <s v="LIPSA SRL"/>
        <s v="COOPERATIVA DE TRABAJO ASISTEN LIMITADA"/>
        <s v="BODEGAS Y VIÑEDOS SANTA ELENA SRL"/>
        <s v="ASOCIACION ATLETICA ARGENTINOS JUNIORS"/>
        <s v="METALFOR SA"/>
        <s v="LOGICA CONSULTING GROUP SAU"/>
        <s v="BILOMAT"/>
        <s v="VH FABRICS SRL"/>
        <s v="EL FIERRO SRL"/>
        <s v="P I S R L"/>
        <s v="SERVICIOS DE PRODUCCIONES ARTISTICAS SRL"/>
        <s v="TREND SGR"/>
        <s v="TRIAL INTERNATIONAL S.A."/>
        <s v="CAMPO AVAL SGR"/>
        <s v="TRANS BOX SRL"/>
        <s v="GEOPOLIS SA"/>
        <s v="AMERICA PAMPA AGROINDUSTRIAL S.A."/>
        <s v="EMPRESA DIST SUR S.A. EDESUR S.A."/>
        <s v="DOSAM SOCIEDAD DE RESPONSABILIDAD LIMITADA"/>
        <s v="GRUPO 88 S.A."/>
        <s v="CUDEMO VERONICA TERESA"/>
        <s v="Affidavit S.G.R."/>
        <s v="INTERTEXTIL SRL"/>
        <s v="CREDICUOTAS CONSUMO SA"/>
        <s v="BSP LARTI SA"/>
        <s v="ALLIANCE ONE TOBACCO ARGENTINA"/>
        <s v="LAVORO FRANCO LUCIANO"/>
        <s v="ROTATIVOS UNICOM SRL"/>
        <s v="TECNOGRAFIC"/>
        <s v="V Y V ALIMENTOS S.A."/>
        <s v="PEREZ SEBASTIAN LEONEL"/>
        <s v="ENTRENUTS SRL"/>
        <s v="PUNTO PACK SRL"/>
        <s v="LAGAVULIN S.A."/>
        <s v="FGF TRAPANI"/>
        <s v="BUROMAHTIK SA"/>
        <s v="ANDALUCIA SRL"/>
        <s v="REMOLQUES OMBU S.A"/>
        <s v="KEY TECHNOLOGY SRL"/>
        <s v="G&amp;T LOGISTICA SA"/>
        <s v="AGROREDES SRL"/>
        <s v="GRAFICA IGMA S.R.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0967177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86.1" maxValue="1451100226.3499999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1674.79" maxValue="1451100226.34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433055734635913E-6" maxValue="3.82452600436520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14T00:00:00"/>
    <s v="14/05/2026"/>
    <n v="1"/>
    <m/>
    <n v="10000000"/>
    <n v="10000000"/>
    <n v="10000000"/>
    <n v="10000000"/>
    <n v="13445369"/>
    <s v="AMOMPY"/>
    <s v="Momentum Capital Investment S.A."/>
    <s v="17/04/2026"/>
    <s v="17/04/2026"/>
    <n v="38"/>
    <s v="No"/>
    <s v=""/>
    <m/>
    <m/>
    <s v="*MAV120501729"/>
    <s v="*MAV120501729"/>
    <n v="2.6356043055586595E-4"/>
  </r>
  <r>
    <x v="1"/>
    <s v="Pesos"/>
    <d v="2026-05-14T00:00:00"/>
    <s v="14/05/2026"/>
    <n v="1"/>
    <m/>
    <n v="2601958.11"/>
    <n v="2601958.11"/>
    <n v="2601958.11"/>
    <n v="2601958.11"/>
    <n v="123113"/>
    <s v="AMOMPY"/>
    <s v="Momentum Capital Investment S.A."/>
    <s v="17/03/2026"/>
    <s v="17/03/2026"/>
    <n v="43"/>
    <s v="No"/>
    <s v=""/>
    <m/>
    <m/>
    <s v="*MAV120501493"/>
    <s v="*MAV120501493"/>
    <n v="6.8577319975992714E-5"/>
  </r>
  <r>
    <x v="2"/>
    <s v="Pesos"/>
    <d v="2026-05-14T00:00:00"/>
    <s v="14/05/2026"/>
    <n v="1"/>
    <m/>
    <n v="2778395.07"/>
    <n v="2778395.07"/>
    <n v="2778395.07"/>
    <n v="2778395.07"/>
    <n v="65732098"/>
    <s v="AMOMPY"/>
    <s v="Momentum Capital Investment S.A."/>
    <s v="27/03/2026"/>
    <s v="27/03/2026"/>
    <n v="41"/>
    <s v="No"/>
    <s v=""/>
    <m/>
    <m/>
    <s v="*MAV120501553"/>
    <s v="*MAV120501553"/>
    <n v="7.3227500090349525E-5"/>
  </r>
  <r>
    <x v="3"/>
    <s v="Pesos"/>
    <d v="2026-05-14T00:00:00"/>
    <s v="14/05/2026"/>
    <n v="1"/>
    <m/>
    <n v="10000000"/>
    <n v="10000000"/>
    <n v="10000000"/>
    <n v="10000000"/>
    <n v="161"/>
    <s v="AMOMPY"/>
    <s v="Momentum Capital Investment S.A."/>
    <s v="31/03/2026"/>
    <s v="31/03/2026"/>
    <n v="38"/>
    <s v="No"/>
    <s v=""/>
    <m/>
    <m/>
    <s v="*MAV120501577"/>
    <s v="*MAV120501577"/>
    <n v="2.6356043055586595E-4"/>
  </r>
  <r>
    <x v="4"/>
    <s v="Pesos"/>
    <d v="2026-05-14T00:00:00"/>
    <s v="14/05/2026"/>
    <n v="1"/>
    <m/>
    <n v="5000000"/>
    <n v="5000000"/>
    <n v="5000000"/>
    <n v="5000000"/>
    <n v="60524088"/>
    <s v="AMOMPY"/>
    <s v="Momentum Capital Investment S.A."/>
    <s v="19/03/2026"/>
    <s v="19/03/2026"/>
    <n v="38"/>
    <s v="No"/>
    <s v=""/>
    <m/>
    <m/>
    <s v="*MAV120501511"/>
    <s v="*MAV120501511"/>
    <n v="1.3178021527793297E-4"/>
  </r>
  <r>
    <x v="5"/>
    <s v="Pesos"/>
    <d v="2026-05-14T00:00:00"/>
    <s v="14/05/2026"/>
    <n v="1"/>
    <m/>
    <n v="5000000"/>
    <n v="5000000"/>
    <n v="5000000"/>
    <n v="5000000"/>
    <n v="2254"/>
    <s v="AMOMPY"/>
    <s v="Momentum Capital Investment S.A."/>
    <s v="05/03/2026"/>
    <s v="05/03/2026"/>
    <n v="40"/>
    <s v="No"/>
    <s v=""/>
    <m/>
    <m/>
    <s v="*MAV120501386"/>
    <s v="*MAV120501386"/>
    <n v="1.3178021527793297E-4"/>
  </r>
  <r>
    <x v="6"/>
    <s v="Pesos"/>
    <d v="2026-05-14T00:00:00"/>
    <s v="14/05/2026"/>
    <n v="1"/>
    <m/>
    <n v="2714500"/>
    <n v="2714500"/>
    <n v="2714500"/>
    <n v="2714500"/>
    <n v="8838125"/>
    <s v="AMOMPY"/>
    <s v="Momentum Capital Investment S.A."/>
    <s v="17/03/2026"/>
    <s v="17/03/2026"/>
    <n v="43"/>
    <s v="No"/>
    <s v=""/>
    <m/>
    <m/>
    <s v="*MAV120501494"/>
    <s v="*MAV120501494"/>
    <n v="7.1543478874389811E-5"/>
  </r>
  <r>
    <x v="7"/>
    <s v="Pesos"/>
    <d v="2026-05-14T00:00:00"/>
    <s v="14/05/2026"/>
    <n v="1"/>
    <m/>
    <n v="10000000"/>
    <n v="10000000"/>
    <n v="10000000"/>
    <n v="10000000"/>
    <n v="90033755"/>
    <s v="AMOMPY"/>
    <s v="Momentum Capital Investment S.A."/>
    <s v="28/01/2026"/>
    <s v="28/01/2026"/>
    <n v="37"/>
    <s v="No"/>
    <s v=""/>
    <m/>
    <m/>
    <s v="*BIF120500002"/>
    <s v="*BIF120500002"/>
    <n v="2.6356043055586595E-4"/>
  </r>
  <r>
    <x v="8"/>
    <s v="Pesos"/>
    <d v="2026-05-14T00:00:00"/>
    <s v="14/05/2026"/>
    <n v="1"/>
    <m/>
    <n v="20000000"/>
    <n v="20000000"/>
    <n v="20000000"/>
    <n v="20000000"/>
    <n v="13237773"/>
    <s v="AMOMPY"/>
    <s v="Momentum Capital Investment S.A."/>
    <s v="03/03/2026"/>
    <s v="03/03/2026"/>
    <n v="43"/>
    <s v="No"/>
    <s v=""/>
    <m/>
    <m/>
    <s v="*MAV120501374"/>
    <s v="*MAV120501374"/>
    <n v="5.271208611117319E-4"/>
  </r>
  <r>
    <x v="9"/>
    <s v="Pesos"/>
    <d v="2026-05-14T00:00:00"/>
    <s v="14/05/2026"/>
    <n v="1"/>
    <m/>
    <n v="1221790.28"/>
    <n v="1221790.28"/>
    <n v="1221790.28"/>
    <n v="1221790.28"/>
    <n v="5719"/>
    <s v="AMOMPY"/>
    <s v="Momentum Capital Investment S.A."/>
    <s v="17/04/2026"/>
    <s v="17/04/2026"/>
    <n v="25"/>
    <s v="No"/>
    <s v=""/>
    <m/>
    <m/>
    <s v="*MOV120500068"/>
    <s v="*MOV120500068"/>
    <n v="3.2201557224577202E-5"/>
  </r>
  <r>
    <x v="9"/>
    <s v="Pesos"/>
    <d v="2026-05-14T00:00:00"/>
    <s v="14/05/2026"/>
    <n v="1"/>
    <m/>
    <n v="2048050"/>
    <n v="2048050"/>
    <n v="2048050"/>
    <n v="2048050"/>
    <n v="2286"/>
    <s v="AMOMPY"/>
    <s v="Momentum Capital Investment S.A."/>
    <s v="17/04/2026"/>
    <s v="17/04/2026"/>
    <n v="25"/>
    <s v="No"/>
    <s v=""/>
    <m/>
    <m/>
    <s v="*MOV120500069"/>
    <s v="*MOV120500069"/>
    <n v="5.3978493979994127E-5"/>
  </r>
  <r>
    <x v="10"/>
    <s v="Pesos"/>
    <d v="2026-05-14T00:00:00"/>
    <s v="14/05/2026"/>
    <n v="1"/>
    <m/>
    <n v="86320023.799999997"/>
    <n v="86320023.799999997"/>
    <n v="86320023.799999997"/>
    <n v="86320023.799999997"/>
    <n v="304510"/>
    <s v="AMOMPY"/>
    <s v="Momentum Capital Investment S.A."/>
    <s v="17/03/2026"/>
    <s v="17/03/2026"/>
    <n v="43"/>
    <s v="No"/>
    <s v=""/>
    <m/>
    <m/>
    <s v="*MAV120501495"/>
    <s v="*MAV120501495"/>
    <n v="2.2750542638320594E-3"/>
  </r>
  <r>
    <x v="8"/>
    <s v="Pesos"/>
    <d v="2026-05-14T00:00:00"/>
    <s v="14/05/2026"/>
    <n v="1"/>
    <m/>
    <n v="15000000"/>
    <n v="15000000"/>
    <n v="15000000"/>
    <n v="15000000"/>
    <n v="13237795"/>
    <s v="AMOMPY"/>
    <s v="Momentum Capital Investment S.A."/>
    <s v="11/03/2026"/>
    <s v="11/03/2026"/>
    <n v="43"/>
    <s v="No"/>
    <s v=""/>
    <m/>
    <m/>
    <s v="*MAV120501436"/>
    <s v="*MAV120501436"/>
    <n v="3.9534064583379892E-4"/>
  </r>
  <r>
    <x v="11"/>
    <s v="Pesos"/>
    <d v="2026-05-14T00:00:00"/>
    <s v="14/05/2026"/>
    <n v="1"/>
    <m/>
    <n v="100000000"/>
    <n v="100000000"/>
    <n v="100000000"/>
    <n v="100000000"/>
    <n v="16751392"/>
    <s v="AMOMPY"/>
    <s v="Momentum Capital Investment S.A."/>
    <s v="09/04/2026"/>
    <s v="09/04/2026"/>
    <n v="37"/>
    <s v="No"/>
    <s v=""/>
    <m/>
    <m/>
    <s v="*MAV120501647"/>
    <s v="*MAV120501647"/>
    <n v="2.6356043055586597E-3"/>
  </r>
  <r>
    <x v="12"/>
    <s v="Pesos"/>
    <d v="2026-05-15T00:00:00"/>
    <s v="14/05/2026"/>
    <n v="0.99895999000000002"/>
    <m/>
    <n v="4659946.24"/>
    <n v="4655099.8499999996"/>
    <n v="4659946.24"/>
    <n v="4655099.8499999996"/>
    <n v="65749877"/>
    <s v="AMOMPY"/>
    <s v="Momentum Capital Investment S.A."/>
    <s v="17/04/2026"/>
    <s v="17/04/2026"/>
    <n v="38"/>
    <s v="No"/>
    <s v=""/>
    <m/>
    <m/>
    <s v="*MAV130501358"/>
    <s v="*MAV130501358"/>
    <n v="1.2269001207465468E-4"/>
  </r>
  <r>
    <x v="13"/>
    <s v="Pesos"/>
    <d v="2026-05-15T00:00:00"/>
    <s v="14/05/2026"/>
    <n v="0.99895999000000002"/>
    <m/>
    <n v="1027126"/>
    <n v="1026057.78"/>
    <n v="1027126"/>
    <n v="1026057.78"/>
    <n v="110"/>
    <s v="AMOMPY"/>
    <s v="Momentum Capital Investment S.A."/>
    <s v="17/04/2026"/>
    <s v="17/04/2026"/>
    <n v="38"/>
    <s v="No"/>
    <s v=""/>
    <m/>
    <m/>
    <s v="*MAV130501357"/>
    <s v="*MAV130501357"/>
    <n v="2.7042823027199598E-5"/>
  </r>
  <r>
    <x v="14"/>
    <s v="Pesos"/>
    <d v="2026-05-15T00:00:00"/>
    <s v="14/05/2026"/>
    <n v="0.99895999000000002"/>
    <m/>
    <n v="2075465.9"/>
    <n v="2073307.4"/>
    <n v="2075465.9"/>
    <n v="2073307.4"/>
    <n v="145"/>
    <s v="AMOMPY"/>
    <s v="Momentum Capital Investment S.A."/>
    <s v="17/04/2026"/>
    <s v="17/04/2026"/>
    <n v="38"/>
    <s v="No"/>
    <s v=""/>
    <m/>
    <m/>
    <s v="*MAV130501352"/>
    <s v="*MAV130501352"/>
    <n v="5.4644179101866293E-5"/>
  </r>
  <r>
    <x v="15"/>
    <s v="Pesos"/>
    <d v="2026-05-15T00:00:00"/>
    <s v="14/05/2026"/>
    <n v="0.99895999000000002"/>
    <m/>
    <n v="1288000"/>
    <n v="1286660.47"/>
    <n v="1288000"/>
    <n v="1286660.47"/>
    <n v="11172110"/>
    <s v="AMOMPY"/>
    <s v="Momentum Capital Investment S.A."/>
    <s v="17/04/2026"/>
    <s v="17/04/2026"/>
    <n v="38"/>
    <s v="No"/>
    <s v=""/>
    <m/>
    <m/>
    <s v="*MAV130501356"/>
    <s v="*MAV130501356"/>
    <n v="3.3911278745241286E-5"/>
  </r>
  <r>
    <x v="16"/>
    <s v="Pesos"/>
    <d v="2026-05-15T00:00:00"/>
    <s v="14/05/2026"/>
    <n v="0.99895999000000002"/>
    <m/>
    <n v="2515339.61"/>
    <n v="2512723.63"/>
    <n v="2515339.61"/>
    <n v="2512723.63"/>
    <n v="236"/>
    <s v="AMOMPY"/>
    <s v="Momentum Capital Investment S.A."/>
    <s v="17/04/2026"/>
    <s v="17/04/2026"/>
    <n v="38"/>
    <s v="No"/>
    <s v=""/>
    <m/>
    <m/>
    <s v="*MAV130501354"/>
    <s v="*MAV130501354"/>
    <n v="6.6225452179069833E-5"/>
  </r>
  <r>
    <x v="17"/>
    <s v="Pesos"/>
    <d v="2026-05-15T00:00:00"/>
    <s v="14/05/2026"/>
    <n v="0.99895999000000002"/>
    <m/>
    <n v="2506949.71"/>
    <n v="2504342.46"/>
    <n v="2506949.71"/>
    <n v="2504342.46"/>
    <n v="11217706"/>
    <s v="AMOMPY"/>
    <s v="Momentum Capital Investment S.A."/>
    <s v="17/04/2026"/>
    <s v="17/04/2026"/>
    <n v="38"/>
    <s v="No"/>
    <s v=""/>
    <m/>
    <m/>
    <s v="*MAV130501355"/>
    <s v="*MAV130501355"/>
    <n v="6.6004557701693651E-5"/>
  </r>
  <r>
    <x v="18"/>
    <s v="Pesos"/>
    <d v="2026-05-15T00:00:00"/>
    <s v="14/05/2026"/>
    <n v="0.99895999999999996"/>
    <m/>
    <n v="154415.53"/>
    <n v="154254.94"/>
    <n v="154415.53"/>
    <n v="154254.94"/>
    <n v="65663385"/>
    <s v="AMOMPY"/>
    <s v="Momentum Capital Investment S.A."/>
    <s v="17/04/2026"/>
    <s v="17/04/2026"/>
    <n v="38"/>
    <s v="No"/>
    <s v=""/>
    <m/>
    <m/>
    <s v="*MAV130501351"/>
    <s v="*MAV130501351"/>
    <n v="4.0655498401769272E-6"/>
  </r>
  <r>
    <x v="19"/>
    <s v="Pesos"/>
    <d v="2026-05-15T00:00:00"/>
    <s v="14/05/2026"/>
    <n v="0.99895999000000002"/>
    <m/>
    <n v="1155861.44"/>
    <n v="1154659.3400000001"/>
    <n v="1155861.44"/>
    <n v="1154659.3400000001"/>
    <n v="13957"/>
    <s v="AMOMPY"/>
    <s v="Momentum Capital Investment S.A."/>
    <s v="17/04/2026"/>
    <s v="17/04/2026"/>
    <n v="38"/>
    <s v="No"/>
    <s v=""/>
    <m/>
    <m/>
    <s v="*MAV130501353"/>
    <s v="*MAV130501353"/>
    <n v="3.0432251279575204E-5"/>
  </r>
  <r>
    <x v="3"/>
    <s v="Pesos"/>
    <d v="2026-05-15T00:00:00"/>
    <s v="14/05/2026"/>
    <n v="0.99895999000000002"/>
    <m/>
    <n v="10000000"/>
    <n v="9989599.9299999997"/>
    <n v="10000000"/>
    <n v="9989599.9299999997"/>
    <n v="162"/>
    <s v="AMOMPY"/>
    <s v="Momentum Capital Investment S.A."/>
    <s v="31/03/2026"/>
    <s v="31/03/2026"/>
    <n v="38"/>
    <s v="No"/>
    <s v=""/>
    <m/>
    <m/>
    <s v="*MAV130501225"/>
    <s v="*MAV130501225"/>
    <n v="2.6328632586316485E-4"/>
  </r>
  <r>
    <x v="20"/>
    <s v="Pesos"/>
    <d v="2026-05-15T00:00:00"/>
    <s v="14/05/2026"/>
    <n v="0.99882331000000002"/>
    <m/>
    <n v="3751833.44"/>
    <n v="3747418.7"/>
    <n v="3751833.44"/>
    <n v="3747418.7"/>
    <n v="9138442"/>
    <s v="AMOMPY"/>
    <s v="Momentum Capital Investment S.A."/>
    <s v="17/03/2026"/>
    <s v="17/03/2026"/>
    <n v="43"/>
    <s v="No"/>
    <s v=""/>
    <m/>
    <m/>
    <s v="*MAV130501138"/>
    <s v="*MAV130501138"/>
    <n v="9.8767128604510353E-5"/>
  </r>
  <r>
    <x v="21"/>
    <s v="Pesos"/>
    <d v="2026-05-15T00:00:00"/>
    <s v="14/05/2026"/>
    <n v="0.99882331000000002"/>
    <m/>
    <n v="2000000"/>
    <n v="1997646.62"/>
    <n v="2000000"/>
    <n v="1997646.62"/>
    <n v="1146"/>
    <s v="AMOMPY"/>
    <s v="Momentum Capital Investment S.A."/>
    <s v="17/03/2026"/>
    <s v="17/03/2026"/>
    <n v="43"/>
    <s v="No"/>
    <s v=""/>
    <m/>
    <m/>
    <s v="*MAV130501137"/>
    <s v="*MAV130501137"/>
    <n v="5.2650060326567037E-5"/>
  </r>
  <r>
    <x v="22"/>
    <s v="Pesos"/>
    <d v="2026-05-15T00:00:00"/>
    <s v="14/05/2026"/>
    <n v="0.99885064000000001"/>
    <m/>
    <n v="15000000"/>
    <n v="14982759.66"/>
    <n v="15000000"/>
    <n v="14982759.66"/>
    <n v="13180394"/>
    <s v="AMOMPY"/>
    <s v="Momentum Capital Investment S.A."/>
    <s v="07/04/2026"/>
    <s v="07/04/2026"/>
    <n v="42"/>
    <s v="No"/>
    <s v=""/>
    <m/>
    <m/>
    <s v="*MAV130501247"/>
    <s v="*MAV130501247"/>
    <n v="3.9488625869046597E-4"/>
  </r>
  <r>
    <x v="8"/>
    <s v="Pesos"/>
    <d v="2026-05-15T00:00:00"/>
    <s v="14/05/2026"/>
    <n v="0.99882329999999997"/>
    <m/>
    <n v="20000000"/>
    <n v="19976466.079999998"/>
    <n v="20000000"/>
    <n v="19976466.079999998"/>
    <n v="13237774"/>
    <s v="AMOMPY"/>
    <s v="Momentum Capital Investment S.A."/>
    <s v="03/03/2026"/>
    <s v="03/03/2026"/>
    <n v="43"/>
    <s v="No"/>
    <s v=""/>
    <m/>
    <m/>
    <s v="*MAV130501058"/>
    <s v="*MAV130501058"/>
    <n v="5.2650060010294515E-4"/>
  </r>
  <r>
    <x v="9"/>
    <s v="Pesos"/>
    <d v="2026-05-15T00:00:00"/>
    <s v="14/05/2026"/>
    <n v="0.99931554"/>
    <m/>
    <n v="2048050"/>
    <n v="2046648.2"/>
    <n v="2048050"/>
    <n v="2046648.2"/>
    <n v="2288"/>
    <s v="AMOMPY"/>
    <s v="Momentum Capital Investment S.A."/>
    <s v="17/04/2026"/>
    <s v="17/04/2026"/>
    <n v="25"/>
    <s v="No"/>
    <s v=""/>
    <m/>
    <m/>
    <s v="*MOV130500081"/>
    <s v="*MOV130500081"/>
    <n v="5.3941548078838801E-5"/>
  </r>
  <r>
    <x v="8"/>
    <s v="Pesos"/>
    <d v="2026-05-15T00:00:00"/>
    <s v="14/05/2026"/>
    <n v="0.99882331000000002"/>
    <m/>
    <n v="15000000"/>
    <n v="14982349.58"/>
    <n v="15000000"/>
    <n v="14982349.58"/>
    <n v="13237796"/>
    <s v="AMOMPY"/>
    <s v="Momentum Capital Investment S.A."/>
    <s v="11/03/2026"/>
    <s v="11/03/2026"/>
    <n v="43"/>
    <s v="No"/>
    <s v=""/>
    <m/>
    <m/>
    <s v="*MAV130501102"/>
    <s v="*MAV130501102"/>
    <n v="3.9487545060432972E-4"/>
  </r>
  <r>
    <x v="23"/>
    <s v="Pesos"/>
    <d v="2026-05-15T00:00:00"/>
    <s v="14/05/2026"/>
    <n v="0.99895999000000002"/>
    <m/>
    <n v="100000000"/>
    <n v="99895998.959999993"/>
    <n v="100000000"/>
    <n v="99895998.959999993"/>
    <n v="2596"/>
    <s v="AMOMPY"/>
    <s v="Momentum Capital Investment S.A."/>
    <s v="13/04/2026"/>
    <s v="13/04/2026"/>
    <n v="38"/>
    <s v="No"/>
    <s v=""/>
    <m/>
    <m/>
    <s v="*MAV130501297"/>
    <s v="*MAV130501297"/>
    <n v="2.6328632496705937E-3"/>
  </r>
  <r>
    <x v="11"/>
    <s v="Pesos"/>
    <d v="2026-05-15T00:00:00"/>
    <s v="14/05/2026"/>
    <n v="0.99898732999999995"/>
    <m/>
    <n v="100000000"/>
    <n v="99898732.920000002"/>
    <n v="100000000"/>
    <n v="99898732.920000002"/>
    <n v="16751391"/>
    <s v="AMOMPY"/>
    <s v="Momentum Capital Investment S.A."/>
    <s v="09/04/2026"/>
    <s v="09/04/2026"/>
    <n v="37"/>
    <s v="No"/>
    <s v=""/>
    <m/>
    <m/>
    <s v="*MAV130501265"/>
    <s v="*MAV130501265"/>
    <n v="2.6329353060380659E-3"/>
  </r>
  <r>
    <x v="3"/>
    <s v="Pesos"/>
    <d v="2026-05-18T00:00:00"/>
    <s v="14/05/2026"/>
    <n v="0.99585290999999998"/>
    <m/>
    <n v="10000000"/>
    <n v="9958529.1400000006"/>
    <n v="10000000"/>
    <n v="9958529.1400000006"/>
    <n v="163"/>
    <s v="AMOMPY"/>
    <s v="Momentum Capital Investment S.A."/>
    <s v="31/03/2026"/>
    <s v="31/03/2026"/>
    <n v="38"/>
    <s v="No"/>
    <s v=""/>
    <m/>
    <m/>
    <s v="*MAV140501050"/>
    <s v="*MAV140501050"/>
    <n v="2.6246742278415378E-4"/>
  </r>
  <r>
    <x v="24"/>
    <s v="Pesos"/>
    <d v="2026-05-18T00:00:00"/>
    <s v="14/05/2026"/>
    <n v="0.99563557999999996"/>
    <m/>
    <n v="10000000"/>
    <n v="9956355.7599999998"/>
    <n v="10000000"/>
    <n v="9956355.7599999998"/>
    <n v="1338"/>
    <s v="AMOMPY"/>
    <s v="Momentum Capital Investment S.A."/>
    <s v="24/02/2026"/>
    <s v="24/02/2026"/>
    <n v="40"/>
    <s v="No"/>
    <s v=""/>
    <m/>
    <m/>
    <s v="*MAV140500902"/>
    <s v="*MAV140500902"/>
    <n v="2.6241014108729758E-4"/>
  </r>
  <r>
    <x v="22"/>
    <s v="Pesos"/>
    <d v="2026-05-18T00:00:00"/>
    <s v="14/05/2026"/>
    <n v="0.99541835999999995"/>
    <m/>
    <n v="15000000"/>
    <n v="14931275.42"/>
    <n v="15000000"/>
    <n v="14931275.42"/>
    <n v="13180395"/>
    <s v="AMOMPY"/>
    <s v="Momentum Capital Investment S.A."/>
    <s v="09/04/2026"/>
    <s v="09/04/2026"/>
    <n v="42"/>
    <s v="No"/>
    <s v=""/>
    <m/>
    <m/>
    <s v="*MAV140501086"/>
    <s v="*MAV140501086"/>
    <n v="3.935293378443418E-4"/>
  </r>
  <r>
    <x v="8"/>
    <s v="Pesos"/>
    <d v="2026-05-18T00:00:00"/>
    <s v="14/05/2026"/>
    <n v="0.99530978000000003"/>
    <m/>
    <n v="20000000"/>
    <n v="19906195.539999999"/>
    <n v="20000000"/>
    <n v="19906195.539999999"/>
    <n v="13237775"/>
    <s v="AMOMPY"/>
    <s v="Momentum Capital Investment S.A."/>
    <s v="03/03/2026"/>
    <s v="03/03/2026"/>
    <n v="43"/>
    <s v="No"/>
    <s v=""/>
    <m/>
    <m/>
    <s v="*MAV140500928"/>
    <s v="*MAV140500928"/>
    <n v="5.2464854672516585E-4"/>
  </r>
  <r>
    <x v="9"/>
    <s v="Pesos"/>
    <d v="2026-05-18T00:00:00"/>
    <s v="14/05/2026"/>
    <n v="0.99726778000000005"/>
    <m/>
    <n v="2048050"/>
    <n v="2042454.28"/>
    <n v="2048050"/>
    <n v="2042454.28"/>
    <n v="2285"/>
    <s v="AMOMPY"/>
    <s v="Momentum Capital Investment S.A."/>
    <s v="17/04/2026"/>
    <s v="17/04/2026"/>
    <n v="25"/>
    <s v="No"/>
    <s v=""/>
    <m/>
    <m/>
    <s v="*MOV140500050"/>
    <s v="*MOV140500050"/>
    <n v="5.3831012942747121E-5"/>
  </r>
  <r>
    <x v="25"/>
    <s v="Pesos"/>
    <d v="2026-05-18T00:00:00"/>
    <s v="14/05/2026"/>
    <n v="0.99704985000000002"/>
    <m/>
    <n v="7484214.9000000004"/>
    <n v="7462135.3099999996"/>
    <n v="7484214.9000000004"/>
    <n v="7462135.3099999996"/>
    <n v="2732"/>
    <s v="AMOMPY"/>
    <s v="Momentum Capital Investment S.A."/>
    <s v="31/03/2026"/>
    <s v="31/03/2026"/>
    <n v="27"/>
    <s v="No"/>
    <s v=""/>
    <m/>
    <m/>
    <s v="%INC150500018"/>
    <s v="%INC150500018"/>
    <n v="1.96672359516973E-4"/>
  </r>
  <r>
    <x v="8"/>
    <s v="Pesos"/>
    <d v="2026-05-18T00:00:00"/>
    <s v="14/05/2026"/>
    <n v="0.99530978000000003"/>
    <m/>
    <n v="15000000"/>
    <n v="14929646.74"/>
    <n v="15000000"/>
    <n v="14929646.74"/>
    <n v="13237797"/>
    <s v="AMOMPY"/>
    <s v="Momentum Capital Investment S.A."/>
    <s v="11/03/2026"/>
    <s v="11/03/2026"/>
    <n v="43"/>
    <s v="No"/>
    <s v=""/>
    <m/>
    <m/>
    <s v="*MAV140500962"/>
    <s v="*MAV140500962"/>
    <n v="3.9348641228413806E-4"/>
  </r>
  <r>
    <x v="26"/>
    <s v="Pesos"/>
    <d v="2026-05-18T00:00:00"/>
    <s v="14/05/2026"/>
    <n v="0.99596161999999999"/>
    <m/>
    <n v="15573828.67"/>
    <n v="15510935.609999999"/>
    <n v="15573828.67"/>
    <n v="15510935.609999999"/>
    <n v="4561"/>
    <s v="AMOMPY"/>
    <s v="Momentum Capital Investment S.A."/>
    <s v="08/05/2026"/>
    <s v="08/05/2026"/>
    <n v="37"/>
    <s v="No"/>
    <s v=""/>
    <m/>
    <m/>
    <s v="%CP1150500001"/>
    <s v="%CP1150500001"/>
    <n v="4.088068867695913E-4"/>
  </r>
  <r>
    <x v="27"/>
    <s v="Pesos"/>
    <d v="2026-05-18T00:00:00"/>
    <s v="14/05/2026"/>
    <n v="0.99563564000000004"/>
    <m/>
    <n v="100000000"/>
    <n v="99563563.650000006"/>
    <n v="100000000"/>
    <n v="99563563.650000006"/>
    <n v="608"/>
    <s v="AMOMPY"/>
    <s v="Momentum Capital Investment S.A."/>
    <s v="29/04/2026"/>
    <s v="29/04/2026"/>
    <n v="40"/>
    <s v="No"/>
    <s v=""/>
    <m/>
    <m/>
    <s v="*MAV140501255"/>
    <s v="*MAV140501255"/>
    <n v="2.6241015703270367E-3"/>
  </r>
  <r>
    <x v="28"/>
    <s v="Pesos"/>
    <d v="2026-05-18T00:00:00"/>
    <s v="14/05/2026"/>
    <n v="0.99563557999999996"/>
    <m/>
    <n v="25000000"/>
    <n v="24890889.41"/>
    <n v="25000000"/>
    <n v="24890889.41"/>
    <n v="475859"/>
    <s v="AMOMPY"/>
    <s v="Momentum Capital Investment S.A."/>
    <s v="30/01/2026"/>
    <s v="30/01/2026"/>
    <n v="40"/>
    <s v="No"/>
    <s v=""/>
    <m/>
    <m/>
    <s v="*MAV140500837"/>
    <s v="*MAV140500837"/>
    <n v="6.5602535298180445E-4"/>
  </r>
  <r>
    <x v="0"/>
    <s v="Pesos"/>
    <d v="2026-05-19T00:00:00"/>
    <s v="14/05/2026"/>
    <n v="0.99482148999999997"/>
    <m/>
    <n v="10000000"/>
    <n v="9948214.9100000001"/>
    <n v="10000000"/>
    <n v="9948214.9100000001"/>
    <n v="13445370"/>
    <s v="AMOMPY"/>
    <s v="Momentum Capital Investment S.A."/>
    <s v="17/04/2026"/>
    <s v="17/04/2026"/>
    <n v="38"/>
    <s v="No"/>
    <s v=""/>
    <m/>
    <m/>
    <s v="*MAV150501682"/>
    <s v="*MAV150501682"/>
    <n v="2.6219558049418853E-4"/>
  </r>
  <r>
    <x v="29"/>
    <s v="Pesos"/>
    <d v="2026-05-19T00:00:00"/>
    <s v="14/05/2026"/>
    <n v="0.99522836000000003"/>
    <m/>
    <n v="10000000"/>
    <n v="9952283.6099999994"/>
    <n v="10000000"/>
    <n v="9952283.6099999994"/>
    <n v="29098099"/>
    <s v="AMOMPY"/>
    <s v="Momentum Capital Investment S.A."/>
    <s v="20/04/2026"/>
    <s v="20/04/2026"/>
    <n v="35"/>
    <s v="No"/>
    <s v=""/>
    <m/>
    <m/>
    <s v="*MAV150501715"/>
    <s v="*MAV150501715"/>
    <n v="2.6230281532656875E-4"/>
  </r>
  <r>
    <x v="30"/>
    <s v="Pesos"/>
    <d v="2026-05-19T00:00:00"/>
    <s v="14/05/2026"/>
    <n v="0.99414409999999998"/>
    <m/>
    <n v="1031378.83"/>
    <n v="1025339.18"/>
    <n v="1031378.83"/>
    <n v="1025339.18"/>
    <n v="90027390"/>
    <s v="AMOMPY"/>
    <s v="Momentum Capital Investment S.A."/>
    <s v="17/03/2026"/>
    <s v="17/03/2026"/>
    <n v="43"/>
    <s v="No"/>
    <s v=""/>
    <m/>
    <m/>
    <s v="*MAV150501368"/>
    <s v="*MAV150501368"/>
    <n v="2.7023883574659854E-5"/>
  </r>
  <r>
    <x v="31"/>
    <s v="Pesos"/>
    <d v="2026-05-19T00:00:00"/>
    <s v="14/05/2026"/>
    <n v="0.99441495000000002"/>
    <m/>
    <n v="1425697.14"/>
    <n v="1417734.56"/>
    <n v="1425697.14"/>
    <n v="1417734.56"/>
    <n v="88"/>
    <s v="AMOMPY"/>
    <s v="Momentum Capital Investment S.A."/>
    <s v="27/03/2026"/>
    <s v="27/03/2026"/>
    <n v="41"/>
    <s v="No"/>
    <s v=""/>
    <m/>
    <m/>
    <s v="*MAV150501444"/>
    <s v="*MAV150501444"/>
    <n v="3.7365873104753121E-5"/>
  </r>
  <r>
    <x v="3"/>
    <s v="Pesos"/>
    <d v="2026-05-19T00:00:00"/>
    <s v="14/05/2026"/>
    <n v="0.99482150000000003"/>
    <m/>
    <n v="10000000"/>
    <n v="9948215"/>
    <n v="10000000"/>
    <n v="9948215"/>
    <n v="164"/>
    <s v="AMOMPY"/>
    <s v="Momentum Capital Investment S.A."/>
    <s v="31/03/2026"/>
    <s v="31/03/2026"/>
    <n v="38"/>
    <s v="No"/>
    <s v=""/>
    <m/>
    <m/>
    <s v="*MAV150501487"/>
    <s v="*MAV150501487"/>
    <n v="2.6219558286623239E-4"/>
  </r>
  <r>
    <x v="32"/>
    <s v="Pesos"/>
    <d v="2026-05-19T00:00:00"/>
    <s v="14/05/2026"/>
    <n v="0.99482150999999996"/>
    <m/>
    <n v="5450000"/>
    <n v="5421777.2400000002"/>
    <n v="5450000"/>
    <n v="5421777.2400000002"/>
    <n v="28511"/>
    <s v="AMOMPY"/>
    <s v="Momentum Capital Investment S.A."/>
    <s v="08/04/2026"/>
    <s v="08/04/2026"/>
    <n v="38"/>
    <s v="No"/>
    <s v=""/>
    <m/>
    <m/>
    <s v="*MAV150501546"/>
    <s v="*MAV150501546"/>
    <n v="1.4289659437523945E-4"/>
  </r>
  <r>
    <x v="33"/>
    <s v="Pesos"/>
    <d v="2026-05-19T00:00:00"/>
    <s v="14/05/2026"/>
    <n v="0.99373809999999996"/>
    <m/>
    <n v="10000000"/>
    <n v="9937380.9600000009"/>
    <n v="10000000"/>
    <n v="9937380.9600000009"/>
    <n v="3921"/>
    <s v="AMOMPY"/>
    <s v="Momentum Capital Investment S.A."/>
    <s v="07/08/2025"/>
    <s v="07/08/2025"/>
    <n v="46"/>
    <s v="No"/>
    <s v=""/>
    <m/>
    <m/>
    <s v="*MAV150501075"/>
    <s v="*MAV150501075"/>
    <n v="2.6191004044152645E-4"/>
  </r>
  <r>
    <x v="34"/>
    <s v="Pesos"/>
    <d v="2026-05-19T00:00:00"/>
    <s v="14/05/2026"/>
    <n v="0.99373811000000001"/>
    <m/>
    <n v="15000000"/>
    <n v="14906071.630000001"/>
    <n v="15000000"/>
    <n v="14906071.630000001"/>
    <n v="3872"/>
    <s v="AMOMPY"/>
    <s v="Momentum Capital Investment S.A."/>
    <s v="02/02/2026"/>
    <s v="02/02/2026"/>
    <n v="46"/>
    <s v="No"/>
    <s v=""/>
    <m/>
    <m/>
    <s v="*MAV150501149"/>
    <s v="*MAV150501149"/>
    <n v="3.9286506566993786E-4"/>
  </r>
  <r>
    <x v="35"/>
    <s v="Pesos"/>
    <d v="2026-05-19T00:00:00"/>
    <s v="14/05/2026"/>
    <n v="0.99414411000000003"/>
    <m/>
    <n v="13254473.130000001"/>
    <n v="13176856.369999999"/>
    <n v="13254473.130000001"/>
    <n v="13176856.369999999"/>
    <n v="10949733"/>
    <s v="AMOMPY"/>
    <s v="Momentum Capital Investment S.A."/>
    <s v="24/02/2026"/>
    <s v="24/02/2026"/>
    <n v="43"/>
    <s v="No"/>
    <s v=""/>
    <m/>
    <m/>
    <s v="*MAV150501210"/>
    <s v="*MAV150501210"/>
    <n v="3.4728979382500045E-4"/>
  </r>
  <r>
    <x v="36"/>
    <s v="Pesos"/>
    <d v="2026-05-19T00:00:00"/>
    <s v="14/05/2026"/>
    <n v="0.99522836000000003"/>
    <m/>
    <n v="10000000"/>
    <n v="9952283.6099999994"/>
    <n v="10000000"/>
    <n v="9952283.6099999994"/>
    <n v="380"/>
    <s v="AMOMPY"/>
    <s v="Momentum Capital Investment S.A."/>
    <s v="20/04/2026"/>
    <s v="20/04/2026"/>
    <n v="35"/>
    <s v="No"/>
    <s v=""/>
    <m/>
    <m/>
    <s v="*MAV150501703"/>
    <s v="*MAV150501703"/>
    <n v="2.6230281532656875E-4"/>
  </r>
  <r>
    <x v="37"/>
    <s v="Pesos"/>
    <d v="2026-05-19T00:00:00"/>
    <s v="14/05/2026"/>
    <n v="0.99604313"/>
    <m/>
    <n v="12500000"/>
    <n v="12450539.17"/>
    <n v="12500000"/>
    <n v="12450539.17"/>
    <n v="28996518"/>
    <s v="AMOMPY"/>
    <s v="Momentum Capital Investment S.A."/>
    <s v="31/03/2026"/>
    <s v="31/03/2026"/>
    <n v="29"/>
    <s v="No"/>
    <s v=""/>
    <m/>
    <m/>
    <s v="*AAR150500027"/>
    <s v="*AAR150500027"/>
    <n v="3.2814694642978738E-4"/>
  </r>
  <r>
    <x v="7"/>
    <s v="Pesos"/>
    <d v="2026-05-19T00:00:00"/>
    <s v="14/05/2026"/>
    <n v="0.99495708000000005"/>
    <m/>
    <n v="10000000"/>
    <n v="9949570.7699999996"/>
    <n v="10000000"/>
    <n v="9949570.7699999996"/>
    <n v="90033756"/>
    <s v="AMOMPY"/>
    <s v="Momentum Capital Investment S.A."/>
    <s v="28/01/2026"/>
    <s v="28/01/2026"/>
    <n v="37"/>
    <s v="No"/>
    <s v=""/>
    <m/>
    <m/>
    <s v="*BIF150500007"/>
    <s v="*BIF150500007"/>
    <n v="2.6223131559872584E-4"/>
  </r>
  <r>
    <x v="38"/>
    <s v="Pesos"/>
    <d v="2026-05-19T00:00:00"/>
    <s v="14/05/2026"/>
    <n v="0.99414409000000004"/>
    <m/>
    <n v="12000000"/>
    <n v="11929729.039999999"/>
    <n v="12000000"/>
    <n v="11929729.039999999"/>
    <n v="2338"/>
    <s v="AMOMPY"/>
    <s v="Momentum Capital Investment S.A."/>
    <s v="11/03/2026"/>
    <s v="11/03/2026"/>
    <n v="43"/>
    <s v="No"/>
    <s v=""/>
    <m/>
    <m/>
    <s v="*MAV150501318"/>
    <s v="*MAV150501318"/>
    <n v="3.1442045221972173E-4"/>
  </r>
  <r>
    <x v="8"/>
    <s v="Pesos"/>
    <d v="2026-05-19T00:00:00"/>
    <s v="14/05/2026"/>
    <n v="0.99414411000000003"/>
    <m/>
    <n v="15000000"/>
    <n v="14912161.619999999"/>
    <n v="15000000"/>
    <n v="14912161.619999999"/>
    <n v="13237798"/>
    <s v="AMOMPY"/>
    <s v="Momentum Capital Investment S.A."/>
    <s v="17/03/2026"/>
    <s v="17/03/2026"/>
    <n v="43"/>
    <s v="No"/>
    <s v=""/>
    <m/>
    <m/>
    <s v="*MAV150501370"/>
    <s v="*MAV150501370"/>
    <n v="3.9302557370858593E-4"/>
  </r>
  <r>
    <x v="8"/>
    <s v="Pesos"/>
    <d v="2026-05-19T00:00:00"/>
    <s v="14/05/2026"/>
    <n v="0.99414411000000003"/>
    <m/>
    <n v="20000000"/>
    <n v="19882882.149999999"/>
    <n v="20000000"/>
    <n v="19882882.149999999"/>
    <n v="13237776"/>
    <s v="AMOMPY"/>
    <s v="Momentum Capital Investment S.A."/>
    <s v="03/03/2026"/>
    <s v="03/03/2026"/>
    <n v="43"/>
    <s v="No"/>
    <s v=""/>
    <m/>
    <m/>
    <s v="*MAV150501236"/>
    <s v="*MAV150501236"/>
    <n v="5.2403409801455409E-4"/>
  </r>
  <r>
    <x v="9"/>
    <s v="Pesos"/>
    <d v="2026-05-19T00:00:00"/>
    <s v="14/05/2026"/>
    <n v="0.99658703999999998"/>
    <m/>
    <n v="2048050"/>
    <n v="2041060.09"/>
    <n v="2048050"/>
    <n v="2041060.09"/>
    <n v="2287"/>
    <s v="AMOMPY"/>
    <s v="Momentum Capital Investment S.A."/>
    <s v="17/04/2026"/>
    <s v="17/04/2026"/>
    <n v="25"/>
    <s v="No"/>
    <s v=""/>
    <m/>
    <m/>
    <s v="*MOV150500055"/>
    <s v="*MOV150500055"/>
    <n v="5.3794267611079456E-5"/>
  </r>
  <r>
    <x v="9"/>
    <s v="Pesos"/>
    <d v="2026-05-19T00:00:00"/>
    <s v="14/05/2026"/>
    <n v="0.99658703000000004"/>
    <m/>
    <n v="434087.5"/>
    <n v="432605.97"/>
    <n v="434087.5"/>
    <n v="432605.97"/>
    <n v="90025757"/>
    <s v="AMOMPY"/>
    <s v="Momentum Capital Investment S.A."/>
    <s v="17/04/2026"/>
    <s v="17/04/2026"/>
    <n v="25"/>
    <s v="No"/>
    <s v=""/>
    <m/>
    <m/>
    <s v="*MOV150500056"/>
    <s v="*MOV150500056"/>
    <n v="1.1401781571423803E-5"/>
  </r>
  <r>
    <x v="25"/>
    <s v="Pesos"/>
    <d v="2026-05-19T00:00:00"/>
    <s v="14/05/2026"/>
    <n v="0.99631502000000005"/>
    <m/>
    <n v="16593463.289999999"/>
    <n v="16532316.630000001"/>
    <n v="16593463.289999999"/>
    <n v="16532316.630000001"/>
    <n v="2716"/>
    <s v="AMOMPY"/>
    <s v="Momentum Capital Investment S.A."/>
    <s v="31/03/2026"/>
    <s v="31/03/2026"/>
    <n v="27"/>
    <s v="No"/>
    <s v=""/>
    <m/>
    <m/>
    <s v="%INC160500033"/>
    <s v="%INC160500033"/>
    <n v="4.357264489088703E-4"/>
  </r>
  <r>
    <x v="25"/>
    <s v="Pesos"/>
    <d v="2026-05-19T00:00:00"/>
    <s v="14/05/2026"/>
    <n v="0.99631501"/>
    <m/>
    <n v="5094258.29"/>
    <n v="5075486.01"/>
    <n v="5094258.29"/>
    <n v="5075486.01"/>
    <n v="2717"/>
    <s v="AMOMPY"/>
    <s v="Momentum Capital Investment S.A."/>
    <s v="31/03/2026"/>
    <s v="31/03/2026"/>
    <n v="27"/>
    <s v="No"/>
    <s v=""/>
    <m/>
    <m/>
    <s v="%INC160500034"/>
    <s v="%INC160500034"/>
    <n v="1.3376972780758742E-4"/>
  </r>
  <r>
    <x v="25"/>
    <s v="Pesos"/>
    <d v="2026-05-19T00:00:00"/>
    <s v="14/05/2026"/>
    <n v="0.99631502000000005"/>
    <m/>
    <n v="14341517.710000001"/>
    <n v="14288669.43"/>
    <n v="14341517.710000001"/>
    <n v="14288669.43"/>
    <n v="2718"/>
    <s v="AMOMPY"/>
    <s v="Momentum Capital Investment S.A."/>
    <s v="31/03/2026"/>
    <s v="31/03/2026"/>
    <n v="27"/>
    <s v="No"/>
    <s v=""/>
    <m/>
    <m/>
    <s v="%INC180500037"/>
    <s v="%INC180500037"/>
    <n v="3.7659278670412397E-4"/>
  </r>
  <r>
    <x v="25"/>
    <s v="Pesos"/>
    <d v="2026-05-19T00:00:00"/>
    <s v="14/05/2026"/>
    <n v="0.99631502000000005"/>
    <m/>
    <n v="14341517.710000001"/>
    <n v="14288669.43"/>
    <n v="14341517.710000001"/>
    <n v="14288669.43"/>
    <n v="2719"/>
    <s v="AMOMPY"/>
    <s v="Momentum Capital Investment S.A."/>
    <s v="31/03/2026"/>
    <s v="31/03/2026"/>
    <n v="27"/>
    <s v="No"/>
    <s v=""/>
    <m/>
    <m/>
    <s v="%INC180500038"/>
    <s v="%INC180500038"/>
    <n v="3.7659278670412397E-4"/>
  </r>
  <r>
    <x v="25"/>
    <s v="Pesos"/>
    <d v="2026-05-19T00:00:00"/>
    <s v="14/05/2026"/>
    <n v="0.99631502000000005"/>
    <m/>
    <n v="8981057.8800000008"/>
    <n v="8947962.8200000003"/>
    <n v="8981057.8800000008"/>
    <n v="8947962.8200000003"/>
    <n v="2733"/>
    <s v="AMOMPY"/>
    <s v="Momentum Capital Investment S.A."/>
    <s v="31/03/2026"/>
    <s v="31/03/2026"/>
    <n v="27"/>
    <s v="No"/>
    <s v=""/>
    <m/>
    <m/>
    <s v="%INC160500035"/>
    <s v="%INC160500035"/>
    <n v="2.3583289334370806E-4"/>
  </r>
  <r>
    <x v="39"/>
    <s v="Pesos"/>
    <d v="2026-05-19T00:00:00"/>
    <s v="14/05/2026"/>
    <n v="0.99468593999999999"/>
    <m/>
    <n v="50000000"/>
    <n v="49734297.039999999"/>
    <n v="50000000"/>
    <n v="49734297.039999999"/>
    <n v="4292"/>
    <s v="AMOMPY"/>
    <s v="Momentum Capital Investment S.A."/>
    <s v="23/02/2026"/>
    <s v="23/02/2026"/>
    <n v="39"/>
    <s v="No"/>
    <s v=""/>
    <m/>
    <m/>
    <s v="*MAV150501207"/>
    <s v="*MAV150501207"/>
    <n v="1.310799274125573E-3"/>
  </r>
  <r>
    <x v="40"/>
    <s v="Pesos"/>
    <d v="2026-05-19T00:00:00"/>
    <s v="14/05/2026"/>
    <n v="0.99414411000000003"/>
    <m/>
    <n v="5340010.59"/>
    <n v="5308740.07"/>
    <n v="5340010.59"/>
    <n v="5308740.07"/>
    <n v="9138784"/>
    <s v="AMOMPY"/>
    <s v="Momentum Capital Investment S.A."/>
    <s v="17/03/2026"/>
    <s v="17/03/2026"/>
    <n v="43"/>
    <s v="No"/>
    <s v=""/>
    <m/>
    <m/>
    <s v="*MAV150501369"/>
    <s v="*MAV150501369"/>
    <n v="1.3991738185583781E-4"/>
  </r>
  <r>
    <x v="41"/>
    <s v="Pesos"/>
    <d v="2026-05-19T00:00:00"/>
    <s v="14/05/2026"/>
    <n v="0.99414409999999998"/>
    <m/>
    <n v="2000000"/>
    <n v="1988288.21"/>
    <n v="2000000"/>
    <n v="1988288.21"/>
    <n v="3178"/>
    <s v="AMOMPY"/>
    <s v="Momentum Capital Investment S.A."/>
    <s v="17/03/2026"/>
    <s v="17/03/2026"/>
    <n v="43"/>
    <s v="No"/>
    <s v=""/>
    <m/>
    <m/>
    <s v="*MAV150501367"/>
    <s v="*MAV150501367"/>
    <n v="5.2403409669675204E-5"/>
  </r>
  <r>
    <x v="42"/>
    <s v="Pesos"/>
    <d v="2026-05-20T00:00:00"/>
    <s v="14/05/2026"/>
    <n v="0.99330540000000001"/>
    <m/>
    <n v="2432626"/>
    <n v="2416340.5499999998"/>
    <n v="2432626"/>
    <n v="2416340.5499999998"/>
    <n v="231"/>
    <s v="AMOMPY"/>
    <s v="Momentum Capital Investment S.A."/>
    <s v="27/03/2026"/>
    <s v="27/03/2026"/>
    <n v="41"/>
    <s v="No"/>
    <s v=""/>
    <m/>
    <m/>
    <s v="*MAV160501230"/>
    <s v="*MAV160501230"/>
    <n v="6.3685175572759792E-5"/>
  </r>
  <r>
    <x v="3"/>
    <s v="Pesos"/>
    <d v="2026-05-20T00:00:00"/>
    <s v="14/05/2026"/>
    <n v="0.99379222"/>
    <m/>
    <n v="10000000"/>
    <n v="9937922.1500000004"/>
    <n v="10000000"/>
    <n v="9937922.1500000004"/>
    <n v="165"/>
    <s v="AMOMPY"/>
    <s v="Momentum Capital Investment S.A."/>
    <s v="31/03/2026"/>
    <s v="31/03/2026"/>
    <n v="38"/>
    <s v="No"/>
    <s v=""/>
    <m/>
    <m/>
    <s v="*MAV180500799"/>
    <s v="*MAV180500799"/>
    <n v="2.6192430406846769E-4"/>
  </r>
  <r>
    <x v="43"/>
    <s v="Pesos"/>
    <d v="2026-05-20T00:00:00"/>
    <s v="14/05/2026"/>
    <n v="0.99639661999999996"/>
    <m/>
    <n v="1693262.6"/>
    <n v="1687161.14"/>
    <n v="1693262.6"/>
    <n v="1687161.14"/>
    <n v="9821"/>
    <s v="AMOMPY"/>
    <s v="Momentum Capital Investment S.A."/>
    <s v="13/04/2026"/>
    <s v="13/04/2026"/>
    <n v="22"/>
    <s v="No"/>
    <s v=""/>
    <m/>
    <m/>
    <s v="*MAV180500870"/>
    <s v="*MAV180500870"/>
    <n v="4.4466891647552563E-5"/>
  </r>
  <r>
    <x v="44"/>
    <s v="Pesos"/>
    <d v="2026-05-20T00:00:00"/>
    <s v="14/05/2026"/>
    <n v="0.99298114000000004"/>
    <m/>
    <n v="1097446.05"/>
    <n v="1089743.23"/>
    <n v="1097446.05"/>
    <n v="1089743.23"/>
    <n v="3333"/>
    <s v="AMOMPY"/>
    <s v="Momentum Capital Investment S.A."/>
    <s v="17/03/2026"/>
    <s v="17/03/2026"/>
    <n v="43"/>
    <s v="No"/>
    <s v=""/>
    <m/>
    <m/>
    <s v="*MAV160501183"/>
    <s v="*MAV160501183"/>
    <n v="2.8721319489414005E-5"/>
  </r>
  <r>
    <x v="45"/>
    <s v="Pesos"/>
    <d v="2026-05-20T00:00:00"/>
    <s v="14/05/2026"/>
    <n v="0.99330541000000006"/>
    <m/>
    <n v="2265209.19"/>
    <n v="2250044.5299999998"/>
    <n v="2265209.19"/>
    <n v="2250044.5299999998"/>
    <n v="90021482"/>
    <s v="AMOMPY"/>
    <s v="Momentum Capital Investment S.A."/>
    <s v="27/03/2026"/>
    <s v="27/03/2026"/>
    <n v="41"/>
    <s v="No"/>
    <s v=""/>
    <m/>
    <m/>
    <s v="*MAV160501229"/>
    <s v="*MAV160501229"/>
    <n v="5.9302270509667098E-5"/>
  </r>
  <r>
    <x v="6"/>
    <s v="Pesos"/>
    <d v="2026-05-20T00:00:00"/>
    <s v="14/05/2026"/>
    <n v="0.99298114000000004"/>
    <m/>
    <n v="2714317.54"/>
    <n v="2695266.12"/>
    <n v="2714317.54"/>
    <n v="2695266.12"/>
    <n v="8838124"/>
    <s v="AMOMPY"/>
    <s v="Momentum Capital Investment S.A."/>
    <s v="17/03/2026"/>
    <s v="17/03/2026"/>
    <n v="43"/>
    <s v="No"/>
    <s v=""/>
    <m/>
    <m/>
    <s v="*MAV160501186"/>
    <s v="*MAV160501186"/>
    <n v="7.1036549904983828E-5"/>
  </r>
  <r>
    <x v="21"/>
    <s v="Pesos"/>
    <d v="2026-05-20T00:00:00"/>
    <s v="14/05/2026"/>
    <n v="0.99298114000000004"/>
    <m/>
    <n v="2000000"/>
    <n v="1985962.28"/>
    <n v="2000000"/>
    <n v="1985962.28"/>
    <n v="1145"/>
    <s v="AMOMPY"/>
    <s v="Momentum Capital Investment S.A."/>
    <s v="17/03/2026"/>
    <s v="17/03/2026"/>
    <n v="43"/>
    <s v="No"/>
    <s v=""/>
    <m/>
    <m/>
    <s v="*MAV160501185"/>
    <s v="*MAV160501185"/>
    <n v="5.234210735845092E-5"/>
  </r>
  <r>
    <x v="36"/>
    <s v="Pesos"/>
    <d v="2026-05-20T00:00:00"/>
    <s v="14/05/2026"/>
    <n v="0.99346760999999995"/>
    <m/>
    <n v="45844820"/>
    <n v="45545343.920000002"/>
    <n v="45844820"/>
    <n v="45545343.920000002"/>
    <n v="288"/>
    <s v="AMOMPY"/>
    <s v="Momentum Capital Investment S.A."/>
    <s v="12/03/2026"/>
    <s v="12/03/2026"/>
    <n v="40"/>
    <s v="No"/>
    <s v=""/>
    <m/>
    <m/>
    <s v="*MAV180500708"/>
    <s v="*MAV180500708"/>
    <n v="1.2003950453370192E-3"/>
  </r>
  <r>
    <x v="46"/>
    <s v="Pesos"/>
    <d v="2026-05-20T00:00:00"/>
    <s v="14/05/2026"/>
    <n v="0.99525554000000005"/>
    <m/>
    <n v="30000000"/>
    <n v="29857666.170000002"/>
    <n v="30000000"/>
    <n v="29857666.170000002"/>
    <n v="90041864"/>
    <s v="AMOMPY"/>
    <s v="Momentum Capital Investment S.A."/>
    <s v="20/04/2026"/>
    <s v="20/04/2026"/>
    <n v="29"/>
    <s v="No"/>
    <s v=""/>
    <m/>
    <m/>
    <s v="*FED160500042"/>
    <s v="*FED160500042"/>
    <n v="7.869299351158513E-4"/>
  </r>
  <r>
    <x v="7"/>
    <s v="Pesos"/>
    <d v="2026-05-20T00:00:00"/>
    <s v="14/05/2026"/>
    <n v="0.99395458000000003"/>
    <m/>
    <n v="10000000"/>
    <n v="9939545.8399999999"/>
    <n v="10000000"/>
    <n v="9939545.8399999999"/>
    <n v="90033757"/>
    <s v="AMOMPY"/>
    <s v="Momentum Capital Investment S.A."/>
    <s v="28/01/2026"/>
    <s v="28/01/2026"/>
    <n v="37"/>
    <s v="No"/>
    <s v=""/>
    <m/>
    <m/>
    <s v="*BIF180500002"/>
    <s v="*BIF180500002"/>
    <n v="2.6196709811201661E-4"/>
  </r>
  <r>
    <x v="47"/>
    <s v="Pesos"/>
    <d v="2026-05-20T00:00:00"/>
    <s v="14/05/2026"/>
    <n v="0.99525554000000005"/>
    <m/>
    <n v="4166666.66"/>
    <n v="4146898.07"/>
    <n v="4166666.66"/>
    <n v="4146898.07"/>
    <n v="13567713"/>
    <s v="AMOMPY"/>
    <s v="Momentum Capital Investment S.A."/>
    <s v="30/04/2026"/>
    <s v="30/04/2026"/>
    <n v="29"/>
    <s v="No"/>
    <s v=""/>
    <m/>
    <m/>
    <s v="*MIL180500037"/>
    <s v="*MIL180500037"/>
    <n v="1.0929582408004895E-4"/>
  </r>
  <r>
    <x v="48"/>
    <s v="Pesos"/>
    <d v="2026-05-20T00:00:00"/>
    <s v="14/05/2026"/>
    <n v="0.99574426000000005"/>
    <m/>
    <n v="100000000"/>
    <n v="99574426.150000006"/>
    <n v="100000000"/>
    <n v="99574426.150000006"/>
    <n v="1180398"/>
    <s v="AMOMPY"/>
    <s v="Momentum Capital Investment S.A."/>
    <s v="17/04/2026"/>
    <s v="17/04/2026"/>
    <n v="26"/>
    <s v="No"/>
    <s v=""/>
    <m/>
    <m/>
    <s v="*CVA170500007"/>
    <s v="*CVA170500007"/>
    <n v="2.6243878628447277E-3"/>
  </r>
  <r>
    <x v="8"/>
    <s v="Pesos"/>
    <d v="2026-05-20T00:00:00"/>
    <s v="14/05/2026"/>
    <n v="0.99298114000000004"/>
    <m/>
    <n v="15000000"/>
    <n v="14894717.07"/>
    <n v="15000000"/>
    <n v="14894717.07"/>
    <n v="13237799"/>
    <s v="AMOMPY"/>
    <s v="Momentum Capital Investment S.A."/>
    <s v="17/03/2026"/>
    <s v="17/03/2026"/>
    <n v="43"/>
    <s v="No"/>
    <s v=""/>
    <m/>
    <m/>
    <s v="*MAV180500735"/>
    <s v="*MAV180500735"/>
    <n v="3.9256580439770062E-4"/>
  </r>
  <r>
    <x v="9"/>
    <s v="Pesos"/>
    <d v="2026-05-20T00:00:00"/>
    <s v="14/05/2026"/>
    <n v="0.99574426000000005"/>
    <m/>
    <n v="4566375.4400000004"/>
    <n v="4546942.13"/>
    <n v="4566375.4400000004"/>
    <n v="4546942.13"/>
    <n v="40035639"/>
    <s v="AMOMPY"/>
    <s v="Momentum Capital Investment S.A."/>
    <s v="17/04/2026"/>
    <s v="17/04/2026"/>
    <n v="26"/>
    <s v="No"/>
    <s v=""/>
    <m/>
    <m/>
    <s v="*MOV180500065"/>
    <s v="*MOV180500065"/>
    <n v="1.1983940254954062E-4"/>
  </r>
  <r>
    <x v="9"/>
    <s v="Pesos"/>
    <d v="2026-05-20T00:00:00"/>
    <s v="14/05/2026"/>
    <n v="0.99574425"/>
    <m/>
    <n v="12500000"/>
    <n v="12446803.09"/>
    <n v="12500000"/>
    <n v="12446803.09"/>
    <n v="21098"/>
    <s v="AMOMPY"/>
    <s v="Momentum Capital Investment S.A."/>
    <s v="16/04/2026"/>
    <s v="16/04/2026"/>
    <n v="26"/>
    <s v="No"/>
    <s v=""/>
    <m/>
    <m/>
    <s v="*MOV180500064"/>
    <s v="*MOV180500064"/>
    <n v="3.2804847814444824E-4"/>
  </r>
  <r>
    <x v="25"/>
    <s v="Pesos"/>
    <d v="2026-05-20T00:00:00"/>
    <s v="14/05/2026"/>
    <n v="0.99558126000000002"/>
    <m/>
    <n v="14341517.710000001"/>
    <n v="14278146.34"/>
    <n v="14341517.710000001"/>
    <n v="14278146.34"/>
    <n v="2720"/>
    <s v="AMOMPY"/>
    <s v="Momentum Capital Investment S.A."/>
    <s v="31/03/2026"/>
    <s v="31/03/2026"/>
    <n v="27"/>
    <s v="No"/>
    <s v=""/>
    <m/>
    <m/>
    <s v="%INC190500034"/>
    <s v="%INC190500034"/>
    <n v="3.7631543969100616E-4"/>
  </r>
  <r>
    <x v="49"/>
    <s v="Pesos"/>
    <d v="2026-05-20T00:00:00"/>
    <s v="14/05/2026"/>
    <n v="0.99330540000000001"/>
    <m/>
    <n v="13296076.9"/>
    <n v="13207065.01"/>
    <n v="13296076.9"/>
    <n v="13207065.01"/>
    <n v="30418"/>
    <s v="AMOMPY"/>
    <s v="Momentum Capital Investment S.A."/>
    <s v="27/03/2026"/>
    <s v="27/03/2026"/>
    <n v="41"/>
    <s v="No"/>
    <s v=""/>
    <m/>
    <m/>
    <s v="*MAV180500784"/>
    <s v="*MAV180500784"/>
    <n v="3.4808597404149122E-4"/>
  </r>
  <r>
    <x v="8"/>
    <s v="Pesos"/>
    <d v="2026-05-20T00:00:00"/>
    <s v="14/05/2026"/>
    <n v="0.99298114999999998"/>
    <m/>
    <n v="20000000"/>
    <n v="19859622.989999998"/>
    <n v="20000000"/>
    <n v="19859622.989999998"/>
    <n v="13237777"/>
    <s v="AMOMPY"/>
    <s v="Momentum Capital Investment S.A."/>
    <s v="11/03/2026"/>
    <s v="11/03/2026"/>
    <n v="43"/>
    <s v="No"/>
    <s v=""/>
    <m/>
    <m/>
    <s v="*MAV180500704"/>
    <s v="*MAV180500704"/>
    <n v="5.2342107859215735E-4"/>
  </r>
  <r>
    <x v="50"/>
    <s v="Pesos"/>
    <d v="2026-05-20T00:00:00"/>
    <s v="14/05/2026"/>
    <n v="0.99314323000000004"/>
    <m/>
    <n v="50000000"/>
    <n v="49657161.689999998"/>
    <n v="50000000"/>
    <n v="49657161.689999998"/>
    <n v="65500607"/>
    <s v="AMOMPY"/>
    <s v="Momentum Capital Investment S.A."/>
    <s v="12/03/2026"/>
    <s v="12/03/2026"/>
    <n v="42"/>
    <s v="No"/>
    <s v=""/>
    <m/>
    <m/>
    <s v="*MAV180500712"/>
    <s v="*MAV180500712"/>
    <n v="1.3087662915198652E-3"/>
  </r>
  <r>
    <x v="51"/>
    <s v="Pesos"/>
    <d v="2026-05-20T00:00:00"/>
    <s v="14/05/2026"/>
    <n v="0.99411700999999997"/>
    <m/>
    <n v="5000000"/>
    <n v="4970585.04"/>
    <n v="5000000"/>
    <n v="4970585.04"/>
    <n v="13420536"/>
    <s v="AMOMPY"/>
    <s v="Momentum Capital Investment S.A."/>
    <s v="10/04/2026"/>
    <s v="10/04/2026"/>
    <n v="36"/>
    <s v="No"/>
    <s v=""/>
    <m/>
    <m/>
    <s v="*MAV170501125"/>
    <s v="*MAV170501125"/>
    <n v="1.3100495332569461E-4"/>
  </r>
  <r>
    <x v="52"/>
    <s v="Pesos"/>
    <d v="2026-05-20T00:00:00"/>
    <s v="14/05/2026"/>
    <n v="0.99346763999999999"/>
    <m/>
    <n v="40000000"/>
    <n v="39738705.520000003"/>
    <n v="40000000"/>
    <n v="39738705.520000003"/>
    <n v="226"/>
    <s v="AMOMPY"/>
    <s v="Momentum Capital Investment S.A."/>
    <s v="18/03/2026"/>
    <s v="18/03/2026"/>
    <n v="40"/>
    <s v="No"/>
    <s v=""/>
    <m/>
    <m/>
    <s v="*MAV160501187"/>
    <s v="*MAV160501187"/>
    <n v="1.0473550336583968E-3"/>
  </r>
  <r>
    <x v="3"/>
    <s v="Pesos"/>
    <d v="2026-05-21T00:00:00"/>
    <s v="14/05/2026"/>
    <n v="0.99276505999999998"/>
    <m/>
    <n v="10000000"/>
    <n v="9927650.5700000003"/>
    <n v="10000000"/>
    <n v="9927650.5700000003"/>
    <n v="166"/>
    <s v="AMOMPY"/>
    <s v="Momentum Capital Investment S.A."/>
    <s v="31/03/2026"/>
    <s v="31/03/2026"/>
    <n v="38"/>
    <s v="No"/>
    <s v=""/>
    <m/>
    <m/>
    <s v="*MAV190501186"/>
    <s v="*MAV190501186"/>
    <n v="2.616535858637388E-4"/>
  </r>
  <r>
    <x v="53"/>
    <s v="Pesos"/>
    <d v="2026-05-21T00:00:00"/>
    <s v="14/05/2026"/>
    <n v="0.99238718000000004"/>
    <m/>
    <n v="7421535.6900000004"/>
    <n v="7365036.8600000003"/>
    <n v="7421535.6900000004"/>
    <n v="7365036.8600000003"/>
    <n v="72418018"/>
    <s v="AMOMPY"/>
    <s v="Momentum Capital Investment S.A."/>
    <s v="03/03/2026"/>
    <s v="03/03/2026"/>
    <n v="40"/>
    <s v="No"/>
    <s v=""/>
    <m/>
    <m/>
    <s v="*MAV190501068"/>
    <s v="*MAV190501068"/>
    <n v="1.941132285881423E-4"/>
  </r>
  <r>
    <x v="48"/>
    <s v="Pesos"/>
    <d v="2026-05-21T00:00:00"/>
    <s v="14/05/2026"/>
    <n v="0.99465886000000003"/>
    <m/>
    <n v="30000000"/>
    <n v="29839765.73"/>
    <n v="30000000"/>
    <n v="29839765.73"/>
    <n v="11037"/>
    <s v="AMOMPY"/>
    <s v="Momentum Capital Investment S.A."/>
    <s v="04/05/2026"/>
    <s v="04/05/2026"/>
    <n v="28"/>
    <s v="No"/>
    <s v=""/>
    <m/>
    <m/>
    <s v="*CVA190500015"/>
    <s v="*CVA190500015"/>
    <n v="7.864581503484974E-4"/>
  </r>
  <r>
    <x v="8"/>
    <s v="Pesos"/>
    <d v="2026-05-21T00:00:00"/>
    <s v="14/05/2026"/>
    <n v="0.99182088000000002"/>
    <m/>
    <n v="15000000"/>
    <n v="14877313.24"/>
    <n v="15000000"/>
    <n v="14877313.24"/>
    <n v="13237800"/>
    <s v="AMOMPY"/>
    <s v="Momentum Capital Investment S.A."/>
    <s v="17/03/2026"/>
    <s v="17/03/2026"/>
    <n v="43"/>
    <s v="No"/>
    <s v=""/>
    <m/>
    <m/>
    <s v="*MAV190501128"/>
    <s v="*MAV190501128"/>
    <n v="3.9210710830488849E-4"/>
  </r>
  <r>
    <x v="9"/>
    <s v="Pesos"/>
    <d v="2026-05-21T00:00:00"/>
    <s v="14/05/2026"/>
    <n v="0.99503845999999996"/>
    <m/>
    <n v="12500000"/>
    <n v="12437980.75"/>
    <n v="12500000"/>
    <n v="12437980.75"/>
    <n v="21099"/>
    <s v="AMOMPY"/>
    <s v="Momentum Capital Investment S.A."/>
    <s v="16/04/2026"/>
    <s v="16/04/2026"/>
    <n v="26"/>
    <s v="No"/>
    <s v=""/>
    <m/>
    <m/>
    <s v="*MOV190500061"/>
    <s v="*MOV190500061"/>
    <n v="3.2781595617155726E-4"/>
  </r>
  <r>
    <x v="49"/>
    <s v="Pesos"/>
    <d v="2026-05-21T00:00:00"/>
    <s v="14/05/2026"/>
    <n v="0.99219838000000005"/>
    <m/>
    <n v="13296076.9"/>
    <n v="13192345.949999999"/>
    <n v="13296076.9"/>
    <n v="13192345.949999999"/>
    <n v="30419"/>
    <s v="AMOMPY"/>
    <s v="Momentum Capital Investment S.A."/>
    <s v="27/03/2026"/>
    <s v="27/03/2026"/>
    <n v="41"/>
    <s v="No"/>
    <s v=""/>
    <m/>
    <m/>
    <s v="*MAV190501170"/>
    <s v="*MAV190501170"/>
    <n v="3.4769803786239341E-4"/>
  </r>
  <r>
    <x v="8"/>
    <s v="Pesos"/>
    <d v="2026-05-21T00:00:00"/>
    <s v="14/05/2026"/>
    <n v="0.99182090000000001"/>
    <m/>
    <n v="20000000"/>
    <n v="19836417.940000001"/>
    <n v="20000000"/>
    <n v="19836417.940000001"/>
    <n v="13237778"/>
    <s v="AMOMPY"/>
    <s v="Momentum Capital Investment S.A."/>
    <s v="11/03/2026"/>
    <s v="11/03/2026"/>
    <n v="43"/>
    <s v="No"/>
    <s v=""/>
    <m/>
    <m/>
    <s v="*MAV190501099"/>
    <s v="*MAV190501099"/>
    <n v="5.2280948529525044E-4"/>
  </r>
  <r>
    <x v="3"/>
    <s v="Pesos"/>
    <d v="2026-05-22T00:00:00"/>
    <s v="14/05/2026"/>
    <n v="0.99174006999999997"/>
    <m/>
    <n v="10000000"/>
    <n v="9917400.7300000004"/>
    <n v="10000000"/>
    <n v="9917400.7300000004"/>
    <n v="167"/>
    <s v="AMOMPY"/>
    <s v="Momentum Capital Investment S.A."/>
    <s v="31/03/2026"/>
    <s v="31/03/2026"/>
    <n v="38"/>
    <s v="No"/>
    <s v=""/>
    <m/>
    <m/>
    <s v="*MAV200501531"/>
    <s v="*MAV200501531"/>
    <n v="2.6138344063938594E-4"/>
  </r>
  <r>
    <x v="54"/>
    <s v="Pesos"/>
    <d v="2026-05-22T00:00:00"/>
    <s v="14/05/2026"/>
    <n v="0.99109376999999999"/>
    <m/>
    <n v="3016360.47"/>
    <n v="2989496.07"/>
    <n v="3016360.47"/>
    <n v="2989496.07"/>
    <n v="998"/>
    <s v="AMOMPY"/>
    <s v="Momentum Capital Investment S.A."/>
    <s v="27/03/2026"/>
    <s v="27/03/2026"/>
    <n v="41"/>
    <s v="No"/>
    <s v=""/>
    <m/>
    <m/>
    <s v="*MAV200501505"/>
    <s v="*MAV200501505"/>
    <n v="7.8791287135426911E-5"/>
  </r>
  <r>
    <x v="55"/>
    <s v="Pesos"/>
    <d v="2026-05-22T00:00:00"/>
    <s v="14/05/2026"/>
    <n v="0.99346763000000005"/>
    <m/>
    <n v="250018942.80000001"/>
    <n v="248385726.75999999"/>
    <n v="250018942.80000001"/>
    <n v="248385726.75999999"/>
    <n v="30004134"/>
    <s v="AMOMPY"/>
    <s v="Momentum Capital Investment S.A."/>
    <s v="06/04/2026"/>
    <s v="06/04/2026"/>
    <n v="30"/>
    <s v="No"/>
    <s v=""/>
    <m/>
    <m/>
    <s v="*MAV200501544"/>
    <s v="*MAV200501544"/>
    <n v="6.5464649088797268E-3"/>
  </r>
  <r>
    <x v="56"/>
    <s v="Pesos"/>
    <d v="2026-05-22T00:00:00"/>
    <s v="14/05/2026"/>
    <n v="0.99087851000000005"/>
    <m/>
    <n v="14350000"/>
    <n v="14219106.65"/>
    <n v="14350000"/>
    <n v="14219106.65"/>
    <n v="511"/>
    <s v="AMOMPY"/>
    <s v="Momentum Capital Investment S.A."/>
    <s v="21/01/2026"/>
    <s v="21/01/2026"/>
    <n v="42"/>
    <s v="No"/>
    <s v=""/>
    <m/>
    <m/>
    <s v="*MAV200501276"/>
    <s v="*MAV200501276"/>
    <n v="3.7475938707937767E-4"/>
  </r>
  <r>
    <x v="21"/>
    <s v="Pesos"/>
    <d v="2026-05-22T00:00:00"/>
    <s v="14/05/2026"/>
    <n v="0.99066339000000003"/>
    <m/>
    <n v="2000000"/>
    <n v="1981326.78"/>
    <n v="2000000"/>
    <n v="1981326.78"/>
    <n v="1144"/>
    <s v="AMOMPY"/>
    <s v="Momentum Capital Investment S.A."/>
    <s v="17/03/2026"/>
    <s v="17/03/2026"/>
    <n v="43"/>
    <s v="No"/>
    <s v=""/>
    <m/>
    <m/>
    <s v="*MAV200501461"/>
    <s v="*MAV200501461"/>
    <n v="5.2219933920866751E-5"/>
  </r>
  <r>
    <x v="8"/>
    <s v="Pesos"/>
    <d v="2026-05-22T00:00:00"/>
    <s v="14/05/2026"/>
    <n v="0.99066337999999998"/>
    <m/>
    <n v="15000000"/>
    <n v="14859950.76"/>
    <n v="15000000"/>
    <n v="14859950.76"/>
    <n v="13318376"/>
    <s v="AMOMPY"/>
    <s v="Momentum Capital Investment S.A."/>
    <s v="17/03/2026"/>
    <s v="17/03/2026"/>
    <n v="43"/>
    <s v="No"/>
    <s v=""/>
    <m/>
    <m/>
    <s v="*MAV200501463"/>
    <s v="*MAV200501463"/>
    <n v="3.9164950203445675E-4"/>
  </r>
  <r>
    <x v="57"/>
    <s v="Pesos"/>
    <d v="2026-05-22T00:00:00"/>
    <s v="14/05/2026"/>
    <n v="0.99390047999999998"/>
    <m/>
    <n v="3673155.78"/>
    <n v="3650751.3"/>
    <n v="3673155.78"/>
    <n v="3650751.3"/>
    <n v="76333987"/>
    <s v="AMOMPY"/>
    <s v="Momentum Capital Investment S.A."/>
    <s v="07/04/2026"/>
    <s v="07/04/2026"/>
    <n v="28"/>
    <s v="No"/>
    <s v=""/>
    <m/>
    <m/>
    <s v="*MAV200501557"/>
    <s v="*MAV200501557"/>
    <n v="9.6219358448038729E-5"/>
  </r>
  <r>
    <x v="57"/>
    <s v="Pesos"/>
    <d v="2026-05-22T00:00:00"/>
    <s v="14/05/2026"/>
    <n v="0.99390047999999998"/>
    <m/>
    <n v="42978373.82"/>
    <n v="42716226.350000001"/>
    <n v="42978373.82"/>
    <n v="42716226.350000001"/>
    <n v="76333988"/>
    <s v="AMOMPY"/>
    <s v="Momentum Capital Investment S.A."/>
    <s v="07/04/2026"/>
    <s v="07/04/2026"/>
    <n v="28"/>
    <s v="No"/>
    <s v=""/>
    <m/>
    <m/>
    <s v="*MAV200501558"/>
    <s v="*MAV200501558"/>
    <n v="1.1258307008527827E-3"/>
  </r>
  <r>
    <x v="49"/>
    <s v="Pesos"/>
    <d v="2026-05-22T00:00:00"/>
    <s v="14/05/2026"/>
    <n v="0.99109376999999999"/>
    <m/>
    <n v="13296076.9"/>
    <n v="13177658.98"/>
    <n v="13296076.9"/>
    <n v="13177658.98"/>
    <n v="30420"/>
    <s v="AMOMPY"/>
    <s v="Momentum Capital Investment S.A."/>
    <s v="27/03/2026"/>
    <s v="27/03/2026"/>
    <n v="41"/>
    <s v="No"/>
    <s v=""/>
    <m/>
    <m/>
    <s v="*MAV200501506"/>
    <s v="*MAV200501506"/>
    <n v="3.4731094744871733E-4"/>
  </r>
  <r>
    <x v="58"/>
    <s v="Pesos"/>
    <d v="2026-05-22T00:00:00"/>
    <s v="14/05/2026"/>
    <n v="0.99130912000000004"/>
    <m/>
    <n v="200000000"/>
    <n v="198261823.36000001"/>
    <n v="200000000"/>
    <n v="198261823.36000001"/>
    <n v="70370559"/>
    <s v="AMOMPY"/>
    <s v="Momentum Capital Investment S.A."/>
    <s v="31/03/2026"/>
    <s v="31/03/2026"/>
    <n v="40"/>
    <s v="No"/>
    <s v=""/>
    <m/>
    <m/>
    <s v="*MAV200501536"/>
    <s v="*MAV200501536"/>
    <n v="5.2253971527552647E-3"/>
  </r>
  <r>
    <x v="59"/>
    <s v="Pesos"/>
    <d v="2026-05-22T00:00:00"/>
    <s v="14/05/2026"/>
    <n v="0.99066337999999998"/>
    <m/>
    <n v="14328116.460000001"/>
    <n v="14194340.34"/>
    <n v="14328116.460000001"/>
    <n v="14194340.34"/>
    <n v="75874677"/>
    <s v="AMOMPY"/>
    <s v="Momentum Capital Investment S.A."/>
    <s v="17/03/2026"/>
    <s v="17/03/2026"/>
    <n v="43"/>
    <s v="No"/>
    <s v=""/>
    <m/>
    <m/>
    <s v="*MAV200501462"/>
    <s v="*MAV200501462"/>
    <n v="3.7410664514668968E-4"/>
  </r>
  <r>
    <x v="60"/>
    <s v="Pesos"/>
    <d v="2026-05-26T00:00:00"/>
    <s v="14/05/2026"/>
    <n v="0.98606013999999997"/>
    <m/>
    <n v="4896000"/>
    <n v="4827750.43"/>
    <n v="4896000"/>
    <n v="4827750.43"/>
    <n v="177"/>
    <s v="AMOMPY"/>
    <s v="Momentum Capital Investment S.A."/>
    <s v="17/03/2026"/>
    <s v="17/03/2026"/>
    <n v="43"/>
    <s v="No"/>
    <s v=""/>
    <m/>
    <m/>
    <s v="*MAV210501019"/>
    <s v="*MAV210501019"/>
    <n v="1.2724039819470668E-4"/>
  </r>
  <r>
    <x v="3"/>
    <s v="Pesos"/>
    <d v="2026-05-26T00:00:00"/>
    <s v="14/05/2026"/>
    <n v="0.98766105000000004"/>
    <m/>
    <n v="10000000"/>
    <n v="9876610.5500000007"/>
    <n v="10000000"/>
    <n v="9876610.5500000007"/>
    <n v="168"/>
    <s v="AMOMPY"/>
    <s v="Momentum Capital Investment S.A."/>
    <s v="31/03/2026"/>
    <s v="31/03/2026"/>
    <n v="38"/>
    <s v="No"/>
    <s v=""/>
    <m/>
    <m/>
    <s v="*MAV210501086"/>
    <s v="*MAV210501086"/>
    <n v="2.6030837289906081E-4"/>
  </r>
  <r>
    <x v="34"/>
    <s v="Pesos"/>
    <d v="2026-05-26T00:00:00"/>
    <s v="14/05/2026"/>
    <n v="0.98510202000000002"/>
    <m/>
    <n v="15000000"/>
    <n v="14776530.300000001"/>
    <n v="15000000"/>
    <n v="14776530.300000001"/>
    <n v="3873"/>
    <s v="AMOMPY"/>
    <s v="Momentum Capital Investment S.A."/>
    <s v="02/02/2026"/>
    <s v="02/02/2026"/>
    <n v="46"/>
    <s v="No"/>
    <s v=""/>
    <m/>
    <m/>
    <s v="*MAV210500876"/>
    <s v="*MAV210500876"/>
    <n v="3.8945086879897992E-4"/>
  </r>
  <r>
    <x v="24"/>
    <s v="Pesos"/>
    <d v="2026-05-26T00:00:00"/>
    <s v="14/05/2026"/>
    <n v="0.98702002"/>
    <m/>
    <n v="10000000"/>
    <n v="9870200.1500000004"/>
    <n v="10000000"/>
    <n v="9870200.1500000004"/>
    <n v="1339"/>
    <s v="AMOMPY"/>
    <s v="Momentum Capital Investment S.A."/>
    <s v="24/02/2026"/>
    <s v="24/02/2026"/>
    <n v="40"/>
    <s v="No"/>
    <s v=""/>
    <m/>
    <m/>
    <s v="*MAV210500921"/>
    <s v="*MAV210500921"/>
    <n v="2.6013942012065728E-4"/>
  </r>
  <r>
    <x v="8"/>
    <s v="Pesos"/>
    <d v="2026-05-26T00:00:00"/>
    <s v="14/05/2026"/>
    <n v="0.98606013999999997"/>
    <m/>
    <n v="15000000"/>
    <n v="14790902.109999999"/>
    <n v="15000000"/>
    <n v="14790902.109999999"/>
    <n v="13318377"/>
    <s v="AMOMPY"/>
    <s v="Momentum Capital Investment S.A."/>
    <s v="17/03/2026"/>
    <s v="17/03/2026"/>
    <n v="43"/>
    <s v="No"/>
    <s v=""/>
    <m/>
    <m/>
    <s v="*MAV210501020"/>
    <s v="*MAV210501020"/>
    <n v="3.8982965284212661E-4"/>
  </r>
  <r>
    <x v="9"/>
    <s v="Pesos"/>
    <d v="2026-05-26T00:00:00"/>
    <s v="14/05/2026"/>
    <n v="0.99184782999999999"/>
    <m/>
    <n v="605000"/>
    <n v="600067.93999999994"/>
    <n v="605000"/>
    <n v="600067.93999999994"/>
    <n v="51800020"/>
    <s v="AMOMPY"/>
    <s v="Momentum Capital Investment S.A."/>
    <s v="17/04/2026"/>
    <s v="17/04/2026"/>
    <n v="25"/>
    <s v="No"/>
    <s v=""/>
    <m/>
    <m/>
    <s v="*MOV210500043"/>
    <s v="*MOV210500043"/>
    <n v="1.5815416462917151E-5"/>
  </r>
  <r>
    <x v="9"/>
    <s v="Pesos"/>
    <d v="2026-05-26T00:00:00"/>
    <s v="14/05/2026"/>
    <n v="0.99184784999999998"/>
    <m/>
    <n v="1070093.75"/>
    <n v="1061370.19"/>
    <n v="1070093.75"/>
    <n v="1061370.19"/>
    <n v="29046921"/>
    <s v="AMOMPY"/>
    <s v="Momentum Capital Investment S.A."/>
    <s v="17/04/2026"/>
    <s v="17/04/2026"/>
    <n v="25"/>
    <s v="No"/>
    <s v=""/>
    <m/>
    <m/>
    <s v="*MOV210500044"/>
    <s v="*MOV210500044"/>
    <n v="2.7973518425556124E-5"/>
  </r>
  <r>
    <x v="28"/>
    <s v="Pesos"/>
    <d v="2026-05-26T00:00:00"/>
    <s v="14/05/2026"/>
    <n v="0.98702002"/>
    <m/>
    <n v="25000000"/>
    <n v="24675500.5"/>
    <n v="25000000"/>
    <n v="24675500.5"/>
    <n v="475860"/>
    <s v="AMOMPY"/>
    <s v="Momentum Capital Investment S.A."/>
    <s v="30/01/2026"/>
    <s v="30/01/2026"/>
    <n v="40"/>
    <s v="No"/>
    <s v=""/>
    <m/>
    <m/>
    <s v="*MAV210500874"/>
    <s v="*MAV210500874"/>
    <n v="6.5034855359614855E-4"/>
  </r>
  <r>
    <x v="25"/>
    <s v="Pesos"/>
    <d v="2026-05-26T00:00:00"/>
    <s v="14/05/2026"/>
    <n v="0.99120143000000005"/>
    <m/>
    <n v="50291959.590000004"/>
    <n v="49849462.159999996"/>
    <n v="50291959.590000004"/>
    <n v="49849462.159999996"/>
    <n v="5811"/>
    <s v="AMOMPY"/>
    <s v="Momentum Capital Investment S.A."/>
    <s v="14/04/2026"/>
    <s v="14/04/2026"/>
    <n v="27"/>
    <s v="No"/>
    <s v=""/>
    <m/>
    <m/>
    <s v="%INC220500010"/>
    <s v="%INC220500010"/>
    <n v="1.3138345709867946E-3"/>
  </r>
  <r>
    <x v="49"/>
    <s v="Pesos"/>
    <d v="2026-05-26T00:00:00"/>
    <s v="14/05/2026"/>
    <n v="0.98669987000000003"/>
    <m/>
    <n v="13296076.9"/>
    <n v="13119237.369999999"/>
    <n v="13296076.9"/>
    <n v="13119237.369999999"/>
    <n v="30421"/>
    <s v="AMOMPY"/>
    <s v="Momentum Capital Investment S.A."/>
    <s v="27/03/2026"/>
    <s v="27/03/2026"/>
    <n v="41"/>
    <s v="No"/>
    <s v=""/>
    <m/>
    <m/>
    <s v="*MAV210501057"/>
    <s v="*MAV210501057"/>
    <n v="3.4577118498018062E-4"/>
  </r>
  <r>
    <x v="61"/>
    <s v="Pesos"/>
    <d v="2026-05-27T00:00:00"/>
    <s v="14/05/2026"/>
    <n v="0.98664649000000004"/>
    <m/>
    <n v="7162509.1500000004"/>
    <n v="7066864.5099999998"/>
    <n v="7162509.1500000004"/>
    <n v="7066864.5099999998"/>
    <n v="65964531"/>
    <s v="AMOMPY"/>
    <s v="Momentum Capital Investment S.A."/>
    <s v="17/04/2026"/>
    <s v="17/04/2026"/>
    <n v="38"/>
    <s v="No"/>
    <s v=""/>
    <m/>
    <m/>
    <s v="*MAV220501373"/>
    <s v="*MAV220501373"/>
    <n v="1.8625458529355685E-4"/>
  </r>
  <r>
    <x v="29"/>
    <s v="Pesos"/>
    <d v="2026-05-27T00:00:00"/>
    <s v="14/05/2026"/>
    <n v="0.98768783000000004"/>
    <m/>
    <n v="10000000"/>
    <n v="9876878.3100000005"/>
    <n v="10000000"/>
    <n v="9876878.3100000005"/>
    <n v="29098104"/>
    <s v="AMOMPY"/>
    <s v="Momentum Capital Investment S.A."/>
    <s v="20/04/2026"/>
    <s v="20/04/2026"/>
    <n v="35"/>
    <s v="No"/>
    <s v=""/>
    <m/>
    <m/>
    <s v="*MAV220501392"/>
    <s v="*MAV220501392"/>
    <n v="2.6031542999314938E-4"/>
  </r>
  <r>
    <x v="36"/>
    <s v="Pesos"/>
    <d v="2026-05-27T00:00:00"/>
    <s v="14/05/2026"/>
    <n v="0.98768783000000004"/>
    <m/>
    <n v="10000000"/>
    <n v="9876878.3100000005"/>
    <n v="10000000"/>
    <n v="9876878.3100000005"/>
    <n v="381"/>
    <s v="AMOMPY"/>
    <s v="Momentum Capital Investment S.A."/>
    <s v="20/04/2026"/>
    <s v="17/04/2026"/>
    <n v="35"/>
    <s v="No"/>
    <s v=""/>
    <m/>
    <m/>
    <s v="*MAV220501384"/>
    <s v="*MAV220501384"/>
    <n v="2.6031542999314938E-4"/>
  </r>
  <r>
    <x v="62"/>
    <s v="Pesos"/>
    <d v="2026-05-27T00:00:00"/>
    <s v="14/05/2026"/>
    <n v="0.98595354000000002"/>
    <m/>
    <n v="2000000"/>
    <n v="1971907.09"/>
    <n v="2000000"/>
    <n v="1971907.09"/>
    <n v="40"/>
    <s v="AMOMPY"/>
    <s v="Momentum Capital Investment S.A."/>
    <s v="30/03/2026"/>
    <s v="30/03/2026"/>
    <n v="40"/>
    <s v="No"/>
    <s v=""/>
    <m/>
    <m/>
    <s v="*MAV220501237"/>
    <s v="*MAV220501237"/>
    <n v="5.1971668165656471E-5"/>
  </r>
  <r>
    <x v="3"/>
    <s v="Pesos"/>
    <d v="2026-05-27T00:00:00"/>
    <s v="14/05/2026"/>
    <n v="0.98664651999999997"/>
    <m/>
    <n v="10000000"/>
    <n v="9866465.1699999999"/>
    <n v="10000000"/>
    <n v="9866465.1699999999"/>
    <n v="169"/>
    <s v="AMOMPY"/>
    <s v="Momentum Capital Investment S.A."/>
    <s v="31/03/2026"/>
    <s v="31/03/2026"/>
    <n v="38"/>
    <s v="No"/>
    <s v=""/>
    <m/>
    <m/>
    <s v="*MAV220501247"/>
    <s v="*MAV220501247"/>
    <n v="2.600409808269655E-4"/>
  </r>
  <r>
    <x v="63"/>
    <s v="Pesos"/>
    <d v="2026-05-27T00:00:00"/>
    <s v="14/05/2026"/>
    <n v="0.98734040999999995"/>
    <m/>
    <n v="1000000"/>
    <n v="987340.41"/>
    <n v="1000000"/>
    <n v="987340.41"/>
    <n v="18"/>
    <s v="AMOMPY"/>
    <s v="Momentum Capital Investment S.A."/>
    <s v="10/04/2026"/>
    <s v="10/04/2026"/>
    <n v="36"/>
    <s v="No"/>
    <s v=""/>
    <m/>
    <m/>
    <s v="*MAV220501315"/>
    <s v="*MAV220501315"/>
    <n v="2.6022386356480523E-5"/>
  </r>
  <r>
    <x v="37"/>
    <s v="Pesos"/>
    <d v="2026-05-27T00:00:00"/>
    <s v="14/05/2026"/>
    <n v="0.98977685000000004"/>
    <m/>
    <n v="12500000"/>
    <n v="12372210.640000001"/>
    <n v="12500000"/>
    <n v="12372210.640000001"/>
    <n v="28996515"/>
    <s v="AMOMPY"/>
    <s v="Momentum Capital Investment S.A."/>
    <s v="31/03/2026"/>
    <s v="31/03/2026"/>
    <n v="29"/>
    <s v="No"/>
    <s v=""/>
    <m/>
    <m/>
    <s v="*AAR220500021"/>
    <s v="*AAR220500021"/>
    <n v="3.2608251632062661E-4"/>
  </r>
  <r>
    <x v="64"/>
    <s v="Pesos"/>
    <d v="2026-05-27T00:00:00"/>
    <s v="14/05/2026"/>
    <n v="0.98664653999999996"/>
    <m/>
    <n v="100000000"/>
    <n v="98664653.969999999"/>
    <n v="100000000"/>
    <n v="98664653.969999999"/>
    <n v="3257450"/>
    <s v="AMOMPY"/>
    <s v="Momentum Capital Investment S.A."/>
    <s v="25/03/2026"/>
    <s v="25/03/2026"/>
    <n v="38"/>
    <s v="No"/>
    <s v=""/>
    <m/>
    <m/>
    <s v="*MAV220501214"/>
    <s v="*MAV220501214"/>
    <n v="2.6004098680978728E-3"/>
  </r>
  <r>
    <x v="22"/>
    <s v="Pesos"/>
    <d v="2026-05-27T00:00:00"/>
    <s v="14/05/2026"/>
    <n v="0.98526166999999998"/>
    <m/>
    <n v="4967341.46"/>
    <n v="4894131.12"/>
    <n v="4967341.46"/>
    <n v="4894131.12"/>
    <n v="5072"/>
    <s v="AMOMPY"/>
    <s v="Momentum Capital Investment S.A."/>
    <s v="16/04/2026"/>
    <s v="16/04/2026"/>
    <n v="42"/>
    <s v="No"/>
    <s v=""/>
    <m/>
    <m/>
    <s v="*MAV220501364"/>
    <s v="*MAV220501364"/>
    <n v="1.2898993051840626E-4"/>
  </r>
  <r>
    <x v="48"/>
    <s v="Pesos"/>
    <d v="2026-05-27T00:00:00"/>
    <s v="14/05/2026"/>
    <n v="0.98977689000000002"/>
    <m/>
    <n v="30000000"/>
    <n v="29693306.84"/>
    <n v="30000000"/>
    <n v="29693306.84"/>
    <n v="66249672"/>
    <s v="AMOMPY"/>
    <s v="Momentum Capital Investment S.A."/>
    <s v="16/04/2026"/>
    <s v="16/04/2026"/>
    <n v="29"/>
    <s v="No"/>
    <s v=""/>
    <m/>
    <m/>
    <s v="*CVA220500020"/>
    <s v="*CVA220500020"/>
    <n v="7.8259807353778395E-4"/>
  </r>
  <r>
    <x v="38"/>
    <s v="Pesos"/>
    <d v="2026-05-27T00:00:00"/>
    <s v="14/05/2026"/>
    <n v="0.98491600999999995"/>
    <m/>
    <n v="12000000"/>
    <n v="11818992.109999999"/>
    <n v="12000000"/>
    <n v="11818992.109999999"/>
    <n v="2339"/>
    <s v="AMOMPY"/>
    <s v="Momentum Capital Investment S.A."/>
    <s v="11/03/2026"/>
    <s v="11/03/2026"/>
    <n v="43"/>
    <s v="No"/>
    <s v=""/>
    <m/>
    <m/>
    <s v="*MAV220501133"/>
    <s v="*MAV220501133"/>
    <n v="3.1150186492479823E-4"/>
  </r>
  <r>
    <x v="8"/>
    <s v="Pesos"/>
    <d v="2026-05-27T00:00:00"/>
    <s v="14/05/2026"/>
    <n v="0.98491598999999996"/>
    <m/>
    <n v="15000000"/>
    <n v="14773739.800000001"/>
    <n v="15000000"/>
    <n v="14773739.800000001"/>
    <n v="13318378"/>
    <s v="AMOMPY"/>
    <s v="Momentum Capital Investment S.A."/>
    <s v="17/03/2026"/>
    <s v="17/03/2026"/>
    <n v="43"/>
    <s v="No"/>
    <s v=""/>
    <m/>
    <m/>
    <s v="*MAV220501182"/>
    <s v="*MAV220501182"/>
    <n v="3.893773222608333E-4"/>
  </r>
  <r>
    <x v="9"/>
    <s v="Pesos"/>
    <d v="2026-05-27T00:00:00"/>
    <s v="14/05/2026"/>
    <n v="0.99117445999999998"/>
    <m/>
    <n v="808991"/>
    <n v="801851.22"/>
    <n v="808991"/>
    <n v="801851.22"/>
    <n v="90000068"/>
    <s v="AMOMPY"/>
    <s v="Momentum Capital Investment S.A."/>
    <s v="17/04/2026"/>
    <s v="17/04/2026"/>
    <n v="25"/>
    <s v="No"/>
    <s v=""/>
    <m/>
    <m/>
    <s v="*MOV220500070"/>
    <s v="*MOV220500070"/>
    <n v="2.1133625278494637E-5"/>
  </r>
  <r>
    <x v="9"/>
    <s v="Pesos"/>
    <d v="2026-05-27T00:00:00"/>
    <s v="14/05/2026"/>
    <n v="0.99117447999999997"/>
    <m/>
    <n v="4023552.5"/>
    <n v="3988042.55"/>
    <n v="4023552.5"/>
    <n v="3988042.55"/>
    <n v="1499"/>
    <s v="AMOMPY"/>
    <s v="Momentum Capital Investment S.A."/>
    <s v="17/04/2026"/>
    <s v="17/04/2026"/>
    <n v="25"/>
    <s v="No"/>
    <s v=""/>
    <m/>
    <m/>
    <s v="*MOV220500072"/>
    <s v="*MOV220500072"/>
    <n v="1.0510902115531135E-4"/>
  </r>
  <r>
    <x v="9"/>
    <s v="Pesos"/>
    <d v="2026-05-27T00:00:00"/>
    <s v="14/05/2026"/>
    <n v="0.99117445999999998"/>
    <m/>
    <n v="880000"/>
    <n v="872233.53"/>
    <n v="880000"/>
    <n v="872233.53"/>
    <n v="2248"/>
    <s v="AMOMPY"/>
    <s v="Momentum Capital Investment S.A."/>
    <s v="17/04/2026"/>
    <s v="17/04/2026"/>
    <n v="25"/>
    <s v="No"/>
    <s v=""/>
    <m/>
    <m/>
    <s v="*MOV220500071"/>
    <s v="*MOV220500071"/>
    <n v="2.2988624471206283E-5"/>
  </r>
  <r>
    <x v="25"/>
    <s v="Pesos"/>
    <d v="2026-05-27T00:00:00"/>
    <s v="14/05/2026"/>
    <n v="0.99047518000000001"/>
    <m/>
    <n v="5914315.6600000001"/>
    <n v="5857982.8799999999"/>
    <n v="5914315.6600000001"/>
    <n v="5857982.8799999999"/>
    <n v="2734"/>
    <s v="AMOMPY"/>
    <s v="Momentum Capital Investment S.A."/>
    <s v="31/03/2026"/>
    <s v="31/03/2026"/>
    <n v="27"/>
    <s v="No"/>
    <s v=""/>
    <m/>
    <m/>
    <s v="%INC240500028"/>
    <s v="%INC240500028"/>
    <n v="1.5439324900416916E-4"/>
  </r>
  <r>
    <x v="49"/>
    <s v="Pesos"/>
    <d v="2026-05-27T00:00:00"/>
    <s v="14/05/2026"/>
    <n v="0.98560745000000005"/>
    <m/>
    <n v="13296076.9"/>
    <n v="13104712.51"/>
    <n v="13296076.9"/>
    <n v="13104712.51"/>
    <n v="30422"/>
    <s v="AMOMPY"/>
    <s v="Momentum Capital Investment S.A."/>
    <s v="27/03/2026"/>
    <s v="27/03/2026"/>
    <n v="41"/>
    <s v="No"/>
    <s v=""/>
    <m/>
    <m/>
    <s v="*MAV220501227"/>
    <s v="*MAV220501227"/>
    <n v="3.453883671446443E-4"/>
  </r>
  <r>
    <x v="65"/>
    <s v="Pesos"/>
    <d v="2026-05-27T00:00:00"/>
    <s v="14/05/2026"/>
    <n v="0.98942812000000002"/>
    <m/>
    <n v="5000000"/>
    <n v="4947140.58"/>
    <n v="5000000"/>
    <n v="4947140.58"/>
    <n v="10926490"/>
    <s v="AMOMPY"/>
    <s v="Momentum Capital Investment S.A."/>
    <s v="20/04/2026"/>
    <s v="20/04/2026"/>
    <n v="30"/>
    <s v="No"/>
    <s v=""/>
    <m/>
    <m/>
    <s v="*NEU220500025"/>
    <s v="*NEU220500025"/>
    <n v="1.3038705012851965E-4"/>
  </r>
  <r>
    <x v="66"/>
    <s v="Pesos"/>
    <d v="2026-05-28T00:00:00"/>
    <s v="14/05/2026"/>
    <n v="0.98675325999999997"/>
    <m/>
    <n v="1085774.81"/>
    <n v="1071391.83"/>
    <n v="1085774.81"/>
    <n v="1071391.83"/>
    <n v="9278311"/>
    <s v="AMOMPY"/>
    <s v="Momentum Capital Investment S.A."/>
    <s v="17/04/2026"/>
    <s v="17/04/2026"/>
    <n v="35"/>
    <s v="No"/>
    <s v=""/>
    <m/>
    <m/>
    <s v="*MAV260501495"/>
    <s v="*MAV260501495"/>
    <n v="2.8237649200883716E-5"/>
  </r>
  <r>
    <x v="67"/>
    <s v="Pesos"/>
    <d v="2026-05-28T00:00:00"/>
    <s v="14/05/2026"/>
    <n v="0.98563405999999998"/>
    <m/>
    <n v="4000000"/>
    <n v="3942536.26"/>
    <n v="4000000"/>
    <n v="3942536.26"/>
    <n v="90025533"/>
    <s v="AMOMPY"/>
    <s v="Momentum Capital Investment S.A."/>
    <s v="22/04/2026"/>
    <s v="22/04/2026"/>
    <n v="38"/>
    <s v="No"/>
    <s v=""/>
    <m/>
    <m/>
    <s v="*MAV240501066"/>
    <s v="*MAV240501066"/>
    <n v="1.0390965541677134E-4"/>
  </r>
  <r>
    <x v="67"/>
    <s v="Pesos"/>
    <d v="2026-05-28T00:00:00"/>
    <s v="14/05/2026"/>
    <n v="0.98563405999999998"/>
    <m/>
    <n v="4000000"/>
    <n v="3942536.26"/>
    <n v="4000000"/>
    <n v="3942536.26"/>
    <n v="90025535"/>
    <s v="AMOMPY"/>
    <s v="Momentum Capital Investment S.A."/>
    <s v="22/04/2026"/>
    <s v="22/04/2026"/>
    <n v="38"/>
    <s v="No"/>
    <s v=""/>
    <m/>
    <m/>
    <s v="*MAV260501530"/>
    <s v="*MAV260501530"/>
    <n v="1.0390965541677134E-4"/>
  </r>
  <r>
    <x v="67"/>
    <s v="Pesos"/>
    <d v="2026-05-28T00:00:00"/>
    <s v="14/05/2026"/>
    <n v="0.98563405999999998"/>
    <m/>
    <n v="4000000"/>
    <n v="3942536.26"/>
    <n v="4000000"/>
    <n v="3942536.26"/>
    <n v="90025534"/>
    <s v="AMOMPY"/>
    <s v="Momentum Capital Investment S.A."/>
    <s v="22/04/2026"/>
    <s v="22/04/2026"/>
    <n v="38"/>
    <s v="No"/>
    <s v=""/>
    <m/>
    <m/>
    <s v="*MAV250500672"/>
    <s v="*MAV250500672"/>
    <n v="1.0390965541677134E-4"/>
  </r>
  <r>
    <x v="68"/>
    <s v="Pesos"/>
    <d v="2026-05-28T00:00:00"/>
    <s v="14/05/2026"/>
    <n v="0.98451745000000002"/>
    <m/>
    <n v="2710644"/>
    <n v="2668676.3199999998"/>
    <n v="2710644"/>
    <n v="2668676.3199999998"/>
    <n v="8606949"/>
    <s v="AMOMPY"/>
    <s v="Momentum Capital Investment S.A."/>
    <s v="27/03/2026"/>
    <s v="27/03/2026"/>
    <n v="41"/>
    <s v="No"/>
    <s v=""/>
    <m/>
    <m/>
    <s v="*MAV230501077"/>
    <s v="*MAV230501077"/>
    <n v="7.0335747991344383E-5"/>
  </r>
  <r>
    <x v="63"/>
    <s v="Pesos"/>
    <d v="2026-05-28T00:00:00"/>
    <s v="14/05/2026"/>
    <n v="0.98637995000000001"/>
    <m/>
    <n v="1000000"/>
    <n v="986379.95"/>
    <n v="1000000"/>
    <n v="986379.95"/>
    <n v="20"/>
    <s v="AMOMPY"/>
    <s v="Momentum Capital Investment S.A."/>
    <s v="10/04/2026"/>
    <s v="10/04/2026"/>
    <n v="36"/>
    <s v="No"/>
    <s v=""/>
    <m/>
    <m/>
    <s v="*MAV240501045"/>
    <s v="*MAV240501045"/>
    <n v="2.599707243136735E-5"/>
  </r>
  <r>
    <x v="63"/>
    <s v="Pesos"/>
    <d v="2026-05-28T00:00:00"/>
    <s v="14/05/2026"/>
    <n v="0.98637995000000001"/>
    <m/>
    <n v="1000000"/>
    <n v="986379.95"/>
    <n v="1000000"/>
    <n v="986379.95"/>
    <n v="19"/>
    <s v="AMOMPY"/>
    <s v="Momentum Capital Investment S.A."/>
    <s v="10/04/2026"/>
    <s v="10/04/2026"/>
    <n v="36"/>
    <s v="No"/>
    <s v=""/>
    <m/>
    <m/>
    <s v="*MAV230501128"/>
    <s v="*MAV230501128"/>
    <n v="2.599707243136735E-5"/>
  </r>
  <r>
    <x v="63"/>
    <s v="Pesos"/>
    <d v="2026-05-28T00:00:00"/>
    <s v="14/05/2026"/>
    <n v="0.98637995000000001"/>
    <m/>
    <n v="1000000"/>
    <n v="986379.95"/>
    <n v="1000000"/>
    <n v="986379.95"/>
    <n v="21"/>
    <s v="AMOMPY"/>
    <s v="Momentum Capital Investment S.A."/>
    <s v="10/04/2026"/>
    <s v="10/04/2026"/>
    <n v="36"/>
    <s v="No"/>
    <s v=""/>
    <m/>
    <m/>
    <s v="*MAV250500609"/>
    <s v="*MAV250500609"/>
    <n v="2.599707243136735E-5"/>
  </r>
  <r>
    <x v="43"/>
    <s v="Pesos"/>
    <d v="2026-05-28T00:00:00"/>
    <s v="14/05/2026"/>
    <n v="0.99163230000000002"/>
    <m/>
    <n v="2028560"/>
    <n v="2011585.62"/>
    <n v="2028560"/>
    <n v="2011585.62"/>
    <n v="9822"/>
    <s v="AMOMPY"/>
    <s v="Momentum Capital Investment S.A."/>
    <s v="13/04/2026"/>
    <s v="13/04/2026"/>
    <n v="22"/>
    <s v="No"/>
    <s v=""/>
    <m/>
    <m/>
    <s v="*MAV250500613"/>
    <s v="*MAV250500613"/>
    <n v="5.3017437210718859E-5"/>
  </r>
  <r>
    <x v="69"/>
    <s v="Pesos"/>
    <d v="2026-05-28T00:00:00"/>
    <s v="14/05/2026"/>
    <n v="0.99163230000000002"/>
    <m/>
    <n v="3521113.5"/>
    <n v="3491649.87"/>
    <n v="3521113.5"/>
    <n v="3491649.87"/>
    <n v="65870424"/>
    <s v="AMOMPY"/>
    <s v="Momentum Capital Investment S.A."/>
    <s v="13/04/2026"/>
    <s v="13/04/2026"/>
    <n v="22"/>
    <s v="No"/>
    <s v=""/>
    <m/>
    <m/>
    <s v="*MAV250500612"/>
    <s v="*MAV250500612"/>
    <n v="9.202607430875334E-5"/>
  </r>
  <r>
    <x v="54"/>
    <s v="Pesos"/>
    <d v="2026-05-28T00:00:00"/>
    <s v="14/05/2026"/>
    <n v="0.98451745999999996"/>
    <m/>
    <n v="3016360.47"/>
    <n v="2969659.54"/>
    <n v="3016360.47"/>
    <n v="2969659.54"/>
    <n v="999"/>
    <s v="AMOMPY"/>
    <s v="Momentum Capital Investment S.A."/>
    <s v="27/03/2026"/>
    <s v="27/03/2026"/>
    <n v="41"/>
    <s v="No"/>
    <s v=""/>
    <m/>
    <m/>
    <s v="*MAV250500567"/>
    <s v="*MAV250500567"/>
    <n v="7.8268474696673479E-5"/>
  </r>
  <r>
    <x v="4"/>
    <s v="Pesos"/>
    <d v="2026-05-28T00:00:00"/>
    <s v="14/05/2026"/>
    <n v="0.98488938000000004"/>
    <m/>
    <n v="3000000"/>
    <n v="2954668.14"/>
    <n v="3000000"/>
    <n v="2954668.14"/>
    <n v="60524033"/>
    <s v="AMOMPY"/>
    <s v="Momentum Capital Investment S.A."/>
    <s v="06/03/2026"/>
    <s v="06/03/2026"/>
    <n v="40"/>
    <s v="No"/>
    <s v=""/>
    <m/>
    <m/>
    <s v="*MAV250500516"/>
    <s v="*MAV250500516"/>
    <n v="7.7873360712809968E-5"/>
  </r>
  <r>
    <x v="34"/>
    <s v="Pesos"/>
    <d v="2026-05-28T00:00:00"/>
    <s v="14/05/2026"/>
    <n v="0.98266213000000002"/>
    <m/>
    <n v="25000000"/>
    <n v="24566553.18"/>
    <n v="25000000"/>
    <n v="24566553.18"/>
    <n v="3902"/>
    <s v="AMOMPY"/>
    <s v="Momentum Capital Investment S.A."/>
    <s v="18/02/2026"/>
    <s v="18/02/2026"/>
    <n v="46"/>
    <s v="No"/>
    <s v=""/>
    <m/>
    <m/>
    <s v="*MAV260501179"/>
    <s v="*MAV260501179"/>
    <n v="6.4747713333943773E-4"/>
  </r>
  <r>
    <x v="70"/>
    <s v="Pesos"/>
    <d v="2026-05-28T00:00:00"/>
    <s v="14/05/2026"/>
    <n v="0.98787491999999999"/>
    <m/>
    <n v="284625936"/>
    <n v="281174822.69999999"/>
    <n v="284625936"/>
    <n v="281174822.69999999"/>
    <n v="30012671"/>
    <s v="AMOMPY"/>
    <s v="Momentum Capital Investment S.A."/>
    <s v="13/04/2026"/>
    <s v="13/04/2026"/>
    <n v="32"/>
    <s v="No"/>
    <s v=""/>
    <m/>
    <m/>
    <s v="*MAV260501419"/>
    <s v="*MAV260501419"/>
    <n v="7.410655733228127E-3"/>
  </r>
  <r>
    <x v="70"/>
    <s v="Pesos"/>
    <d v="2026-05-28T00:00:00"/>
    <s v="14/05/2026"/>
    <n v="0.98787491999999999"/>
    <m/>
    <n v="139799058"/>
    <n v="138103982.72"/>
    <n v="139799058"/>
    <n v="138103982.72"/>
    <n v="30012672"/>
    <s v="AMOMPY"/>
    <s v="Momentum Capital Investment S.A."/>
    <s v="13/04/2026"/>
    <s v="13/04/2026"/>
    <n v="32"/>
    <s v="No"/>
    <s v=""/>
    <m/>
    <m/>
    <s v="*MAV260501420"/>
    <s v="*MAV260501420"/>
    <n v="3.6398745147163069E-3"/>
  </r>
  <r>
    <x v="70"/>
    <s v="Pesos"/>
    <d v="2026-05-28T00:00:00"/>
    <s v="14/05/2026"/>
    <n v="0.98787491999999999"/>
    <m/>
    <n v="430124947.10000002"/>
    <n v="424909646.11000001"/>
    <n v="430124947.10000002"/>
    <n v="424909646.11000001"/>
    <n v="30012670"/>
    <s v="AMOMPY"/>
    <s v="Momentum Capital Investment S.A."/>
    <s v="13/04/2026"/>
    <s v="13/04/2026"/>
    <n v="32"/>
    <s v="No"/>
    <s v=""/>
    <m/>
    <m/>
    <s v="*MAV260501421"/>
    <s v="*MAV260501421"/>
    <n v="1.1198936927609223E-2"/>
  </r>
  <r>
    <x v="71"/>
    <s v="Pesos"/>
    <d v="2026-05-28T00:00:00"/>
    <s v="14/05/2026"/>
    <n v="0.98488940000000003"/>
    <m/>
    <n v="13126885"/>
    <n v="12928529.84"/>
    <n v="13126885"/>
    <n v="12928529.84"/>
    <n v="13227"/>
    <s v="AMOMPY"/>
    <s v="Momentum Capital Investment S.A."/>
    <s v="03/03/2026"/>
    <s v="03/03/2026"/>
    <n v="40"/>
    <s v="No"/>
    <s v=""/>
    <m/>
    <m/>
    <s v="*MAV240500998"/>
    <s v="*MAV240500998"/>
    <n v="3.4074488910847605E-4"/>
  </r>
  <r>
    <x v="21"/>
    <s v="Pesos"/>
    <d v="2026-05-28T00:00:00"/>
    <s v="14/05/2026"/>
    <n v="0.98377448000000001"/>
    <m/>
    <n v="2730168.3"/>
    <n v="2685869.91"/>
    <n v="2730168.3"/>
    <n v="2685869.91"/>
    <n v="1143"/>
    <s v="AMOMPY"/>
    <s v="Momentum Capital Investment S.A."/>
    <s v="17/03/2026"/>
    <s v="17/03/2026"/>
    <n v="43"/>
    <s v="No"/>
    <s v=""/>
    <m/>
    <m/>
    <s v="*MAV230501057"/>
    <s v="*MAV230501057"/>
    <n v="7.0788902989664501E-5"/>
  </r>
  <r>
    <x v="72"/>
    <s v="Pesos"/>
    <d v="2026-05-28T00:00:00"/>
    <s v="14/05/2026"/>
    <n v="0.98899915999999999"/>
    <m/>
    <n v="4000000"/>
    <n v="3955996.62"/>
    <n v="4000000"/>
    <n v="3955996.62"/>
    <n v="839"/>
    <s v="AMOMPY"/>
    <s v="Momentum Capital Investment S.A."/>
    <s v="17/04/2026"/>
    <s v="17/04/2026"/>
    <n v="29"/>
    <s v="No"/>
    <s v=""/>
    <m/>
    <m/>
    <s v="*AFB260500011"/>
    <s v="*AFB260500011"/>
    <n v="1.0426441724447504E-4"/>
  </r>
  <r>
    <x v="47"/>
    <s v="Pesos"/>
    <d v="2026-05-28T00:00:00"/>
    <s v="14/05/2026"/>
    <n v="0.98899912000000001"/>
    <m/>
    <n v="4166666.66"/>
    <n v="4120829.68"/>
    <n v="4166666.66"/>
    <n v="4120829.68"/>
    <n v="13567714"/>
    <s v="AMOMPY"/>
    <s v="Momentum Capital Investment S.A."/>
    <s v="30/04/2026"/>
    <s v="30/04/2026"/>
    <n v="29"/>
    <s v="No"/>
    <s v=""/>
    <m/>
    <m/>
    <s v="*MIL260500048"/>
    <s v="*MIL260500048"/>
    <n v="1.0860876447081914E-4"/>
  </r>
  <r>
    <x v="73"/>
    <s v="Pesos"/>
    <d v="2026-05-28T00:00:00"/>
    <s v="14/05/2026"/>
    <n v="0.99012593000000004"/>
    <m/>
    <n v="36057385.119999997"/>
    <n v="35701352.020000003"/>
    <n v="36057385.119999997"/>
    <n v="35701352.020000003"/>
    <n v="40627724"/>
    <s v="AMOMPY"/>
    <s v="Momentum Capital Investment S.A."/>
    <s v="04/05/2026"/>
    <s v="04/05/2026"/>
    <n v="26"/>
    <s v="No"/>
    <s v=""/>
    <m/>
    <m/>
    <s v="*PRO250500008"/>
    <s v="*PRO250500008"/>
    <n v="9.4094637098177353E-4"/>
  </r>
  <r>
    <x v="8"/>
    <s v="Pesos"/>
    <d v="2026-05-28T00:00:00"/>
    <s v="14/05/2026"/>
    <n v="0.98377448000000001"/>
    <m/>
    <n v="15000000"/>
    <n v="14756617.23"/>
    <n v="15000000"/>
    <n v="14756617.23"/>
    <n v="13318379"/>
    <s v="AMOMPY"/>
    <s v="Momentum Capital Investment S.A."/>
    <s v="17/03/2026"/>
    <s v="17/03/2026"/>
    <n v="43"/>
    <s v="No"/>
    <s v=""/>
    <m/>
    <m/>
    <s v="*MAV250500535"/>
    <s v="*MAV250500535"/>
    <n v="3.8892603906869099E-4"/>
  </r>
  <r>
    <x v="8"/>
    <s v="Pesos"/>
    <d v="2026-05-28T00:00:00"/>
    <s v="14/05/2026"/>
    <n v="0.98377448000000001"/>
    <m/>
    <n v="15000000"/>
    <n v="14756617.23"/>
    <n v="15000000"/>
    <n v="14756617.23"/>
    <n v="13318380"/>
    <s v="AMOMPY"/>
    <s v="Momentum Capital Investment S.A."/>
    <s v="17/03/2026"/>
    <s v="17/03/2026"/>
    <n v="43"/>
    <s v="No"/>
    <s v=""/>
    <m/>
    <m/>
    <s v="*MAV260501268"/>
    <s v="*MAV260501268"/>
    <n v="3.8892603906869099E-4"/>
  </r>
  <r>
    <x v="8"/>
    <s v="Pesos"/>
    <d v="2026-05-28T00:00:00"/>
    <s v="14/05/2026"/>
    <n v="0.98451749"/>
    <m/>
    <n v="10000000"/>
    <n v="9845174.9000000004"/>
    <n v="10000000"/>
    <n v="9845174.9000000004"/>
    <n v="13447286"/>
    <s v="AMOMPY"/>
    <s v="Momentum Capital Investment S.A."/>
    <s v="01/04/2026"/>
    <s v="01/04/2026"/>
    <n v="41"/>
    <s v="No"/>
    <s v=""/>
    <m/>
    <m/>
    <s v="*MAV260501354"/>
    <s v="*MAV260501354"/>
    <n v="2.5947985355418047E-4"/>
  </r>
  <r>
    <x v="51"/>
    <s v="Pesos"/>
    <d v="2026-05-28T00:00:00"/>
    <s v="14/05/2026"/>
    <n v="0.98637993000000002"/>
    <m/>
    <n v="5000000"/>
    <n v="4931899.67"/>
    <n v="5000000"/>
    <n v="4931899.67"/>
    <n v="13420537"/>
    <s v="AMOMPY"/>
    <s v="Momentum Capital Investment S.A."/>
    <s v="10/04/2026"/>
    <s v="10/04/2026"/>
    <n v="36"/>
    <s v="No"/>
    <s v=""/>
    <m/>
    <m/>
    <s v="*MAV240501044"/>
    <s v="*MAV240501044"/>
    <n v="1.2998536004835332E-4"/>
  </r>
  <r>
    <x v="74"/>
    <s v="Pesos"/>
    <d v="2026-05-29T00:00:00"/>
    <s v="14/05/2026"/>
    <n v="0.98582046000000001"/>
    <m/>
    <n v="2022434.47"/>
    <n v="1993757.27"/>
    <n v="2022434.47"/>
    <n v="1993757.27"/>
    <n v="50234840"/>
    <s v="AMOMPY"/>
    <s v="Momentum Capital Investment S.A."/>
    <s v="17/04/2026"/>
    <s v="17/04/2026"/>
    <n v="35"/>
    <s v="No"/>
    <s v=""/>
    <m/>
    <m/>
    <s v="*MAV270501377"/>
    <s v="*MAV270501377"/>
    <n v="5.2547552450508791E-5"/>
  </r>
  <r>
    <x v="67"/>
    <s v="Pesos"/>
    <d v="2026-05-29T00:00:00"/>
    <s v="14/05/2026"/>
    <n v="0.98462380999999999"/>
    <m/>
    <n v="4000000"/>
    <n v="3938495.24"/>
    <n v="4000000"/>
    <n v="3938495.24"/>
    <n v="90025536"/>
    <s v="AMOMPY"/>
    <s v="Momentum Capital Investment S.A."/>
    <s v="22/04/2026"/>
    <s v="22/04/2026"/>
    <n v="38"/>
    <s v="No"/>
    <s v=""/>
    <m/>
    <m/>
    <s v="*MAV270501408"/>
    <s v="*MAV270501408"/>
    <n v="1.0380315011966287E-4"/>
  </r>
  <r>
    <x v="73"/>
    <s v="Pesos"/>
    <d v="2026-05-29T00:00:00"/>
    <s v="14/05/2026"/>
    <n v="0.98942812000000002"/>
    <m/>
    <n v="14000000"/>
    <n v="13851993.65"/>
    <n v="14000000"/>
    <n v="13851993.65"/>
    <n v="60"/>
    <s v="AMOMPY"/>
    <s v="Momentum Capital Investment S.A."/>
    <s v="22/04/2026"/>
    <s v="22/04/2026"/>
    <n v="26"/>
    <s v="No"/>
    <s v=""/>
    <m/>
    <m/>
    <s v="*PRO270500016"/>
    <s v="*PRO270500016"/>
    <n v="3.6508374104511214E-4"/>
  </r>
  <r>
    <x v="8"/>
    <s v="Pesos"/>
    <d v="2026-05-29T00:00:00"/>
    <s v="14/05/2026"/>
    <n v="0.98263562000000004"/>
    <m/>
    <n v="15000000"/>
    <n v="14739534.26"/>
    <n v="15000000"/>
    <n v="14739534.26"/>
    <n v="13318382"/>
    <s v="AMOMPY"/>
    <s v="Momentum Capital Investment S.A."/>
    <s v="17/03/2026"/>
    <s v="17/03/2026"/>
    <n v="43"/>
    <s v="No"/>
    <s v=""/>
    <m/>
    <m/>
    <s v="*MAV270501167"/>
    <s v="*MAV270501167"/>
    <n v="3.8847579957585371E-4"/>
  </r>
  <r>
    <x v="9"/>
    <s v="Pesos"/>
    <d v="2026-05-29T00:00:00"/>
    <s v="14/05/2026"/>
    <n v="0.98983056000000003"/>
    <m/>
    <n v="338800"/>
    <n v="335354.59000000003"/>
    <n v="338800"/>
    <n v="335354.59000000003"/>
    <n v="1725469"/>
    <s v="AMOMPY"/>
    <s v="Momentum Capital Investment S.A."/>
    <s v="17/04/2026"/>
    <s v="17/04/2026"/>
    <n v="25"/>
    <s v="No"/>
    <s v=""/>
    <m/>
    <m/>
    <s v="*MOV270500057"/>
    <s v="*MOV270500057"/>
    <n v="8.8386200129285909E-6"/>
  </r>
  <r>
    <x v="9"/>
    <s v="Pesos"/>
    <d v="2026-05-29T00:00:00"/>
    <s v="14/05/2026"/>
    <n v="0.98983054999999998"/>
    <m/>
    <n v="1000000"/>
    <n v="989830.55"/>
    <n v="1000000"/>
    <n v="989830.55"/>
    <n v="3370"/>
    <s v="AMOMPY"/>
    <s v="Momentum Capital Investment S.A."/>
    <s v="17/04/2026"/>
    <s v="17/04/2026"/>
    <n v="25"/>
    <s v="No"/>
    <s v=""/>
    <m/>
    <m/>
    <s v="*MOV270500056"/>
    <s v="*MOV270500056"/>
    <n v="2.6088016593534962E-5"/>
  </r>
  <r>
    <x v="25"/>
    <s v="Pesos"/>
    <d v="2026-05-29T00:00:00"/>
    <s v="14/05/2026"/>
    <n v="0.98902588000000002"/>
    <m/>
    <n v="18502460.120000001"/>
    <n v="18299411.989999998"/>
    <n v="18502460.120000001"/>
    <n v="18299411.989999998"/>
    <n v="1504"/>
    <s v="AMOMPY"/>
    <s v="Momentum Capital Investment S.A."/>
    <s v="01/04/2026"/>
    <s v="01/04/2026"/>
    <n v="27"/>
    <s v="No"/>
    <s v=""/>
    <m/>
    <m/>
    <s v="%INC280500015"/>
    <s v="%INC280500015"/>
    <n v="4.8230009030035754E-4"/>
  </r>
  <r>
    <x v="8"/>
    <s v="Pesos"/>
    <d v="2026-05-29T00:00:00"/>
    <s v="14/05/2026"/>
    <n v="0.98263564999999997"/>
    <m/>
    <n v="20000000"/>
    <n v="19652712.91"/>
    <n v="20000000"/>
    <n v="19652712.91"/>
    <n v="13237784"/>
    <s v="AMOMPY"/>
    <s v="Momentum Capital Investment S.A."/>
    <s v="11/03/2026"/>
    <s v="11/03/2026"/>
    <n v="43"/>
    <s v="No"/>
    <s v=""/>
    <m/>
    <m/>
    <s v="*MAV270501149"/>
    <s v="*MAV270501149"/>
    <n v="5.179677476150425E-4"/>
  </r>
  <r>
    <x v="8"/>
    <s v="Pesos"/>
    <d v="2026-05-29T00:00:00"/>
    <s v="14/05/2026"/>
    <n v="0.98342989000000003"/>
    <m/>
    <n v="10000000"/>
    <n v="9834298.9199999999"/>
    <n v="10000000"/>
    <n v="9834298.9199999999"/>
    <n v="13447287"/>
    <s v="AMOMPY"/>
    <s v="Momentum Capital Investment S.A."/>
    <s v="01/04/2026"/>
    <s v="01/04/2026"/>
    <n v="41"/>
    <s v="No"/>
    <s v=""/>
    <m/>
    <m/>
    <s v="*MAV270501238"/>
    <s v="*MAV270501238"/>
    <n v="2.5919320575702878E-4"/>
  </r>
  <r>
    <x v="39"/>
    <s v="Pesos"/>
    <d v="2026-05-29T00:00:00"/>
    <s v="14/05/2026"/>
    <n v="0.98542118999999995"/>
    <m/>
    <n v="50000000"/>
    <n v="49271059.5"/>
    <n v="50000000"/>
    <n v="49271059.5"/>
    <n v="4350"/>
    <s v="AMOMPY"/>
    <s v="Momentum Capital Investment S.A."/>
    <s v="11/03/2026"/>
    <s v="11/03/2026"/>
    <n v="36"/>
    <s v="No"/>
    <s v=""/>
    <m/>
    <m/>
    <s v="*MAV270501150"/>
    <s v="*MAV270501150"/>
    <n v="1.2985901655763689E-3"/>
  </r>
  <r>
    <x v="23"/>
    <s v="Pesos"/>
    <d v="2026-05-29T00:00:00"/>
    <s v="14/05/2026"/>
    <n v="0.98462380999999999"/>
    <m/>
    <n v="50000000"/>
    <n v="49231190.700000003"/>
    <n v="50000000"/>
    <n v="49231190.700000003"/>
    <n v="2608"/>
    <s v="AMOMPY"/>
    <s v="Momentum Capital Investment S.A."/>
    <s v="22/04/2026"/>
    <s v="22/04/2026"/>
    <n v="38"/>
    <s v="No"/>
    <s v=""/>
    <m/>
    <m/>
    <s v="*MAV270501407"/>
    <s v="*MAV270501407"/>
    <n v="1.2975393817669944E-3"/>
  </r>
  <r>
    <x v="58"/>
    <s v="Pesos"/>
    <d v="2026-05-29T00:00:00"/>
    <s v="14/05/2026"/>
    <n v="0.98342993000000001"/>
    <m/>
    <n v="129000000"/>
    <n v="126862460.73999999"/>
    <n v="129000000"/>
    <n v="126862460.73999999"/>
    <n v="70376404"/>
    <s v="AMOMPY"/>
    <s v="Momentum Capital Investment S.A."/>
    <s v="20/04/2026"/>
    <s v="20/04/2026"/>
    <n v="41"/>
    <s v="No"/>
    <s v=""/>
    <m/>
    <m/>
    <s v="*MAV270501378"/>
    <s v="*MAV270501378"/>
    <n v="3.3435924774011037E-3"/>
  </r>
  <r>
    <x v="75"/>
    <s v="Pesos"/>
    <d v="2026-05-29T00:00:00"/>
    <s v="14/05/2026"/>
    <n v="0.98382753000000001"/>
    <m/>
    <n v="9000000"/>
    <n v="8854447.75"/>
    <n v="9000000"/>
    <n v="8854447.75"/>
    <n v="172"/>
    <s v="AMOMPY"/>
    <s v="Momentum Capital Investment S.A."/>
    <s v="12/12/2025"/>
    <s v="12/12/2025"/>
    <n v="40"/>
    <s v="No"/>
    <s v=""/>
    <m/>
    <m/>
    <s v="*MAV270501010"/>
    <s v="*MAV270501010"/>
    <n v="2.3336820613244184E-4"/>
  </r>
  <r>
    <x v="67"/>
    <s v="Pesos"/>
    <d v="2026-06-01T00:00:00"/>
    <s v="14/05/2026"/>
    <n v="0.98160499999999995"/>
    <m/>
    <n v="4000000"/>
    <n v="3926419.99"/>
    <n v="4000000"/>
    <n v="3926419.99"/>
    <n v="90025537"/>
    <s v="AMOMPY"/>
    <s v="Momentum Capital Investment S.A."/>
    <s v="22/04/2026"/>
    <s v="22/04/2026"/>
    <n v="38"/>
    <s v="No"/>
    <s v=""/>
    <m/>
    <m/>
    <s v="*MAV280501164"/>
    <s v="*MAV280501164"/>
    <n v="1.0348489431075589E-4"/>
  </r>
  <r>
    <x v="76"/>
    <s v="Pesos"/>
    <d v="2026-06-01T00:00:00"/>
    <s v="14/05/2026"/>
    <n v="0.98160502999999999"/>
    <m/>
    <n v="1082000000"/>
    <n v="1062096639.21"/>
    <n v="1082000000"/>
    <n v="1062096639.21"/>
    <n v="1"/>
    <s v="AMOMPY"/>
    <s v="Momentum Capital Investment S.A."/>
    <s v="25/03/2026"/>
    <s v="25/03/2026"/>
    <n v="38"/>
    <s v="No"/>
    <s v=""/>
    <m/>
    <m/>
    <s v="*MAV280501008"/>
    <s v="*MAV280501008"/>
    <n v="2.7992664752212584E-2"/>
  </r>
  <r>
    <x v="63"/>
    <s v="Pesos"/>
    <d v="2026-06-01T00:00:00"/>
    <s v="14/05/2026"/>
    <n v="0.98255634999999997"/>
    <m/>
    <n v="1000000"/>
    <n v="982556.35"/>
    <n v="1000000"/>
    <n v="982556.35"/>
    <n v="22"/>
    <s v="AMOMPY"/>
    <s v="Momentum Capital Investment S.A."/>
    <s v="10/04/2026"/>
    <s v="10/04/2026"/>
    <n v="36"/>
    <s v="No"/>
    <s v=""/>
    <m/>
    <m/>
    <s v="*MAV280501110"/>
    <s v="*MAV280501110"/>
    <n v="2.5896297465140011E-5"/>
  </r>
  <r>
    <x v="24"/>
    <s v="Pesos"/>
    <d v="2026-06-01T00:00:00"/>
    <s v="14/05/2026"/>
    <n v="0.98065559000000002"/>
    <m/>
    <n v="10000000"/>
    <n v="9806555.9199999999"/>
    <n v="10000000"/>
    <n v="9806555.9199999999"/>
    <n v="1340"/>
    <s v="AMOMPY"/>
    <s v="Momentum Capital Investment S.A."/>
    <s v="24/02/2026"/>
    <s v="24/02/2026"/>
    <n v="40"/>
    <s v="No"/>
    <s v=""/>
    <m/>
    <m/>
    <s v="*MAV280500914"/>
    <s v="*MAV280500914"/>
    <n v="2.584620100545376E-4"/>
  </r>
  <r>
    <x v="77"/>
    <s v="Pesos"/>
    <d v="2026-06-01T00:00:00"/>
    <s v="14/05/2026"/>
    <n v="0.98590029000000001"/>
    <m/>
    <n v="6530318"/>
    <n v="6438242.3799999999"/>
    <n v="6530318"/>
    <n v="6438242.3799999999"/>
    <n v="67"/>
    <s v="AMOMPY"/>
    <s v="Momentum Capital Investment S.A."/>
    <s v="29/01/2026"/>
    <s v="29/01/2026"/>
    <n v="29"/>
    <s v="No"/>
    <s v=""/>
    <m/>
    <m/>
    <s v="*ACI280500169"/>
    <s v="*ACI280500169"/>
    <n v="1.6968659336958231E-4"/>
  </r>
  <r>
    <x v="8"/>
    <s v="Pesos"/>
    <d v="2026-06-01T00:00:00"/>
    <s v="14/05/2026"/>
    <n v="0.97923486999999998"/>
    <m/>
    <n v="15000000"/>
    <n v="14688523.09"/>
    <n v="15000000"/>
    <n v="14688523.09"/>
    <n v="13318381"/>
    <s v="AMOMPY"/>
    <s v="Momentum Capital Investment S.A."/>
    <s v="17/03/2026"/>
    <s v="17/03/2026"/>
    <n v="43"/>
    <s v="No"/>
    <s v=""/>
    <m/>
    <m/>
    <s v="*MAV280500981"/>
    <s v="*MAV280500981"/>
    <n v="3.8713134698301787E-4"/>
  </r>
  <r>
    <x v="9"/>
    <s v="Pesos"/>
    <d v="2026-06-01T00:00:00"/>
    <s v="14/05/2026"/>
    <n v="0.98782141999999995"/>
    <m/>
    <n v="211844.86"/>
    <n v="209264.89"/>
    <n v="211844.86"/>
    <n v="209264.89"/>
    <n v="90016916"/>
    <s v="AMOMPY"/>
    <s v="Momentum Capital Investment S.A."/>
    <s v="17/04/2026"/>
    <s v="17/04/2026"/>
    <n v="25"/>
    <s v="No"/>
    <s v=""/>
    <m/>
    <m/>
    <s v="*MOV280500053"/>
    <s v="*MOV280500053"/>
    <n v="5.5153944508625927E-6"/>
  </r>
  <r>
    <x v="28"/>
    <s v="Pesos"/>
    <d v="2026-06-01T00:00:00"/>
    <s v="14/05/2026"/>
    <n v="0.98065559000000002"/>
    <m/>
    <n v="25000000"/>
    <n v="24516389.859999999"/>
    <n v="25000000"/>
    <n v="24516389.859999999"/>
    <n v="475861"/>
    <s v="AMOMPY"/>
    <s v="Momentum Capital Investment S.A."/>
    <s v="30/01/2026"/>
    <s v="30/01/2026"/>
    <n v="40"/>
    <s v="No"/>
    <s v=""/>
    <m/>
    <m/>
    <s v="*MAV280500884"/>
    <s v="*MAV280500884"/>
    <n v="6.4615502671770664E-4"/>
  </r>
  <r>
    <x v="8"/>
    <s v="Pesos"/>
    <d v="2026-06-01T00:00:00"/>
    <s v="14/05/2026"/>
    <n v="0.97923490000000002"/>
    <m/>
    <n v="20000000"/>
    <n v="19584698.07"/>
    <n v="20000000"/>
    <n v="19584698.07"/>
    <n v="13237785"/>
    <s v="AMOMPY"/>
    <s v="Momentum Capital Investment S.A."/>
    <s v="11/03/2026"/>
    <s v="11/03/2026"/>
    <n v="43"/>
    <s v="No"/>
    <s v=""/>
    <m/>
    <m/>
    <s v="*MAV280500971"/>
    <s v="*MAV280500971"/>
    <n v="5.1617514556358366E-4"/>
  </r>
  <r>
    <x v="8"/>
    <s v="Pesos"/>
    <d v="2026-06-01T00:00:00"/>
    <s v="14/05/2026"/>
    <n v="0.98018156999999995"/>
    <m/>
    <n v="10000000"/>
    <n v="9801815.6899999995"/>
    <n v="10000000"/>
    <n v="9801815.6899999995"/>
    <n v="13447288"/>
    <s v="AMOMPY"/>
    <s v="Momentum Capital Investment S.A."/>
    <s v="01/04/2026"/>
    <s v="01/04/2026"/>
    <n v="41"/>
    <s v="No"/>
    <s v=""/>
    <m/>
    <m/>
    <s v="*MAV280501043"/>
    <s v="*MAV280501043"/>
    <n v="2.5833707634856422E-4"/>
  </r>
  <r>
    <x v="50"/>
    <s v="Pesos"/>
    <d v="2026-06-01T00:00:00"/>
    <s v="14/05/2026"/>
    <n v="0.98160512"/>
    <m/>
    <n v="280000000"/>
    <n v="274849434.72000003"/>
    <n v="280000000"/>
    <n v="274849434.72000003"/>
    <n v="66454683"/>
    <s v="AMOMPY"/>
    <s v="Momentum Capital Investment S.A."/>
    <s v="28/04/2026"/>
    <s v="28/04/2026"/>
    <n v="38"/>
    <s v="No"/>
    <s v=""/>
    <m/>
    <m/>
    <s v="*MAV280501191"/>
    <s v="*MAV280501191"/>
    <n v="7.2439435352839579E-3"/>
  </r>
  <r>
    <x v="75"/>
    <s v="Pesos"/>
    <d v="2026-06-01T00:00:00"/>
    <s v="14/05/2026"/>
    <n v="0.98065559999999996"/>
    <m/>
    <n v="5000000"/>
    <n v="4903278"/>
    <n v="5000000"/>
    <n v="4903278"/>
    <n v="209"/>
    <s v="AMOMPY"/>
    <s v="Momentum Capital Investment S.A."/>
    <s v="03/02/2026"/>
    <s v="03/02/2026"/>
    <n v="40"/>
    <s v="No"/>
    <s v=""/>
    <m/>
    <m/>
    <s v="*MAV280500888"/>
    <s v="*MAV280500888"/>
    <n v="1.2923100608151054E-4"/>
  </r>
  <r>
    <x v="67"/>
    <s v="Pesos"/>
    <d v="2026-06-02T00:00:00"/>
    <s v="14/05/2026"/>
    <n v="0.980603"/>
    <m/>
    <n v="2500000"/>
    <n v="2451507.5"/>
    <n v="2500000"/>
    <n v="2451507.5"/>
    <n v="90025538"/>
    <s v="AMOMPY"/>
    <s v="Momentum Capital Investment S.A."/>
    <s v="22/04/2026"/>
    <s v="22/04/2026"/>
    <n v="38"/>
    <s v="No"/>
    <s v=""/>
    <m/>
    <m/>
    <s v="*MAV290501330"/>
    <s v="*MAV290501330"/>
    <n v="6.461203722109346E-5"/>
  </r>
  <r>
    <x v="36"/>
    <s v="Pesos"/>
    <d v="2026-06-02T00:00:00"/>
    <s v="14/05/2026"/>
    <n v="0.98210686000000003"/>
    <m/>
    <n v="10000000"/>
    <n v="9821068.5600000005"/>
    <n v="10000000"/>
    <n v="9821068.5600000005"/>
    <n v="382"/>
    <s v="AMOMPY"/>
    <s v="Momentum Capital Investment S.A."/>
    <s v="20/04/2026"/>
    <s v="17/04/2026"/>
    <n v="35"/>
    <s v="No"/>
    <s v=""/>
    <m/>
    <m/>
    <s v="*MAV290501299"/>
    <s v="*MAV290501299"/>
    <n v="2.5884450581922786E-4"/>
  </r>
  <r>
    <x v="63"/>
    <s v="Pesos"/>
    <d v="2026-06-02T00:00:00"/>
    <s v="14/05/2026"/>
    <n v="0.98160504999999998"/>
    <m/>
    <n v="1000000"/>
    <n v="981605.05"/>
    <n v="1000000"/>
    <n v="981605.05"/>
    <n v="23"/>
    <s v="AMOMPY"/>
    <s v="Momentum Capital Investment S.A."/>
    <s v="10/04/2026"/>
    <s v="10/04/2026"/>
    <n v="36"/>
    <s v="No"/>
    <s v=""/>
    <m/>
    <m/>
    <s v="*MAV290501240"/>
    <s v="*MAV290501240"/>
    <n v="2.5871224961381233E-5"/>
  </r>
  <r>
    <x v="33"/>
    <s v="Pesos"/>
    <d v="2026-06-02T00:00:00"/>
    <s v="14/05/2026"/>
    <n v="0.97661476999999997"/>
    <m/>
    <n v="10000000"/>
    <n v="9766147.6500000004"/>
    <n v="10000000"/>
    <n v="9766147.6500000004"/>
    <n v="3922"/>
    <s v="AMOMPY"/>
    <s v="Momentum Capital Investment S.A."/>
    <s v="11/08/2025"/>
    <s v="11/08/2025"/>
    <n v="46"/>
    <s v="No"/>
    <s v=""/>
    <m/>
    <m/>
    <s v="*MAV290500940"/>
    <s v="*MAV290500940"/>
    <n v="2.5739700795061584E-4"/>
  </r>
  <r>
    <x v="34"/>
    <s v="Pesos"/>
    <d v="2026-06-02T00:00:00"/>
    <s v="14/05/2026"/>
    <n v="0.97661480000000001"/>
    <m/>
    <n v="25000000"/>
    <n v="24415369.989999998"/>
    <n v="25000000"/>
    <n v="24415369.989999998"/>
    <n v="3903"/>
    <s v="AMOMPY"/>
    <s v="Momentum Capital Investment S.A."/>
    <s v="18/02/2026"/>
    <s v="18/02/2026"/>
    <n v="46"/>
    <s v="No"/>
    <s v=""/>
    <m/>
    <m/>
    <s v="*MAV290501003"/>
    <s v="*MAV290501003"/>
    <n v="6.4349254267451683E-4"/>
  </r>
  <r>
    <x v="47"/>
    <s v="Pesos"/>
    <d v="2026-06-02T00:00:00"/>
    <s v="14/05/2026"/>
    <n v="0.98563405000000004"/>
    <m/>
    <n v="8500000"/>
    <n v="8377889.4000000004"/>
    <n v="8500000"/>
    <n v="8377889.4000000004"/>
    <n v="14090"/>
    <s v="AMOMPY"/>
    <s v="Momentum Capital Investment S.A."/>
    <s v="01/04/2026"/>
    <s v="01/04/2026"/>
    <n v="28"/>
    <s v="No"/>
    <s v=""/>
    <m/>
    <m/>
    <s v="*MIL290500054"/>
    <s v="*MIL290500054"/>
    <n v="2.2080801374134255E-4"/>
  </r>
  <r>
    <x v="47"/>
    <s v="Pesos"/>
    <d v="2026-06-02T00:00:00"/>
    <s v="14/05/2026"/>
    <n v="0.98512860999999996"/>
    <m/>
    <n v="26000000"/>
    <n v="25613343.800000001"/>
    <n v="26000000"/>
    <n v="25613343.800000001"/>
    <n v="65889051"/>
    <s v="AMOMPY"/>
    <s v="Momentum Capital Investment S.A."/>
    <s v="01/04/2026"/>
    <s v="01/04/2026"/>
    <n v="29"/>
    <s v="No"/>
    <s v=""/>
    <m/>
    <m/>
    <s v="*MIL290500053"/>
    <s v="*MIL290500053"/>
    <n v="6.7506639199034198E-4"/>
  </r>
  <r>
    <x v="37"/>
    <s v="Pesos"/>
    <d v="2026-06-02T00:00:00"/>
    <s v="14/05/2026"/>
    <n v="0.98512867000000004"/>
    <m/>
    <n v="12500000"/>
    <n v="12314108.369999999"/>
    <n v="12500000"/>
    <n v="12314108.369999999"/>
    <n v="28996514"/>
    <s v="AMOMPY"/>
    <s v="Momentum Capital Investment S.A."/>
    <s v="31/03/2026"/>
    <s v="31/03/2026"/>
    <n v="29"/>
    <s v="No"/>
    <s v=""/>
    <m/>
    <m/>
    <s v="*AAR290500015"/>
    <s v="*AAR290500015"/>
    <n v="3.2455117039087927E-4"/>
  </r>
  <r>
    <x v="72"/>
    <s v="Pesos"/>
    <d v="2026-06-02T00:00:00"/>
    <s v="14/05/2026"/>
    <n v="0.98512865999999999"/>
    <m/>
    <n v="4000000"/>
    <n v="3940514.63"/>
    <n v="4000000"/>
    <n v="3940514.63"/>
    <n v="840"/>
    <s v="AMOMPY"/>
    <s v="Momentum Capital Investment S.A."/>
    <s v="17/04/2026"/>
    <s v="17/04/2026"/>
    <n v="29"/>
    <s v="No"/>
    <s v=""/>
    <m/>
    <m/>
    <s v="*AFB290500008"/>
    <s v="*AFB290500008"/>
    <n v="1.0385637324944888E-4"/>
  </r>
  <r>
    <x v="78"/>
    <s v="Pesos"/>
    <d v="2026-06-02T00:00:00"/>
    <s v="14/05/2026"/>
    <n v="0.98614014999999999"/>
    <m/>
    <n v="11000000"/>
    <n v="10847541.65"/>
    <n v="11000000"/>
    <n v="10847541.65"/>
    <n v="1626"/>
    <s v="AMOMPY"/>
    <s v="Momentum Capital Investment S.A."/>
    <s v="30/04/2026"/>
    <s v="30/04/2026"/>
    <n v="27"/>
    <s v="No"/>
    <s v=""/>
    <m/>
    <m/>
    <s v="*INP290500057"/>
    <s v="*INP290500057"/>
    <n v="2.8589827477466887E-4"/>
  </r>
  <r>
    <x v="79"/>
    <s v="Pesos"/>
    <d v="2026-06-02T00:00:00"/>
    <s v="14/05/2026"/>
    <n v="0.97910352"/>
    <m/>
    <n v="1016341.51"/>
    <n v="995103.55"/>
    <n v="1016341.51"/>
    <n v="995103.55"/>
    <n v="6675439"/>
    <s v="AMOMPY"/>
    <s v="Momentum Capital Investment S.A."/>
    <s v="01/04/2026"/>
    <s v="01/04/2026"/>
    <n v="41"/>
    <s v="No"/>
    <s v=""/>
    <m/>
    <m/>
    <s v="*MAV290501171"/>
    <s v="*MAV290501171"/>
    <n v="2.622699200856707E-5"/>
  </r>
  <r>
    <x v="80"/>
    <s v="Pesos"/>
    <d v="2026-06-02T00:00:00"/>
    <s v="14/05/2026"/>
    <n v="0.98210684999999998"/>
    <m/>
    <n v="5450000"/>
    <n v="5352482.3499999996"/>
    <n v="5450000"/>
    <n v="5352482.3499999996"/>
    <n v="6923"/>
    <s v="AMOMPY"/>
    <s v="Momentum Capital Investment S.A."/>
    <s v="20/04/2026"/>
    <s v="20/04/2026"/>
    <n v="35"/>
    <s v="No"/>
    <s v=""/>
    <m/>
    <m/>
    <s v="*MAV290501302"/>
    <s v="*MAV290501302"/>
    <n v="1.410702552708673E-4"/>
  </r>
  <r>
    <x v="73"/>
    <s v="Pesos"/>
    <d v="2026-06-02T00:00:00"/>
    <s v="14/05/2026"/>
    <n v="0.98664649000000004"/>
    <m/>
    <n v="19183831"/>
    <n v="18927659.57"/>
    <n v="19183831"/>
    <n v="18927659.57"/>
    <n v="76810"/>
    <s v="AMOMPY"/>
    <s v="Momentum Capital Investment S.A."/>
    <s v="04/05/2026"/>
    <s v="04/05/2026"/>
    <n v="26"/>
    <s v="No"/>
    <s v=""/>
    <m/>
    <m/>
    <s v="*PRO290500016"/>
    <s v="*PRO290500016"/>
    <n v="4.9885821056840562E-4"/>
  </r>
  <r>
    <x v="8"/>
    <s v="Pesos"/>
    <d v="2026-06-02T00:00:00"/>
    <s v="14/05/2026"/>
    <n v="0.97810657999999995"/>
    <m/>
    <n v="15000000"/>
    <n v="14671598.76"/>
    <n v="15000000"/>
    <n v="14671598.76"/>
    <n v="13318383"/>
    <s v="AMOMPY"/>
    <s v="Momentum Capital Investment S.A."/>
    <s v="17/03/2026"/>
    <s v="17/03/2026"/>
    <n v="43"/>
    <s v="No"/>
    <s v=""/>
    <m/>
    <m/>
    <s v="*MAV290501099"/>
    <s v="*MAV290501099"/>
    <n v="3.8668528861285091E-4"/>
  </r>
  <r>
    <x v="9"/>
    <s v="Pesos"/>
    <d v="2026-06-02T00:00:00"/>
    <s v="14/05/2026"/>
    <n v="0.98715352999999995"/>
    <m/>
    <n v="996594"/>
    <n v="983791.28"/>
    <n v="996594"/>
    <n v="983791.28"/>
    <n v="11803477"/>
    <s v="AMOMPY"/>
    <s v="Momentum Capital Investment S.A."/>
    <s v="17/04/2026"/>
    <s v="17/04/2026"/>
    <n v="25"/>
    <s v="No"/>
    <s v=""/>
    <m/>
    <m/>
    <s v="*MOV290500059"/>
    <s v="*MOV290500059"/>
    <n v="2.5928845333390648E-5"/>
  </r>
  <r>
    <x v="9"/>
    <s v="Pesos"/>
    <d v="2026-06-02T00:00:00"/>
    <s v="14/05/2026"/>
    <n v="0.98715346999999998"/>
    <m/>
    <n v="311853.53999999998"/>
    <n v="307847.31"/>
    <n v="311853.53999999998"/>
    <n v="307847.31"/>
    <n v="380"/>
    <s v="AMOMPY"/>
    <s v="Momentum Capital Investment S.A."/>
    <s v="17/04/2026"/>
    <s v="17/04/2026"/>
    <n v="25"/>
    <s v="No"/>
    <s v=""/>
    <m/>
    <m/>
    <s v="*MOV290500060"/>
    <s v="*MOV290500060"/>
    <n v="8.1136369569065136E-6"/>
  </r>
  <r>
    <x v="25"/>
    <s v="Pesos"/>
    <d v="2026-06-02T00:00:00"/>
    <s v="14/05/2026"/>
    <n v="0.97810651999999998"/>
    <m/>
    <n v="92108211.489999995"/>
    <n v="90091641.959999993"/>
    <n v="92108211.489999995"/>
    <n v="90091641.959999993"/>
    <n v="30369297"/>
    <s v="AMOMPY"/>
    <s v="Momentum Capital Investment S.A."/>
    <s v="11/03/2026"/>
    <s v="11/03/2026"/>
    <n v="43"/>
    <s v="No"/>
    <s v=""/>
    <m/>
    <m/>
    <s v="*MAV290501086"/>
    <s v="*MAV290501086"/>
    <n v="2.3744591944462518E-3"/>
  </r>
  <r>
    <x v="25"/>
    <s v="Pesos"/>
    <d v="2026-06-02T00:00:00"/>
    <s v="14/05/2026"/>
    <n v="0.98614005999999998"/>
    <m/>
    <n v="5984924.6299999999"/>
    <n v="5901973.96"/>
    <n v="5984924.6299999999"/>
    <n v="5901973.96"/>
    <n v="2710"/>
    <s v="AMOMPY"/>
    <s v="Momentum Capital Investment S.A."/>
    <s v="31/03/2026"/>
    <s v="31/03/2026"/>
    <n v="27"/>
    <s v="No"/>
    <s v=""/>
    <m/>
    <m/>
    <s v="%INC300500055"/>
    <s v="%INC300500055"/>
    <n v="1.5555267980271091E-4"/>
  </r>
  <r>
    <x v="25"/>
    <s v="Pesos"/>
    <d v="2026-06-02T00:00:00"/>
    <s v="14/05/2026"/>
    <n v="0.98614005999999998"/>
    <m/>
    <n v="15120125.32"/>
    <n v="14910561.34"/>
    <n v="15120125.32"/>
    <n v="14910561.34"/>
    <n v="2711"/>
    <s v="AMOMPY"/>
    <s v="Momentum Capital Investment S.A."/>
    <s v="31/03/2026"/>
    <s v="31/03/2026"/>
    <n v="27"/>
    <s v="No"/>
    <s v=""/>
    <m/>
    <m/>
    <s v="%INC300500056"/>
    <s v="%INC300500056"/>
    <n v="3.9298339666000493E-4"/>
  </r>
  <r>
    <x v="25"/>
    <s v="Pesos"/>
    <d v="2026-06-02T00:00:00"/>
    <s v="14/05/2026"/>
    <n v="0.98614005999999998"/>
    <m/>
    <n v="8520366.0899999999"/>
    <n v="8402274.3300000001"/>
    <n v="8520366.0899999999"/>
    <n v="8402274.3300000001"/>
    <n v="2712"/>
    <s v="AMOMPY"/>
    <s v="Momentum Capital Investment S.A."/>
    <s v="31/03/2026"/>
    <s v="31/03/2026"/>
    <n v="27"/>
    <s v="No"/>
    <s v=""/>
    <m/>
    <m/>
    <s v="%INC300500057"/>
    <s v="%INC300500057"/>
    <n v="2.2145070400633E-4"/>
  </r>
  <r>
    <x v="25"/>
    <s v="Pesos"/>
    <d v="2026-06-02T00:00:00"/>
    <s v="14/05/2026"/>
    <n v="0.98614005999999998"/>
    <m/>
    <n v="7031430"/>
    <n v="6933974.8200000003"/>
    <n v="7031430"/>
    <n v="6933974.8200000003"/>
    <n v="2713"/>
    <s v="AMOMPY"/>
    <s v="Momentum Capital Investment S.A."/>
    <s v="31/03/2026"/>
    <s v="31/03/2026"/>
    <n v="27"/>
    <s v="No"/>
    <s v=""/>
    <m/>
    <m/>
    <s v="%INC300500058"/>
    <s v="%INC300500058"/>
    <n v="1.8275213890227331E-4"/>
  </r>
  <r>
    <x v="25"/>
    <s v="Pesos"/>
    <d v="2026-06-02T00:00:00"/>
    <s v="14/05/2026"/>
    <n v="0.98614005999999998"/>
    <m/>
    <n v="13259548.27"/>
    <n v="13075771.77"/>
    <n v="13259548.27"/>
    <n v="13075771.77"/>
    <n v="2714"/>
    <s v="AMOMPY"/>
    <s v="Momentum Capital Investment S.A."/>
    <s v="31/03/2026"/>
    <s v="31/03/2026"/>
    <n v="27"/>
    <s v="No"/>
    <s v=""/>
    <m/>
    <m/>
    <s v="%INC300500059"/>
    <s v="%INC300500059"/>
    <n v="3.4462560375514374E-4"/>
  </r>
  <r>
    <x v="8"/>
    <s v="Pesos"/>
    <d v="2026-06-02T00:00:00"/>
    <s v="14/05/2026"/>
    <n v="0.97810651999999998"/>
    <m/>
    <n v="20000000"/>
    <n v="19562130.350000001"/>
    <n v="20000000"/>
    <n v="19562130.350000001"/>
    <n v="13237786"/>
    <s v="AMOMPY"/>
    <s v="Momentum Capital Investment S.A."/>
    <s v="11/03/2026"/>
    <s v="11/03/2026"/>
    <n v="43"/>
    <s v="No"/>
    <s v=""/>
    <m/>
    <m/>
    <s v="*MAV290501085"/>
    <s v="*MAV290501085"/>
    <n v="5.1558034976359728E-4"/>
  </r>
  <r>
    <x v="8"/>
    <s v="Pesos"/>
    <d v="2026-06-02T00:00:00"/>
    <s v="14/05/2026"/>
    <n v="0.97910352"/>
    <m/>
    <n v="10000000"/>
    <n v="9791035.1999999993"/>
    <n v="10000000"/>
    <n v="9791035.1999999993"/>
    <n v="13447289"/>
    <s v="AMOMPY"/>
    <s v="Momentum Capital Investment S.A."/>
    <s v="01/04/2026"/>
    <s v="01/04/2026"/>
    <n v="41"/>
    <s v="No"/>
    <s v=""/>
    <m/>
    <m/>
    <s v="*MAV290501170"/>
    <s v="*MAV290501170"/>
    <n v="2.5805294528996392E-4"/>
  </r>
  <r>
    <x v="27"/>
    <s v="Pesos"/>
    <d v="2026-06-02T00:00:00"/>
    <s v="14/05/2026"/>
    <n v="0.97960294000000003"/>
    <m/>
    <n v="100000000"/>
    <n v="97960293.810000002"/>
    <n v="100000000"/>
    <n v="97960293.810000002"/>
    <n v="609"/>
    <s v="AMOMPY"/>
    <s v="Momentum Capital Investment S.A."/>
    <s v="29/04/2026"/>
    <s v="29/04/2026"/>
    <n v="40"/>
    <s v="No"/>
    <s v=""/>
    <m/>
    <m/>
    <s v="*MAV290501434"/>
    <s v="*MAV290501434"/>
    <n v="2.581845721394273E-3"/>
  </r>
  <r>
    <x v="81"/>
    <s v="Pesos"/>
    <d v="2026-06-02T00:00:00"/>
    <s v="14/05/2026"/>
    <n v="0.98260928999999997"/>
    <m/>
    <n v="10000000"/>
    <n v="9826092.9100000001"/>
    <n v="10000000"/>
    <n v="9826092.9100000001"/>
    <n v="16813"/>
    <s v="AMOMPY"/>
    <s v="Momentum Capital Investment S.A."/>
    <s v="29/04/2026"/>
    <s v="29/04/2026"/>
    <n v="34"/>
    <s v="No"/>
    <s v=""/>
    <m/>
    <m/>
    <s v="*MAV290501433"/>
    <s v="*MAV290501433"/>
    <n v="2.5897692780415421E-4"/>
  </r>
  <r>
    <x v="67"/>
    <s v="Pesos"/>
    <d v="2026-06-03T00:00:00"/>
    <s v="14/05/2026"/>
    <n v="0.97960287999999995"/>
    <m/>
    <n v="3000000"/>
    <n v="2938808.63"/>
    <n v="3000000"/>
    <n v="2938808.63"/>
    <n v="90025540"/>
    <s v="AMOMPY"/>
    <s v="Momentum Capital Investment S.A."/>
    <s v="22/04/2026"/>
    <s v="22/04/2026"/>
    <n v="38"/>
    <s v="No"/>
    <s v=""/>
    <m/>
    <m/>
    <s v="*MAV310501443"/>
    <s v="*MAV310501443"/>
    <n v="7.7455366784409454E-5"/>
  </r>
  <r>
    <x v="67"/>
    <s v="Pesos"/>
    <d v="2026-06-03T00:00:00"/>
    <s v="14/05/2026"/>
    <n v="0.97960287999999995"/>
    <m/>
    <n v="2500000"/>
    <n v="2449007.19"/>
    <n v="2500000"/>
    <n v="2449007.19"/>
    <n v="90025539"/>
    <s v="AMOMPY"/>
    <s v="Momentum Capital Investment S.A."/>
    <s v="22/04/2026"/>
    <s v="22/04/2026"/>
    <n v="38"/>
    <s v="No"/>
    <s v=""/>
    <m/>
    <m/>
    <s v="*MAV300501634"/>
    <s v="*MAV300501634"/>
    <n v="6.4546138943081136E-5"/>
  </r>
  <r>
    <x v="60"/>
    <s v="Pesos"/>
    <d v="2026-06-03T00:00:00"/>
    <s v="14/05/2026"/>
    <n v="0.97698079999999998"/>
    <m/>
    <n v="4896000"/>
    <n v="4783297.99"/>
    <n v="4896000"/>
    <n v="4783297.99"/>
    <n v="178"/>
    <s v="AMOMPY"/>
    <s v="Momentum Capital Investment S.A."/>
    <s v="17/03/2026"/>
    <s v="17/03/2026"/>
    <n v="43"/>
    <s v="No"/>
    <s v=""/>
    <m/>
    <m/>
    <s v="*MAV300501454"/>
    <s v="*MAV300501454"/>
    <n v="1.2606880777214083E-4"/>
  </r>
  <r>
    <x v="82"/>
    <s v="Pesos"/>
    <d v="2026-06-03T00:00:00"/>
    <s v="14/05/2026"/>
    <n v="0.97802789999999995"/>
    <m/>
    <n v="2000000"/>
    <n v="1956055.8"/>
    <n v="2000000"/>
    <n v="1956055.8"/>
    <n v="832"/>
    <s v="AMOMPY"/>
    <s v="Momentum Capital Investment S.A."/>
    <s v="27/03/2026"/>
    <s v="27/03/2026"/>
    <n v="41"/>
    <s v="No"/>
    <s v=""/>
    <m/>
    <m/>
    <s v="*MAV300501489"/>
    <s v="*MAV300501489"/>
    <n v="5.1553890883929886E-5"/>
  </r>
  <r>
    <x v="82"/>
    <s v="Pesos"/>
    <d v="2026-06-03T00:00:00"/>
    <s v="14/05/2026"/>
    <n v="0.97802789999999995"/>
    <m/>
    <n v="2000000"/>
    <n v="1956055.8"/>
    <n v="2000000"/>
    <n v="1956055.8"/>
    <n v="830"/>
    <s v="AMOMPY"/>
    <s v="Momentum Capital Investment S.A."/>
    <s v="27/03/2026"/>
    <s v="27/03/2026"/>
    <n v="41"/>
    <s v="No"/>
    <s v=""/>
    <m/>
    <m/>
    <s v="*MAV300501490"/>
    <s v="*MAV300501490"/>
    <n v="5.1553890883929886E-5"/>
  </r>
  <r>
    <x v="82"/>
    <s v="Pesos"/>
    <d v="2026-06-03T00:00:00"/>
    <s v="14/05/2026"/>
    <n v="0.97802796000000003"/>
    <m/>
    <n v="2000000"/>
    <n v="1956055.92"/>
    <n v="2000000"/>
    <n v="1956055.92"/>
    <n v="831"/>
    <s v="AMOMPY"/>
    <s v="Momentum Capital Investment S.A."/>
    <s v="01/04/2026"/>
    <s v="01/04/2026"/>
    <n v="41"/>
    <s v="No"/>
    <s v=""/>
    <m/>
    <m/>
    <s v="*MAV300501510"/>
    <s v="*MAV300501510"/>
    <n v="5.1553894046655047E-5"/>
  </r>
  <r>
    <x v="62"/>
    <s v="Pesos"/>
    <d v="2026-06-03T00:00:00"/>
    <s v="14/05/2026"/>
    <n v="0.97855230000000004"/>
    <m/>
    <n v="2000000"/>
    <n v="1957104.59"/>
    <n v="2000000"/>
    <n v="1957104.59"/>
    <n v="37"/>
    <s v="AMOMPY"/>
    <s v="Momentum Capital Investment S.A."/>
    <s v="30/03/2026"/>
    <s v="30/03/2026"/>
    <n v="40"/>
    <s v="No"/>
    <s v=""/>
    <m/>
    <m/>
    <s v="*MAV300501499"/>
    <s v="*MAV300501499"/>
    <n v="5.1581532838326155E-5"/>
  </r>
  <r>
    <x v="83"/>
    <s v="Pesos"/>
    <d v="2026-06-03T00:00:00"/>
    <s v="14/05/2026"/>
    <n v="0.97802796000000003"/>
    <m/>
    <n v="2000000"/>
    <n v="1956055.92"/>
    <n v="2000000"/>
    <n v="1956055.92"/>
    <n v="12384439"/>
    <s v="AMOMPY"/>
    <s v="Momentum Capital Investment S.A."/>
    <s v="01/04/2026"/>
    <s v="01/04/2026"/>
    <n v="41"/>
    <s v="No"/>
    <s v=""/>
    <m/>
    <m/>
    <s v="*MAV300501509"/>
    <s v="*MAV300501509"/>
    <n v="5.1553894046655047E-5"/>
  </r>
  <r>
    <x v="84"/>
    <s v="Pesos"/>
    <d v="2026-06-03T00:00:00"/>
    <s v="14/05/2026"/>
    <n v="0.97802796000000003"/>
    <m/>
    <n v="1153417.1599999999"/>
    <n v="1128074.23"/>
    <n v="1153417.1599999999"/>
    <n v="1128074.23"/>
    <n v="65844868"/>
    <s v="AMOMPY"/>
    <s v="Momentum Capital Investment S.A."/>
    <s v="01/04/2026"/>
    <s v="01/04/2026"/>
    <n v="41"/>
    <s v="No"/>
    <s v=""/>
    <m/>
    <m/>
    <s v="*MAV310501387"/>
    <s v="*MAV310501387"/>
    <n v="2.9731572975777695E-5"/>
  </r>
  <r>
    <x v="63"/>
    <s v="Pesos"/>
    <d v="2026-06-03T00:00:00"/>
    <s v="14/05/2026"/>
    <n v="0.98065559000000002"/>
    <m/>
    <n v="1000000"/>
    <n v="980655.59"/>
    <n v="1000000"/>
    <n v="980655.59"/>
    <n v="24"/>
    <s v="AMOMPY"/>
    <s v="Momentum Capital Investment S.A."/>
    <s v="10/04/2026"/>
    <s v="10/04/2026"/>
    <n v="36"/>
    <s v="No"/>
    <s v=""/>
    <m/>
    <m/>
    <s v="*MAV300501541"/>
    <s v="*MAV300501541"/>
    <n v="2.5846200952741673E-5"/>
  </r>
  <r>
    <x v="63"/>
    <s v="Pesos"/>
    <d v="2026-06-03T00:00:00"/>
    <s v="14/05/2026"/>
    <n v="0.98065559000000002"/>
    <m/>
    <n v="1000000"/>
    <n v="980655.59"/>
    <n v="1000000"/>
    <n v="980655.59"/>
    <n v="25"/>
    <s v="AMOMPY"/>
    <s v="Momentum Capital Investment S.A."/>
    <s v="10/04/2026"/>
    <s v="10/04/2026"/>
    <n v="36"/>
    <s v="No"/>
    <s v=""/>
    <m/>
    <m/>
    <s v="*MAV310501407"/>
    <s v="*MAV310501407"/>
    <n v="2.5846200952741673E-5"/>
  </r>
  <r>
    <x v="85"/>
    <s v="Pesos"/>
    <d v="2026-06-03T00:00:00"/>
    <s v="14/05/2026"/>
    <n v="0.98118291999999996"/>
    <m/>
    <n v="6238663.2000000002"/>
    <n v="6121269.75"/>
    <n v="6238663.2000000002"/>
    <n v="6121269.75"/>
    <n v="9266640"/>
    <s v="AMOMPY"/>
    <s v="Momentum Capital Investment S.A."/>
    <s v="16/04/2026"/>
    <s v="16/04/2026"/>
    <n v="35"/>
    <s v="No"/>
    <s v=""/>
    <m/>
    <m/>
    <s v="*MAV010600925"/>
    <s v="*MAV010600925"/>
    <n v="1.6133244908585979E-4"/>
  </r>
  <r>
    <x v="32"/>
    <s v="Pesos"/>
    <d v="2026-06-03T00:00:00"/>
    <s v="14/05/2026"/>
    <n v="0.97960287999999995"/>
    <m/>
    <n v="5450000"/>
    <n v="5338835.6900000004"/>
    <n v="5450000"/>
    <n v="5338835.6900000004"/>
    <n v="28512"/>
    <s v="AMOMPY"/>
    <s v="Momentum Capital Investment S.A."/>
    <s v="08/04/2026"/>
    <s v="08/04/2026"/>
    <n v="38"/>
    <s v="No"/>
    <s v=""/>
    <m/>
    <m/>
    <s v="*MAV300501529"/>
    <s v="*MAV300501529"/>
    <n v="1.4071058331234238E-4"/>
  </r>
  <r>
    <x v="86"/>
    <s v="Dolar 3500"/>
    <d v="2026-06-03T00:00:00"/>
    <s v="14/05/2026"/>
    <n v="0.99455017999999995"/>
    <s v="1 US3 = 1393,2322905547 $"/>
    <n v="40000"/>
    <n v="39782.01"/>
    <n v="55729291.619999997"/>
    <n v="55425580.920000002"/>
    <n v="137080"/>
    <s v="AMOMPY"/>
    <s v="Momentum Capital Investment S.A."/>
    <s v="20/01/2026"/>
    <s v="20/01/2026"/>
    <n v="10"/>
    <s v="No"/>
    <s v=""/>
    <m/>
    <m/>
    <s v="#UMV010660043"/>
    <s v="#UMV010660043"/>
    <n v="1.460798997108419E-3"/>
  </r>
  <r>
    <x v="87"/>
    <s v="Pesos"/>
    <d v="2026-06-03T00:00:00"/>
    <s v="14/05/2026"/>
    <n v="0.97855241000000004"/>
    <m/>
    <n v="39425780.899999999"/>
    <n v="38580192.850000001"/>
    <n v="39425780.899999999"/>
    <n v="38580192.850000001"/>
    <n v="66111089"/>
    <s v="AMOMPY"/>
    <s v="Momentum Capital Investment S.A."/>
    <s v="09/04/2026"/>
    <s v="09/04/2026"/>
    <n v="40"/>
    <s v="No"/>
    <s v=""/>
    <m/>
    <m/>
    <s v="*MAV310501403"/>
    <s v="*MAV310501403"/>
    <n v="1.0168212238474341E-3"/>
  </r>
  <r>
    <x v="87"/>
    <s v="Pesos"/>
    <d v="2026-06-03T00:00:00"/>
    <s v="14/05/2026"/>
    <n v="0.97855241000000004"/>
    <m/>
    <n v="6273580.79"/>
    <n v="6139027.5800000001"/>
    <n v="6273580.79"/>
    <n v="6139027.5800000001"/>
    <n v="66111090"/>
    <s v="AMOMPY"/>
    <s v="Momentum Capital Investment S.A."/>
    <s v="09/04/2026"/>
    <s v="09/04/2026"/>
    <n v="40"/>
    <s v="No"/>
    <s v=""/>
    <m/>
    <m/>
    <s v="*MAV310501404"/>
    <s v="*MAV310501404"/>
    <n v="1.6180047521791358E-4"/>
  </r>
  <r>
    <x v="46"/>
    <s v="Pesos"/>
    <d v="2026-06-03T00:00:00"/>
    <s v="14/05/2026"/>
    <n v="0.98435826999999998"/>
    <m/>
    <n v="30000000"/>
    <n v="29530747.949999999"/>
    <n v="30000000"/>
    <n v="29530747.949999999"/>
    <n v="90041865"/>
    <s v="AMOMPY"/>
    <s v="Momentum Capital Investment S.A."/>
    <s v="20/04/2026"/>
    <s v="20/04/2026"/>
    <n v="29"/>
    <s v="No"/>
    <s v=""/>
    <m/>
    <m/>
    <s v="*FED310500139"/>
    <s v="*FED310500139"/>
    <n v="7.7831366443387553E-4"/>
  </r>
  <r>
    <x v="78"/>
    <s v="Pesos"/>
    <d v="2026-06-03T00:00:00"/>
    <s v="14/05/2026"/>
    <n v="0.98542127000000002"/>
    <m/>
    <n v="15200000"/>
    <n v="14978403.33"/>
    <n v="15200000"/>
    <n v="14978403.33"/>
    <n v="2597"/>
    <s v="AMOMPY"/>
    <s v="Momentum Capital Investment S.A."/>
    <s v="30/04/2026"/>
    <s v="30/04/2026"/>
    <n v="27"/>
    <s v="No"/>
    <s v=""/>
    <m/>
    <m/>
    <s v="*INP010600019"/>
    <s v="*INP010600019"/>
    <n v="3.9477144306942162E-4"/>
  </r>
  <r>
    <x v="22"/>
    <s v="Pesos"/>
    <d v="2026-06-03T00:00:00"/>
    <s v="14/05/2026"/>
    <n v="0.97750404000000002"/>
    <m/>
    <n v="6582395.21"/>
    <n v="6434317.8899999997"/>
    <n v="6582395.21"/>
    <n v="6434317.8899999997"/>
    <n v="5077"/>
    <s v="AMOMPY"/>
    <s v="Momentum Capital Investment S.A."/>
    <s v="17/04/2026"/>
    <s v="17/04/2026"/>
    <n v="42"/>
    <s v="No"/>
    <s v=""/>
    <m/>
    <m/>
    <s v="*MAV010600936"/>
    <s v="*MAV010600936"/>
    <n v="1.6958315934217108E-4"/>
  </r>
  <r>
    <x v="88"/>
    <s v="Pesos"/>
    <d v="2026-06-03T00:00:00"/>
    <s v="14/05/2026"/>
    <n v="0.98595356000000001"/>
    <m/>
    <n v="7166689.79"/>
    <n v="7066023.29"/>
    <n v="7166689.79"/>
    <n v="7066023.29"/>
    <n v="40011392"/>
    <s v="AMOMPY"/>
    <s v="Momentum Capital Investment S.A."/>
    <s v="10/04/2026"/>
    <s v="10/04/2026"/>
    <n v="26"/>
    <s v="No"/>
    <s v=""/>
    <m/>
    <m/>
    <s v="*MAV010600896"/>
    <s v="*MAV010600896"/>
    <n v="1.8623241406301764E-4"/>
  </r>
  <r>
    <x v="89"/>
    <s v="Pesos"/>
    <d v="2026-06-03T00:00:00"/>
    <s v="14/05/2026"/>
    <n v="0.98488951000000002"/>
    <m/>
    <n v="8000000"/>
    <n v="7879116.0700000003"/>
    <n v="8000000"/>
    <n v="7879116.0700000003"/>
    <n v="6034637"/>
    <s v="AMOMPY"/>
    <s v="Momentum Capital Investment S.A."/>
    <s v="04/05/2026"/>
    <s v="04/05/2026"/>
    <n v="28"/>
    <s v="No"/>
    <s v=""/>
    <m/>
    <m/>
    <s v="*CUY010600023"/>
    <s v="*CUY010600023"/>
    <n v="2.0766232238088425E-4"/>
  </r>
  <r>
    <x v="9"/>
    <s v="Pesos"/>
    <d v="2026-06-03T00:00:00"/>
    <s v="14/05/2026"/>
    <n v="0.98648650000000004"/>
    <m/>
    <n v="696309"/>
    <n v="686899.43"/>
    <n v="696309"/>
    <n v="686899.43"/>
    <n v="18103474"/>
    <s v="AMOMPY"/>
    <s v="Momentum Capital Investment S.A."/>
    <s v="17/04/2026"/>
    <s v="17/04/2026"/>
    <n v="25"/>
    <s v="No"/>
    <s v=""/>
    <m/>
    <m/>
    <s v="*MOV310500086"/>
    <s v="*MOV310500086"/>
    <n v="1.8103950951937891E-5"/>
  </r>
  <r>
    <x v="90"/>
    <s v="Pesos"/>
    <d v="2026-06-03T00:00:00"/>
    <s v="14/05/2026"/>
    <n v="0.98276797999999999"/>
    <m/>
    <n v="45748279.530000001"/>
    <n v="44959944.159999996"/>
    <n v="45748279.530000001"/>
    <n v="44959944.159999996"/>
    <n v="7723"/>
    <s v="AMOMPY"/>
    <s v="Momentum Capital Investment S.A."/>
    <s v="13/05/2026"/>
    <s v="13/05/2026"/>
    <n v="32"/>
    <s v="No"/>
    <s v=""/>
    <m/>
    <m/>
    <s v="*MAV010601240"/>
    <s v="*MAV010601240"/>
    <n v="1.1849662240577289E-3"/>
  </r>
  <r>
    <x v="90"/>
    <s v="Pesos"/>
    <d v="2026-06-03T00:00:00"/>
    <s v="14/05/2026"/>
    <n v="0.98276797999999999"/>
    <m/>
    <n v="45748279.530000001"/>
    <n v="44959944.159999996"/>
    <n v="45748279.530000001"/>
    <n v="44959944.159999996"/>
    <n v="8911"/>
    <s v="AMOMPY"/>
    <s v="Momentum Capital Investment S.A."/>
    <s v="13/05/2026"/>
    <s v="13/05/2026"/>
    <n v="32"/>
    <s v="No"/>
    <s v=""/>
    <m/>
    <m/>
    <s v="*MAV010601241"/>
    <s v="*MAV010601241"/>
    <n v="1.1849662240577289E-3"/>
  </r>
  <r>
    <x v="49"/>
    <s v="Pesos"/>
    <d v="2026-06-03T00:00:00"/>
    <s v="14/05/2026"/>
    <n v="0.97802796000000003"/>
    <m/>
    <n v="10918371.689999999"/>
    <n v="10678472.76"/>
    <n v="10918371.689999999"/>
    <n v="10678472.76"/>
    <n v="30447"/>
    <s v="AMOMPY"/>
    <s v="Momentum Capital Investment S.A."/>
    <s v="01/04/2026"/>
    <s v="01/04/2026"/>
    <n v="41"/>
    <s v="No"/>
    <s v=""/>
    <m/>
    <m/>
    <s v="*MAV010600842"/>
    <s v="*MAV010600842"/>
    <n v="2.8144228783046863E-4"/>
  </r>
  <r>
    <x v="49"/>
    <s v="Pesos"/>
    <d v="2026-06-03T00:00:00"/>
    <s v="14/05/2026"/>
    <n v="0.97802796000000003"/>
    <m/>
    <n v="11171159.59"/>
    <n v="10925706.42"/>
    <n v="11171159.59"/>
    <n v="10925706.42"/>
    <n v="30370"/>
    <s v="AMOMPY"/>
    <s v="Momentum Capital Investment S.A."/>
    <s v="01/04/2026"/>
    <s v="01/04/2026"/>
    <n v="41"/>
    <s v="No"/>
    <s v=""/>
    <m/>
    <m/>
    <s v="*MAV010600843"/>
    <s v="*MAV010600843"/>
    <n v="2.8795838881821888E-4"/>
  </r>
  <r>
    <x v="8"/>
    <s v="Pesos"/>
    <d v="2026-06-03T00:00:00"/>
    <s v="14/05/2026"/>
    <n v="0.97802796000000003"/>
    <m/>
    <n v="20000000"/>
    <n v="19560559.190000001"/>
    <n v="20000000"/>
    <n v="19560559.190000001"/>
    <n v="13318410"/>
    <s v="AMOMPY"/>
    <s v="Momentum Capital Investment S.A."/>
    <s v="01/04/2026"/>
    <s v="01/04/2026"/>
    <n v="41"/>
    <s v="No"/>
    <s v=""/>
    <m/>
    <m/>
    <s v="*MAV010600844"/>
    <s v="*MAV010600844"/>
    <n v="5.1553894020299007E-4"/>
  </r>
  <r>
    <x v="39"/>
    <s v="Pesos"/>
    <d v="2026-06-03T00:00:00"/>
    <s v="14/05/2026"/>
    <n v="0.98065564000000005"/>
    <m/>
    <n v="50000000"/>
    <n v="49032782.140000001"/>
    <n v="50000000"/>
    <n v="49032782.140000001"/>
    <n v="4351"/>
    <s v="AMOMPY"/>
    <s v="Momentum Capital Investment S.A."/>
    <s v="11/03/2026"/>
    <s v="11/03/2026"/>
    <n v="36"/>
    <s v="No"/>
    <s v=""/>
    <m/>
    <m/>
    <s v="*MAV010600763"/>
    <s v="*MAV010600763"/>
    <n v="1.2923101172170374E-3"/>
  </r>
  <r>
    <x v="51"/>
    <s v="Pesos"/>
    <d v="2026-06-03T00:00:00"/>
    <s v="14/05/2026"/>
    <n v="0.98065559000000002"/>
    <m/>
    <n v="5000000"/>
    <n v="4903277.9400000004"/>
    <n v="5000000"/>
    <n v="4903277.9400000004"/>
    <n v="13420538"/>
    <s v="AMOMPY"/>
    <s v="Momentum Capital Investment S.A."/>
    <s v="10/04/2026"/>
    <s v="10/04/2026"/>
    <n v="36"/>
    <s v="No"/>
    <s v=""/>
    <m/>
    <m/>
    <s v="*MAV310501406"/>
    <s v="*MAV310501406"/>
    <n v="1.2923100450014794E-4"/>
  </r>
  <r>
    <x v="41"/>
    <s v="Pesos"/>
    <d v="2026-06-03T00:00:00"/>
    <s v="14/05/2026"/>
    <n v="0.97698079999999998"/>
    <m/>
    <n v="3500000"/>
    <n v="3419432.79"/>
    <n v="3500000"/>
    <n v="3419432.79"/>
    <n v="3162"/>
    <s v="AMOMPY"/>
    <s v="Momentum Capital Investment S.A."/>
    <s v="17/03/2026"/>
    <s v="17/03/2026"/>
    <n v="43"/>
    <s v="No"/>
    <s v=""/>
    <m/>
    <m/>
    <s v="*MAV010600780"/>
    <s v="*MAV010600780"/>
    <n v="9.0122717838924603E-5"/>
  </r>
  <r>
    <x v="47"/>
    <s v="Pesos"/>
    <d v="2026-06-04T00:00:00"/>
    <s v="14/05/2026"/>
    <n v="0.98414586000000004"/>
    <m/>
    <n v="8500000"/>
    <n v="8365239.7800000003"/>
    <n v="8500000"/>
    <n v="8365239.7800000003"/>
    <n v="14091"/>
    <s v="AMOMPY"/>
    <s v="Momentum Capital Investment S.A."/>
    <s v="01/04/2026"/>
    <s v="01/04/2026"/>
    <n v="28"/>
    <s v="No"/>
    <s v=""/>
    <m/>
    <m/>
    <s v="*MIL020600025"/>
    <s v="*MIL020600025"/>
    <n v="2.2047461981198574E-4"/>
  </r>
  <r>
    <x v="47"/>
    <s v="Pesos"/>
    <d v="2026-06-04T00:00:00"/>
    <s v="14/05/2026"/>
    <n v="0.98026057"/>
    <m/>
    <n v="5000000"/>
    <n v="4901302.83"/>
    <n v="5000000"/>
    <n v="4901302.83"/>
    <n v="90000051"/>
    <s v="AMOMPY"/>
    <s v="Momentum Capital Investment S.A."/>
    <s v="11/03/2026"/>
    <s v="11/03/2026"/>
    <n v="35"/>
    <s v="No"/>
    <s v=""/>
    <m/>
    <m/>
    <s v="*MIL020600022"/>
    <s v="*MIL020600022"/>
    <n v="1.2917894841594843E-4"/>
  </r>
  <r>
    <x v="72"/>
    <s v="Pesos"/>
    <d v="2026-06-04T00:00:00"/>
    <s v="14/05/2026"/>
    <n v="0.98358899"/>
    <m/>
    <n v="4000000"/>
    <n v="3934355.97"/>
    <n v="4000000"/>
    <n v="3934355.97"/>
    <n v="841"/>
    <s v="AMOMPY"/>
    <s v="Momentum Capital Investment S.A."/>
    <s v="17/04/2026"/>
    <s v="17/04/2026"/>
    <n v="29"/>
    <s v="No"/>
    <s v=""/>
    <m/>
    <m/>
    <s v="*AFB020600006"/>
    <s v="*AFB020600006"/>
    <n v="1.0369405534132416E-4"/>
  </r>
  <r>
    <x v="78"/>
    <s v="Pesos"/>
    <d v="2026-06-04T00:00:00"/>
    <s v="14/05/2026"/>
    <n v="0.98358902000000004"/>
    <m/>
    <n v="45000000"/>
    <n v="44261506.090000004"/>
    <n v="45000000"/>
    <n v="44261506.090000004"/>
    <n v="147628"/>
    <s v="AMOMPY"/>
    <s v="Momentum Capital Investment S.A."/>
    <s v="28/04/2026"/>
    <s v="28/04/2026"/>
    <n v="29"/>
    <s v="No"/>
    <s v=""/>
    <m/>
    <m/>
    <s v="#IGA030660001"/>
    <s v="#IGA030660001"/>
    <n v="1.1665581602131484E-3"/>
  </r>
  <r>
    <x v="89"/>
    <s v="Pesos"/>
    <d v="2026-06-04T00:00:00"/>
    <s v="14/05/2026"/>
    <n v="0.98414590999999996"/>
    <m/>
    <n v="8700000"/>
    <n v="8562069.3900000006"/>
    <n v="8700000"/>
    <n v="8562069.3900000006"/>
    <n v="6034638"/>
    <s v="AMOMPY"/>
    <s v="Momentum Capital Investment S.A."/>
    <s v="04/05/2026"/>
    <s v="04/05/2026"/>
    <n v="28"/>
    <s v="No"/>
    <s v=""/>
    <m/>
    <m/>
    <s v="*CUY020600020"/>
    <s v="*CUY020600020"/>
    <n v="2.2566226948776008E-4"/>
  </r>
  <r>
    <x v="49"/>
    <s v="Pesos"/>
    <d v="2026-06-04T00:00:00"/>
    <s v="14/05/2026"/>
    <n v="0.97695463999999999"/>
    <m/>
    <n v="10918371.689999999"/>
    <n v="10666753.859999999"/>
    <n v="10918371.689999999"/>
    <n v="10666753.859999999"/>
    <n v="30448"/>
    <s v="AMOMPY"/>
    <s v="Momentum Capital Investment S.A."/>
    <s v="01/04/2026"/>
    <s v="01/04/2026"/>
    <n v="41"/>
    <s v="No"/>
    <s v=""/>
    <m/>
    <m/>
    <s v="*MAV020601044"/>
    <s v="*MAV020601044"/>
    <n v="2.8113342399750451E-4"/>
  </r>
  <r>
    <x v="49"/>
    <s v="Pesos"/>
    <d v="2026-06-04T00:00:00"/>
    <s v="14/05/2026"/>
    <n v="0.97695463999999999"/>
    <m/>
    <n v="11171159.59"/>
    <n v="10913716.18"/>
    <n v="11171159.59"/>
    <n v="10913716.18"/>
    <n v="30371"/>
    <s v="AMOMPY"/>
    <s v="Momentum Capital Investment S.A."/>
    <s v="01/04/2026"/>
    <s v="01/04/2026"/>
    <n v="41"/>
    <s v="No"/>
    <s v=""/>
    <m/>
    <m/>
    <s v="*MAV020601045"/>
    <s v="*MAV020601045"/>
    <n v="2.8764237353653206E-4"/>
  </r>
  <r>
    <x v="8"/>
    <s v="Pesos"/>
    <d v="2026-06-04T00:00:00"/>
    <s v="14/05/2026"/>
    <n v="0.97695463999999999"/>
    <m/>
    <n v="20000000"/>
    <n v="19539092.760000002"/>
    <n v="20000000"/>
    <n v="19539092.760000002"/>
    <n v="13318411"/>
    <s v="AMOMPY"/>
    <s v="Momentum Capital Investment S.A."/>
    <s v="01/04/2026"/>
    <s v="01/04/2026"/>
    <n v="41"/>
    <s v="No"/>
    <s v=""/>
    <m/>
    <m/>
    <s v="*MAV020601046"/>
    <s v="*MAV020601046"/>
    <n v="5.1497317004966039E-4"/>
  </r>
  <r>
    <x v="75"/>
    <s v="Pesos"/>
    <d v="2026-06-04T00:00:00"/>
    <s v="14/05/2026"/>
    <n v="0.97750406999999995"/>
    <m/>
    <n v="7500000"/>
    <n v="7331280.5599999996"/>
    <n v="7500000"/>
    <n v="7331280.5599999996"/>
    <n v="210"/>
    <s v="AMOMPY"/>
    <s v="Momentum Capital Investment S.A."/>
    <s v="03/02/2026"/>
    <s v="03/02/2026"/>
    <n v="40"/>
    <s v="No"/>
    <s v=""/>
    <m/>
    <m/>
    <s v="*MAV020600954"/>
    <s v="*MAV020600954"/>
    <n v="1.9322354609194498E-4"/>
  </r>
  <r>
    <x v="41"/>
    <s v="Pesos"/>
    <d v="2026-06-04T00:00:00"/>
    <s v="14/05/2026"/>
    <n v="0.97585759000000005"/>
    <m/>
    <n v="3000000"/>
    <n v="2927572.78"/>
    <n v="3000000"/>
    <n v="2927572.78"/>
    <n v="3179"/>
    <s v="AMOMPY"/>
    <s v="Momentum Capital Investment S.A."/>
    <s v="17/03/2026"/>
    <s v="17/03/2026"/>
    <n v="43"/>
    <s v="No"/>
    <s v=""/>
    <m/>
    <m/>
    <s v="*MAV020601009"/>
    <s v="*MAV020601009"/>
    <n v="7.7159234238043334E-5"/>
  </r>
  <r>
    <x v="76"/>
    <s v="Pesos"/>
    <d v="2026-06-05T00:00:00"/>
    <s v="14/05/2026"/>
    <n v="0.97302202999999998"/>
    <m/>
    <n v="20000000"/>
    <n v="19460440.620000001"/>
    <n v="20000000"/>
    <n v="19460440.620000001"/>
    <n v="70219518"/>
    <s v="AMOMPY"/>
    <s v="Momentum Capital Investment S.A."/>
    <s v="09/04/2026"/>
    <s v="09/04/2026"/>
    <n v="46"/>
    <s v="No"/>
    <s v=""/>
    <m/>
    <m/>
    <s v="*MAV030601007"/>
    <s v="*MAV030601007"/>
    <n v="5.129002108614063E-4"/>
  </r>
  <r>
    <x v="83"/>
    <s v="Pesos"/>
    <d v="2026-06-05T00:00:00"/>
    <s v="14/05/2026"/>
    <n v="0.97588366999999998"/>
    <m/>
    <n v="2000000"/>
    <n v="1951767.34"/>
    <n v="2000000"/>
    <n v="1951767.34"/>
    <n v="12384440"/>
    <s v="AMOMPY"/>
    <s v="Momentum Capital Investment S.A."/>
    <s v="01/04/2026"/>
    <s v="01/04/2026"/>
    <n v="41"/>
    <s v="No"/>
    <s v=""/>
    <m/>
    <m/>
    <s v="*MAV030600976"/>
    <s v="*MAV030600976"/>
    <n v="5.1440864047527722E-5"/>
  </r>
  <r>
    <x v="91"/>
    <s v="Pesos"/>
    <d v="2026-06-05T00:00:00"/>
    <s v="14/05/2026"/>
    <n v="0.97876224000000001"/>
    <m/>
    <n v="34135700.630000003"/>
    <n v="33410734.760000002"/>
    <n v="34135700.630000003"/>
    <n v="33410734.760000002"/>
    <n v="535159"/>
    <s v="AMOMPY"/>
    <s v="Momentum Capital Investment S.A."/>
    <s v="09/01/2026"/>
    <s v="09/01/2026"/>
    <n v="36"/>
    <s v="No"/>
    <s v=""/>
    <m/>
    <m/>
    <s v="*MAV030600839"/>
    <s v="*MAV030600839"/>
    <n v="8.8057476385334371E-4"/>
  </r>
  <r>
    <x v="91"/>
    <s v="Pesos"/>
    <d v="2026-06-05T00:00:00"/>
    <s v="14/05/2026"/>
    <n v="0.97876224000000001"/>
    <m/>
    <n v="40810395.880000003"/>
    <n v="39943674.43"/>
    <n v="40810395.880000003"/>
    <n v="39943674.43"/>
    <n v="535154"/>
    <s v="AMOMPY"/>
    <s v="Momentum Capital Investment S.A."/>
    <s v="09/01/2026"/>
    <s v="09/01/2026"/>
    <n v="36"/>
    <s v="No"/>
    <s v=""/>
    <m/>
    <m/>
    <s v="*MAV030600840"/>
    <s v="*MAV030600840"/>
    <n v="1.0527572030754133E-3"/>
  </r>
  <r>
    <x v="91"/>
    <s v="Pesos"/>
    <d v="2026-06-05T00:00:00"/>
    <s v="14/05/2026"/>
    <n v="0.97876224000000001"/>
    <m/>
    <n v="41096650.579999998"/>
    <n v="40223849.719999999"/>
    <n v="41096650.579999998"/>
    <n v="40223849.719999999"/>
    <n v="535195"/>
    <s v="AMOMPY"/>
    <s v="Momentum Capital Investment S.A."/>
    <s v="09/01/2026"/>
    <s v="09/01/2026"/>
    <n v="36"/>
    <s v="No"/>
    <s v=""/>
    <m/>
    <m/>
    <s v="*MAV030600842"/>
    <s v="*MAV030600842"/>
    <n v="1.0601415150817647E-3"/>
  </r>
  <r>
    <x v="91"/>
    <s v="Pesos"/>
    <d v="2026-06-05T00:00:00"/>
    <s v="14/05/2026"/>
    <n v="0.97876224000000001"/>
    <m/>
    <n v="23922046.510000002"/>
    <n v="23413995.789999999"/>
    <n v="23922046.510000002"/>
    <n v="23413995.789999999"/>
    <n v="535167"/>
    <s v="AMOMPY"/>
    <s v="Momentum Capital Investment S.A."/>
    <s v="09/01/2026"/>
    <s v="09/01/2026"/>
    <n v="36"/>
    <s v="No"/>
    <s v=""/>
    <m/>
    <m/>
    <s v="*MAV030600843"/>
    <s v="*MAV030600843"/>
    <n v="6.1710028114456323E-4"/>
  </r>
  <r>
    <x v="91"/>
    <s v="Pesos"/>
    <d v="2026-06-05T00:00:00"/>
    <s v="14/05/2026"/>
    <n v="0.97876224000000001"/>
    <m/>
    <n v="12430325.390000001"/>
    <n v="12166333.1"/>
    <n v="12430325.390000001"/>
    <n v="12166333.1"/>
    <n v="535182"/>
    <s v="AMOMPY"/>
    <s v="Momentum Capital Investment S.A."/>
    <s v="09/01/2026"/>
    <s v="09/01/2026"/>
    <n v="36"/>
    <s v="No"/>
    <s v=""/>
    <m/>
    <m/>
    <s v="*MAV030600844"/>
    <s v="*MAV030600844"/>
    <n v="3.2065639901220831E-4"/>
  </r>
  <r>
    <x v="91"/>
    <s v="Pesos"/>
    <d v="2026-06-05T00:00:00"/>
    <s v="14/05/2026"/>
    <n v="0.97876224000000001"/>
    <m/>
    <n v="15602439.939999999"/>
    <n v="15271079.039999999"/>
    <n v="15602439.939999999"/>
    <n v="15271079.039999999"/>
    <n v="535170"/>
    <s v="AMOMPY"/>
    <s v="Momentum Capital Investment S.A."/>
    <s v="09/01/2026"/>
    <s v="09/01/2026"/>
    <n v="36"/>
    <s v="No"/>
    <s v=""/>
    <m/>
    <m/>
    <s v="*MAV030600845"/>
    <s v="*MAV030600845"/>
    <n v="4.02485216683506E-4"/>
  </r>
  <r>
    <x v="91"/>
    <s v="Pesos"/>
    <d v="2026-06-05T00:00:00"/>
    <s v="14/05/2026"/>
    <n v="0.97876224000000001"/>
    <m/>
    <n v="13748562.060000001"/>
    <n v="13456573.390000001"/>
    <n v="13748562.060000001"/>
    <n v="13456573.390000001"/>
    <n v="535175"/>
    <s v="AMOMPY"/>
    <s v="Momentum Capital Investment S.A."/>
    <s v="09/01/2026"/>
    <s v="09/01/2026"/>
    <n v="36"/>
    <s v="No"/>
    <s v=""/>
    <m/>
    <m/>
    <s v="*MAV030600846"/>
    <s v="*MAV030600846"/>
    <n v="3.5466202764750088E-4"/>
  </r>
  <r>
    <x v="91"/>
    <s v="Pesos"/>
    <d v="2026-06-05T00:00:00"/>
    <s v="14/05/2026"/>
    <n v="0.97876224000000001"/>
    <m/>
    <n v="36521375.57"/>
    <n v="35745743.310000002"/>
    <n v="36521375.57"/>
    <n v="35745743.310000002"/>
    <n v="535187"/>
    <s v="AMOMPY"/>
    <s v="Momentum Capital Investment S.A."/>
    <s v="09/01/2026"/>
    <s v="09/01/2026"/>
    <n v="36"/>
    <s v="No"/>
    <s v=""/>
    <m/>
    <m/>
    <s v="*MAV030600847"/>
    <s v="*MAV030600847"/>
    <n v="9.421163497323066E-4"/>
  </r>
  <r>
    <x v="91"/>
    <s v="Pesos"/>
    <d v="2026-06-05T00:00:00"/>
    <s v="14/05/2026"/>
    <n v="0.97876224000000001"/>
    <m/>
    <n v="18406614.07"/>
    <n v="18015698.789999999"/>
    <n v="18406614.07"/>
    <n v="18015698.789999999"/>
    <n v="535178"/>
    <s v="AMOMPY"/>
    <s v="Momentum Capital Investment S.A."/>
    <s v="09/01/2026"/>
    <s v="09/01/2026"/>
    <n v="36"/>
    <s v="No"/>
    <s v=""/>
    <m/>
    <m/>
    <s v="*MAV030600848"/>
    <s v="*MAV030600848"/>
    <n v="4.7482253298571932E-4"/>
  </r>
  <r>
    <x v="91"/>
    <s v="Pesos"/>
    <d v="2026-06-05T00:00:00"/>
    <s v="14/05/2026"/>
    <n v="0.97876222999999996"/>
    <m/>
    <n v="2726842.54"/>
    <n v="2668930.4900000002"/>
    <n v="2726842.54"/>
    <n v="2668930.4900000002"/>
    <n v="535203"/>
    <s v="AMOMPY"/>
    <s v="Momentum Capital Investment S.A."/>
    <s v="09/01/2026"/>
    <s v="09/01/2026"/>
    <n v="36"/>
    <s v="No"/>
    <s v=""/>
    <m/>
    <m/>
    <s v="*MAV030600849"/>
    <s v="*MAV030600849"/>
    <n v="7.0342446906807837E-5"/>
  </r>
  <r>
    <x v="92"/>
    <s v="Pesos"/>
    <d v="2026-06-05T00:00:00"/>
    <s v="14/05/2026"/>
    <n v="0.97302200000000005"/>
    <m/>
    <n v="20000000"/>
    <n v="19460440.059999999"/>
    <n v="20000000"/>
    <n v="19460440.059999999"/>
    <n v="1606"/>
    <s v="AMOMPY"/>
    <s v="Momentum Capital Investment S.A."/>
    <s v="30/01/2026"/>
    <s v="30/01/2026"/>
    <n v="46"/>
    <s v="No"/>
    <s v=""/>
    <m/>
    <m/>
    <s v="*MAV030600867"/>
    <s v="*MAV030600867"/>
    <n v="5.1290019610202215E-4"/>
  </r>
  <r>
    <x v="28"/>
    <s v="Pesos"/>
    <d v="2026-06-05T00:00:00"/>
    <s v="14/05/2026"/>
    <n v="0.97876222000000002"/>
    <m/>
    <n v="25000000"/>
    <n v="24469055.390000001"/>
    <n v="25000000"/>
    <n v="24469055.390000001"/>
    <n v="1169938"/>
    <s v="AMOMPY"/>
    <s v="Momentum Capital Investment S.A."/>
    <s v="08/04/2026"/>
    <s v="08/04/2026"/>
    <n v="36"/>
    <s v="No"/>
    <s v=""/>
    <m/>
    <m/>
    <s v="*MAV030601006"/>
    <s v="*MAV030601006"/>
    <n v="6.4490747738837331E-4"/>
  </r>
  <r>
    <x v="49"/>
    <s v="Pesos"/>
    <d v="2026-06-05T00:00:00"/>
    <s v="14/05/2026"/>
    <n v="0.97588366999999998"/>
    <m/>
    <n v="11171159.439999999"/>
    <n v="10901752.039999999"/>
    <n v="11171159.439999999"/>
    <n v="10901752.039999999"/>
    <n v="30372"/>
    <s v="AMOMPY"/>
    <s v="Momentum Capital Investment S.A."/>
    <s v="01/04/2026"/>
    <s v="01/04/2026"/>
    <n v="41"/>
    <s v="No"/>
    <s v=""/>
    <m/>
    <m/>
    <s v="*MAV030600977"/>
    <s v="*MAV030600977"/>
    <n v="2.8732704614756898E-4"/>
  </r>
  <r>
    <x v="49"/>
    <s v="Pesos"/>
    <d v="2026-06-05T00:00:00"/>
    <s v="14/05/2026"/>
    <n v="0.97588366999999998"/>
    <m/>
    <n v="10918371.689999999"/>
    <n v="10655060.609999999"/>
    <n v="10918371.689999999"/>
    <n v="10655060.609999999"/>
    <n v="30449"/>
    <s v="AMOMPY"/>
    <s v="Momentum Capital Investment S.A."/>
    <s v="01/04/2026"/>
    <s v="01/04/2026"/>
    <n v="41"/>
    <s v="No"/>
    <s v=""/>
    <m/>
    <m/>
    <s v="*MAV030600978"/>
    <s v="*MAV030600978"/>
    <n v="2.8082523619704473E-4"/>
  </r>
  <r>
    <x v="49"/>
    <s v="Pesos"/>
    <d v="2026-06-05T00:00:00"/>
    <s v="14/05/2026"/>
    <n v="0.97588366999999998"/>
    <m/>
    <n v="13296076.9"/>
    <n v="12975424.289999999"/>
    <n v="13296076.9"/>
    <n v="12975424.289999999"/>
    <n v="30429"/>
    <s v="AMOMPY"/>
    <s v="Momentum Capital Investment S.A."/>
    <s v="01/04/2026"/>
    <s v="01/04/2026"/>
    <n v="41"/>
    <s v="No"/>
    <s v=""/>
    <m/>
    <m/>
    <s v="*MAV030600979"/>
    <s v="*MAV030600979"/>
    <n v="3.4198084125174408E-4"/>
  </r>
  <r>
    <x v="8"/>
    <s v="Pesos"/>
    <d v="2026-06-05T00:00:00"/>
    <s v="14/05/2026"/>
    <n v="0.97588366999999998"/>
    <m/>
    <n v="20000000"/>
    <n v="19517673.359999999"/>
    <n v="20000000"/>
    <n v="19517673.359999999"/>
    <n v="13318412"/>
    <s v="AMOMPY"/>
    <s v="Momentum Capital Investment S.A."/>
    <s v="01/04/2026"/>
    <s v="01/04/2026"/>
    <n v="41"/>
    <s v="No"/>
    <s v=""/>
    <m/>
    <m/>
    <s v="*MAV030600980"/>
    <s v="*MAV030600980"/>
    <n v="5.1440863942103549E-4"/>
  </r>
  <r>
    <x v="41"/>
    <s v="Pesos"/>
    <d v="2026-06-05T00:00:00"/>
    <s v="14/05/2026"/>
    <n v="0.97473697000000004"/>
    <m/>
    <n v="3000000"/>
    <n v="2924210.9"/>
    <n v="3000000"/>
    <n v="2924210.9"/>
    <n v="3180"/>
    <s v="AMOMPY"/>
    <s v="Momentum Capital Investment S.A."/>
    <s v="17/03/2026"/>
    <s v="17/03/2026"/>
    <n v="43"/>
    <s v="No"/>
    <s v=""/>
    <m/>
    <m/>
    <s v="*MAV030600939"/>
    <s v="*MAV030600939"/>
    <n v="7.7070628384015631E-5"/>
  </r>
  <r>
    <x v="76"/>
    <s v="Pesos"/>
    <d v="2026-06-08T00:00:00"/>
    <s v="14/05/2026"/>
    <n v="0.96945561000000002"/>
    <m/>
    <n v="20000000"/>
    <n v="19389112.25"/>
    <n v="20000000"/>
    <n v="19389112.25"/>
    <n v="70219521"/>
    <s v="AMOMPY"/>
    <s v="Momentum Capital Investment S.A."/>
    <s v="09/04/2026"/>
    <s v="09/04/2026"/>
    <n v="46"/>
    <s v="No"/>
    <s v=""/>
    <m/>
    <m/>
    <s v="*MAV040600790"/>
    <s v="*MAV040600790"/>
    <n v="5.1102027727060149E-4"/>
  </r>
  <r>
    <x v="76"/>
    <s v="Pesos"/>
    <d v="2026-06-08T00:00:00"/>
    <s v="14/05/2026"/>
    <n v="0.96945561000000002"/>
    <m/>
    <n v="20000000"/>
    <n v="19389112.25"/>
    <n v="20000000"/>
    <n v="19389112.25"/>
    <n v="70219520"/>
    <s v="AMOMPY"/>
    <s v="Momentum Capital Investment S.A."/>
    <s v="09/04/2026"/>
    <s v="09/04/2026"/>
    <n v="46"/>
    <s v="No"/>
    <s v=""/>
    <m/>
    <m/>
    <s v="*MAV040600791"/>
    <s v="*MAV040600791"/>
    <n v="5.1102027727060149E-4"/>
  </r>
  <r>
    <x v="76"/>
    <s v="Pesos"/>
    <d v="2026-06-08T00:00:00"/>
    <s v="14/05/2026"/>
    <n v="0.96945561000000002"/>
    <m/>
    <n v="20000000"/>
    <n v="19389112.25"/>
    <n v="20000000"/>
    <n v="19389112.25"/>
    <n v="70219519"/>
    <s v="AMOMPY"/>
    <s v="Momentum Capital Investment S.A."/>
    <s v="09/04/2026"/>
    <s v="09/04/2026"/>
    <n v="46"/>
    <s v="No"/>
    <s v=""/>
    <m/>
    <m/>
    <s v="*MAV040600792"/>
    <s v="*MAV040600792"/>
    <n v="5.1102027727060149E-4"/>
  </r>
  <r>
    <x v="47"/>
    <s v="Pesos"/>
    <d v="2026-06-08T00:00:00"/>
    <s v="14/05/2026"/>
    <n v="0.97658869000000004"/>
    <m/>
    <n v="5000000"/>
    <n v="4882943.4400000004"/>
    <n v="5000000"/>
    <n v="4882943.4400000004"/>
    <n v="90000056"/>
    <s v="AMOMPY"/>
    <s v="Momentum Capital Investment S.A."/>
    <s v="11/03/2026"/>
    <s v="11/03/2026"/>
    <n v="35"/>
    <s v="No"/>
    <s v=""/>
    <m/>
    <m/>
    <s v="*MIL040600024"/>
    <s v="*MIL040600024"/>
    <n v="1.2869506754263412E-4"/>
  </r>
  <r>
    <x v="25"/>
    <s v="Pesos"/>
    <d v="2026-06-08T00:00:00"/>
    <s v="14/05/2026"/>
    <n v="0.98184265000000004"/>
    <m/>
    <n v="10608716.66"/>
    <n v="10416090.439999999"/>
    <n v="10608716.66"/>
    <n v="10416090.439999999"/>
    <n v="2708"/>
    <s v="AMOMPY"/>
    <s v="Momentum Capital Investment S.A."/>
    <s v="31/03/2026"/>
    <s v="31/03/2026"/>
    <n v="27"/>
    <s v="No"/>
    <s v=""/>
    <m/>
    <m/>
    <s v="%INC050600021"/>
    <s v="%INC050600021"/>
    <n v="2.7452692810752392E-4"/>
  </r>
  <r>
    <x v="25"/>
    <s v="Pesos"/>
    <d v="2026-06-08T00:00:00"/>
    <s v="14/05/2026"/>
    <n v="0.98184265000000004"/>
    <m/>
    <n v="5795550.9000000004"/>
    <n v="5690319.0300000003"/>
    <n v="5795550.9000000004"/>
    <n v="5690319.0300000003"/>
    <n v="2709"/>
    <s v="AMOMPY"/>
    <s v="Momentum Capital Investment S.A."/>
    <s v="31/03/2026"/>
    <s v="31/03/2026"/>
    <n v="27"/>
    <s v="No"/>
    <s v=""/>
    <m/>
    <m/>
    <s v="%INC050600022"/>
    <s v="%INC050600022"/>
    <n v="1.4997429335470377E-4"/>
  </r>
  <r>
    <x v="49"/>
    <s v="Pesos"/>
    <d v="2026-06-08T00:00:00"/>
    <s v="14/05/2026"/>
    <n v="0.97268493"/>
    <m/>
    <n v="10918371.689999999"/>
    <n v="10620135.59"/>
    <n v="10918371.689999999"/>
    <n v="10620135.59"/>
    <n v="30450"/>
    <s v="AMOMPY"/>
    <s v="Momentum Capital Investment S.A."/>
    <s v="01/04/2026"/>
    <s v="01/04/2026"/>
    <n v="41"/>
    <s v="No"/>
    <s v=""/>
    <m/>
    <m/>
    <s v="*MAV040600761"/>
    <s v="*MAV040600761"/>
    <n v="2.7990475086620752E-4"/>
  </r>
  <r>
    <x v="49"/>
    <s v="Pesos"/>
    <d v="2026-06-08T00:00:00"/>
    <s v="14/05/2026"/>
    <n v="0.97268493"/>
    <m/>
    <n v="13296076.9"/>
    <n v="12932893.619999999"/>
    <n v="13296076.9"/>
    <n v="12932893.619999999"/>
    <n v="30430"/>
    <s v="AMOMPY"/>
    <s v="Momentum Capital Investment S.A."/>
    <s v="01/04/2026"/>
    <s v="01/04/2026"/>
    <n v="41"/>
    <s v="No"/>
    <s v=""/>
    <m/>
    <m/>
    <s v="*MAV040600762"/>
    <s v="*MAV040600762"/>
    <n v="3.4085990108204117E-4"/>
  </r>
  <r>
    <x v="8"/>
    <s v="Pesos"/>
    <d v="2026-06-08T00:00:00"/>
    <s v="14/05/2026"/>
    <n v="0.97268493"/>
    <m/>
    <n v="20000000"/>
    <n v="19453698.579999998"/>
    <n v="20000000"/>
    <n v="19453698.579999998"/>
    <n v="13318413"/>
    <s v="AMOMPY"/>
    <s v="Momentum Capital Investment S.A."/>
    <s v="01/04/2026"/>
    <s v="01/04/2026"/>
    <n v="41"/>
    <s v="No"/>
    <s v=""/>
    <m/>
    <m/>
    <s v="*MAV040600763"/>
    <s v="*MAV040600763"/>
    <n v="5.1272251736488375E-4"/>
  </r>
  <r>
    <x v="41"/>
    <s v="Pesos"/>
    <d v="2026-06-08T00:00:00"/>
    <s v="14/05/2026"/>
    <n v="0.97139059000000005"/>
    <m/>
    <n v="3000000"/>
    <n v="2914171.77"/>
    <n v="3000000"/>
    <n v="2914171.77"/>
    <n v="3181"/>
    <s v="AMOMPY"/>
    <s v="Momentum Capital Investment S.A."/>
    <s v="17/03/2026"/>
    <s v="17/03/2026"/>
    <n v="43"/>
    <s v="No"/>
    <s v=""/>
    <m/>
    <m/>
    <s v="*MAV040600716"/>
    <s v="*MAV040600716"/>
    <n v="7.6806036641494997E-5"/>
  </r>
  <r>
    <x v="93"/>
    <s v="Pesos"/>
    <d v="2026-06-09T00:00:00"/>
    <s v="14/05/2026"/>
    <n v="0.97162338999999998"/>
    <m/>
    <n v="120000000"/>
    <n v="116594807.36"/>
    <n v="120000000"/>
    <n v="116594807.36"/>
    <n v="70369600"/>
    <s v="AMOMPY"/>
    <s v="Momentum Capital Investment S.A."/>
    <s v="21/04/2026"/>
    <s v="21/04/2026"/>
    <n v="41"/>
    <s v="No"/>
    <s v=""/>
    <m/>
    <m/>
    <s v="*MAV050601340"/>
    <s v="*MAV050601340"/>
    <n v="3.0729777628379848E-3"/>
  </r>
  <r>
    <x v="76"/>
    <s v="Pesos"/>
    <d v="2026-06-09T00:00:00"/>
    <s v="14/05/2026"/>
    <n v="0.96827255000000001"/>
    <m/>
    <n v="20000000"/>
    <n v="19365450.969999999"/>
    <n v="20000000"/>
    <n v="19365450.969999999"/>
    <n v="70219522"/>
    <s v="AMOMPY"/>
    <s v="Momentum Capital Investment S.A."/>
    <s v="09/04/2026"/>
    <s v="09/04/2026"/>
    <n v="46"/>
    <s v="No"/>
    <s v=""/>
    <m/>
    <m/>
    <s v="*MAV050601246"/>
    <s v="*MAV050601246"/>
    <n v="5.1039665955617116E-4"/>
  </r>
  <r>
    <x v="4"/>
    <s v="Pesos"/>
    <d v="2026-06-09T00:00:00"/>
    <s v="14/05/2026"/>
    <n v="0.97364501000000003"/>
    <m/>
    <n v="5000000"/>
    <n v="4868225.07"/>
    <n v="5000000"/>
    <n v="4868225.07"/>
    <n v="60524150"/>
    <s v="AMOMPY"/>
    <s v="Momentum Capital Investment S.A."/>
    <s v="31/03/2026"/>
    <s v="31/03/2026"/>
    <n v="38"/>
    <s v="No"/>
    <s v=""/>
    <m/>
    <m/>
    <s v="*MAV050601198"/>
    <s v="*MAV050601198"/>
    <n v="1.2830714954920608E-4"/>
  </r>
  <r>
    <x v="36"/>
    <s v="Pesos"/>
    <d v="2026-06-09T00:00:00"/>
    <s v="14/05/2026"/>
    <n v="0.97567501000000001"/>
    <m/>
    <n v="10000000"/>
    <n v="9756750.0700000003"/>
    <n v="10000000"/>
    <n v="9756750.0700000003"/>
    <n v="383"/>
    <s v="AMOMPY"/>
    <s v="Momentum Capital Investment S.A."/>
    <s v="20/04/2026"/>
    <s v="20/04/2026"/>
    <n v="35"/>
    <s v="No"/>
    <s v=""/>
    <m/>
    <m/>
    <s v="*MAV050601328"/>
    <s v="*MAV050601328"/>
    <n v="2.5714932492751754E-4"/>
  </r>
  <r>
    <x v="47"/>
    <s v="Pesos"/>
    <d v="2026-06-09T00:00:00"/>
    <s v="14/05/2026"/>
    <n v="0.97907725999999995"/>
    <m/>
    <n v="18000000"/>
    <n v="17623390.600000001"/>
    <n v="18000000"/>
    <n v="17623390.600000001"/>
    <n v="14164"/>
    <s v="AMOMPY"/>
    <s v="Momentum Capital Investment S.A."/>
    <s v="08/04/2026"/>
    <s v="08/04/2026"/>
    <n v="30"/>
    <s v="No"/>
    <s v=""/>
    <m/>
    <m/>
    <s v="*MIL050600026"/>
    <s v="*MIL050600026"/>
    <n v="4.6448284143902013E-4"/>
  </r>
  <r>
    <x v="37"/>
    <s v="Pesos"/>
    <d v="2026-06-09T00:00:00"/>
    <s v="14/05/2026"/>
    <n v="0.97976065000000001"/>
    <m/>
    <n v="12500000"/>
    <n v="12247008.09"/>
    <n v="12500000"/>
    <n v="12247008.09"/>
    <n v="28996505"/>
    <s v="AMOMPY"/>
    <s v="Momentum Capital Investment S.A."/>
    <s v="31/03/2026"/>
    <s v="31/03/2026"/>
    <n v="29"/>
    <s v="No"/>
    <s v=""/>
    <m/>
    <m/>
    <s v="*AAR050600040"/>
    <s v="*AAR050600040"/>
    <n v="3.2278267252215735E-4"/>
  </r>
  <r>
    <x v="72"/>
    <s v="Pesos"/>
    <d v="2026-06-09T00:00:00"/>
    <s v="14/05/2026"/>
    <n v="0.97976063000000002"/>
    <m/>
    <n v="4000000"/>
    <n v="3919042.53"/>
    <n v="4000000"/>
    <n v="3919042.53"/>
    <n v="842"/>
    <s v="AMOMPY"/>
    <s v="Momentum Capital Investment S.A."/>
    <s v="17/04/2026"/>
    <s v="17/04/2026"/>
    <n v="29"/>
    <s v="No"/>
    <s v=""/>
    <m/>
    <m/>
    <s v="*AFB050600015"/>
    <s v="*AFB050600015"/>
    <n v="1.0329045365735502E-4"/>
  </r>
  <r>
    <x v="94"/>
    <s v="Pesos"/>
    <d v="2026-06-09T00:00:00"/>
    <s v="14/05/2026"/>
    <n v="0.98181622999999996"/>
    <m/>
    <n v="20000000"/>
    <n v="19636324.649999999"/>
    <n v="20000000"/>
    <n v="19636324.649999999"/>
    <n v="90026749"/>
    <s v="AMOMPY"/>
    <s v="Momentum Capital Investment S.A."/>
    <s v="30/04/2026"/>
    <s v="30/04/2026"/>
    <n v="26"/>
    <s v="No"/>
    <s v=""/>
    <m/>
    <m/>
    <s v="*FID050600036"/>
    <s v="*FID050600036"/>
    <n v="5.1753581792887639E-4"/>
  </r>
  <r>
    <x v="78"/>
    <s v="Pesos"/>
    <d v="2026-06-09T00:00:00"/>
    <s v="14/05/2026"/>
    <n v="0.97976065000000001"/>
    <m/>
    <n v="50000000"/>
    <n v="48988032.369999997"/>
    <n v="50000000"/>
    <n v="48988032.369999997"/>
    <n v="147629"/>
    <s v="AMOMPY"/>
    <s v="Momentum Capital Investment S.A."/>
    <s v="28/04/2026"/>
    <s v="28/04/2026"/>
    <n v="29"/>
    <s v="No"/>
    <s v=""/>
    <m/>
    <m/>
    <s v="#IGA080660002"/>
    <s v="#IGA080660002"/>
    <n v="1.2911306903521898E-3"/>
  </r>
  <r>
    <x v="78"/>
    <s v="Pesos"/>
    <d v="2026-06-09T00:00:00"/>
    <s v="14/05/2026"/>
    <n v="0.98044485000000003"/>
    <m/>
    <n v="12000000"/>
    <n v="11765338.220000001"/>
    <n v="12000000"/>
    <n v="11765338.220000001"/>
    <n v="90000618"/>
    <s v="AMOMPY"/>
    <s v="Momentum Capital Investment S.A."/>
    <s v="04/05/2026"/>
    <s v="04/05/2026"/>
    <n v="28"/>
    <s v="No"/>
    <s v=""/>
    <m/>
    <m/>
    <s v="*INP050600071"/>
    <s v="*INP050600071"/>
    <n v="3.1008776068985856E-4"/>
  </r>
  <r>
    <x v="78"/>
    <s v="Pesos"/>
    <d v="2026-06-09T00:00:00"/>
    <s v="14/05/2026"/>
    <n v="0.98113004999999998"/>
    <m/>
    <n v="15200000"/>
    <n v="14913176.810000001"/>
    <n v="15200000"/>
    <n v="14913176.810000001"/>
    <n v="2598"/>
    <s v="AMOMPY"/>
    <s v="Momentum Capital Investment S.A."/>
    <s v="30/04/2026"/>
    <s v="30/04/2026"/>
    <n v="27"/>
    <s v="No"/>
    <s v=""/>
    <m/>
    <m/>
    <s v="*INP050600070"/>
    <s v="*INP050600070"/>
    <n v="3.9305233009993558E-4"/>
  </r>
  <r>
    <x v="25"/>
    <s v="Pesos"/>
    <d v="2026-06-09T00:00:00"/>
    <s v="14/05/2026"/>
    <n v="0.98113013000000004"/>
    <m/>
    <n v="4419130.95"/>
    <n v="4335742.5199999996"/>
    <n v="4419130.95"/>
    <n v="4335742.5199999996"/>
    <n v="5808"/>
    <s v="AMOMPY"/>
    <s v="Momentum Capital Investment S.A."/>
    <s v="14/04/2026"/>
    <s v="14/04/2026"/>
    <n v="27"/>
    <s v="No"/>
    <s v=""/>
    <m/>
    <m/>
    <s v="%INC070600043"/>
    <s v="%INC070600043"/>
    <n v="1.1427301653505751E-4"/>
  </r>
  <r>
    <x v="25"/>
    <s v="Pesos"/>
    <d v="2026-06-09T00:00:00"/>
    <s v="14/05/2026"/>
    <n v="0.98113013000000004"/>
    <m/>
    <n v="10938133.199999999"/>
    <n v="10731732.01"/>
    <n v="10938133.199999999"/>
    <n v="10731732.01"/>
    <n v="5809"/>
    <s v="AMOMPY"/>
    <s v="Momentum Capital Investment S.A."/>
    <s v="14/04/2026"/>
    <s v="14/04/2026"/>
    <n v="27"/>
    <s v="No"/>
    <s v=""/>
    <m/>
    <m/>
    <s v="%INC070600044"/>
    <s v="%INC070600044"/>
    <n v="2.8284599091657687E-4"/>
  </r>
  <r>
    <x v="49"/>
    <s v="Pesos"/>
    <d v="2026-06-09T00:00:00"/>
    <s v="14/05/2026"/>
    <n v="0.97162329000000003"/>
    <m/>
    <n v="10918371.689999999"/>
    <n v="10608544.23"/>
    <n v="10918371.689999999"/>
    <n v="10608544.23"/>
    <n v="30451"/>
    <s v="AMOMPY"/>
    <s v="Momentum Capital Investment S.A."/>
    <s v="01/04/2026"/>
    <s v="01/04/2026"/>
    <n v="41"/>
    <s v="No"/>
    <s v=""/>
    <m/>
    <m/>
    <s v="*MAV050601202"/>
    <s v="*MAV050601202"/>
    <n v="2.7959924848297476E-4"/>
  </r>
  <r>
    <x v="49"/>
    <s v="Pesos"/>
    <d v="2026-06-09T00:00:00"/>
    <s v="14/05/2026"/>
    <n v="0.97162329000000003"/>
    <m/>
    <n v="13296076.9"/>
    <n v="12918777.99"/>
    <n v="13296076.9"/>
    <n v="12918777.99"/>
    <n v="30431"/>
    <s v="AMOMPY"/>
    <s v="Momentum Capital Investment S.A."/>
    <s v="01/04/2026"/>
    <s v="01/04/2026"/>
    <n v="41"/>
    <s v="No"/>
    <s v=""/>
    <m/>
    <m/>
    <s v="*MAV050601203"/>
    <s v="*MAV050601203"/>
    <n v="3.4048786893000444E-4"/>
  </r>
  <r>
    <x v="8"/>
    <s v="Pesos"/>
    <d v="2026-06-09T00:00:00"/>
    <s v="14/05/2026"/>
    <n v="0.97162329000000003"/>
    <m/>
    <n v="20000000"/>
    <n v="19432465.809999999"/>
    <n v="20000000"/>
    <n v="19432465.809999999"/>
    <n v="13318414"/>
    <s v="AMOMPY"/>
    <s v="Momentum Capital Investment S.A."/>
    <s v="01/04/2026"/>
    <s v="01/04/2026"/>
    <n v="41"/>
    <s v="No"/>
    <s v=""/>
    <m/>
    <m/>
    <s v="*MAV050601204"/>
    <s v="*MAV050601204"/>
    <n v="5.1216290556457442E-4"/>
  </r>
  <r>
    <x v="50"/>
    <s v="Pesos"/>
    <d v="2026-06-09T00:00:00"/>
    <s v="14/05/2026"/>
    <n v="0.97364501000000003"/>
    <m/>
    <n v="240000000"/>
    <n v="233674802.34999999"/>
    <n v="240000000"/>
    <n v="233674802.34999999"/>
    <n v="66782912"/>
    <s v="AMOMPY"/>
    <s v="Momentum Capital Investment S.A."/>
    <s v="12/05/2026"/>
    <s v="12/05/2026"/>
    <n v="38"/>
    <s v="No"/>
    <s v=""/>
    <m/>
    <m/>
    <s v="*MAV050601515"/>
    <s v="*MAV050601515"/>
    <n v="6.1587431517422875E-3"/>
  </r>
  <r>
    <x v="65"/>
    <s v="Pesos"/>
    <d v="2026-06-09T00:00:00"/>
    <s v="14/05/2026"/>
    <n v="0.97907730000000004"/>
    <m/>
    <n v="6000000"/>
    <n v="5874463.7699999996"/>
    <n v="6000000"/>
    <n v="5874463.7699999996"/>
    <n v="10926492"/>
    <s v="AMOMPY"/>
    <s v="Momentum Capital Investment S.A."/>
    <s v="20/04/2026"/>
    <s v="20/04/2026"/>
    <n v="30"/>
    <s v="No"/>
    <s v=""/>
    <m/>
    <m/>
    <s v="*NEU050600015"/>
    <s v="*NEU050600015"/>
    <n v="1.5482762005060354E-4"/>
  </r>
  <r>
    <x v="41"/>
    <s v="Pesos"/>
    <d v="2026-06-09T00:00:00"/>
    <s v="14/05/2026"/>
    <n v="0.97162336999999999"/>
    <m/>
    <n v="2164521.13"/>
    <n v="2103099.3199999998"/>
    <n v="2164521.13"/>
    <n v="2103099.3199999998"/>
    <n v="3182"/>
    <s v="AMOMPY"/>
    <s v="Momentum Capital Investment S.A."/>
    <s v="27/03/2026"/>
    <s v="27/03/2026"/>
    <n v="41"/>
    <s v="No"/>
    <s v=""/>
    <m/>
    <m/>
    <s v="*MAV050601166"/>
    <s v="*MAV050601166"/>
    <n v="5.5429376228094883E-5"/>
  </r>
  <r>
    <x v="67"/>
    <s v="Pesos"/>
    <d v="2026-06-10T00:00:00"/>
    <s v="14/05/2026"/>
    <n v="0.97265906999999996"/>
    <m/>
    <n v="6000000"/>
    <n v="5835954.4299999997"/>
    <n v="6000000"/>
    <n v="5835954.4299999997"/>
    <n v="90025541"/>
    <s v="AMOMPY"/>
    <s v="Momentum Capital Investment S.A."/>
    <s v="22/04/2026"/>
    <s v="22/04/2026"/>
    <n v="38"/>
    <s v="No"/>
    <s v=""/>
    <m/>
    <m/>
    <s v="*MAV080600997"/>
    <s v="*MAV080600997"/>
    <n v="1.5381266622752131E-4"/>
  </r>
  <r>
    <x v="95"/>
    <s v="Pesos"/>
    <d v="2026-06-10T00:00:00"/>
    <s v="14/05/2026"/>
    <n v="0.97476324999999997"/>
    <m/>
    <n v="2000000"/>
    <n v="1949526.5"/>
    <n v="2000000"/>
    <n v="1949526.5"/>
    <n v="7738"/>
    <s v="AMOMPY"/>
    <s v="Momentum Capital Investment S.A."/>
    <s v="08/05/2026"/>
    <s v="08/05/2026"/>
    <n v="35"/>
    <s v="No"/>
    <s v=""/>
    <m/>
    <m/>
    <s v="*MAV060601256"/>
    <s v="*MAV060601256"/>
    <n v="5.1381804372007039E-5"/>
  </r>
  <r>
    <x v="76"/>
    <s v="Pesos"/>
    <d v="2026-06-10T00:00:00"/>
    <s v="14/05/2026"/>
    <n v="0.96709237000000003"/>
    <m/>
    <n v="20000000"/>
    <n v="19341847.329999998"/>
    <n v="20000000"/>
    <n v="19341847.329999998"/>
    <n v="70219523"/>
    <s v="AMOMPY"/>
    <s v="Momentum Capital Investment S.A."/>
    <s v="09/04/2026"/>
    <s v="09/04/2026"/>
    <n v="46"/>
    <s v="No"/>
    <s v=""/>
    <m/>
    <m/>
    <s v="*MAV080600842"/>
    <s v="*MAV080600842"/>
    <n v="5.097745610040626E-4"/>
  </r>
  <r>
    <x v="76"/>
    <s v="Pesos"/>
    <d v="2026-06-10T00:00:00"/>
    <s v="14/05/2026"/>
    <n v="0.96709237000000003"/>
    <m/>
    <n v="20000000"/>
    <n v="19341847.329999998"/>
    <n v="20000000"/>
    <n v="19341847.329999998"/>
    <n v="70219524"/>
    <s v="AMOMPY"/>
    <s v="Momentum Capital Investment S.A."/>
    <s v="09/04/2026"/>
    <s v="09/04/2026"/>
    <n v="46"/>
    <s v="No"/>
    <s v=""/>
    <m/>
    <m/>
    <s v="*MAV080600843"/>
    <s v="*MAV080600843"/>
    <n v="5.097745610040626E-4"/>
  </r>
  <r>
    <x v="83"/>
    <s v="Pesos"/>
    <d v="2026-06-10T00:00:00"/>
    <s v="14/05/2026"/>
    <n v="0.97056412000000003"/>
    <m/>
    <n v="2000000"/>
    <n v="1941128.24"/>
    <n v="2000000"/>
    <n v="1941128.24"/>
    <n v="12384441"/>
    <s v="AMOMPY"/>
    <s v="Momentum Capital Investment S.A."/>
    <s v="01/04/2026"/>
    <s v="01/04/2026"/>
    <n v="41"/>
    <s v="No"/>
    <s v=""/>
    <m/>
    <m/>
    <s v="*MAV060601119"/>
    <s v="*MAV060601119"/>
    <n v="5.1160459469855031E-5"/>
  </r>
  <r>
    <x v="70"/>
    <s v="Pesos"/>
    <d v="2026-06-10T00:00:00"/>
    <s v="14/05/2026"/>
    <n v="0.98113022000000005"/>
    <m/>
    <n v="138969390"/>
    <n v="136347068.56"/>
    <n v="138969390"/>
    <n v="136347068.56"/>
    <n v="30012967"/>
    <s v="AMOMPY"/>
    <s v="Momentum Capital Investment S.A."/>
    <s v="11/05/2026"/>
    <s v="11/05/2026"/>
    <n v="26"/>
    <s v="No"/>
    <s v=""/>
    <m/>
    <m/>
    <s v="*MAV080601161"/>
    <s v="*MAV080601161"/>
    <n v="3.5935692094703773E-3"/>
  </r>
  <r>
    <x v="70"/>
    <s v="Pesos"/>
    <d v="2026-06-10T00:00:00"/>
    <s v="14/05/2026"/>
    <n v="0.98113022000000005"/>
    <m/>
    <n v="409578017.30000001"/>
    <n v="401849371.32999998"/>
    <n v="409578017.30000001"/>
    <n v="401849371.32999998"/>
    <n v="30012965"/>
    <s v="AMOMPY"/>
    <s v="Momentum Capital Investment S.A."/>
    <s v="11/05/2026"/>
    <s v="11/05/2026"/>
    <n v="26"/>
    <s v="No"/>
    <s v=""/>
    <m/>
    <m/>
    <s v="*MAV080601162"/>
    <s v="*MAV080601162"/>
    <n v="1.0591159332633885E-2"/>
  </r>
  <r>
    <x v="70"/>
    <s v="Pesos"/>
    <d v="2026-06-10T00:00:00"/>
    <s v="14/05/2026"/>
    <n v="0.98113022000000005"/>
    <m/>
    <n v="285628140"/>
    <n v="280238400.61000001"/>
    <n v="285628140"/>
    <n v="280238400.61000001"/>
    <n v="30012968"/>
    <s v="AMOMPY"/>
    <s v="Momentum Capital Investment S.A."/>
    <s v="11/05/2026"/>
    <s v="11/05/2026"/>
    <n v="26"/>
    <s v="No"/>
    <s v=""/>
    <m/>
    <m/>
    <s v="*MAV080601163"/>
    <s v="*MAV080601163"/>
    <n v="7.3859753523058853E-3"/>
  </r>
  <r>
    <x v="70"/>
    <s v="Pesos"/>
    <d v="2026-06-10T00:00:00"/>
    <s v="14/05/2026"/>
    <n v="0.98113022000000005"/>
    <m/>
    <n v="18466213.440000001"/>
    <n v="18117760.100000001"/>
    <n v="18466213.440000001"/>
    <n v="18117760.100000001"/>
    <n v="30012966"/>
    <s v="AMOMPY"/>
    <s v="Momentum Capital Investment S.A."/>
    <s v="11/05/2026"/>
    <s v="11/05/2026"/>
    <n v="26"/>
    <s v="No"/>
    <s v=""/>
    <m/>
    <m/>
    <s v="*MAV080601165"/>
    <s v="*MAV080601165"/>
    <n v="4.7751246526638892E-4"/>
  </r>
  <r>
    <x v="24"/>
    <s v="Pesos"/>
    <d v="2026-06-10T00:00:00"/>
    <s v="14/05/2026"/>
    <n v="0.97126140000000005"/>
    <m/>
    <n v="10000000"/>
    <n v="9712614"/>
    <n v="10000000"/>
    <n v="9712614"/>
    <n v="1341"/>
    <s v="AMOMPY"/>
    <s v="Momentum Capital Investment S.A."/>
    <s v="24/02/2026"/>
    <s v="24/02/2026"/>
    <n v="40"/>
    <s v="No"/>
    <s v=""/>
    <m/>
    <m/>
    <s v="*MAV060601073"/>
    <s v="*MAV060601073"/>
    <n v="2.5598607276629314E-4"/>
  </r>
  <r>
    <x v="64"/>
    <s v="Pesos"/>
    <d v="2026-06-10T00:00:00"/>
    <s v="14/05/2026"/>
    <n v="0.97265906999999996"/>
    <m/>
    <n v="100000000"/>
    <n v="97265907.049999997"/>
    <n v="100000000"/>
    <n v="97265907.049999997"/>
    <n v="3257451"/>
    <s v="AMOMPY"/>
    <s v="Momentum Capital Investment S.A."/>
    <s v="25/03/2026"/>
    <s v="25/03/2026"/>
    <n v="38"/>
    <s v="No"/>
    <s v=""/>
    <m/>
    <m/>
    <s v="*MAV080600773"/>
    <s v="*MAV080600773"/>
    <n v="2.5635444340504836E-3"/>
  </r>
  <r>
    <x v="89"/>
    <s v="Pesos"/>
    <d v="2026-06-10T00:00:00"/>
    <s v="14/05/2026"/>
    <n v="0.97970813999999995"/>
    <m/>
    <n v="5000000"/>
    <n v="4898540.68"/>
    <n v="5000000"/>
    <n v="4898540.68"/>
    <n v="6034639"/>
    <s v="AMOMPY"/>
    <s v="Momentum Capital Investment S.A."/>
    <s v="04/05/2026"/>
    <s v="04/05/2026"/>
    <n v="28"/>
    <s v="No"/>
    <s v=""/>
    <m/>
    <m/>
    <s v="*CUY080600010"/>
    <s v="*CUY080600010"/>
    <n v="1.2910614907162243E-4"/>
  </r>
  <r>
    <x v="49"/>
    <s v="Pesos"/>
    <d v="2026-06-10T00:00:00"/>
    <s v="14/05/2026"/>
    <n v="0.97056410999999998"/>
    <m/>
    <n v="13296076.83"/>
    <n v="12904695.02"/>
    <n v="13296076.83"/>
    <n v="12904695.02"/>
    <n v="30432"/>
    <s v="AMOMPY"/>
    <s v="Momentum Capital Investment S.A."/>
    <s v="01/04/2026"/>
    <s v="01/04/2026"/>
    <n v="41"/>
    <s v="No"/>
    <s v=""/>
    <m/>
    <m/>
    <s v="*MAV080600802"/>
    <s v="*MAV080600802"/>
    <n v="3.4011669756633391E-4"/>
  </r>
  <r>
    <x v="9"/>
    <s v="Pesos"/>
    <d v="2026-06-10T00:00:00"/>
    <s v="14/05/2026"/>
    <n v="0.98184267000000003"/>
    <m/>
    <n v="996595"/>
    <n v="978499.49"/>
    <n v="996595"/>
    <n v="978499.49"/>
    <n v="14303478"/>
    <s v="AMOMPY"/>
    <s v="Momentum Capital Investment S.A."/>
    <s v="17/04/2026"/>
    <s v="17/04/2026"/>
    <n v="25"/>
    <s v="No"/>
    <s v=""/>
    <m/>
    <m/>
    <s v="*MOV080600040"/>
    <s v="*MOV080600040"/>
    <n v="2.5789374688309523E-5"/>
  </r>
  <r>
    <x v="9"/>
    <s v="Pesos"/>
    <d v="2026-06-10T00:00:00"/>
    <s v="14/05/2026"/>
    <n v="0.98184265999999998"/>
    <m/>
    <n v="696310"/>
    <n v="683666.86"/>
    <n v="696310"/>
    <n v="683666.86"/>
    <n v="16303475"/>
    <s v="AMOMPY"/>
    <s v="Momentum Capital Investment S.A."/>
    <s v="17/04/2026"/>
    <s v="17/04/2026"/>
    <n v="25"/>
    <s v="No"/>
    <s v=""/>
    <m/>
    <m/>
    <s v="*MOV070600042"/>
    <s v="*MOV070600042"/>
    <n v="1.8018753197837693E-5"/>
  </r>
  <r>
    <x v="9"/>
    <s v="Pesos"/>
    <d v="2026-06-10T00:00:00"/>
    <s v="14/05/2026"/>
    <n v="0.98184267000000003"/>
    <m/>
    <n v="643398.03"/>
    <n v="631715.64"/>
    <n v="643398.03"/>
    <n v="631715.64"/>
    <n v="383"/>
    <s v="AMOMPY"/>
    <s v="Momentum Capital Investment S.A."/>
    <s v="17/04/2026"/>
    <s v="17/04/2026"/>
    <n v="25"/>
    <s v="No"/>
    <s v=""/>
    <m/>
    <m/>
    <s v="*MOV070600041"/>
    <s v="*MOV070600041"/>
    <n v="1.6649524606727443E-5"/>
  </r>
  <r>
    <x v="9"/>
    <s v="Pesos"/>
    <d v="2026-06-10T00:00:00"/>
    <s v="14/05/2026"/>
    <n v="0.98184269000000002"/>
    <m/>
    <n v="186067"/>
    <n v="182688.52"/>
    <n v="186067"/>
    <n v="182688.52"/>
    <n v="135"/>
    <s v="AMOMPY"/>
    <s v="Momentum Capital Investment S.A."/>
    <s v="17/04/2026"/>
    <s v="17/04/2026"/>
    <n v="25"/>
    <s v="No"/>
    <s v=""/>
    <m/>
    <m/>
    <s v="*MOV060600069"/>
    <s v="*MOV060600069"/>
    <n v="4.8149464988813922E-6"/>
  </r>
  <r>
    <x v="9"/>
    <s v="Pesos"/>
    <d v="2026-06-10T00:00:00"/>
    <s v="14/05/2026"/>
    <n v="0.98184263999999999"/>
    <m/>
    <n v="137605.5"/>
    <n v="135106.95000000001"/>
    <n v="137605.5"/>
    <n v="135106.95000000001"/>
    <n v="45"/>
    <s v="AMOMPY"/>
    <s v="Momentum Capital Investment S.A."/>
    <s v="17/04/2026"/>
    <s v="17/04/2026"/>
    <n v="25"/>
    <s v="No"/>
    <s v=""/>
    <m/>
    <m/>
    <s v="*MOV060600068"/>
    <s v="*MOV060600068"/>
    <n v="3.5608845913089855E-6"/>
  </r>
  <r>
    <x v="9"/>
    <s v="Pesos"/>
    <d v="2026-06-10T00:00:00"/>
    <s v="14/05/2026"/>
    <n v="0.98184269000000002"/>
    <m/>
    <n v="577850.63"/>
    <n v="567358.42000000004"/>
    <n v="577850.63"/>
    <n v="567358.42000000004"/>
    <n v="4446"/>
    <s v="AMOMPY"/>
    <s v="Momentum Capital Investment S.A."/>
    <s v="17/04/2026"/>
    <s v="17/04/2026"/>
    <n v="25"/>
    <s v="No"/>
    <s v=""/>
    <m/>
    <m/>
    <s v="*MOV060600067"/>
    <s v="*MOV060600067"/>
    <n v="1.4953322945469583E-5"/>
  </r>
  <r>
    <x v="9"/>
    <s v="Pesos"/>
    <d v="2026-06-10T00:00:00"/>
    <s v="14/05/2026"/>
    <n v="0.98184265999999998"/>
    <m/>
    <n v="325760.8"/>
    <n v="319845.84999999998"/>
    <n v="325760.8"/>
    <n v="319845.84999999998"/>
    <n v="46"/>
    <s v="AMOMPY"/>
    <s v="Momentum Capital Investment S.A."/>
    <s v="17/04/2026"/>
    <s v="17/04/2026"/>
    <n v="25"/>
    <s v="No"/>
    <s v=""/>
    <m/>
    <m/>
    <s v="*MOV060600066"/>
    <s v="*MOV060600066"/>
    <n v="8.4298709937506919E-6"/>
  </r>
  <r>
    <x v="9"/>
    <s v="Pesos"/>
    <d v="2026-06-10T00:00:00"/>
    <s v="14/05/2026"/>
    <n v="0.98184271000000001"/>
    <m/>
    <n v="113740"/>
    <n v="111674.79"/>
    <n v="113740"/>
    <n v="111674.79"/>
    <n v="14903483"/>
    <s v="AMOMPY"/>
    <s v="Momentum Capital Investment S.A."/>
    <s v="17/04/2026"/>
    <s v="17/04/2026"/>
    <n v="25"/>
    <s v="No"/>
    <s v=""/>
    <m/>
    <m/>
    <s v="*MOV060600065"/>
    <s v="*MOV060600065"/>
    <n v="2.9433055734635913E-6"/>
  </r>
  <r>
    <x v="49"/>
    <s v="Pesos"/>
    <d v="2026-06-10T00:00:00"/>
    <s v="14/05/2026"/>
    <n v="0.97056410999999998"/>
    <m/>
    <n v="10918371.689999999"/>
    <n v="10596979.720000001"/>
    <n v="10918371.689999999"/>
    <n v="10596979.720000001"/>
    <n v="30452"/>
    <s v="AMOMPY"/>
    <s v="Momentum Capital Investment S.A."/>
    <s v="01/04/2026"/>
    <s v="01/04/2026"/>
    <n v="41"/>
    <s v="No"/>
    <s v=""/>
    <m/>
    <m/>
    <s v="*MAV080600800"/>
    <s v="*MAV080600800"/>
    <n v="2.7929445375949799E-4"/>
  </r>
  <r>
    <x v="8"/>
    <s v="Pesos"/>
    <d v="2026-06-10T00:00:00"/>
    <s v="14/05/2026"/>
    <n v="0.97056410999999998"/>
    <m/>
    <n v="20000000"/>
    <n v="19411282.27"/>
    <n v="20000000"/>
    <n v="19411282.27"/>
    <n v="13318415"/>
    <s v="AMOMPY"/>
    <s v="Momentum Capital Investment S.A."/>
    <s v="01/04/2026"/>
    <s v="01/04/2026"/>
    <n v="41"/>
    <s v="No"/>
    <s v=""/>
    <m/>
    <m/>
    <s v="*MAV080600801"/>
    <s v="*MAV080600801"/>
    <n v="5.1160459127226469E-4"/>
  </r>
  <r>
    <x v="51"/>
    <s v="Pesos"/>
    <d v="2026-06-10T00:00:00"/>
    <s v="14/05/2026"/>
    <n v="0.97406066999999996"/>
    <m/>
    <n v="5000000"/>
    <n v="4870303.37"/>
    <n v="5000000"/>
    <n v="4870303.37"/>
    <n v="13420540"/>
    <s v="AMOMPY"/>
    <s v="Momentum Capital Investment S.A."/>
    <s v="10/04/2026"/>
    <s v="10/04/2026"/>
    <n v="36"/>
    <s v="No"/>
    <s v=""/>
    <m/>
    <m/>
    <s v="*MAV070601038"/>
    <s v="*MAV070601038"/>
    <n v="1.283619253134885E-4"/>
  </r>
  <r>
    <x v="67"/>
    <s v="Pesos"/>
    <d v="2026-06-11T00:00:00"/>
    <s v="14/05/2026"/>
    <n v="0.97167506999999997"/>
    <m/>
    <n v="6000000"/>
    <n v="5830050.4400000004"/>
    <n v="6000000"/>
    <n v="5830050.4400000004"/>
    <n v="90025542"/>
    <s v="AMOMPY"/>
    <s v="Momentum Capital Investment S.A."/>
    <s v="22/04/2026"/>
    <s v="22/04/2026"/>
    <n v="38"/>
    <s v="No"/>
    <s v=""/>
    <m/>
    <m/>
    <s v="*MAV090601294"/>
    <s v="*MAV090601294"/>
    <n v="1.5365706041288159E-4"/>
  </r>
  <r>
    <x v="76"/>
    <s v="Pesos"/>
    <d v="2026-06-11T00:00:00"/>
    <s v="14/05/2026"/>
    <n v="0.96591528000000004"/>
    <m/>
    <n v="42000000"/>
    <n v="40568441.579999998"/>
    <n v="42000000"/>
    <n v="40568441.579999998"/>
    <n v="145438"/>
    <s v="AMOMPY"/>
    <s v="Momentum Capital Investment S.A."/>
    <s v="13/04/2026"/>
    <s v="13/04/2026"/>
    <n v="46"/>
    <s v="No"/>
    <s v=""/>
    <m/>
    <m/>
    <s v="#MAV100660034"/>
    <s v="#MAV100660034"/>
    <n v="1.0692235929805295E-3"/>
  </r>
  <r>
    <x v="96"/>
    <s v="Pesos"/>
    <d v="2026-06-11T00:00:00"/>
    <s v="14/05/2026"/>
    <n v="0.96878666999999996"/>
    <m/>
    <n v="19618198"/>
    <n v="19005848.649999999"/>
    <n v="19618198"/>
    <n v="19005848.649999999"/>
    <n v="98808324"/>
    <s v="AMOMPY"/>
    <s v="Momentum Capital Investment S.A."/>
    <s v="04/05/2026"/>
    <s v="04/05/2026"/>
    <n v="42"/>
    <s v="No"/>
    <s v=""/>
    <m/>
    <m/>
    <s v="*MAV090601353"/>
    <s v="*MAV090601353"/>
    <n v="5.0091896532736236E-4"/>
  </r>
  <r>
    <x v="34"/>
    <s v="Pesos"/>
    <d v="2026-06-11T00:00:00"/>
    <s v="14/05/2026"/>
    <n v="0.96591517000000005"/>
    <m/>
    <n v="20000000"/>
    <n v="19318303.449999999"/>
    <n v="20000000"/>
    <n v="19318303.449999999"/>
    <n v="3979"/>
    <s v="AMOMPY"/>
    <s v="Momentum Capital Investment S.A."/>
    <s v="10/03/2026"/>
    <s v="10/03/2026"/>
    <n v="46"/>
    <s v="No"/>
    <s v=""/>
    <m/>
    <m/>
    <s v="*MAV090601120"/>
    <s v="*MAV090601120"/>
    <n v="5.0915403748908708E-4"/>
  </r>
  <r>
    <x v="55"/>
    <s v="Pesos"/>
    <d v="2026-06-11T00:00:00"/>
    <s v="14/05/2026"/>
    <n v="0.97750413000000003"/>
    <m/>
    <n v="213099761.59999999"/>
    <n v="208305896.77000001"/>
    <n v="213099761.59999999"/>
    <n v="208305896.77000001"/>
    <n v="30004140"/>
    <s v="AMOMPY"/>
    <s v="Momentum Capital Investment S.A."/>
    <s v="06/04/2026"/>
    <s v="06/04/2026"/>
    <n v="30"/>
    <s v="No"/>
    <s v=""/>
    <m/>
    <m/>
    <s v="*MAV090601193"/>
    <s v="*MAV090601193"/>
    <n v="5.4901191840026967E-3"/>
  </r>
  <r>
    <x v="55"/>
    <s v="Pesos"/>
    <d v="2026-06-11T00:00:00"/>
    <s v="14/05/2026"/>
    <n v="0.97750413000000003"/>
    <m/>
    <n v="8834999.9700000007"/>
    <n v="8636248.9499999993"/>
    <n v="8834999.9700000007"/>
    <n v="8636248.9499999993"/>
    <n v="30004135"/>
    <s v="AMOMPY"/>
    <s v="Momentum Capital Investment S.A."/>
    <s v="06/04/2026"/>
    <s v="06/04/2026"/>
    <n v="30"/>
    <s v="No"/>
    <s v=""/>
    <m/>
    <m/>
    <s v="*MAV090601194"/>
    <s v="*MAV090601194"/>
    <n v="2.2761734916496449E-4"/>
  </r>
  <r>
    <x v="97"/>
    <s v="Pesos"/>
    <d v="2026-06-11T00:00:00"/>
    <s v="14/05/2026"/>
    <n v="0.96950705000000004"/>
    <m/>
    <n v="18208333"/>
    <n v="17653107.27"/>
    <n v="18208333"/>
    <n v="17653107.27"/>
    <n v="1976"/>
    <s v="AMOMPY"/>
    <s v="Momentum Capital Investment S.A."/>
    <s v="23/02/2026"/>
    <s v="23/02/2026"/>
    <n v="41"/>
    <s v="No"/>
    <s v=""/>
    <m/>
    <m/>
    <s v="*MAV090601094"/>
    <s v="*MAV090601094"/>
    <n v="4.652660552730087E-4"/>
  </r>
  <r>
    <x v="98"/>
    <s v="Pesos"/>
    <d v="2026-06-11T00:00:00"/>
    <s v="14/05/2026"/>
    <n v="0.97167508999999996"/>
    <m/>
    <n v="438000000"/>
    <n v="425593691.56999999"/>
    <n v="438000000"/>
    <n v="425593691.56999999"/>
    <n v="171"/>
    <s v="AMOMPY"/>
    <s v="Momentum Capital Investment S.A."/>
    <s v="11/03/2026"/>
    <s v="11/03/2026"/>
    <n v="38"/>
    <s v="No"/>
    <s v=""/>
    <m/>
    <m/>
    <s v="*MAV090601125"/>
    <s v="*MAV090601125"/>
    <n v="1.1216965659204962E-2"/>
  </r>
  <r>
    <x v="47"/>
    <s v="Pesos"/>
    <d v="2026-06-11T00:00:00"/>
    <s v="14/05/2026"/>
    <n v="0.97385279999999996"/>
    <m/>
    <n v="5000000"/>
    <n v="4869264"/>
    <n v="5000000"/>
    <n v="4869264"/>
    <n v="90000052"/>
    <s v="AMOMPY"/>
    <s v="Momentum Capital Investment S.A."/>
    <s v="11/03/2026"/>
    <s v="11/03/2026"/>
    <n v="35"/>
    <s v="No"/>
    <s v=""/>
    <m/>
    <m/>
    <s v="*MIL090600032"/>
    <s v="*MIL090600032"/>
    <n v="1.283345316330178E-4"/>
  </r>
  <r>
    <x v="78"/>
    <s v="Pesos"/>
    <d v="2026-06-11T00:00:00"/>
    <s v="14/05/2026"/>
    <n v="0.97970805000000005"/>
    <m/>
    <n v="15200000"/>
    <n v="14891562.390000001"/>
    <n v="15200000"/>
    <n v="14891562.390000001"/>
    <n v="2599"/>
    <s v="AMOMPY"/>
    <s v="Momentum Capital Investment S.A."/>
    <s v="30/04/2026"/>
    <s v="30/04/2026"/>
    <n v="27"/>
    <s v="No"/>
    <s v=""/>
    <m/>
    <m/>
    <s v="*INP090600070"/>
    <s v="*INP090600070"/>
    <n v="3.9248265951579401E-4"/>
  </r>
  <r>
    <x v="22"/>
    <s v="Pesos"/>
    <d v="2026-06-11T00:00:00"/>
    <s v="14/05/2026"/>
    <n v="0.96878668999999995"/>
    <m/>
    <n v="17368953.050000001"/>
    <n v="16826810.539999999"/>
    <n v="17368953.050000001"/>
    <n v="16826810.539999999"/>
    <n v="5108"/>
    <s v="AMOMPY"/>
    <s v="Momentum Capital Investment S.A."/>
    <s v="24/04/2026"/>
    <s v="24/04/2026"/>
    <n v="42"/>
    <s v="No"/>
    <s v=""/>
    <m/>
    <m/>
    <s v="*MAV090601306"/>
    <s v="*MAV090601306"/>
    <n v="4.4348814308043831E-4"/>
  </r>
  <r>
    <x v="89"/>
    <s v="Pesos"/>
    <d v="2026-06-11T00:00:00"/>
    <s v="14/05/2026"/>
    <n v="0.97897232999999995"/>
    <m/>
    <n v="5000000"/>
    <n v="4894861.6500000004"/>
    <n v="5000000"/>
    <n v="4894861.6500000004"/>
    <n v="6034640"/>
    <s v="AMOMPY"/>
    <s v="Momentum Capital Investment S.A."/>
    <s v="04/05/2026"/>
    <s v="04/05/2026"/>
    <n v="28"/>
    <s v="No"/>
    <s v=""/>
    <m/>
    <m/>
    <s v="*CUY090600023"/>
    <s v="*CUY090600023"/>
    <n v="1.2900918439853965E-4"/>
  </r>
  <r>
    <x v="9"/>
    <s v="Pesos"/>
    <d v="2026-06-11T00:00:00"/>
    <s v="14/05/2026"/>
    <n v="0.98118285000000005"/>
    <m/>
    <n v="321666.46000000002"/>
    <n v="315613.61"/>
    <n v="321666.46000000002"/>
    <n v="315613.61"/>
    <n v="762"/>
    <s v="AMOMPY"/>
    <s v="Momentum Capital Investment S.A."/>
    <s v="17/04/2026"/>
    <s v="17/04/2026"/>
    <n v="25"/>
    <s v="No"/>
    <s v=""/>
    <m/>
    <m/>
    <s v="*MOV090600056"/>
    <s v="*MOV090600056"/>
    <n v="8.3183258940891152E-6"/>
  </r>
  <r>
    <x v="9"/>
    <s v="Pesos"/>
    <d v="2026-06-11T00:00:00"/>
    <s v="14/05/2026"/>
    <n v="0.98118295"/>
    <m/>
    <n v="250000"/>
    <n v="245295.74"/>
    <n v="250000"/>
    <n v="245295.74"/>
    <n v="90000276"/>
    <s v="AMOMPY"/>
    <s v="Momentum Capital Investment S.A."/>
    <s v="17/04/2026"/>
    <s v="17/04/2026"/>
    <n v="25"/>
    <s v="No"/>
    <s v=""/>
    <m/>
    <m/>
    <s v="*MOV090600055"/>
    <s v="*MOV090600055"/>
    <n v="6.4650250847919748E-6"/>
  </r>
  <r>
    <x v="78"/>
    <s v="Pesos"/>
    <d v="2026-06-11T00:00:00"/>
    <s v="14/05/2026"/>
    <n v="0.97897232000000001"/>
    <m/>
    <n v="10000000"/>
    <n v="9789723.2400000002"/>
    <n v="10000000"/>
    <n v="9789723.2400000002"/>
    <n v="66290675"/>
    <s v="AMOMPY"/>
    <s v="Momentum Capital Investment S.A."/>
    <s v="20/04/2026"/>
    <s v="20/04/2026"/>
    <n v="28"/>
    <s v="No"/>
    <s v=""/>
    <m/>
    <m/>
    <s v="*INP090600066"/>
    <s v="*INP090600066"/>
    <n v="2.5801836721571671E-4"/>
  </r>
  <r>
    <x v="25"/>
    <s v="Pesos"/>
    <d v="2026-06-11T00:00:00"/>
    <s v="14/05/2026"/>
    <n v="0.97970802000000001"/>
    <m/>
    <n v="20146795.890000001"/>
    <n v="19737977.559999999"/>
    <n v="20146795.890000001"/>
    <n v="19737977.559999999"/>
    <n v="1509"/>
    <s v="AMOMPY"/>
    <s v="Momentum Capital Investment S.A."/>
    <s v="01/04/2026"/>
    <s v="01/04/2026"/>
    <n v="27"/>
    <s v="No"/>
    <s v=""/>
    <m/>
    <m/>
    <s v="%INC100600020"/>
    <s v="%INC100600020"/>
    <n v="5.2021498640156196E-4"/>
  </r>
  <r>
    <x v="25"/>
    <s v="Pesos"/>
    <d v="2026-06-11T00:00:00"/>
    <s v="14/05/2026"/>
    <n v="0.97970802000000001"/>
    <m/>
    <n v="7921214.3099999996"/>
    <n v="7760477.21"/>
    <n v="7921214.3099999996"/>
    <n v="7760477.21"/>
    <n v="1510"/>
    <s v="AMOMPY"/>
    <s v="Momentum Capital Investment S.A."/>
    <s v="01/04/2026"/>
    <s v="01/04/2026"/>
    <n v="27"/>
    <s v="No"/>
    <s v=""/>
    <m/>
    <m/>
    <s v="%INC100600021"/>
    <s v="%INC100600021"/>
    <n v="2.0453547147865854E-4"/>
  </r>
  <r>
    <x v="25"/>
    <s v="Pesos"/>
    <d v="2026-06-11T00:00:00"/>
    <s v="14/05/2026"/>
    <n v="0.97970802000000001"/>
    <m/>
    <n v="8670779.9700000007"/>
    <n v="8494832.6699999999"/>
    <n v="8670779.9700000007"/>
    <n v="8494832.6699999999"/>
    <n v="1511"/>
    <s v="AMOMPY"/>
    <s v="Momentum Capital Investment S.A."/>
    <s v="01/04/2026"/>
    <s v="01/04/2026"/>
    <n v="27"/>
    <s v="No"/>
    <s v=""/>
    <m/>
    <m/>
    <s v="%INC100600022"/>
    <s v="%INC100600022"/>
    <n v="2.2389017560052362E-4"/>
  </r>
  <r>
    <x v="25"/>
    <s v="Pesos"/>
    <d v="2026-06-11T00:00:00"/>
    <s v="14/05/2026"/>
    <n v="0.97970802000000001"/>
    <m/>
    <n v="4374979.37"/>
    <n v="4286202.37"/>
    <n v="4374979.37"/>
    <n v="4286202.37"/>
    <n v="1512"/>
    <s v="AMOMPY"/>
    <s v="Momentum Capital Investment S.A."/>
    <s v="01/04/2026"/>
    <s v="01/04/2026"/>
    <n v="27"/>
    <s v="No"/>
    <s v=""/>
    <m/>
    <m/>
    <s v="%INC100600023"/>
    <s v="%INC100600023"/>
    <n v="1.1296733420867731E-4"/>
  </r>
  <r>
    <x v="49"/>
    <s v="Pesos"/>
    <d v="2026-06-11T00:00:00"/>
    <s v="14/05/2026"/>
    <n v="0.96950709999999996"/>
    <m/>
    <n v="10918371.689999999"/>
    <n v="10585438.83"/>
    <n v="10918371.689999999"/>
    <n v="10585438.83"/>
    <n v="30453"/>
    <s v="AMOMPY"/>
    <s v="Momentum Capital Investment S.A."/>
    <s v="01/04/2026"/>
    <s v="01/04/2026"/>
    <n v="41"/>
    <s v="No"/>
    <s v=""/>
    <m/>
    <m/>
    <s v="*MAV090601184"/>
    <s v="*MAV090601184"/>
    <n v="2.7899028156575819E-4"/>
  </r>
  <r>
    <x v="8"/>
    <s v="Pesos"/>
    <d v="2026-06-11T00:00:00"/>
    <s v="14/05/2026"/>
    <n v="0.96950709999999996"/>
    <m/>
    <n v="20000000"/>
    <n v="19390141.899999999"/>
    <n v="20000000"/>
    <n v="19390141.899999999"/>
    <n v="13318416"/>
    <s v="AMOMPY"/>
    <s v="Momentum Capital Investment S.A."/>
    <s v="01/04/2026"/>
    <s v="01/04/2026"/>
    <n v="41"/>
    <s v="No"/>
    <s v=""/>
    <m/>
    <m/>
    <s v="*MAV090601185"/>
    <s v="*MAV090601185"/>
    <n v="5.1104741477033357E-4"/>
  </r>
  <r>
    <x v="67"/>
    <s v="Pesos"/>
    <d v="2026-06-12T00:00:00"/>
    <s v="14/05/2026"/>
    <n v="0.97069306"/>
    <m/>
    <n v="6000000"/>
    <n v="5824158.3399999999"/>
    <n v="6000000"/>
    <n v="5824158.3399999999"/>
    <n v="90025543"/>
    <s v="AMOMPY"/>
    <s v="Momentum Capital Investment S.A."/>
    <s v="22/04/2026"/>
    <s v="22/04/2026"/>
    <n v="38"/>
    <s v="No"/>
    <s v=""/>
    <m/>
    <m/>
    <s v="*MAV100601628"/>
    <s v="*MAV100601628"/>
    <n v="1.5350176797159374E-4"/>
  </r>
  <r>
    <x v="76"/>
    <s v="Pesos"/>
    <d v="2026-06-12T00:00:00"/>
    <s v="14/05/2026"/>
    <n v="0.96474082999999999"/>
    <m/>
    <n v="42000000"/>
    <n v="40519114.670000002"/>
    <n v="42000000"/>
    <n v="40519114.670000002"/>
    <n v="145439"/>
    <s v="AMOMPY"/>
    <s v="Momentum Capital Investment S.A."/>
    <s v="13/04/2026"/>
    <s v="13/04/2026"/>
    <n v="46"/>
    <s v="No"/>
    <s v=""/>
    <m/>
    <m/>
    <s v="#MAV110660031"/>
    <s v="#MAV110660031"/>
    <n v="1.0679235308167704E-3"/>
  </r>
  <r>
    <x v="83"/>
    <s v="Pesos"/>
    <d v="2026-06-12T00:00:00"/>
    <s v="14/05/2026"/>
    <n v="0.96845238"/>
    <m/>
    <n v="2000000"/>
    <n v="1936904.76"/>
    <n v="2000000"/>
    <n v="1936904.76"/>
    <n v="12384442"/>
    <s v="AMOMPY"/>
    <s v="Momentum Capital Investment S.A."/>
    <s v="01/04/2026"/>
    <s v="01/04/2026"/>
    <n v="41"/>
    <s v="No"/>
    <s v=""/>
    <m/>
    <m/>
    <s v="*MAV100601470"/>
    <s v="*MAV100601470"/>
    <n v="5.104914524913062E-5"/>
  </r>
  <r>
    <x v="96"/>
    <s v="Pesos"/>
    <d v="2026-06-12T00:00:00"/>
    <s v="14/05/2026"/>
    <n v="0.96770782"/>
    <m/>
    <n v="19618198"/>
    <n v="18984683.579999998"/>
    <n v="19618198"/>
    <n v="18984683.579999998"/>
    <n v="98808325"/>
    <s v="AMOMPY"/>
    <s v="Momentum Capital Investment S.A."/>
    <s v="04/05/2026"/>
    <s v="04/05/2026"/>
    <n v="42"/>
    <s v="No"/>
    <s v=""/>
    <m/>
    <m/>
    <s v="*MAV100601764"/>
    <s v="*MAV100601764"/>
    <n v="5.0036113783116776E-4"/>
  </r>
  <r>
    <x v="47"/>
    <s v="Pesos"/>
    <d v="2026-06-12T00:00:00"/>
    <s v="14/05/2026"/>
    <n v="0.97671931999999995"/>
    <m/>
    <n v="3500000"/>
    <n v="3418517.62"/>
    <n v="3500000"/>
    <n v="3418517.62"/>
    <n v="324"/>
    <s v="AMOMPY"/>
    <s v="Momentum Capital Investment S.A."/>
    <s v="08/04/2026"/>
    <s v="08/04/2026"/>
    <n v="30"/>
    <s v="No"/>
    <s v=""/>
    <m/>
    <m/>
    <s v="*MIL100600033"/>
    <s v="*MIL100600033"/>
    <n v="9.0098597579001423E-5"/>
  </r>
  <r>
    <x v="99"/>
    <s v="Pesos"/>
    <d v="2026-06-12T00:00:00"/>
    <s v="14/05/2026"/>
    <n v="0.9699451"/>
    <m/>
    <n v="115000000"/>
    <n v="111543686.48"/>
    <n v="115000000"/>
    <n v="111543686.48"/>
    <n v="7340"/>
    <s v="AMOMPY"/>
    <s v="Momentum Capital Investment S.A."/>
    <s v="16/03/2026"/>
    <s v="16/03/2026"/>
    <n v="39"/>
    <s v="No"/>
    <s v=""/>
    <m/>
    <m/>
    <s v="*MAV100601387"/>
    <s v="*MAV100601387"/>
    <n v="2.9398502034457324E-3"/>
  </r>
  <r>
    <x v="78"/>
    <s v="Pesos"/>
    <d v="2026-06-12T00:00:00"/>
    <s v="14/05/2026"/>
    <n v="0.97976072000000003"/>
    <m/>
    <n v="16000000"/>
    <n v="15676171.49"/>
    <n v="16000000"/>
    <n v="15676171.49"/>
    <n v="90000617"/>
    <s v="AMOMPY"/>
    <s v="Momentum Capital Investment S.A."/>
    <s v="29/04/2026"/>
    <s v="29/04/2026"/>
    <n v="26"/>
    <s v="No"/>
    <s v=""/>
    <m/>
    <m/>
    <s v="*INP100600108"/>
    <s v="*INP100600108"/>
    <n v="4.1316185073719905E-4"/>
  </r>
  <r>
    <x v="9"/>
    <s v="Pesos"/>
    <d v="2026-06-12T00:00:00"/>
    <s v="14/05/2026"/>
    <n v="0.97976065000000001"/>
    <m/>
    <n v="1215596.28"/>
    <n v="1190993.3999999999"/>
    <n v="1215596.28"/>
    <n v="1190993.3999999999"/>
    <n v="6800087"/>
    <s v="AMOMPY"/>
    <s v="Momentum Capital Investment S.A."/>
    <s v="17/04/2026"/>
    <s v="17/04/2026"/>
    <n v="26"/>
    <s v="No"/>
    <s v=""/>
    <m/>
    <m/>
    <s v="*MOV100600082"/>
    <s v="*MOV100600082"/>
    <n v="3.1389873329319466E-5"/>
  </r>
  <r>
    <x v="78"/>
    <s v="Pesos"/>
    <d v="2026-06-12T00:00:00"/>
    <s v="14/05/2026"/>
    <n v="0.97823762999999997"/>
    <m/>
    <n v="10000000"/>
    <n v="9782376.3399999999"/>
    <n v="10000000"/>
    <n v="9782376.3399999999"/>
    <n v="66290706"/>
    <s v="AMOMPY"/>
    <s v="Momentum Capital Investment S.A."/>
    <s v="20/04/2026"/>
    <s v="20/04/2026"/>
    <n v="28"/>
    <s v="No"/>
    <s v=""/>
    <m/>
    <m/>
    <s v="*INP100600105"/>
    <s v="*INP100600105"/>
    <n v="2.5782473200299162E-4"/>
  </r>
  <r>
    <x v="49"/>
    <s v="Pesos"/>
    <d v="2026-06-12T00:00:00"/>
    <s v="14/05/2026"/>
    <n v="0.96845238"/>
    <m/>
    <n v="10918371.689999999"/>
    <n v="10573923"/>
    <n v="10918371.689999999"/>
    <n v="10573923"/>
    <n v="30454"/>
    <s v="AMOMPY"/>
    <s v="Momentum Capital Investment S.A."/>
    <s v="01/04/2026"/>
    <s v="01/04/2026"/>
    <n v="41"/>
    <s v="No"/>
    <s v=""/>
    <m/>
    <m/>
    <s v="*MAV100601469"/>
    <s v="*MAV100601469"/>
    <n v="2.7868676985445736E-4"/>
  </r>
  <r>
    <x v="8"/>
    <s v="Pesos"/>
    <d v="2026-06-12T00:00:00"/>
    <s v="14/05/2026"/>
    <n v="0.96845238"/>
    <m/>
    <n v="20000000"/>
    <n v="19369047.52"/>
    <n v="20000000"/>
    <n v="19369047.52"/>
    <n v="13318417"/>
    <s v="AMOMPY"/>
    <s v="Momentum Capital Investment S.A."/>
    <s v="01/04/2026"/>
    <s v="01/04/2026"/>
    <n v="41"/>
    <s v="No"/>
    <s v=""/>
    <m/>
    <m/>
    <s v="*MAV100601471"/>
    <s v="*MAV100601471"/>
    <n v="5.1049145038282279E-4"/>
  </r>
  <r>
    <x v="23"/>
    <s v="Pesos"/>
    <d v="2026-06-12T00:00:00"/>
    <s v="14/05/2026"/>
    <n v="0.97069304999999995"/>
    <m/>
    <n v="50000000"/>
    <n v="48534652.409999996"/>
    <n v="50000000"/>
    <n v="48534652.409999996"/>
    <n v="2422"/>
    <s v="AMOMPY"/>
    <s v="Momentum Capital Investment S.A."/>
    <s v="31/03/2026"/>
    <s v="31/03/2026"/>
    <n v="38"/>
    <s v="No"/>
    <s v=""/>
    <m/>
    <m/>
    <s v="*MAV100601462"/>
    <s v="*MAV100601462"/>
    <n v="1.2791813886058895E-3"/>
  </r>
  <r>
    <x v="100"/>
    <s v="Pesos"/>
    <d v="2026-06-12T00:00:00"/>
    <s v="14/05/2026"/>
    <n v="0.96919809999999995"/>
    <m/>
    <n v="25000000"/>
    <n v="24229952.489999998"/>
    <n v="25000000"/>
    <n v="24229952.489999998"/>
    <n v="6497"/>
    <s v="AMOMPY"/>
    <s v="Momentum Capital Investment S.A."/>
    <s v="12/02/2026"/>
    <s v="12/02/2026"/>
    <n v="40"/>
    <s v="No"/>
    <s v=""/>
    <m/>
    <m/>
    <s v="*MAV100601258"/>
    <s v="*MAV100601258"/>
    <n v="6.3860567106125755E-4"/>
  </r>
  <r>
    <x v="58"/>
    <s v="Pesos"/>
    <d v="2026-06-12T00:00:00"/>
    <s v="14/05/2026"/>
    <n v="0.96845245999999996"/>
    <m/>
    <n v="280000000"/>
    <n v="271166690.12"/>
    <n v="280000000"/>
    <n v="271166690.12"/>
    <n v="70370627"/>
    <s v="AMOMPY"/>
    <s v="Momentum Capital Investment S.A."/>
    <s v="10/04/2026"/>
    <s v="10/04/2026"/>
    <n v="41"/>
    <s v="No"/>
    <s v=""/>
    <m/>
    <m/>
    <s v="*MAV100601545"/>
    <s v="*MAV100601545"/>
    <n v="7.1468809600436283E-3"/>
  </r>
  <r>
    <x v="58"/>
    <s v="Pesos"/>
    <d v="2026-06-12T00:00:00"/>
    <s v="14/05/2026"/>
    <n v="0.96845245999999996"/>
    <m/>
    <n v="139000000"/>
    <n v="134614892.59"/>
    <n v="139000000"/>
    <n v="134614892.59"/>
    <n v="70376435"/>
    <s v="AMOMPY"/>
    <s v="Momentum Capital Investment S.A."/>
    <s v="24/04/2026"/>
    <s v="24/04/2026"/>
    <n v="41"/>
    <s v="No"/>
    <s v=""/>
    <m/>
    <m/>
    <s v="*MAV100601649"/>
    <s v="*MAV100601649"/>
    <n v="3.547915905025205E-3"/>
  </r>
  <r>
    <x v="67"/>
    <s v="Pesos"/>
    <d v="2026-06-16T00:00:00"/>
    <s v="14/05/2026"/>
    <n v="0.96678516999999997"/>
    <m/>
    <n v="6000000"/>
    <n v="5800711.04"/>
    <n v="6000000"/>
    <n v="5800711.04"/>
    <n v="90025544"/>
    <s v="AMOMPY"/>
    <s v="Momentum Capital Investment S.A."/>
    <s v="22/04/2026"/>
    <s v="22/04/2026"/>
    <n v="38"/>
    <s v="No"/>
    <s v=""/>
    <m/>
    <m/>
    <s v="*MAV110601049"/>
    <s v="*MAV110601049"/>
    <n v="1.5288378992325651E-4"/>
  </r>
  <r>
    <x v="95"/>
    <s v="Pesos"/>
    <d v="2026-06-16T00:00:00"/>
    <s v="14/05/2026"/>
    <n v="0.96932686999999995"/>
    <m/>
    <n v="2000000"/>
    <n v="1938653.73"/>
    <n v="2000000"/>
    <n v="1938653.73"/>
    <n v="7739"/>
    <s v="AMOMPY"/>
    <s v="Momentum Capital Investment S.A."/>
    <s v="08/05/2026"/>
    <s v="08/05/2026"/>
    <n v="35"/>
    <s v="No"/>
    <s v=""/>
    <m/>
    <m/>
    <s v="*MAV110601157"/>
    <s v="*MAV110601157"/>
    <n v="5.1095241177753547E-5"/>
  </r>
  <r>
    <x v="76"/>
    <s v="Pesos"/>
    <d v="2026-06-16T00:00:00"/>
    <s v="14/05/2026"/>
    <n v="0.96007155"/>
    <m/>
    <n v="43000000"/>
    <n v="41283076.579999998"/>
    <n v="43000000"/>
    <n v="41283076.579999998"/>
    <n v="145441"/>
    <s v="AMOMPY"/>
    <s v="Momentum Capital Investment S.A."/>
    <s v="15/04/2026"/>
    <s v="15/04/2026"/>
    <n v="46"/>
    <s v="No"/>
    <s v=""/>
    <m/>
    <m/>
    <s v="#MAV120660035"/>
    <s v="#MAV120660035"/>
    <n v="1.0880585438095586E-3"/>
  </r>
  <r>
    <x v="76"/>
    <s v="Pesos"/>
    <d v="2026-06-16T00:00:00"/>
    <s v="14/05/2026"/>
    <n v="0.96007155"/>
    <m/>
    <n v="42000000"/>
    <n v="40323005.030000001"/>
    <n v="42000000"/>
    <n v="40323005.030000001"/>
    <n v="145440"/>
    <s v="AMOMPY"/>
    <s v="Momentum Capital Investment S.A."/>
    <s v="15/04/2026"/>
    <s v="15/04/2026"/>
    <n v="46"/>
    <s v="No"/>
    <s v=""/>
    <m/>
    <m/>
    <s v="#MAV120660036"/>
    <s v="#MAV120660036"/>
    <n v="1.0627548567013149E-3"/>
  </r>
  <r>
    <x v="101"/>
    <s v="Pesos"/>
    <d v="2026-06-16T00:00:00"/>
    <s v="14/05/2026"/>
    <n v="0.96425658999999997"/>
    <m/>
    <n v="2000000"/>
    <n v="1928513.19"/>
    <n v="2000000"/>
    <n v="1928513.19"/>
    <n v="11213037"/>
    <s v="AMOMPY"/>
    <s v="Momentum Capital Investment S.A."/>
    <s v="27/03/2026"/>
    <s v="27/03/2026"/>
    <n v="41"/>
    <s v="No"/>
    <s v=""/>
    <m/>
    <m/>
    <s v="*MAV110600949"/>
    <s v="*MAV110600949"/>
    <n v="5.0827976668906651E-5"/>
  </r>
  <r>
    <x v="97"/>
    <s v="Pesos"/>
    <d v="2026-06-16T00:00:00"/>
    <s v="14/05/2026"/>
    <n v="0.96425647000000003"/>
    <m/>
    <n v="18208333"/>
    <n v="17557502.920000002"/>
    <n v="18208333"/>
    <n v="17557502.920000002"/>
    <n v="1977"/>
    <s v="AMOMPY"/>
    <s v="Momentum Capital Investment S.A."/>
    <s v="23/02/2026"/>
    <s v="23/02/2026"/>
    <n v="41"/>
    <s v="No"/>
    <s v=""/>
    <m/>
    <m/>
    <s v="*MAV110600888"/>
    <s v="*MAV110600888"/>
    <n v="4.6274630290810739E-4"/>
  </r>
  <r>
    <x v="47"/>
    <s v="Pesos"/>
    <d v="2026-06-16T00:00:00"/>
    <s v="14/05/2026"/>
    <n v="0.96932682999999997"/>
    <m/>
    <n v="5000000"/>
    <n v="4846634.16"/>
    <n v="5000000"/>
    <n v="4846634.16"/>
    <n v="90000057"/>
    <s v="AMOMPY"/>
    <s v="Momentum Capital Investment S.A."/>
    <s v="11/03/2026"/>
    <s v="11/03/2026"/>
    <n v="35"/>
    <s v="No"/>
    <s v=""/>
    <m/>
    <m/>
    <s v="*MIL110600024"/>
    <s v="*MIL110600024"/>
    <n v="1.2773809859563677E-4"/>
  </r>
  <r>
    <x v="99"/>
    <s v="Pesos"/>
    <d v="2026-06-16T00:00:00"/>
    <s v="14/05/2026"/>
    <n v="0.96594077"/>
    <m/>
    <n v="115000000"/>
    <n v="111083188.69"/>
    <n v="115000000"/>
    <n v="111083188.69"/>
    <n v="7342"/>
    <s v="AMOMPY"/>
    <s v="Momentum Capital Investment S.A."/>
    <s v="16/03/2026"/>
    <s v="16/03/2026"/>
    <n v="39"/>
    <s v="No"/>
    <s v=""/>
    <m/>
    <m/>
    <s v="*MAV110600917"/>
    <s v="*MAV110600917"/>
    <n v="2.9277133038654898E-3"/>
  </r>
  <r>
    <x v="78"/>
    <s v="Pesos"/>
    <d v="2026-06-16T00:00:00"/>
    <s v="14/05/2026"/>
    <n v="0.97531011000000001"/>
    <m/>
    <n v="5000000"/>
    <n v="4876550.55"/>
    <n v="5000000"/>
    <n v="4876550.55"/>
    <n v="66405016"/>
    <s v="AMOMPY"/>
    <s v="Momentum Capital Investment S.A."/>
    <s v="22/04/2026"/>
    <s v="22/04/2026"/>
    <n v="28"/>
    <s v="No"/>
    <s v=""/>
    <m/>
    <m/>
    <s v="*INP110600062"/>
    <s v="*INP110600062"/>
    <n v="1.2852657625854447E-4"/>
  </r>
  <r>
    <x v="78"/>
    <s v="Pesos"/>
    <d v="2026-06-16T00:00:00"/>
    <s v="14/05/2026"/>
    <n v="0.97445081"/>
    <m/>
    <n v="50000000"/>
    <n v="48722540.5"/>
    <n v="50000000"/>
    <n v="48722540.5"/>
    <n v="147630"/>
    <s v="AMOMPY"/>
    <s v="Momentum Capital Investment S.A."/>
    <s v="28/04/2026"/>
    <s v="28/04/2026"/>
    <n v="29"/>
    <s v="No"/>
    <s v=""/>
    <m/>
    <m/>
    <s v="#IGA120660002"/>
    <s v="#IGA120660002"/>
    <n v="1.2841333751955617E-3"/>
  </r>
  <r>
    <x v="78"/>
    <s v="Pesos"/>
    <d v="2026-06-16T00:00:00"/>
    <s v="14/05/2026"/>
    <n v="0.97531002"/>
    <m/>
    <n v="5000000"/>
    <n v="4876550.0999999996"/>
    <n v="5000000"/>
    <n v="4876550.0999999996"/>
    <n v="66290724"/>
    <s v="AMOMPY"/>
    <s v="Momentum Capital Investment S.A."/>
    <s v="20/04/2026"/>
    <s v="20/04/2026"/>
    <n v="28"/>
    <s v="No"/>
    <s v=""/>
    <m/>
    <m/>
    <s v="*INP110600061"/>
    <s v="*INP110600061"/>
    <n v="1.285265643983251E-4"/>
  </r>
  <r>
    <x v="49"/>
    <s v="Pesos"/>
    <d v="2026-06-16T00:00:00"/>
    <s v="14/05/2026"/>
    <n v="0.96425649999999996"/>
    <m/>
    <n v="10918371.689999999"/>
    <n v="10528110.82"/>
    <n v="10918371.689999999"/>
    <n v="10528110.82"/>
    <n v="30455"/>
    <s v="AMOMPY"/>
    <s v="Momentum Capital Investment S.A."/>
    <s v="01/04/2026"/>
    <s v="01/04/2026"/>
    <n v="41"/>
    <s v="No"/>
    <s v=""/>
    <m/>
    <m/>
    <s v="*MAV110600959"/>
    <s v="*MAV110600959"/>
    <n v="2.7747934206590708E-4"/>
  </r>
  <r>
    <x v="8"/>
    <s v="Pesos"/>
    <d v="2026-06-16T00:00:00"/>
    <s v="14/05/2026"/>
    <n v="0.96425649999999996"/>
    <m/>
    <n v="20000000"/>
    <n v="19285129.899999999"/>
    <n v="20000000"/>
    <n v="19285129.899999999"/>
    <n v="13318418"/>
    <s v="AMOMPY"/>
    <s v="Momentum Capital Investment S.A."/>
    <s v="01/04/2026"/>
    <s v="01/04/2026"/>
    <n v="41"/>
    <s v="No"/>
    <s v=""/>
    <m/>
    <m/>
    <s v="*MAV110600960"/>
    <s v="*MAV110600960"/>
    <n v="5.0827971397698034E-4"/>
  </r>
  <r>
    <x v="41"/>
    <s v="Pesos"/>
    <d v="2026-06-16T00:00:00"/>
    <s v="14/05/2026"/>
    <n v="0.96257815999999996"/>
    <m/>
    <n v="3000000"/>
    <n v="2887734.49"/>
    <n v="3000000"/>
    <n v="2887734.49"/>
    <n v="3068"/>
    <s v="AMOMPY"/>
    <s v="Momentum Capital Investment S.A."/>
    <s v="13/02/2026"/>
    <s v="13/02/2026"/>
    <n v="43"/>
    <s v="No"/>
    <s v=""/>
    <m/>
    <m/>
    <s v="*MAV110600884"/>
    <s v="*MAV110600884"/>
    <n v="7.6109254551542401E-5"/>
  </r>
  <r>
    <x v="102"/>
    <s v="Pesos"/>
    <d v="2026-06-17T00:00:00"/>
    <s v="14/05/2026"/>
    <n v="0.96842676999999999"/>
    <m/>
    <n v="100000000"/>
    <n v="96842676.939999998"/>
    <n v="100000000"/>
    <n v="96842676.939999998"/>
    <n v="66455545"/>
    <s v="AMOMPY"/>
    <s v="Momentum Capital Investment S.A."/>
    <s v="22/04/2026"/>
    <s v="22/04/2026"/>
    <n v="35"/>
    <s v="No"/>
    <s v=""/>
    <m/>
    <m/>
    <s v="*MAV120601625"/>
    <s v="*MAV120601625"/>
    <n v="2.5523897630489031E-3"/>
  </r>
  <r>
    <x v="76"/>
    <s v="Pesos"/>
    <d v="2026-06-17T00:00:00"/>
    <s v="14/05/2026"/>
    <n v="0.97193379999999996"/>
    <m/>
    <n v="42000000"/>
    <n v="40821219.409999996"/>
    <n v="42000000"/>
    <n v="40821219.409999996"/>
    <n v="145442"/>
    <s v="AMOMPY"/>
    <s v="Momentum Capital Investment S.A."/>
    <s v="17/04/2026"/>
    <s v="17/04/2026"/>
    <n v="31"/>
    <s v="No"/>
    <s v=""/>
    <m/>
    <m/>
    <s v="#MAV150660057"/>
    <s v="#MAV150660057"/>
    <n v="1.0758858163515072E-3"/>
  </r>
  <r>
    <x v="33"/>
    <s v="Pesos"/>
    <d v="2026-06-17T00:00:00"/>
    <s v="14/05/2026"/>
    <n v="0.95891130999999996"/>
    <m/>
    <n v="10000000"/>
    <n v="9589113.1199999992"/>
    <n v="10000000"/>
    <n v="9589113.1199999992"/>
    <n v="3923"/>
    <s v="AMOMPY"/>
    <s v="Momentum Capital Investment S.A."/>
    <s v="11/08/2025"/>
    <s v="11/08/2025"/>
    <n v="46"/>
    <s v="No"/>
    <s v=""/>
    <m/>
    <m/>
    <s v="*MAV120601248"/>
    <s v="*MAV120601248"/>
    <n v="2.5273107825561029E-4"/>
  </r>
  <r>
    <x v="4"/>
    <s v="Pesos"/>
    <d v="2026-06-17T00:00:00"/>
    <s v="14/05/2026"/>
    <n v="0.96407827999999995"/>
    <m/>
    <n v="3000000"/>
    <n v="2892234.83"/>
    <n v="3000000"/>
    <n v="2892234.83"/>
    <n v="60524034"/>
    <s v="AMOMPY"/>
    <s v="Momentum Capital Investment S.A."/>
    <s v="06/03/2026"/>
    <s v="06/03/2026"/>
    <n v="40"/>
    <s v="No"/>
    <s v=""/>
    <m/>
    <m/>
    <s v="*MAV120601382"/>
    <s v="*MAV120601382"/>
    <n v="7.6227865706347172E-5"/>
  </r>
  <r>
    <x v="34"/>
    <s v="Pesos"/>
    <d v="2026-06-17T00:00:00"/>
    <s v="14/05/2026"/>
    <n v="0.95891143000000001"/>
    <m/>
    <n v="20000000"/>
    <n v="19178228.699999999"/>
    <n v="20000000"/>
    <n v="19178228.699999999"/>
    <n v="3980"/>
    <s v="AMOMPY"/>
    <s v="Momentum Capital Investment S.A."/>
    <s v="10/03/2026"/>
    <s v="10/03/2026"/>
    <n v="46"/>
    <s v="No"/>
    <s v=""/>
    <m/>
    <m/>
    <s v="*MAV120601388"/>
    <s v="*MAV120601388"/>
    <n v="5.0546222134708653E-4"/>
  </r>
  <r>
    <x v="24"/>
    <s v="Pesos"/>
    <d v="2026-06-17T00:00:00"/>
    <s v="14/05/2026"/>
    <n v="0.96407818999999995"/>
    <m/>
    <n v="10000000"/>
    <n v="9640781.8800000008"/>
    <n v="10000000"/>
    <n v="9640781.8800000008"/>
    <n v="1342"/>
    <s v="AMOMPY"/>
    <s v="Momentum Capital Investment S.A."/>
    <s v="24/02/2026"/>
    <s v="24/02/2026"/>
    <n v="40"/>
    <s v="No"/>
    <s v=""/>
    <m/>
    <m/>
    <s v="*MAV120601317"/>
    <s v="*MAV120601317"/>
    <n v="2.5409286231879908E-4"/>
  </r>
  <r>
    <x v="103"/>
    <s v="Pesos"/>
    <d v="2026-06-17T00:00:00"/>
    <s v="14/05/2026"/>
    <n v="0.96148783999999998"/>
    <m/>
    <n v="300000000"/>
    <n v="288446352.44999999"/>
    <n v="300000000"/>
    <n v="288446352.44999999"/>
    <n v="9564802"/>
    <s v="AMOMPY"/>
    <s v="Momentum Capital Investment S.A."/>
    <s v="25/02/2026"/>
    <s v="25/02/2026"/>
    <n v="43"/>
    <s v="No"/>
    <s v=""/>
    <m/>
    <m/>
    <s v="*MAV120601321"/>
    <s v="*MAV120601321"/>
    <n v="7.6023044843991057E-3"/>
  </r>
  <r>
    <x v="36"/>
    <s v="Pesos"/>
    <d v="2026-06-17T00:00:00"/>
    <s v="14/05/2026"/>
    <n v="0.96842665999999999"/>
    <m/>
    <n v="10000000"/>
    <n v="9684266.5999999996"/>
    <n v="10000000"/>
    <n v="9684266.5999999996"/>
    <n v="384"/>
    <s v="AMOMPY"/>
    <s v="Momentum Capital Investment S.A."/>
    <s v="20/04/2026"/>
    <s v="20/04/2026"/>
    <n v="35"/>
    <s v="No"/>
    <s v=""/>
    <m/>
    <m/>
    <s v="*MAV120601596"/>
    <s v="*MAV120601596"/>
    <n v="2.5523894747137921E-4"/>
  </r>
  <r>
    <x v="37"/>
    <s v="Pesos"/>
    <d v="2026-06-17T00:00:00"/>
    <s v="14/05/2026"/>
    <n v="0.97369691999999997"/>
    <m/>
    <n v="12500000"/>
    <n v="12171211.52"/>
    <n v="12500000"/>
    <n v="12171211.52"/>
    <n v="28996517"/>
    <s v="AMOMPY"/>
    <s v="Momentum Capital Investment S.A."/>
    <s v="31/03/2026"/>
    <s v="31/03/2026"/>
    <n v="29"/>
    <s v="No"/>
    <s v=""/>
    <m/>
    <m/>
    <s v="*AAR120600012"/>
    <s v="*AAR120600012"/>
    <n v="3.2078497485977153E-4"/>
  </r>
  <r>
    <x v="94"/>
    <s v="Pesos"/>
    <d v="2026-06-17T00:00:00"/>
    <s v="14/05/2026"/>
    <n v="0.97635366999999995"/>
    <m/>
    <n v="25000000"/>
    <n v="24408841.739999998"/>
    <n v="25000000"/>
    <n v="24408841.739999998"/>
    <n v="90026750"/>
    <s v="AMOMPY"/>
    <s v="Momentum Capital Investment S.A."/>
    <s v="30/04/2026"/>
    <s v="30/04/2026"/>
    <n v="26"/>
    <s v="No"/>
    <s v=""/>
    <m/>
    <m/>
    <s v="*FID120600027"/>
    <s v="*FID120600027"/>
    <n v="6.4332048383643919E-4"/>
  </r>
  <r>
    <x v="78"/>
    <s v="Pesos"/>
    <d v="2026-06-17T00:00:00"/>
    <s v="14/05/2026"/>
    <n v="0.97458089999999997"/>
    <m/>
    <n v="10000000"/>
    <n v="9745809.0299999993"/>
    <n v="10000000"/>
    <n v="9745809.0299999993"/>
    <n v="66404952"/>
    <s v="AMOMPY"/>
    <s v="Momentum Capital Investment S.A."/>
    <s v="22/04/2026"/>
    <s v="22/04/2026"/>
    <n v="28"/>
    <s v="No"/>
    <s v=""/>
    <m/>
    <m/>
    <s v="*INP120600075"/>
    <s v="*INP120600075"/>
    <n v="2.5686096240620462E-4"/>
  </r>
  <r>
    <x v="78"/>
    <s v="Pesos"/>
    <d v="2026-06-17T00:00:00"/>
    <s v="14/05/2026"/>
    <n v="0.97546650999999995"/>
    <m/>
    <n v="15200000"/>
    <n v="14827090.91"/>
    <n v="15200000"/>
    <n v="14827090.91"/>
    <n v="2600"/>
    <s v="AMOMPY"/>
    <s v="Momentum Capital Investment S.A."/>
    <s v="30/04/2026"/>
    <s v="30/04/2026"/>
    <n v="27"/>
    <s v="No"/>
    <s v=""/>
    <m/>
    <m/>
    <s v="*INP120600077"/>
    <s v="*INP120600077"/>
    <n v="3.9078344641305666E-4"/>
  </r>
  <r>
    <x v="47"/>
    <s v="Pesos"/>
    <d v="2026-06-17T00:00:00"/>
    <s v="14/05/2026"/>
    <n v="0.97281454999999994"/>
    <m/>
    <n v="60000000"/>
    <n v="58368872.899999999"/>
    <n v="60000000"/>
    <n v="58368872.899999999"/>
    <n v="58"/>
    <s v="AMOMPY"/>
    <s v="Momentum Capital Investment S.A."/>
    <s v="05/05/2026"/>
    <s v="05/05/2026"/>
    <n v="30"/>
    <s v="No"/>
    <s v=""/>
    <m/>
    <m/>
    <s v="*MIL120600032"/>
    <s v="*MIL120600032"/>
    <n v="1.5383725272584616E-3"/>
  </r>
  <r>
    <x v="80"/>
    <s v="Pesos"/>
    <d v="2026-06-17T00:00:00"/>
    <s v="14/05/2026"/>
    <n v="0.96842665999999999"/>
    <m/>
    <n v="5450000"/>
    <n v="5277925.3"/>
    <n v="5450000"/>
    <n v="5277925.3"/>
    <n v="6922"/>
    <s v="AMOMPY"/>
    <s v="Momentum Capital Investment S.A."/>
    <s v="20/04/2026"/>
    <s v="20/04/2026"/>
    <n v="35"/>
    <s v="No"/>
    <s v=""/>
    <m/>
    <m/>
    <s v="*MAV120601599"/>
    <s v="*MAV120601599"/>
    <n v="1.3910522645096978E-4"/>
  </r>
  <r>
    <x v="25"/>
    <s v="Pesos"/>
    <d v="2026-06-17T00:00:00"/>
    <s v="14/05/2026"/>
    <n v="0.97546646000000004"/>
    <m/>
    <n v="8150793.21"/>
    <n v="7950825.3700000001"/>
    <n v="8150793.21"/>
    <n v="7950825.3700000001"/>
    <n v="1514"/>
    <s v="AMOMPY"/>
    <s v="Momentum Capital Investment S.A."/>
    <s v="01/04/2026"/>
    <s v="01/04/2026"/>
    <n v="27"/>
    <s v="No"/>
    <s v=""/>
    <m/>
    <m/>
    <s v="%INC130600024"/>
    <s v="%INC130600024"/>
    <n v="2.0955229577917023E-4"/>
  </r>
  <r>
    <x v="25"/>
    <s v="Pesos"/>
    <d v="2026-06-17T00:00:00"/>
    <s v="14/05/2026"/>
    <n v="0.97546646000000004"/>
    <m/>
    <n v="9628546.5999999996"/>
    <n v="9392324.2300000004"/>
    <n v="9628546.5999999996"/>
    <n v="9392324.2300000004"/>
    <n v="1515"/>
    <s v="AMOMPY"/>
    <s v="Momentum Capital Investment S.A."/>
    <s v="01/04/2026"/>
    <s v="01/04/2026"/>
    <n v="27"/>
    <s v="No"/>
    <s v=""/>
    <m/>
    <m/>
    <s v="%INC130600025"/>
    <s v="%INC130600025"/>
    <n v="2.475445017979092E-4"/>
  </r>
  <r>
    <x v="25"/>
    <s v="Pesos"/>
    <d v="2026-06-17T00:00:00"/>
    <s v="14/05/2026"/>
    <n v="0.97546646000000004"/>
    <m/>
    <n v="12499446.35"/>
    <n v="12192790.630000001"/>
    <n v="12499446.35"/>
    <n v="12192790.630000001"/>
    <n v="1516"/>
    <s v="AMOMPY"/>
    <s v="Momentum Capital Investment S.A."/>
    <s v="01/04/2026"/>
    <s v="01/04/2026"/>
    <n v="27"/>
    <s v="No"/>
    <s v=""/>
    <m/>
    <m/>
    <s v="%INC130600026"/>
    <s v="%INC130600026"/>
    <n v="3.2135371481203283E-4"/>
  </r>
  <r>
    <x v="25"/>
    <s v="Pesos"/>
    <d v="2026-06-17T00:00:00"/>
    <s v="14/05/2026"/>
    <n v="0.97546646000000004"/>
    <m/>
    <n v="11821171.93"/>
    <n v="11531156.689999999"/>
    <n v="11821171.93"/>
    <n v="11531156.689999999"/>
    <n v="1517"/>
    <s v="AMOMPY"/>
    <s v="Momentum Capital Investment S.A."/>
    <s v="01/04/2026"/>
    <s v="01/04/2026"/>
    <n v="27"/>
    <s v="No"/>
    <s v=""/>
    <m/>
    <m/>
    <s v="%INC140600036"/>
    <s v="%INC140600036"/>
    <n v="3.0391566220235538E-4"/>
  </r>
  <r>
    <x v="49"/>
    <s v="Pesos"/>
    <d v="2026-06-17T00:00:00"/>
    <s v="14/05/2026"/>
    <n v="0.96321332999999998"/>
    <m/>
    <n v="10918371.689999999"/>
    <n v="10516721.109999999"/>
    <n v="10918371.689999999"/>
    <n v="10516721.109999999"/>
    <n v="30456"/>
    <s v="AMOMPY"/>
    <s v="Momentum Capital Investment S.A."/>
    <s v="01/04/2026"/>
    <s v="01/04/2026"/>
    <n v="41"/>
    <s v="No"/>
    <s v=""/>
    <m/>
    <m/>
    <s v="*MAV120601480"/>
    <s v="*MAV120601480"/>
    <n v="2.7717915437875643E-4"/>
  </r>
  <r>
    <x v="104"/>
    <s v="Pesos"/>
    <d v="2026-06-17T00:00:00"/>
    <s v="14/05/2026"/>
    <n v="0.96755389999999997"/>
    <m/>
    <n v="16400000"/>
    <n v="15867883.890000001"/>
    <n v="16400000"/>
    <n v="15867883.890000001"/>
    <n v="95826334"/>
    <s v="AMOMPY"/>
    <s v="Momentum Capital Investment S.A."/>
    <s v="14/04/2026"/>
    <s v="14/04/2026"/>
    <n v="36"/>
    <s v="No"/>
    <s v=""/>
    <m/>
    <m/>
    <s v="*MAV120601553"/>
    <s v="*MAV120601553"/>
    <n v="4.182146310058889E-4"/>
  </r>
  <r>
    <x v="27"/>
    <s v="Pesos"/>
    <d v="2026-06-17T00:00:00"/>
    <s v="14/05/2026"/>
    <n v="0.96494479"/>
    <m/>
    <n v="100000000"/>
    <n v="96494479.379999995"/>
    <n v="100000000"/>
    <n v="96494479.379999995"/>
    <n v="638"/>
    <s v="AMOMPY"/>
    <s v="Momentum Capital Investment S.A."/>
    <s v="12/05/2026"/>
    <s v="12/05/2026"/>
    <n v="39"/>
    <s v="No"/>
    <s v=""/>
    <m/>
    <m/>
    <s v="*MAV120601814"/>
    <s v="*MAV120601814"/>
    <n v="2.543212653165693E-3"/>
  </r>
  <r>
    <x v="41"/>
    <s v="Pesos"/>
    <d v="2026-06-17T00:00:00"/>
    <s v="14/05/2026"/>
    <n v="0.9614878"/>
    <m/>
    <n v="3500000"/>
    <n v="3365207.32"/>
    <n v="3500000"/>
    <n v="3365207.32"/>
    <n v="3069"/>
    <s v="AMOMPY"/>
    <s v="Momentum Capital Investment S.A."/>
    <s v="13/02/2026"/>
    <s v="13/02/2026"/>
    <n v="43"/>
    <s v="No"/>
    <s v=""/>
    <m/>
    <m/>
    <s v="*MAV120601309"/>
    <s v="*MAV120601309"/>
    <n v="8.8693549016895178E-5"/>
  </r>
  <r>
    <x v="28"/>
    <s v="Pesos"/>
    <d v="2026-06-17T00:00:00"/>
    <s v="14/05/2026"/>
    <n v="0.96321318"/>
    <m/>
    <n v="45000000"/>
    <n v="43344592.93"/>
    <n v="45000000"/>
    <n v="43344592.93"/>
    <n v="64885008"/>
    <s v="AMOMPY"/>
    <s v="Momentum Capital Investment S.A."/>
    <s v="13/02/2026"/>
    <s v="13/02/2026"/>
    <n v="41"/>
    <s v="No"/>
    <s v=""/>
    <m/>
    <m/>
    <s v="*MAV120601308"/>
    <s v="*MAV120601308"/>
    <n v="1.1423919574899543E-3"/>
  </r>
  <r>
    <x v="105"/>
    <s v="Pesos"/>
    <d v="2026-06-18T00:00:00"/>
    <s v="14/05/2026"/>
    <n v="0.9648428"/>
    <m/>
    <n v="4599318.34"/>
    <n v="4437619.1900000004"/>
    <n v="4599318.34"/>
    <n v="4437619.1900000004"/>
    <n v="568"/>
    <s v="AMOMPY"/>
    <s v="Momentum Capital Investment S.A."/>
    <s v="22/04/2026"/>
    <s v="22/04/2026"/>
    <n v="38"/>
    <s v="No"/>
    <s v=""/>
    <m/>
    <m/>
    <s v="*MAV150601194"/>
    <s v="*MAV150601194"/>
    <n v="1.1695808243593732E-4"/>
  </r>
  <r>
    <x v="61"/>
    <s v="Pesos"/>
    <d v="2026-06-18T00:00:00"/>
    <s v="14/05/2026"/>
    <n v="0.9648428"/>
    <m/>
    <n v="6110818.4299999997"/>
    <n v="5895979.1799999997"/>
    <n v="6110818.4299999997"/>
    <n v="5895979.1799999997"/>
    <n v="90000065"/>
    <s v="AMOMPY"/>
    <s v="Momentum Capital Investment S.A."/>
    <s v="22/04/2026"/>
    <s v="22/04/2026"/>
    <n v="38"/>
    <s v="No"/>
    <s v=""/>
    <m/>
    <m/>
    <s v="*MAV160601365"/>
    <s v="*MAV160601365"/>
    <n v="1.5539468112292214E-4"/>
  </r>
  <r>
    <x v="106"/>
    <s v="Pesos"/>
    <d v="2026-06-18T00:00:00"/>
    <s v="14/05/2026"/>
    <n v="0.96484272000000004"/>
    <m/>
    <n v="3519950.15"/>
    <n v="3396198.27"/>
    <n v="3519950.15"/>
    <n v="3396198.27"/>
    <n v="90000184"/>
    <s v="AMOMPY"/>
    <s v="Momentum Capital Investment S.A."/>
    <s v="17/04/2026"/>
    <s v="17/04/2026"/>
    <n v="38"/>
    <s v="No"/>
    <s v=""/>
    <m/>
    <m/>
    <s v="*MAV130601164"/>
    <s v="*MAV130601164"/>
    <n v="8.9510347829428714E-5"/>
  </r>
  <r>
    <x v="107"/>
    <s v="Pesos"/>
    <d v="2026-06-18T00:00:00"/>
    <s v="14/05/2026"/>
    <n v="0.9648428"/>
    <m/>
    <n v="3926635"/>
    <n v="3788585.5"/>
    <n v="3926635"/>
    <n v="3788585.5"/>
    <n v="79398445"/>
    <s v="AMOMPY"/>
    <s v="Momentum Capital Investment S.A."/>
    <s v="22/04/2026"/>
    <s v="22/04/2026"/>
    <n v="38"/>
    <s v="No"/>
    <s v=""/>
    <m/>
    <m/>
    <s v="*MAV140601153"/>
    <s v="*MAV140601153"/>
    <n v="9.9852122557771066E-5"/>
  </r>
  <r>
    <x v="83"/>
    <s v="Pesos"/>
    <d v="2026-06-18T00:00:00"/>
    <s v="14/05/2026"/>
    <n v="0.96217224999999995"/>
    <m/>
    <n v="2000000"/>
    <n v="1924344.5"/>
    <n v="2000000"/>
    <n v="1924344.5"/>
    <n v="12384443"/>
    <s v="AMOMPY"/>
    <s v="Momentum Capital Investment S.A."/>
    <s v="01/04/2026"/>
    <s v="01/04/2026"/>
    <n v="41"/>
    <s v="No"/>
    <s v=""/>
    <m/>
    <m/>
    <s v="*MAV130601122"/>
    <s v="*MAV130601122"/>
    <n v="5.071810649578126E-5"/>
  </r>
  <r>
    <x v="43"/>
    <s v="Pesos"/>
    <d v="2026-06-18T00:00:00"/>
    <s v="14/05/2026"/>
    <n v="0.97022876000000002"/>
    <m/>
    <n v="2131442.7999999998"/>
    <n v="2067987.1"/>
    <n v="2131442.7999999998"/>
    <n v="2067987.1"/>
    <n v="9888"/>
    <s v="AMOMPY"/>
    <s v="Momentum Capital Investment S.A."/>
    <s v="04/05/2026"/>
    <s v="04/05/2026"/>
    <n v="32"/>
    <s v="No"/>
    <s v=""/>
    <m/>
    <m/>
    <s v="*MAV150601261"/>
    <s v="*MAV150601261"/>
    <n v="5.4503957045997664E-5"/>
  </r>
  <r>
    <x v="108"/>
    <s v="Pesos"/>
    <d v="2026-06-18T00:00:00"/>
    <s v="14/05/2026"/>
    <n v="0.96306073000000003"/>
    <m/>
    <n v="3800000"/>
    <n v="3659630.78"/>
    <n v="3800000"/>
    <n v="3659630.78"/>
    <n v="1017"/>
    <s v="AMOMPY"/>
    <s v="Momentum Capital Investment S.A."/>
    <s v="09/03/2026"/>
    <s v="09/03/2026"/>
    <n v="40"/>
    <s v="No"/>
    <s v=""/>
    <m/>
    <m/>
    <s v="*MAV160601164"/>
    <s v="*MAV160601164"/>
    <n v="9.6453386405229949E-5"/>
  </r>
  <r>
    <x v="34"/>
    <s v="Pesos"/>
    <d v="2026-06-18T00:00:00"/>
    <s v="14/05/2026"/>
    <n v="0.95775396000000002"/>
    <m/>
    <n v="20000000"/>
    <n v="19155079.18"/>
    <n v="20000000"/>
    <n v="19155079.18"/>
    <n v="3981"/>
    <s v="AMOMPY"/>
    <s v="Momentum Capital Investment S.A."/>
    <s v="10/03/2026"/>
    <s v="10/03/2026"/>
    <n v="46"/>
    <s v="No"/>
    <s v=""/>
    <m/>
    <m/>
    <s v="*MAV160601170"/>
    <s v="*MAV160601170"/>
    <n v="5.0485209160125032E-4"/>
  </r>
  <r>
    <x v="109"/>
    <s v="Pesos"/>
    <d v="2026-06-18T00:00:00"/>
    <s v="14/05/2026"/>
    <n v="0.96217224999999995"/>
    <m/>
    <n v="1149527"/>
    <n v="1106042.98"/>
    <n v="1149527"/>
    <n v="1106042.98"/>
    <n v="9939"/>
    <s v="AMOMPY"/>
    <s v="Momentum Capital Investment S.A."/>
    <s v="01/04/2026"/>
    <s v="01/04/2026"/>
    <n v="41"/>
    <s v="No"/>
    <s v=""/>
    <m/>
    <m/>
    <s v="*MAV130601121"/>
    <s v="*MAV130601121"/>
    <n v="2.9150916402209302E-5"/>
  </r>
  <r>
    <x v="103"/>
    <s v="Pesos"/>
    <d v="2026-06-18T00:00:00"/>
    <s v="14/05/2026"/>
    <n v="0.96039998999999998"/>
    <m/>
    <n v="300000000"/>
    <n v="288119995.88999999"/>
    <n v="300000000"/>
    <n v="288119995.88999999"/>
    <n v="9564811"/>
    <s v="AMOMPY"/>
    <s v="Momentum Capital Investment S.A."/>
    <s v="26/02/2026"/>
    <s v="26/02/2026"/>
    <n v="43"/>
    <s v="No"/>
    <s v=""/>
    <m/>
    <m/>
    <s v="*MAV150601007"/>
    <s v="*MAV150601007"/>
    <n v="7.5937030168522724E-3"/>
  </r>
  <r>
    <x v="103"/>
    <s v="Pesos"/>
    <d v="2026-06-18T00:00:00"/>
    <s v="14/05/2026"/>
    <n v="0.96039998999999998"/>
    <m/>
    <n v="300000000"/>
    <n v="288119995.88999999"/>
    <n v="300000000"/>
    <n v="288119995.88999999"/>
    <n v="9564812"/>
    <s v="AMOMPY"/>
    <s v="Momentum Capital Investment S.A."/>
    <s v="26/02/2026"/>
    <s v="26/02/2026"/>
    <n v="43"/>
    <s v="No"/>
    <s v=""/>
    <m/>
    <m/>
    <s v="*MAV160601141"/>
    <s v="*MAV160601141"/>
    <n v="7.5937030168522724E-3"/>
  </r>
  <r>
    <x v="47"/>
    <s v="Pesos"/>
    <d v="2026-06-18T00:00:00"/>
    <s v="14/05/2026"/>
    <n v="0.96752826999999997"/>
    <m/>
    <n v="5000000"/>
    <n v="4837641.34"/>
    <n v="5000000"/>
    <n v="4837641.34"/>
    <n v="90000053"/>
    <s v="AMOMPY"/>
    <s v="Momentum Capital Investment S.A."/>
    <s v="11/03/2026"/>
    <s v="11/03/2026"/>
    <n v="35"/>
    <s v="No"/>
    <s v=""/>
    <m/>
    <m/>
    <s v="*MIL160600031"/>
    <s v="*MIL160600031"/>
    <n v="1.2750108344452562E-4"/>
  </r>
  <r>
    <x v="46"/>
    <s v="Pesos"/>
    <d v="2026-06-18T00:00:00"/>
    <s v="14/05/2026"/>
    <n v="0.97203742000000004"/>
    <m/>
    <n v="17302222"/>
    <n v="16818407.300000001"/>
    <n v="17302222"/>
    <n v="16818407.300000001"/>
    <n v="1532"/>
    <s v="AMOMPY"/>
    <s v="Momentum Capital Investment S.A."/>
    <s v="20/04/2026"/>
    <s v="20/04/2026"/>
    <n v="30"/>
    <s v="No"/>
    <s v=""/>
    <m/>
    <m/>
    <s v="*FED160600041"/>
    <s v="*FED160600041"/>
    <n v="4.4326666692519193E-4"/>
  </r>
  <r>
    <x v="46"/>
    <s v="Pesos"/>
    <d v="2026-06-18T00:00:00"/>
    <s v="14/05/2026"/>
    <n v="0.97294429000000004"/>
    <m/>
    <n v="40000000"/>
    <n v="38917771.670000002"/>
    <n v="40000000"/>
    <n v="38917771.670000002"/>
    <n v="90041866"/>
    <s v="AMOMPY"/>
    <s v="Momentum Capital Investment S.A."/>
    <s v="20/04/2026"/>
    <s v="20/04/2026"/>
    <n v="29"/>
    <s v="No"/>
    <s v=""/>
    <m/>
    <m/>
    <s v="*FED150600061"/>
    <s v="*FED150600061"/>
    <n v="1.0257184657620083E-3"/>
  </r>
  <r>
    <x v="32"/>
    <s v="Pesos"/>
    <d v="2026-06-18T00:00:00"/>
    <s v="14/05/2026"/>
    <n v="0.96484281000000005"/>
    <m/>
    <n v="5450000"/>
    <n v="5258393.33"/>
    <n v="5450000"/>
    <n v="5258393.33"/>
    <n v="28513"/>
    <s v="AMOMPY"/>
    <s v="Momentum Capital Investment S.A."/>
    <s v="08/04/2026"/>
    <s v="08/04/2026"/>
    <n v="38"/>
    <s v="No"/>
    <s v=""/>
    <m/>
    <m/>
    <s v="*MAV140601123"/>
    <s v="*MAV140601123"/>
    <n v="1.3859044100868938E-4"/>
  </r>
  <r>
    <x v="78"/>
    <s v="Pesos"/>
    <d v="2026-06-18T00:00:00"/>
    <s v="14/05/2026"/>
    <n v="0.97385277999999997"/>
    <m/>
    <n v="10000000"/>
    <n v="9738527.8300000001"/>
    <n v="10000000"/>
    <n v="9738527.8300000001"/>
    <n v="66404989"/>
    <s v="AMOMPY"/>
    <s v="Momentum Capital Investment S.A."/>
    <s v="22/04/2026"/>
    <s v="22/04/2026"/>
    <n v="28"/>
    <s v="No"/>
    <s v=""/>
    <m/>
    <m/>
    <s v="*INP130600062"/>
    <s v="*INP130600062"/>
    <n v="2.5666905878550831E-4"/>
  </r>
  <r>
    <x v="78"/>
    <s v="Pesos"/>
    <d v="2026-06-18T00:00:00"/>
    <s v="14/05/2026"/>
    <n v="0.97294415999999995"/>
    <m/>
    <n v="50000000"/>
    <n v="48647208.060000002"/>
    <n v="50000000"/>
    <n v="48647208.060000002"/>
    <n v="147631"/>
    <s v="AMOMPY"/>
    <s v="Momentum Capital Investment S.A."/>
    <s v="28/04/2026"/>
    <s v="28/04/2026"/>
    <n v="29"/>
    <s v="No"/>
    <s v=""/>
    <m/>
    <m/>
    <s v="#IGA170660001"/>
    <s v="#IGA170660001"/>
    <n v="1.2821479101634394E-3"/>
  </r>
  <r>
    <x v="78"/>
    <s v="Pesos"/>
    <d v="2026-06-18T00:00:00"/>
    <s v="14/05/2026"/>
    <n v="0.97476309000000005"/>
    <m/>
    <n v="15200000"/>
    <n v="14816398.99"/>
    <n v="15200000"/>
    <n v="14816398.99"/>
    <n v="2601"/>
    <s v="AMOMPY"/>
    <s v="Momentum Capital Investment S.A."/>
    <s v="30/04/2026"/>
    <s v="30/04/2026"/>
    <n v="27"/>
    <s v="No"/>
    <s v=""/>
    <m/>
    <m/>
    <s v="*INP160600075"/>
    <s v="*INP160600075"/>
    <n v="3.9050164970918974E-4"/>
  </r>
  <r>
    <x v="47"/>
    <s v="Pesos"/>
    <d v="2026-06-18T00:00:00"/>
    <s v="14/05/2026"/>
    <n v="0.97294427000000006"/>
    <m/>
    <n v="4166666.66"/>
    <n v="4053934.44"/>
    <n v="4166666.66"/>
    <n v="4053934.44"/>
    <n v="13567712"/>
    <s v="AMOMPY"/>
    <s v="Momentum Capital Investment S.A."/>
    <s v="30/04/2026"/>
    <s v="30/04/2026"/>
    <n v="29"/>
    <s v="No"/>
    <s v=""/>
    <m/>
    <m/>
    <s v="*MIL150600041"/>
    <s v="*MIL150600041"/>
    <n v="1.0684567064516534E-4"/>
  </r>
  <r>
    <x v="89"/>
    <s v="Pesos"/>
    <d v="2026-06-18T00:00:00"/>
    <s v="14/05/2026"/>
    <n v="0.97385286000000004"/>
    <m/>
    <n v="5000000"/>
    <n v="4869264.29"/>
    <n v="5000000"/>
    <n v="4869264.29"/>
    <n v="6034641"/>
    <s v="AMOMPY"/>
    <s v="Momentum Capital Investment S.A."/>
    <s v="04/05/2026"/>
    <s v="04/05/2026"/>
    <n v="28"/>
    <s v="No"/>
    <s v=""/>
    <m/>
    <m/>
    <s v="*CUY150600029"/>
    <s v="*CUY150600029"/>
    <n v="1.2833453927627028E-4"/>
  </r>
  <r>
    <x v="89"/>
    <s v="Pesos"/>
    <d v="2026-06-18T00:00:00"/>
    <s v="14/05/2026"/>
    <n v="0.97385286000000004"/>
    <m/>
    <n v="5000000"/>
    <n v="4869264.29"/>
    <n v="5000000"/>
    <n v="4869264.29"/>
    <n v="6034642"/>
    <s v="AMOMPY"/>
    <s v="Momentum Capital Investment S.A."/>
    <s v="04/05/2026"/>
    <s v="04/05/2026"/>
    <n v="28"/>
    <s v="No"/>
    <s v=""/>
    <m/>
    <m/>
    <s v="*CUY160600030"/>
    <s v="*CUY160600030"/>
    <n v="1.2833453927627028E-4"/>
  </r>
  <r>
    <x v="25"/>
    <s v="Pesos"/>
    <d v="2026-06-18T00:00:00"/>
    <s v="14/05/2026"/>
    <n v="0.97476306000000001"/>
    <m/>
    <n v="10622333.02"/>
    <n v="10354257.82"/>
    <n v="10622333.02"/>
    <n v="10354257.82"/>
    <n v="1518"/>
    <s v="AMOMPY"/>
    <s v="Momentum Capital Investment S.A."/>
    <s v="01/04/2026"/>
    <s v="01/04/2026"/>
    <n v="27"/>
    <s v="No"/>
    <s v=""/>
    <m/>
    <m/>
    <s v="%INC170600022"/>
    <s v="%INC170600022"/>
    <n v="2.7289726491256419E-4"/>
  </r>
  <r>
    <x v="49"/>
    <s v="Pesos"/>
    <d v="2026-06-18T00:00:00"/>
    <s v="14/05/2026"/>
    <n v="0.96217224000000001"/>
    <m/>
    <n v="10918371.689999999"/>
    <n v="10505354.189999999"/>
    <n v="10918371.689999999"/>
    <n v="10505354.189999999"/>
    <n v="30457"/>
    <s v="AMOMPY"/>
    <s v="Momentum Capital Investment S.A."/>
    <s v="01/04/2026"/>
    <s v="01/04/2026"/>
    <n v="41"/>
    <s v="No"/>
    <s v=""/>
    <m/>
    <m/>
    <s v="*MAV160601255"/>
    <s v="*MAV160601255"/>
    <n v="2.7687956734582701E-4"/>
  </r>
  <r>
    <x v="51"/>
    <s v="Pesos"/>
    <d v="2026-06-18T00:00:00"/>
    <s v="14/05/2026"/>
    <n v="0.96663138000000004"/>
    <m/>
    <n v="5000000"/>
    <n v="4833156.88"/>
    <n v="5000000"/>
    <n v="4833156.88"/>
    <n v="13420539"/>
    <s v="AMOMPY"/>
    <s v="Momentum Capital Investment S.A."/>
    <s v="10/04/2026"/>
    <s v="10/04/2026"/>
    <n v="36"/>
    <s v="No"/>
    <s v=""/>
    <m/>
    <m/>
    <s v="*MAV140601126"/>
    <s v="*MAV140601126"/>
    <n v="1.2738289082368456E-4"/>
  </r>
  <r>
    <x v="52"/>
    <s v="Pesos"/>
    <d v="2026-06-18T00:00:00"/>
    <s v="14/05/2026"/>
    <n v="0.96306080000000005"/>
    <m/>
    <n v="40000000"/>
    <n v="38522431.920000002"/>
    <n v="40000000"/>
    <n v="38522431.920000002"/>
    <n v="227"/>
    <s v="AMOMPY"/>
    <s v="Momentum Capital Investment S.A."/>
    <s v="18/03/2026"/>
    <s v="18/03/2026"/>
    <n v="40"/>
    <s v="No"/>
    <s v=""/>
    <m/>
    <m/>
    <s v="*MAV150601055"/>
    <s v="*MAV150601055"/>
    <n v="1.0152988742894234E-3"/>
  </r>
  <r>
    <x v="58"/>
    <s v="Pesos"/>
    <d v="2026-06-18T00:00:00"/>
    <s v="14/05/2026"/>
    <n v="0.96217213999999995"/>
    <m/>
    <n v="127500000"/>
    <n v="122676948.31999999"/>
    <n v="127500000"/>
    <n v="122676948.31999999"/>
    <n v="70376446"/>
    <s v="AMOMPY"/>
    <s v="Momentum Capital Investment S.A."/>
    <s v="28/04/2026"/>
    <s v="28/04/2026"/>
    <n v="41"/>
    <s v="No"/>
    <s v=""/>
    <m/>
    <m/>
    <s v="*MAV160601411"/>
    <s v="*MAV160601411"/>
    <n v="3.2332789318498915E-3"/>
  </r>
  <r>
    <x v="58"/>
    <s v="Pesos"/>
    <d v="2026-06-18T00:00:00"/>
    <s v="14/05/2026"/>
    <n v="0.96217222000000002"/>
    <m/>
    <n v="128500000"/>
    <n v="123639129.81"/>
    <n v="128500000"/>
    <n v="123639129.81"/>
    <n v="70376447"/>
    <s v="AMOMPY"/>
    <s v="Momentum Capital Investment S.A."/>
    <s v="29/04/2026"/>
    <s v="29/04/2026"/>
    <n v="41"/>
    <s v="No"/>
    <s v=""/>
    <m/>
    <m/>
    <s v="*MAV160601412"/>
    <s v="*MAV160601412"/>
    <n v="3.2586382286276202E-3"/>
  </r>
  <r>
    <x v="104"/>
    <s v="Pesos"/>
    <d v="2026-06-18T00:00:00"/>
    <s v="14/05/2026"/>
    <n v="0.96663149000000004"/>
    <m/>
    <n v="16400000"/>
    <n v="15852756.5"/>
    <n v="16400000"/>
    <n v="15852756.5"/>
    <n v="95826365"/>
    <s v="AMOMPY"/>
    <s v="Momentum Capital Investment S.A."/>
    <s v="16/04/2026"/>
    <s v="16/04/2026"/>
    <n v="36"/>
    <s v="No"/>
    <s v=""/>
    <m/>
    <m/>
    <s v="*MAV150601145"/>
    <s v="*MAV150601145"/>
    <n v="4.1781593286373026E-4"/>
  </r>
  <r>
    <x v="41"/>
    <s v="Pesos"/>
    <d v="2026-06-18T00:00:00"/>
    <s v="14/05/2026"/>
    <n v="0.96040002999999996"/>
    <m/>
    <n v="3500000"/>
    <n v="3361400.12"/>
    <n v="3500000"/>
    <n v="3361400.12"/>
    <n v="3070"/>
    <s v="AMOMPY"/>
    <s v="Momentum Capital Investment S.A."/>
    <s v="13/02/2026"/>
    <s v="13/02/2026"/>
    <n v="43"/>
    <s v="No"/>
    <s v=""/>
    <m/>
    <m/>
    <s v="*MAV160601113"/>
    <s v="*MAV160601113"/>
    <n v="8.8593206289773956E-5"/>
  </r>
  <r>
    <x v="11"/>
    <s v="Pesos"/>
    <d v="2026-06-18T00:00:00"/>
    <s v="14/05/2026"/>
    <n v="0.97022872999999998"/>
    <m/>
    <n v="100000000"/>
    <n v="97022872.549999997"/>
    <n v="100000000"/>
    <n v="97022872.549999997"/>
    <n v="16751403"/>
    <s v="AMOMPY"/>
    <s v="Momentum Capital Investment S.A."/>
    <s v="14/05/2026"/>
    <s v="14/05/2026"/>
    <n v="32"/>
    <s v="No"/>
    <s v=""/>
    <m/>
    <m/>
    <s v="*MAV160601570"/>
    <s v="*MAV160601570"/>
    <n v="2.5571390063044907E-3"/>
  </r>
  <r>
    <x v="110"/>
    <s v="Pesos"/>
    <d v="2026-06-19T00:00:00"/>
    <s v="14/05/2026"/>
    <n v="0.96204540999999999"/>
    <m/>
    <n v="100000000"/>
    <n v="96204540.959999993"/>
    <n v="100000000"/>
    <n v="96204540.959999993"/>
    <n v="304"/>
    <s v="AMOMPY"/>
    <s v="Momentum Capital Investment S.A."/>
    <s v="18/03/2026"/>
    <s v="18/03/2026"/>
    <n v="40"/>
    <s v="No"/>
    <s v=""/>
    <m/>
    <m/>
    <s v="*MAV170601035"/>
    <s v="*MAV170601035"/>
    <n v="2.5355710236847039E-3"/>
  </r>
  <r>
    <x v="83"/>
    <s v="Pesos"/>
    <d v="2026-06-19T00:00:00"/>
    <s v="14/05/2026"/>
    <n v="0.96113340999999997"/>
    <m/>
    <n v="2000000"/>
    <n v="1922266.82"/>
    <n v="2000000"/>
    <n v="1922266.82"/>
    <n v="12384444"/>
    <s v="AMOMPY"/>
    <s v="Momentum Capital Investment S.A."/>
    <s v="01/04/2026"/>
    <s v="01/04/2026"/>
    <n v="41"/>
    <s v="No"/>
    <s v=""/>
    <m/>
    <m/>
    <s v="*MAV170601090"/>
    <s v="*MAV170601090"/>
    <n v="5.0663347072245529E-5"/>
  </r>
  <r>
    <x v="4"/>
    <s v="Pesos"/>
    <d v="2026-06-19T00:00:00"/>
    <s v="14/05/2026"/>
    <n v="0.96387462000000002"/>
    <m/>
    <n v="7000000"/>
    <n v="6747122.3499999996"/>
    <n v="7000000"/>
    <n v="6747122.3499999996"/>
    <n v="60524089"/>
    <s v="AMOMPY"/>
    <s v="Momentum Capital Investment S.A."/>
    <s v="19/03/2026"/>
    <s v="19/03/2026"/>
    <n v="38"/>
    <s v="No"/>
    <s v=""/>
    <m/>
    <m/>
    <s v="*MAV170601050"/>
    <s v="*MAV170601050"/>
    <n v="1.7782744715791061E-4"/>
  </r>
  <r>
    <x v="37"/>
    <s v="Pesos"/>
    <d v="2026-06-19T00:00:00"/>
    <s v="14/05/2026"/>
    <n v="0.97219264000000005"/>
    <m/>
    <n v="12500000"/>
    <n v="12152407.970000001"/>
    <n v="12500000"/>
    <n v="12152407.970000001"/>
    <n v="28996513"/>
    <s v="AMOMPY"/>
    <s v="Momentum Capital Investment S.A."/>
    <s v="31/03/2026"/>
    <s v="31/03/2026"/>
    <n v="29"/>
    <s v="No"/>
    <s v=""/>
    <m/>
    <m/>
    <s v="*AAR170600024"/>
    <s v="*AAR170600024"/>
    <n v="3.202893876863737E-4"/>
  </r>
  <r>
    <x v="46"/>
    <s v="Pesos"/>
    <d v="2026-06-19T00:00:00"/>
    <s v="14/05/2026"/>
    <n v="0.97126140000000005"/>
    <m/>
    <n v="17224555"/>
    <n v="16729545.470000001"/>
    <n v="17224555"/>
    <n v="16729545.470000001"/>
    <n v="1533"/>
    <s v="AMOMPY"/>
    <s v="Momentum Capital Investment S.A."/>
    <s v="20/04/2026"/>
    <s v="20/04/2026"/>
    <n v="30"/>
    <s v="No"/>
    <s v=""/>
    <m/>
    <m/>
    <s v="*FED170600046"/>
    <s v="*FED170600046"/>
    <n v="4.4092462070771367E-4"/>
  </r>
  <r>
    <x v="57"/>
    <s v="Pesos"/>
    <d v="2026-06-19T00:00:00"/>
    <s v="14/05/2026"/>
    <n v="0.97499745999999998"/>
    <m/>
    <n v="105680999.8"/>
    <n v="103038706.58"/>
    <n v="105680999.8"/>
    <n v="103038706.58"/>
    <n v="76335659"/>
    <s v="AMOMPY"/>
    <s v="Momentum Capital Investment S.A."/>
    <s v="05/05/2026"/>
    <s v="05/05/2026"/>
    <n v="26"/>
    <s v="No"/>
    <s v=""/>
    <m/>
    <m/>
    <s v="*MAV170601219"/>
    <s v="*MAV170601219"/>
    <n v="2.7156925870144336E-3"/>
  </r>
  <r>
    <x v="49"/>
    <s v="Pesos"/>
    <d v="2026-06-19T00:00:00"/>
    <s v="14/05/2026"/>
    <n v="0.96113340999999997"/>
    <m/>
    <n v="10918371.689999999"/>
    <n v="10494011.810000001"/>
    <n v="10918371.689999999"/>
    <n v="10494011.810000001"/>
    <n v="30458"/>
    <s v="AMOMPY"/>
    <s v="Momentum Capital Investment S.A."/>
    <s v="01/04/2026"/>
    <s v="01/04/2026"/>
    <n v="41"/>
    <s v="No"/>
    <s v=""/>
    <m/>
    <m/>
    <s v="*MAV170601091"/>
    <s v="*MAV170601091"/>
    <n v="2.7658062709019424E-4"/>
  </r>
  <r>
    <x v="23"/>
    <s v="Pesos"/>
    <d v="2026-06-19T00:00:00"/>
    <s v="14/05/2026"/>
    <n v="0.96387451999999996"/>
    <m/>
    <n v="50000000"/>
    <n v="48193726.219999999"/>
    <n v="50000000"/>
    <n v="48193726.219999999"/>
    <n v="2423"/>
    <s v="AMOMPY"/>
    <s v="Momentum Capital Investment S.A."/>
    <s v="31/03/2026"/>
    <s v="31/03/2026"/>
    <n v="38"/>
    <s v="No"/>
    <s v=""/>
    <m/>
    <m/>
    <s v="*MAV170601089"/>
    <s v="*MAV170601089"/>
    <n v="1.2701959232634726E-3"/>
  </r>
  <r>
    <x v="11"/>
    <s v="Pesos"/>
    <d v="2026-06-19T00:00:00"/>
    <s v="14/05/2026"/>
    <n v="0.96940406000000001"/>
    <m/>
    <n v="100000000"/>
    <n v="96940405.650000006"/>
    <n v="100000000"/>
    <n v="96940405.650000006"/>
    <n v="16751404"/>
    <s v="AMOMPY"/>
    <s v="Momentum Capital Investment S.A."/>
    <s v="14/05/2026"/>
    <s v="14/05/2026"/>
    <n v="32"/>
    <s v="No"/>
    <s v=""/>
    <m/>
    <m/>
    <s v="*MAV170601281"/>
    <s v="*MAV170601281"/>
    <n v="2.5549655051374303E-3"/>
  </r>
  <r>
    <x v="101"/>
    <s v="Pesos"/>
    <d v="2026-06-22T00:00:00"/>
    <s v="14/05/2026"/>
    <n v="0.95803042000000005"/>
    <m/>
    <n v="2000000"/>
    <n v="1916060.84"/>
    <n v="2000000"/>
    <n v="1916060.84"/>
    <n v="11213038"/>
    <s v="AMOMPY"/>
    <s v="Momentum Capital Investment S.A."/>
    <s v="27/03/2026"/>
    <s v="27/03/2026"/>
    <n v="41"/>
    <s v="No"/>
    <s v=""/>
    <m/>
    <m/>
    <s v="*MAV180600990"/>
    <s v="*MAV180600990"/>
    <n v="5.049978199616342E-5"/>
  </r>
  <r>
    <x v="47"/>
    <s v="Pesos"/>
    <d v="2026-06-22T00:00:00"/>
    <s v="14/05/2026"/>
    <n v="0.96395098000000001"/>
    <m/>
    <n v="5000000"/>
    <n v="4819754.8899999997"/>
    <n v="5000000"/>
    <n v="4819754.8899999997"/>
    <n v="90000058"/>
    <s v="AMOMPY"/>
    <s v="Momentum Capital Investment S.A."/>
    <s v="11/03/2026"/>
    <s v="11/03/2026"/>
    <n v="35"/>
    <s v="No"/>
    <s v=""/>
    <m/>
    <m/>
    <s v="*MIL180600020"/>
    <s v="*MIL180600020"/>
    <n v="1.2702966739821402E-4"/>
  </r>
  <r>
    <x v="99"/>
    <s v="Pesos"/>
    <d v="2026-06-22T00:00:00"/>
    <s v="14/05/2026"/>
    <n v="0.96196926999999999"/>
    <m/>
    <n v="85000000"/>
    <n v="81767387.920000002"/>
    <n v="85000000"/>
    <n v="81767387.920000002"/>
    <n v="7361"/>
    <s v="AMOMPY"/>
    <s v="Momentum Capital Investment S.A."/>
    <s v="10/04/2026"/>
    <s v="10/04/2026"/>
    <n v="37"/>
    <s v="No"/>
    <s v=""/>
    <m/>
    <m/>
    <s v="*MAV180601026"/>
    <s v="*MAV180601026"/>
    <n v="2.1550647965623711E-3"/>
  </r>
  <r>
    <x v="78"/>
    <s v="Pesos"/>
    <d v="2026-06-22T00:00:00"/>
    <s v="14/05/2026"/>
    <n v="0.96994517000000002"/>
    <m/>
    <n v="50000000"/>
    <n v="48497258.609999999"/>
    <n v="50000000"/>
    <n v="48497258.609999999"/>
    <n v="147632"/>
    <s v="AMOMPY"/>
    <s v="Momentum Capital Investment S.A."/>
    <s v="28/04/2026"/>
    <s v="28/04/2026"/>
    <n v="29"/>
    <s v="No"/>
    <s v=""/>
    <m/>
    <m/>
    <s v="#IGA190660001"/>
    <s v="#IGA190660001"/>
    <n v="1.2781958360030777E-3"/>
  </r>
  <r>
    <x v="111"/>
    <s v="Pesos"/>
    <d v="2026-06-22T00:00:00"/>
    <s v="14/05/2026"/>
    <n v="0.97195962999999996"/>
    <m/>
    <n v="10000000"/>
    <n v="9719596.3200000003"/>
    <n v="10000000"/>
    <n v="9719596.3200000003"/>
    <n v="30172"/>
    <s v="AMOMPY"/>
    <s v="Momentum Capital Investment S.A."/>
    <s v="21/04/2026"/>
    <s v="21/04/2026"/>
    <n v="27"/>
    <s v="No"/>
    <s v=""/>
    <m/>
    <m/>
    <s v="*TRD180600032"/>
    <s v="*TRD180600032"/>
    <n v="2.5617009909284104E-4"/>
  </r>
  <r>
    <x v="111"/>
    <s v="Pesos"/>
    <d v="2026-06-22T00:00:00"/>
    <s v="14/05/2026"/>
    <n v="0.97195962999999996"/>
    <m/>
    <n v="10000000"/>
    <n v="9719596.3200000003"/>
    <n v="10000000"/>
    <n v="9719596.3200000003"/>
    <n v="30173"/>
    <s v="AMOMPY"/>
    <s v="Momentum Capital Investment S.A."/>
    <s v="21/04/2026"/>
    <s v="21/04/2026"/>
    <n v="27"/>
    <s v="No"/>
    <s v=""/>
    <m/>
    <m/>
    <s v="*TRD180600034"/>
    <s v="*TRD180600034"/>
    <n v="2.5617009909284104E-4"/>
  </r>
  <r>
    <x v="111"/>
    <s v="Pesos"/>
    <d v="2026-06-22T00:00:00"/>
    <s v="14/05/2026"/>
    <n v="0.97195962999999996"/>
    <m/>
    <n v="10000000"/>
    <n v="9719596.3200000003"/>
    <n v="10000000"/>
    <n v="9719596.3200000003"/>
    <n v="30171"/>
    <s v="AMOMPY"/>
    <s v="Momentum Capital Investment S.A."/>
    <s v="21/04/2026"/>
    <s v="21/04/2026"/>
    <n v="27"/>
    <s v="No"/>
    <s v=""/>
    <m/>
    <m/>
    <s v="*TRD180600033"/>
    <s v="*TRD180600033"/>
    <n v="2.5617009909284104E-4"/>
  </r>
  <r>
    <x v="25"/>
    <s v="Pesos"/>
    <d v="2026-06-22T00:00:00"/>
    <s v="14/05/2026"/>
    <n v="0.97195966"/>
    <m/>
    <n v="38020423.149999999"/>
    <n v="36954317.619999997"/>
    <n v="38020423.149999999"/>
    <n v="36954317.619999997"/>
    <n v="2721"/>
    <s v="AMOMPY"/>
    <s v="Momentum Capital Investment S.A."/>
    <s v="31/03/2026"/>
    <s v="31/03/2026"/>
    <n v="27"/>
    <s v="No"/>
    <s v=""/>
    <m/>
    <m/>
    <s v="%INC190600019"/>
    <s v="%INC190600019"/>
    <n v="9.7396958628254225E-4"/>
  </r>
  <r>
    <x v="49"/>
    <s v="Pesos"/>
    <d v="2026-06-22T00:00:00"/>
    <s v="14/05/2026"/>
    <n v="0.95803048999999996"/>
    <m/>
    <n v="10918371.689999999"/>
    <n v="10460132.99"/>
    <n v="10918371.689999999"/>
    <n v="10460132.99"/>
    <n v="30459"/>
    <s v="AMOMPY"/>
    <s v="Momentum Capital Investment S.A."/>
    <s v="01/04/2026"/>
    <s v="01/04/2026"/>
    <n v="41"/>
    <s v="No"/>
    <s v=""/>
    <m/>
    <m/>
    <s v="*MAV180601006"/>
    <s v="*MAV180601006"/>
    <n v="2.7568771545160176E-4"/>
  </r>
  <r>
    <x v="50"/>
    <s v="Pesos"/>
    <d v="2026-06-22T00:00:00"/>
    <s v="14/05/2026"/>
    <n v="0.95901214999999995"/>
    <m/>
    <n v="50000000"/>
    <n v="47950607.700000003"/>
    <n v="50000000"/>
    <n v="47950607.700000003"/>
    <n v="66452109"/>
    <s v="AMOMPY"/>
    <s v="Momentum Capital Investment S.A."/>
    <s v="22/04/2026"/>
    <s v="22/04/2026"/>
    <n v="40"/>
    <s v="No"/>
    <s v=""/>
    <m/>
    <m/>
    <s v="*MAV180601074"/>
    <s v="*MAV180601074"/>
    <n v="1.2637882810827422E-3"/>
  </r>
  <r>
    <x v="104"/>
    <s v="Pesos"/>
    <d v="2026-06-22T00:00:00"/>
    <s v="14/05/2026"/>
    <n v="0.96295920999999995"/>
    <m/>
    <n v="16400000"/>
    <n v="15792530.99"/>
    <n v="16400000"/>
    <n v="15792530.99"/>
    <n v="14199"/>
    <s v="AMOMPY"/>
    <s v="Momentum Capital Investment S.A."/>
    <s v="20/04/2026"/>
    <s v="20/04/2026"/>
    <n v="36"/>
    <s v="No"/>
    <s v=""/>
    <m/>
    <m/>
    <s v="*MAV180601052"/>
    <s v="*MAV180601052"/>
    <n v="4.1622862672912561E-4"/>
  </r>
  <r>
    <x v="11"/>
    <s v="Pesos"/>
    <d v="2026-06-22T00:00:00"/>
    <s v="14/05/2026"/>
    <n v="0.96693874000000002"/>
    <m/>
    <n v="150000000"/>
    <n v="145040810.96000001"/>
    <n v="150000000"/>
    <n v="145040810.96000001"/>
    <n v="16751405"/>
    <s v="AMOMPY"/>
    <s v="Momentum Capital Investment S.A."/>
    <s v="14/05/2026"/>
    <s v="14/05/2026"/>
    <n v="32"/>
    <s v="No"/>
    <s v=""/>
    <m/>
    <m/>
    <s v="*MAV180601215"/>
    <s v="*MAV180601215"/>
    <n v="3.8227018584789563E-3"/>
  </r>
  <r>
    <x v="28"/>
    <s v="Pesos"/>
    <d v="2026-06-22T00:00:00"/>
    <s v="14/05/2026"/>
    <n v="0.95803046999999997"/>
    <m/>
    <n v="45000000"/>
    <n v="43111371.109999999"/>
    <n v="45000000"/>
    <n v="43111371.109999999"/>
    <n v="64885035"/>
    <s v="AMOMPY"/>
    <s v="Momentum Capital Investment S.A."/>
    <s v="13/02/2026"/>
    <s v="13/02/2026"/>
    <n v="41"/>
    <s v="No"/>
    <s v=""/>
    <m/>
    <m/>
    <s v="*MAV180600915"/>
    <s v="*MAV180600915"/>
    <n v="1.1362451531605321E-3"/>
  </r>
  <r>
    <x v="29"/>
    <s v="Pesos"/>
    <d v="2026-06-23T00:00:00"/>
    <s v="14/05/2026"/>
    <n v="0.96306077999999995"/>
    <m/>
    <n v="10000000"/>
    <n v="9630607.8100000005"/>
    <n v="10000000"/>
    <n v="9630607.8100000005"/>
    <n v="29098105"/>
    <s v="AMOMPY"/>
    <s v="Momentum Capital Investment S.A."/>
    <s v="20/04/2026"/>
    <s v="20/04/2026"/>
    <n v="35"/>
    <s v="No"/>
    <s v=""/>
    <m/>
    <m/>
    <s v="*MAV190601036"/>
    <s v="*MAV190601036"/>
    <n v="2.5382471409182852E-4"/>
  </r>
  <r>
    <x v="93"/>
    <s v="Pesos"/>
    <d v="2026-06-23T00:00:00"/>
    <s v="14/05/2026"/>
    <n v="0.95700070000000004"/>
    <m/>
    <n v="130000000"/>
    <n v="124410091.13"/>
    <n v="130000000"/>
    <n v="124410091.13"/>
    <n v="70369601"/>
    <s v="AMOMPY"/>
    <s v="Momentum Capital Investment S.A."/>
    <s v="21/04/2026"/>
    <s v="21/04/2026"/>
    <n v="41"/>
    <s v="No"/>
    <s v=""/>
    <m/>
    <m/>
    <s v="*MAV190601038"/>
    <s v="*MAV190601038"/>
    <n v="3.2789577183717318E-3"/>
  </r>
  <r>
    <x v="107"/>
    <s v="Pesos"/>
    <d v="2026-06-23T00:00:00"/>
    <s v="14/05/2026"/>
    <n v="0.96002103999999999"/>
    <m/>
    <n v="3926635.97"/>
    <n v="3769653.16"/>
    <n v="3926635.97"/>
    <n v="3769653.16"/>
    <n v="79398447"/>
    <s v="AMOMPY"/>
    <s v="Momentum Capital Investment S.A."/>
    <s v="22/04/2026"/>
    <s v="22/04/2026"/>
    <n v="38"/>
    <s v="No"/>
    <s v=""/>
    <m/>
    <m/>
    <s v="*MAV190601050"/>
    <s v="*MAV190601050"/>
    <n v="9.9353140989588069E-5"/>
  </r>
  <r>
    <x v="95"/>
    <s v="Pesos"/>
    <d v="2026-06-23T00:00:00"/>
    <s v="14/05/2026"/>
    <n v="0.96306080000000005"/>
    <m/>
    <n v="2000000"/>
    <n v="1926121.6"/>
    <n v="2000000"/>
    <n v="1926121.6"/>
    <n v="7740"/>
    <s v="AMOMPY"/>
    <s v="Momentum Capital Investment S.A."/>
    <s v="08/05/2026"/>
    <s v="08/05/2026"/>
    <n v="35"/>
    <s v="No"/>
    <s v=""/>
    <m/>
    <m/>
    <s v="*MAV190601151"/>
    <s v="*MAV190601151"/>
    <n v="5.0764943819895343E-5"/>
  </r>
  <r>
    <x v="36"/>
    <s v="Pesos"/>
    <d v="2026-06-23T00:00:00"/>
    <s v="14/05/2026"/>
    <n v="0.96306077999999995"/>
    <m/>
    <n v="10000000"/>
    <n v="9630607.8100000005"/>
    <n v="10000000"/>
    <n v="9630607.8100000005"/>
    <n v="385"/>
    <s v="AMOMPY"/>
    <s v="Momentum Capital Investment S.A."/>
    <s v="20/04/2026"/>
    <s v="20/04/2026"/>
    <n v="35"/>
    <s v="No"/>
    <s v=""/>
    <m/>
    <m/>
    <s v="*MAV190601033"/>
    <s v="*MAV190601033"/>
    <n v="2.5382471409182852E-4"/>
  </r>
  <r>
    <x v="112"/>
    <s v="Pesos"/>
    <d v="2026-06-23T00:00:00"/>
    <s v="14/05/2026"/>
    <n v="0.97645806000000002"/>
    <m/>
    <n v="4000000"/>
    <n v="3905832.25"/>
    <n v="4000000"/>
    <n v="3905832.25"/>
    <n v="64816600"/>
    <s v="AMOMPY"/>
    <s v="Momentum Capital Investment S.A."/>
    <s v="13/04/2026"/>
    <s v="13/04/2026"/>
    <n v="22"/>
    <s v="No"/>
    <s v=""/>
    <m/>
    <m/>
    <s v="*MAV190601003"/>
    <s v="*MAV190601003"/>
    <n v="1.0294228294889866E-4"/>
  </r>
  <r>
    <x v="56"/>
    <s v="Pesos"/>
    <d v="2026-06-23T00:00:00"/>
    <s v="14/05/2026"/>
    <n v="0.95599791000000001"/>
    <m/>
    <n v="14350000"/>
    <n v="13718570.050000001"/>
    <n v="14350000"/>
    <n v="13718570.050000001"/>
    <n v="512"/>
    <s v="AMOMPY"/>
    <s v="Momentum Capital Investment S.A."/>
    <s v="21/01/2026"/>
    <s v="21/01/2026"/>
    <n v="42"/>
    <s v="No"/>
    <s v=""/>
    <m/>
    <m/>
    <s v="*MAV190600820"/>
    <s v="*MAV190600820"/>
    <n v="3.6156722289888075E-4"/>
  </r>
  <r>
    <x v="24"/>
    <s v="Pesos"/>
    <d v="2026-06-23T00:00:00"/>
    <s v="14/05/2026"/>
    <n v="0.95800529999999995"/>
    <m/>
    <n v="10000000"/>
    <n v="9580052.9900000002"/>
    <n v="10000000"/>
    <n v="9580052.9900000002"/>
    <n v="1343"/>
    <s v="AMOMPY"/>
    <s v="Momentum Capital Investment S.A."/>
    <s v="24/02/2026"/>
    <s v="24/02/2026"/>
    <n v="40"/>
    <s v="No"/>
    <s v=""/>
    <m/>
    <m/>
    <s v="*MAV190600834"/>
    <s v="*MAV190600834"/>
    <n v="2.5249228907924112E-4"/>
  </r>
  <r>
    <x v="113"/>
    <s v="Pesos"/>
    <d v="2026-06-23T00:00:00"/>
    <s v="14/05/2026"/>
    <n v="0.97229633000000004"/>
    <m/>
    <n v="10000000"/>
    <n v="9722963.3300000001"/>
    <n v="10000000"/>
    <n v="9722963.3300000001"/>
    <n v="1742532"/>
    <s v="AMOMPY"/>
    <s v="Momentum Capital Investment S.A."/>
    <s v="21/04/2026"/>
    <s v="21/04/2026"/>
    <n v="26"/>
    <s v="No"/>
    <s v=""/>
    <m/>
    <m/>
    <s v="*CMP190600039"/>
    <s v="*CMP190600039"/>
    <n v="2.562588401533696E-4"/>
  </r>
  <r>
    <x v="37"/>
    <s v="Pesos"/>
    <d v="2026-06-23T00:00:00"/>
    <s v="14/05/2026"/>
    <n v="0.96919822"/>
    <m/>
    <n v="12500000"/>
    <n v="12114977.699999999"/>
    <n v="12500000"/>
    <n v="12114977.699999999"/>
    <n v="28996522"/>
    <s v="AMOMPY"/>
    <s v="Momentum Capital Investment S.A."/>
    <s v="31/03/2026"/>
    <s v="31/03/2026"/>
    <n v="29"/>
    <s v="No"/>
    <s v=""/>
    <m/>
    <m/>
    <s v="*AAR190600019"/>
    <s v="*AAR190600019"/>
    <n v="3.1930287387867145E-4"/>
  </r>
  <r>
    <x v="46"/>
    <s v="Pesos"/>
    <d v="2026-06-23T00:00:00"/>
    <s v="14/05/2026"/>
    <n v="0.96816983999999995"/>
    <m/>
    <n v="17098333"/>
    <n v="16554090.380000001"/>
    <n v="17098333"/>
    <n v="16554090.380000001"/>
    <n v="1535"/>
    <s v="AMOMPY"/>
    <s v="Momentum Capital Investment S.A."/>
    <s v="20/04/2026"/>
    <s v="20/04/2026"/>
    <n v="30"/>
    <s v="No"/>
    <s v=""/>
    <m/>
    <m/>
    <s v="*FED190600063"/>
    <s v="*FED190600063"/>
    <n v="4.3630031880135189E-4"/>
  </r>
  <r>
    <x v="7"/>
    <s v="Pesos"/>
    <d v="2026-06-23T00:00:00"/>
    <s v="14/05/2026"/>
    <n v="0.97022872999999998"/>
    <m/>
    <n v="50000000"/>
    <n v="48511436.280000001"/>
    <n v="50000000"/>
    <n v="48511436.280000001"/>
    <n v="4634"/>
    <s v="AMOMPY"/>
    <s v="Momentum Capital Investment S.A."/>
    <s v="12/05/2026"/>
    <s v="12/05/2026"/>
    <n v="28"/>
    <s v="No"/>
    <s v=""/>
    <m/>
    <m/>
    <s v="*BIF190600006"/>
    <s v="*BIF190600006"/>
    <n v="1.2785695032840256E-3"/>
  </r>
  <r>
    <x v="25"/>
    <s v="Pesos"/>
    <d v="2026-06-23T00:00:00"/>
    <s v="14/05/2026"/>
    <n v="0.97126142999999998"/>
    <m/>
    <n v="8695148.9399999995"/>
    <n v="8445262.7799999993"/>
    <n v="8695148.9399999995"/>
    <n v="8445262.7799999993"/>
    <n v="5812"/>
    <s v="AMOMPY"/>
    <s v="Momentum Capital Investment S.A."/>
    <s v="14/04/2026"/>
    <s v="14/04/2026"/>
    <n v="27"/>
    <s v="No"/>
    <s v=""/>
    <m/>
    <m/>
    <s v="%INC220600023"/>
    <s v="%INC220600023"/>
    <n v="2.2258370944542292E-4"/>
  </r>
  <r>
    <x v="25"/>
    <s v="Pesos"/>
    <d v="2026-06-23T00:00:00"/>
    <s v="14/05/2026"/>
    <n v="0.97126142999999998"/>
    <m/>
    <n v="9052127.2200000007"/>
    <n v="8791982.0099999998"/>
    <n v="9052127.2200000007"/>
    <n v="8791982.0099999998"/>
    <n v="5813"/>
    <s v="AMOMPY"/>
    <s v="Momentum Capital Investment S.A."/>
    <s v="14/04/2026"/>
    <s v="14/04/2026"/>
    <n v="27"/>
    <s v="No"/>
    <s v=""/>
    <m/>
    <m/>
    <s v="%INC220600024"/>
    <s v="%INC220600024"/>
    <n v="2.3172185639950277E-4"/>
  </r>
  <r>
    <x v="49"/>
    <s v="Pesos"/>
    <d v="2026-06-23T00:00:00"/>
    <s v="14/05/2026"/>
    <n v="0.95700057000000005"/>
    <m/>
    <n v="10918371.689999999"/>
    <n v="10448887.949999999"/>
    <n v="10918371.689999999"/>
    <n v="10448887.949999999"/>
    <n v="30460"/>
    <s v="AMOMPY"/>
    <s v="Momentum Capital Investment S.A."/>
    <s v="01/04/2026"/>
    <s v="01/04/2026"/>
    <n v="41"/>
    <s v="No"/>
    <s v=""/>
    <m/>
    <m/>
    <s v="*MAV190600954"/>
    <s v="*MAV190600954"/>
    <n v="2.7539134069319994E-4"/>
  </r>
  <r>
    <x v="8"/>
    <s v="Pesos"/>
    <d v="2026-06-23T00:00:00"/>
    <s v="14/05/2026"/>
    <n v="0.95700068000000005"/>
    <m/>
    <n v="20000000"/>
    <n v="19140013.52"/>
    <n v="20000000"/>
    <n v="19140013.52"/>
    <n v="13318402"/>
    <s v="AMOMPY"/>
    <s v="Momentum Capital Investment S.A."/>
    <s v="27/03/2026"/>
    <s v="27/03/2026"/>
    <n v="41"/>
    <s v="No"/>
    <s v=""/>
    <m/>
    <m/>
    <s v="*MAV190600933"/>
    <s v="*MAV190600933"/>
    <n v="5.0445502041762951E-4"/>
  </r>
  <r>
    <x v="58"/>
    <s v="Pesos"/>
    <d v="2026-06-23T00:00:00"/>
    <s v="14/05/2026"/>
    <n v="0.95700056"/>
    <m/>
    <n v="64000000"/>
    <n v="61248036.060000002"/>
    <n v="64000000"/>
    <n v="61248036.060000002"/>
    <n v="70379137"/>
    <s v="AMOMPY"/>
    <s v="Momentum Capital Investment S.A."/>
    <s v="07/05/2026"/>
    <s v="07/05/2026"/>
    <n v="41"/>
    <s v="No"/>
    <s v=""/>
    <m/>
    <m/>
    <s v="*MAV190601138"/>
    <s v="*MAV190601138"/>
    <n v="1.6142558754674804E-3"/>
  </r>
  <r>
    <x v="114"/>
    <s v="Pesos"/>
    <d v="2026-06-23T00:00:00"/>
    <s v="14/05/2026"/>
    <n v="0.96407821999999999"/>
    <m/>
    <n v="625000000"/>
    <n v="602548885.25"/>
    <n v="625000000"/>
    <n v="602548885.25"/>
    <n v="148747"/>
    <s v="AMOMPY"/>
    <s v="Momentum Capital Investment S.A."/>
    <s v="07/05/2026"/>
    <s v="07/05/2026"/>
    <n v="34"/>
    <s v="No"/>
    <s v=""/>
    <m/>
    <m/>
    <s v="#MAV220660051"/>
    <s v="#MAV220660051"/>
    <n v="1.5880804362744708E-2"/>
  </r>
  <r>
    <x v="114"/>
    <s v="Pesos"/>
    <d v="2026-06-23T00:00:00"/>
    <s v="14/05/2026"/>
    <n v="0.96407821999999999"/>
    <m/>
    <n v="625000000"/>
    <n v="602548885.25"/>
    <n v="625000000"/>
    <n v="602548885.25"/>
    <n v="148748"/>
    <s v="AMOMPY"/>
    <s v="Momentum Capital Investment S.A."/>
    <s v="07/05/2026"/>
    <s v="07/05/2026"/>
    <n v="34"/>
    <s v="No"/>
    <s v=""/>
    <m/>
    <m/>
    <s v="#MAV220660052"/>
    <s v="#MAV220660052"/>
    <n v="1.5880804362744708E-2"/>
  </r>
  <r>
    <x v="115"/>
    <s v="Pesos"/>
    <d v="2026-06-24T00:00:00"/>
    <s v="14/05/2026"/>
    <n v="0.95906256000000001"/>
    <m/>
    <n v="3511491.25"/>
    <n v="3367739.79"/>
    <n v="3511491.25"/>
    <n v="3367739.79"/>
    <n v="13270632"/>
    <s v="AMOMPY"/>
    <s v="Momentum Capital Investment S.A."/>
    <s v="17/04/2026"/>
    <s v="17/04/2026"/>
    <n v="38"/>
    <s v="No"/>
    <s v=""/>
    <m/>
    <m/>
    <s v="*MAV220600889"/>
    <s v="*MAV220600889"/>
    <n v="8.8760294905252152E-5"/>
  </r>
  <r>
    <x v="95"/>
    <s v="Pesos"/>
    <d v="2026-06-24T00:00:00"/>
    <s v="14/05/2026"/>
    <n v="0.96217216999999999"/>
    <m/>
    <n v="2000000"/>
    <n v="1924344.34"/>
    <n v="2000000"/>
    <n v="1924344.34"/>
    <n v="7741"/>
    <s v="AMOMPY"/>
    <s v="Momentum Capital Investment S.A."/>
    <s v="08/05/2026"/>
    <s v="08/05/2026"/>
    <n v="35"/>
    <s v="No"/>
    <s v=""/>
    <m/>
    <m/>
    <s v="*MAV200601160"/>
    <s v="*MAV200601160"/>
    <n v="5.0718102278814369E-5"/>
  </r>
  <r>
    <x v="116"/>
    <s v="Pesos"/>
    <d v="2026-06-24T00:00:00"/>
    <s v="14/05/2026"/>
    <n v="0.96950707000000003"/>
    <m/>
    <n v="3665841.29"/>
    <n v="3554059.04"/>
    <n v="3665841.29"/>
    <n v="3554059.04"/>
    <n v="13668324"/>
    <s v="AMOMPY"/>
    <s v="Momentum Capital Investment S.A."/>
    <s v="12/05/2026"/>
    <s v="12/05/2026"/>
    <n v="28"/>
    <s v="No"/>
    <s v=""/>
    <m/>
    <m/>
    <s v="*MAV220601046"/>
    <s v="*MAV220601046"/>
    <n v="9.3670933080336767E-5"/>
  </r>
  <r>
    <x v="83"/>
    <s v="Pesos"/>
    <d v="2026-06-24T00:00:00"/>
    <s v="14/05/2026"/>
    <n v="0.95597304999999999"/>
    <m/>
    <n v="2000000"/>
    <n v="1911946.1"/>
    <n v="2000000"/>
    <n v="1911946.1"/>
    <n v="12384445"/>
    <s v="AMOMPY"/>
    <s v="Momentum Capital Investment S.A."/>
    <s v="01/04/2026"/>
    <s v="01/04/2026"/>
    <n v="41"/>
    <s v="No"/>
    <s v=""/>
    <m/>
    <m/>
    <s v="*MAV200600993"/>
    <s v="*MAV200600993"/>
    <n v="5.0391333731560879E-5"/>
  </r>
  <r>
    <x v="43"/>
    <s v="Pesos"/>
    <d v="2026-06-24T00:00:00"/>
    <s v="14/05/2026"/>
    <n v="0.97588368000000003"/>
    <m/>
    <n v="4341150"/>
    <n v="4236457.42"/>
    <n v="4341150"/>
    <n v="4236457.42"/>
    <n v="9836"/>
    <s v="AMOMPY"/>
    <s v="Momentum Capital Investment S.A."/>
    <s v="13/04/2026"/>
    <s v="13/04/2026"/>
    <n v="22"/>
    <s v="No"/>
    <s v=""/>
    <m/>
    <m/>
    <s v="*MAV220600860"/>
    <s v="*MAV220600860"/>
    <n v="1.116562541646793E-4"/>
  </r>
  <r>
    <x v="43"/>
    <s v="Pesos"/>
    <d v="2026-06-24T00:00:00"/>
    <s v="14/05/2026"/>
    <n v="0.96530223000000004"/>
    <m/>
    <n v="1659905.2"/>
    <n v="1602310.19"/>
    <n v="1659905.2"/>
    <n v="1602310.19"/>
    <n v="9946"/>
    <s v="AMOMPY"/>
    <s v="Momentum Capital Investment S.A."/>
    <s v="30/04/2026"/>
    <s v="30/04/2026"/>
    <n v="32"/>
    <s v="No"/>
    <s v=""/>
    <m/>
    <m/>
    <s v="*MAV220600984"/>
    <s v="*MAV220600984"/>
    <n v="4.2230556356045137E-5"/>
  </r>
  <r>
    <x v="47"/>
    <s v="Pesos"/>
    <d v="2026-06-24T00:00:00"/>
    <s v="14/05/2026"/>
    <n v="0.96740008"/>
    <m/>
    <n v="3500000"/>
    <n v="3385900.28"/>
    <n v="3500000"/>
    <n v="3385900.28"/>
    <n v="325"/>
    <s v="AMOMPY"/>
    <s v="Momentum Capital Investment S.A."/>
    <s v="08/04/2026"/>
    <s v="08/04/2026"/>
    <n v="30"/>
    <s v="No"/>
    <s v=""/>
    <m/>
    <m/>
    <s v="*MIL200600038"/>
    <s v="*MIL200600038"/>
    <n v="8.9238933561602699E-5"/>
  </r>
  <r>
    <x v="47"/>
    <s v="Pesos"/>
    <d v="2026-06-24T00:00:00"/>
    <s v="14/05/2026"/>
    <n v="0.96950709999999996"/>
    <m/>
    <n v="9000000"/>
    <n v="8725563.8599999994"/>
    <n v="9000000"/>
    <n v="8725563.8599999994"/>
    <n v="66179070"/>
    <s v="AMOMPY"/>
    <s v="Momentum Capital Investment S.A."/>
    <s v="14/04/2026"/>
    <s v="14/04/2026"/>
    <n v="28"/>
    <s v="No"/>
    <s v=""/>
    <m/>
    <m/>
    <s v="*MIL220600031"/>
    <s v="*MIL220600031"/>
    <n v="2.2997133677843035E-4"/>
  </r>
  <r>
    <x v="113"/>
    <s v="Pesos"/>
    <d v="2026-06-24T00:00:00"/>
    <s v="14/05/2026"/>
    <n v="0.97162335"/>
    <m/>
    <n v="10000000"/>
    <n v="9716233.5"/>
    <n v="10000000"/>
    <n v="9716233.5"/>
    <n v="1742533"/>
    <s v="AMOMPY"/>
    <s v="Momentum Capital Investment S.A."/>
    <s v="21/04/2026"/>
    <s v="21/04/2026"/>
    <n v="26"/>
    <s v="No"/>
    <s v=""/>
    <m/>
    <m/>
    <s v="*CMP220600034"/>
    <s v="*CMP220600034"/>
    <n v="2.5608146846413285E-4"/>
  </r>
  <r>
    <x v="46"/>
    <s v="Pesos"/>
    <d v="2026-06-24T00:00:00"/>
    <s v="14/05/2026"/>
    <n v="0.96739998000000005"/>
    <m/>
    <n v="14133915"/>
    <n v="13673149.1"/>
    <n v="14133915"/>
    <n v="13673149.1"/>
    <n v="1534"/>
    <s v="AMOMPY"/>
    <s v="Momentum Capital Investment S.A."/>
    <s v="20/04/2026"/>
    <s v="20/04/2026"/>
    <n v="30"/>
    <s v="No"/>
    <s v=""/>
    <m/>
    <m/>
    <s v="*FED220600024"/>
    <s v="*FED220600024"/>
    <n v="3.6037010638505511E-4"/>
  </r>
  <r>
    <x v="46"/>
    <s v="Pesos"/>
    <d v="2026-06-24T00:00:00"/>
    <s v="14/05/2026"/>
    <n v="0.96739998000000005"/>
    <m/>
    <n v="17348580"/>
    <n v="16783015.960000001"/>
    <n v="17348580"/>
    <n v="16783015.960000001"/>
    <n v="1493"/>
    <s v="AMOMPY"/>
    <s v="Momentum Capital Investment S.A."/>
    <s v="20/04/2026"/>
    <s v="20/04/2026"/>
    <n v="30"/>
    <s v="No"/>
    <s v=""/>
    <m/>
    <m/>
    <s v="*FED220600025"/>
    <s v="*FED220600025"/>
    <n v="4.4233389124435701E-4"/>
  </r>
  <r>
    <x v="78"/>
    <s v="Pesos"/>
    <d v="2026-06-24T00:00:00"/>
    <s v="14/05/2026"/>
    <n v="0.96845241000000004"/>
    <m/>
    <n v="50000000"/>
    <n v="48422620.420000002"/>
    <n v="50000000"/>
    <n v="48422620.420000002"/>
    <n v="147633"/>
    <s v="AMOMPY"/>
    <s v="Momentum Capital Investment S.A."/>
    <s v="28/04/2026"/>
    <s v="28/04/2026"/>
    <n v="29"/>
    <s v="No"/>
    <s v=""/>
    <m/>
    <m/>
    <s v="#IGA230660001"/>
    <s v="#IGA230660001"/>
    <n v="1.2762286686538466E-3"/>
  </r>
  <r>
    <x v="47"/>
    <s v="Pesos"/>
    <d v="2026-06-24T00:00:00"/>
    <s v="14/05/2026"/>
    <n v="0.96845241000000004"/>
    <m/>
    <n v="11000000"/>
    <n v="10652976.49"/>
    <n v="11000000"/>
    <n v="10652976.49"/>
    <n v="9798601"/>
    <s v="AMOMPY"/>
    <s v="Momentum Capital Investment S.A."/>
    <s v="28/04/2026"/>
    <s v="28/04/2026"/>
    <n v="29"/>
    <s v="No"/>
    <s v=""/>
    <m/>
    <m/>
    <s v="*MIL210600024"/>
    <s v="*MIL210600024"/>
    <n v="2.8077030704059175E-4"/>
  </r>
  <r>
    <x v="47"/>
    <s v="Pesos"/>
    <d v="2026-06-24T00:00:00"/>
    <s v="14/05/2026"/>
    <n v="0.96845252999999998"/>
    <m/>
    <n v="4166666.66"/>
    <n v="4035218.85"/>
    <n v="4166666.66"/>
    <n v="4035218.85"/>
    <n v="13567711"/>
    <s v="AMOMPY"/>
    <s v="Momentum Capital Investment S.A."/>
    <s v="30/04/2026"/>
    <s v="30/04/2026"/>
    <n v="29"/>
    <s v="No"/>
    <s v=""/>
    <m/>
    <m/>
    <s v="*MIL220600032"/>
    <s v="*MIL220600032"/>
    <n v="1.0635240174931463E-4"/>
  </r>
  <r>
    <x v="47"/>
    <s v="Pesos"/>
    <d v="2026-06-24T00:00:00"/>
    <s v="14/05/2026"/>
    <n v="0.96845252000000004"/>
    <m/>
    <n v="10000000"/>
    <n v="9684525.2200000007"/>
    <n v="10000000"/>
    <n v="9684525.2200000007"/>
    <n v="66581649"/>
    <s v="AMOMPY"/>
    <s v="Momentum Capital Investment S.A."/>
    <s v="30/04/2026"/>
    <s v="30/04/2026"/>
    <n v="29"/>
    <s v="No"/>
    <s v=""/>
    <m/>
    <m/>
    <s v="*MIL200600039"/>
    <s v="*MIL200600039"/>
    <n v="2.5524576367123424E-4"/>
  </r>
  <r>
    <x v="47"/>
    <s v="Pesos"/>
    <d v="2026-06-24T00:00:00"/>
    <s v="14/05/2026"/>
    <n v="0.96845252000000004"/>
    <m/>
    <n v="10000000"/>
    <n v="9684525.2200000007"/>
    <n v="10000000"/>
    <n v="9684525.2200000007"/>
    <n v="66581682"/>
    <s v="AMOMPY"/>
    <s v="Momentum Capital Investment S.A."/>
    <s v="30/04/2026"/>
    <s v="30/04/2026"/>
    <n v="29"/>
    <s v="No"/>
    <s v=""/>
    <m/>
    <m/>
    <s v="*MIL210600025"/>
    <s v="*MIL210600025"/>
    <n v="2.5524576367123424E-4"/>
  </r>
  <r>
    <x v="80"/>
    <s v="Pesos"/>
    <d v="2026-06-24T00:00:00"/>
    <s v="14/05/2026"/>
    <n v="0.96217218000000004"/>
    <m/>
    <n v="5450000"/>
    <n v="5243838.3499999996"/>
    <n v="5450000"/>
    <n v="5243838.3499999996"/>
    <n v="6921"/>
    <s v="AMOMPY"/>
    <s v="Momentum Capital Investment S.A."/>
    <s v="20/04/2026"/>
    <s v="20/04/2026"/>
    <n v="35"/>
    <s v="No"/>
    <s v=""/>
    <m/>
    <m/>
    <s v="*MAV200601042"/>
    <s v="*MAV200601042"/>
    <n v="1.3820682932913617E-4"/>
  </r>
  <r>
    <x v="73"/>
    <s v="Pesos"/>
    <d v="2026-06-24T00:00:00"/>
    <s v="14/05/2026"/>
    <n v="0.97162327999999998"/>
    <m/>
    <n v="44732891.780000001"/>
    <n v="43463519.109999999"/>
    <n v="44732891.780000001"/>
    <n v="43463519.109999999"/>
    <n v="1300"/>
    <s v="AMOMPY"/>
    <s v="Momentum Capital Investment S.A."/>
    <s v="04/05/2026"/>
    <s v="04/05/2026"/>
    <n v="26"/>
    <s v="No"/>
    <s v=""/>
    <m/>
    <m/>
    <s v="*PRO200600024"/>
    <s v="*PRO200600024"/>
    <n v="1.1455263810104708E-3"/>
  </r>
  <r>
    <x v="73"/>
    <s v="Pesos"/>
    <d v="2026-06-24T00:00:00"/>
    <s v="14/05/2026"/>
    <n v="0.97162327999999998"/>
    <m/>
    <n v="44732891.770000003"/>
    <n v="43463519.100000001"/>
    <n v="44732891.770000003"/>
    <n v="43463519.100000001"/>
    <n v="1303"/>
    <s v="AMOMPY"/>
    <s v="Momentum Capital Investment S.A."/>
    <s v="04/05/2026"/>
    <s v="04/05/2026"/>
    <n v="26"/>
    <s v="No"/>
    <s v=""/>
    <m/>
    <m/>
    <s v="*PRO200600023"/>
    <s v="*PRO200600023"/>
    <n v="1.1455263807469104E-3"/>
  </r>
  <r>
    <x v="89"/>
    <s v="Pesos"/>
    <d v="2026-06-24T00:00:00"/>
    <s v="14/05/2026"/>
    <n v="0.96950702"/>
    <m/>
    <n v="5000000"/>
    <n v="4847535.09"/>
    <n v="5000000"/>
    <n v="4847535.09"/>
    <n v="6034643"/>
    <s v="AMOMPY"/>
    <s v="Momentum Capital Investment S.A."/>
    <s v="04/05/2026"/>
    <s v="04/05/2026"/>
    <n v="28"/>
    <s v="No"/>
    <s v=""/>
    <m/>
    <m/>
    <s v="*CUY220600023"/>
    <s v="*CUY220600023"/>
    <n v="1.2776184354550683E-4"/>
  </r>
  <r>
    <x v="25"/>
    <s v="Pesos"/>
    <d v="2026-06-24T00:00:00"/>
    <s v="14/05/2026"/>
    <n v="0.97056407"/>
    <m/>
    <n v="14148617.74"/>
    <n v="13732140.039999999"/>
    <n v="14148617.74"/>
    <n v="13732140.039999999"/>
    <n v="5814"/>
    <s v="AMOMPY"/>
    <s v="Momentum Capital Investment S.A."/>
    <s v="14/04/2026"/>
    <s v="14/04/2026"/>
    <n v="27"/>
    <s v="No"/>
    <s v=""/>
    <m/>
    <m/>
    <s v="%INC230600018"/>
    <s v="%INC230600018"/>
    <n v="3.6192487413958462E-4"/>
  </r>
  <r>
    <x v="49"/>
    <s v="Pesos"/>
    <d v="2026-06-24T00:00:00"/>
    <s v="14/05/2026"/>
    <n v="0.95597304999999999"/>
    <m/>
    <n v="10918371.689999999"/>
    <n v="10437669.050000001"/>
    <n v="10918371.689999999"/>
    <n v="10437669.050000001"/>
    <n v="30461"/>
    <s v="AMOMPY"/>
    <s v="Momentum Capital Investment S.A."/>
    <s v="01/04/2026"/>
    <s v="01/04/2026"/>
    <n v="41"/>
    <s v="No"/>
    <s v=""/>
    <m/>
    <m/>
    <s v="*MAV220600829"/>
    <s v="*MAV220600829"/>
    <n v="2.7509565488176367E-4"/>
  </r>
  <r>
    <x v="8"/>
    <s v="Pesos"/>
    <d v="2026-06-24T00:00:00"/>
    <s v="14/05/2026"/>
    <n v="0.95597297000000003"/>
    <m/>
    <n v="20000000"/>
    <n v="19119459.460000001"/>
    <n v="20000000"/>
    <n v="19119459.460000001"/>
    <n v="13318403"/>
    <s v="AMOMPY"/>
    <s v="Momentum Capital Investment S.A."/>
    <s v="27/03/2026"/>
    <s v="27/03/2026"/>
    <n v="41"/>
    <s v="No"/>
    <s v=""/>
    <m/>
    <m/>
    <s v="*MAV220600806"/>
    <s v="*MAV220600806"/>
    <n v="5.0391329672730249E-4"/>
  </r>
  <r>
    <x v="51"/>
    <s v="Pesos"/>
    <d v="2026-06-24T00:00:00"/>
    <s v="14/05/2026"/>
    <n v="0.96113344000000001"/>
    <m/>
    <n v="5000000"/>
    <n v="4805667.18"/>
    <n v="5000000"/>
    <n v="4805667.18"/>
    <n v="13420541"/>
    <s v="AMOMPY"/>
    <s v="Momentum Capital Investment S.A."/>
    <s v="10/04/2026"/>
    <s v="10/04/2026"/>
    <n v="36"/>
    <s v="No"/>
    <s v=""/>
    <m/>
    <m/>
    <s v="*MAV210600984"/>
    <s v="*MAV210600984"/>
    <n v="1.2665837110689939E-4"/>
  </r>
  <r>
    <x v="117"/>
    <s v="Pesos"/>
    <d v="2026-06-24T00:00:00"/>
    <s v="14/05/2026"/>
    <n v="0.96740015000000001"/>
    <m/>
    <n v="1500000000"/>
    <n v="1451100226.3499999"/>
    <n v="1500000000"/>
    <n v="1451100226.3499999"/>
    <n v="60854966"/>
    <s v="AMOMPY"/>
    <s v="Momentum Capital Investment S.A."/>
    <s v="07/05/2026"/>
    <s v="07/05/2026"/>
    <n v="30"/>
    <s v="No"/>
    <s v=""/>
    <m/>
    <m/>
    <s v="*MAV220601018"/>
    <s v="*MAV220601018"/>
    <n v="3.824526004365205E-2"/>
  </r>
  <r>
    <x v="34"/>
    <s v="Pesos"/>
    <d v="2026-06-25T00:00:00"/>
    <s v="14/05/2026"/>
    <n v="0.9497295"/>
    <m/>
    <n v="20000000"/>
    <n v="18994590.09"/>
    <n v="20000000"/>
    <n v="18994590.09"/>
    <n v="3982"/>
    <s v="AMOMPY"/>
    <s v="Momentum Capital Investment S.A."/>
    <s v="10/03/2026"/>
    <s v="10/03/2026"/>
    <n v="46"/>
    <s v="No"/>
    <s v=""/>
    <m/>
    <m/>
    <s v="*MAV230601260"/>
    <s v="*MAV230601260"/>
    <n v="5.0062223423525841E-4"/>
  </r>
  <r>
    <x v="47"/>
    <s v="Pesos"/>
    <d v="2026-06-25T00:00:00"/>
    <s v="14/05/2026"/>
    <n v="0.96128535000000004"/>
    <m/>
    <n v="5000000"/>
    <n v="4806426.75"/>
    <n v="5000000"/>
    <n v="4806426.75"/>
    <n v="90000054"/>
    <s v="AMOMPY"/>
    <s v="Momentum Capital Investment S.A."/>
    <s v="11/03/2026"/>
    <s v="11/03/2026"/>
    <n v="35"/>
    <s v="No"/>
    <s v=""/>
    <m/>
    <m/>
    <s v="*MIL230600032"/>
    <s v="*MIL230600032"/>
    <n v="1.2667839036652315E-4"/>
  </r>
  <r>
    <x v="113"/>
    <s v="Pesos"/>
    <d v="2026-06-25T00:00:00"/>
    <s v="14/05/2026"/>
    <n v="0.97095129999999996"/>
    <m/>
    <n v="10000000"/>
    <n v="9709512.9700000007"/>
    <n v="10000000"/>
    <n v="9709512.9700000007"/>
    <n v="1742534"/>
    <s v="AMOMPY"/>
    <s v="Momentum Capital Investment S.A."/>
    <s v="21/04/2026"/>
    <s v="21/04/2026"/>
    <n v="26"/>
    <s v="No"/>
    <s v=""/>
    <m/>
    <m/>
    <s v="*CMP230600024"/>
    <s v="*CMP230600024"/>
    <n v="2.5590434188609647E-4"/>
  </r>
  <r>
    <x v="46"/>
    <s v="Pesos"/>
    <d v="2026-06-25T00:00:00"/>
    <s v="14/05/2026"/>
    <n v="0.96663151999999997"/>
    <m/>
    <n v="13421110"/>
    <n v="12973267.949999999"/>
    <n v="13421110"/>
    <n v="12973267.949999999"/>
    <n v="1492"/>
    <s v="AMOMPY"/>
    <s v="Momentum Capital Investment S.A."/>
    <s v="20/04/2026"/>
    <s v="20/04/2026"/>
    <n v="30"/>
    <s v="No"/>
    <s v=""/>
    <m/>
    <m/>
    <s v="*FED230600046"/>
    <s v="*FED230600046"/>
    <n v="3.4192400866186161E-4"/>
  </r>
  <r>
    <x v="111"/>
    <s v="Pesos"/>
    <d v="2026-06-25T00:00:00"/>
    <s v="14/05/2026"/>
    <n v="0.96986771000000005"/>
    <m/>
    <n v="10000000"/>
    <n v="9698677.0500000007"/>
    <n v="10000000"/>
    <n v="9698677.0500000007"/>
    <n v="30175"/>
    <s v="AMOMPY"/>
    <s v="Momentum Capital Investment S.A."/>
    <s v="21/04/2026"/>
    <s v="21/04/2026"/>
    <n v="27"/>
    <s v="No"/>
    <s v=""/>
    <m/>
    <m/>
    <s v="*TRD230600027"/>
    <s v="*TRD230600027"/>
    <n v="2.556187499120296E-4"/>
  </r>
  <r>
    <x v="111"/>
    <s v="Pesos"/>
    <d v="2026-06-25T00:00:00"/>
    <s v="14/05/2026"/>
    <n v="0.96986771000000005"/>
    <m/>
    <n v="10000000"/>
    <n v="9698677.0500000007"/>
    <n v="10000000"/>
    <n v="9698677.0500000007"/>
    <n v="30174"/>
    <s v="AMOMPY"/>
    <s v="Momentum Capital Investment S.A."/>
    <s v="21/04/2026"/>
    <s v="21/04/2026"/>
    <n v="27"/>
    <s v="No"/>
    <s v=""/>
    <m/>
    <m/>
    <s v="*TRD230600026"/>
    <s v="*TRD230600026"/>
    <n v="2.556187499120296E-4"/>
  </r>
  <r>
    <x v="111"/>
    <s v="Pesos"/>
    <d v="2026-06-25T00:00:00"/>
    <s v="14/05/2026"/>
    <n v="0.96986771000000005"/>
    <m/>
    <n v="10000000"/>
    <n v="9698677.0500000007"/>
    <n v="10000000"/>
    <n v="9698677.0500000007"/>
    <n v="30176"/>
    <s v="AMOMPY"/>
    <s v="Momentum Capital Investment S.A."/>
    <s v="21/04/2026"/>
    <s v="21/04/2026"/>
    <n v="27"/>
    <s v="No"/>
    <s v=""/>
    <m/>
    <m/>
    <s v="*TRD230600028"/>
    <s v="*TRD230600028"/>
    <n v="2.556187499120296E-4"/>
  </r>
  <r>
    <x v="73"/>
    <s v="Pesos"/>
    <d v="2026-06-25T00:00:00"/>
    <s v="14/05/2026"/>
    <n v="0.97095140999999996"/>
    <m/>
    <n v="36057385.109999999"/>
    <n v="35009969.090000004"/>
    <n v="36057385.109999999"/>
    <n v="35009969.090000004"/>
    <n v="40627727"/>
    <s v="AMOMPY"/>
    <s v="Momentum Capital Investment S.A."/>
    <s v="04/05/2026"/>
    <s v="04/05/2026"/>
    <n v="26"/>
    <s v="No"/>
    <s v=""/>
    <m/>
    <m/>
    <s v="*PRO230600016"/>
    <s v="*PRO230600016"/>
    <n v="9.2272425271079596E-4"/>
  </r>
  <r>
    <x v="89"/>
    <s v="Pesos"/>
    <d v="2026-06-25T00:00:00"/>
    <s v="14/05/2026"/>
    <n v="0.96878664999999997"/>
    <m/>
    <n v="5000000"/>
    <n v="4843933.2699999996"/>
    <n v="5000000"/>
    <n v="4843933.2699999996"/>
    <n v="6034644"/>
    <s v="AMOMPY"/>
    <s v="Momentum Capital Investment S.A."/>
    <s v="04/05/2026"/>
    <s v="04/05/2026"/>
    <n v="28"/>
    <s v="No"/>
    <s v=""/>
    <m/>
    <m/>
    <s v="*CUY230600036"/>
    <s v="*CUY230600036"/>
    <n v="1.2766691382250835E-4"/>
  </r>
  <r>
    <x v="49"/>
    <s v="Pesos"/>
    <d v="2026-06-25T00:00:00"/>
    <s v="14/05/2026"/>
    <n v="0.95494754000000004"/>
    <m/>
    <n v="10918371.720000001"/>
    <n v="10426472.26"/>
    <n v="10918371.720000001"/>
    <n v="10426472.26"/>
    <n v="30462"/>
    <s v="AMOMPY"/>
    <s v="Momentum Capital Investment S.A."/>
    <s v="01/04/2026"/>
    <s v="01/04/2026"/>
    <n v="41"/>
    <s v="No"/>
    <s v=""/>
    <m/>
    <m/>
    <s v="*MAV230601319"/>
    <s v="*MAV230601319"/>
    <n v="2.7480055180243926E-4"/>
  </r>
  <r>
    <x v="8"/>
    <s v="Pesos"/>
    <d v="2026-06-25T00:00:00"/>
    <s v="14/05/2026"/>
    <n v="0.95494747000000002"/>
    <m/>
    <n v="20000000"/>
    <n v="19098949.449999999"/>
    <n v="20000000"/>
    <n v="19098949.449999999"/>
    <n v="13318404"/>
    <s v="AMOMPY"/>
    <s v="Momentum Capital Investment S.A."/>
    <s v="27/03/2026"/>
    <s v="27/03/2026"/>
    <n v="41"/>
    <s v="No"/>
    <s v=""/>
    <m/>
    <m/>
    <s v="*MAV230601300"/>
    <s v="*MAV230601300"/>
    <n v="5.0337273402067191E-4"/>
  </r>
  <r>
    <x v="39"/>
    <s v="Pesos"/>
    <d v="2026-06-25T00:00:00"/>
    <s v="14/05/2026"/>
    <n v="0.96341673999999999"/>
    <m/>
    <n v="50000000"/>
    <n v="48170837.189999998"/>
    <n v="50000000"/>
    <n v="48170837.189999998"/>
    <n v="4524"/>
    <s v="AMOMPY"/>
    <s v="Momentum Capital Investment S.A."/>
    <s v="20/04/2026"/>
    <s v="20/04/2026"/>
    <n v="33"/>
    <s v="No"/>
    <s v=""/>
    <m/>
    <m/>
    <s v="*MAV230601370"/>
    <s v="*MAV230601370"/>
    <n v="1.269592659003292E-3"/>
  </r>
  <r>
    <x v="83"/>
    <s v="Pesos"/>
    <d v="2026-06-26T00:00:00"/>
    <s v="14/05/2026"/>
    <n v="0.95392423000000004"/>
    <m/>
    <n v="2000000"/>
    <n v="1907848.46"/>
    <n v="2000000"/>
    <n v="1907848.46"/>
    <n v="12384446"/>
    <s v="AMOMPY"/>
    <s v="Momentum Capital Investment S.A."/>
    <s v="01/04/2026"/>
    <s v="01/04/2026"/>
    <n v="41"/>
    <s v="No"/>
    <s v=""/>
    <m/>
    <m/>
    <s v="*MAV240601163"/>
    <s v="*MAV240601163"/>
    <n v="5.0283336155294579E-5"/>
  </r>
  <r>
    <x v="112"/>
    <s v="Pesos"/>
    <d v="2026-06-26T00:00:00"/>
    <s v="14/05/2026"/>
    <n v="0.97473704999999999"/>
    <m/>
    <n v="4000000"/>
    <n v="3898948.19"/>
    <n v="4000000"/>
    <n v="3898948.19"/>
    <n v="64816693"/>
    <s v="AMOMPY"/>
    <s v="Momentum Capital Investment S.A."/>
    <s v="13/04/2026"/>
    <s v="13/04/2026"/>
    <n v="22"/>
    <s v="No"/>
    <s v=""/>
    <m/>
    <m/>
    <s v="*MAV240601193"/>
    <s v="*MAV240601193"/>
    <n v="1.0276084636714142E-4"/>
  </r>
  <r>
    <x v="4"/>
    <s v="Pesos"/>
    <d v="2026-06-26T00:00:00"/>
    <s v="14/05/2026"/>
    <n v="0.95499743000000004"/>
    <m/>
    <n v="3500000"/>
    <n v="3342490.99"/>
    <n v="3500000"/>
    <n v="3342490.99"/>
    <n v="60524035"/>
    <s v="AMOMPY"/>
    <s v="Momentum Capital Investment S.A."/>
    <s v="06/03/2026"/>
    <s v="06/03/2026"/>
    <n v="40"/>
    <s v="No"/>
    <s v=""/>
    <m/>
    <m/>
    <s v="*MAV240601092"/>
    <s v="*MAV240601092"/>
    <n v="8.8094836445350266E-5"/>
  </r>
  <r>
    <x v="113"/>
    <s v="Pesos"/>
    <d v="2026-06-26T00:00:00"/>
    <s v="14/05/2026"/>
    <n v="0.97028033000000002"/>
    <m/>
    <n v="10000000"/>
    <n v="9702803.3100000005"/>
    <n v="10000000"/>
    <n v="9702803.3100000005"/>
    <n v="1742535"/>
    <s v="AMOMPY"/>
    <s v="Momentum Capital Investment S.A."/>
    <s v="21/04/2026"/>
    <s v="21/04/2026"/>
    <n v="26"/>
    <s v="No"/>
    <s v=""/>
    <m/>
    <m/>
    <s v="*CMP240600051"/>
    <s v="*CMP240600051"/>
    <n v="2.5572750179824816E-4"/>
  </r>
  <r>
    <x v="37"/>
    <s v="Pesos"/>
    <d v="2026-06-26T00:00:00"/>
    <s v="14/05/2026"/>
    <n v="0.96696428000000001"/>
    <m/>
    <n v="15000000"/>
    <n v="14504464.26"/>
    <n v="15000000"/>
    <n v="14504464.26"/>
    <n v="799"/>
    <s v="AMOMPY"/>
    <s v="Momentum Capital Investment S.A."/>
    <s v="31/03/2026"/>
    <s v="31/03/2026"/>
    <n v="29"/>
    <s v="No"/>
    <s v=""/>
    <m/>
    <m/>
    <s v="*AAR240600038"/>
    <s v="*AAR240600038"/>
    <n v="3.8228028453477696E-4"/>
  </r>
  <r>
    <x v="37"/>
    <s v="Pesos"/>
    <d v="2026-06-26T00:00:00"/>
    <s v="14/05/2026"/>
    <n v="0.96696428000000001"/>
    <m/>
    <n v="12500000"/>
    <n v="12087053.550000001"/>
    <n v="12500000"/>
    <n v="12087053.550000001"/>
    <n v="28996516"/>
    <s v="AMOMPY"/>
    <s v="Momentum Capital Investment S.A."/>
    <s v="31/03/2026"/>
    <s v="31/03/2026"/>
    <n v="29"/>
    <s v="No"/>
    <s v=""/>
    <m/>
    <m/>
    <s v="*AAR240600037"/>
    <s v="*AAR240600037"/>
    <n v="3.185669037789808E-4"/>
  </r>
  <r>
    <x v="46"/>
    <s v="Pesos"/>
    <d v="2026-06-26T00:00:00"/>
    <s v="14/05/2026"/>
    <n v="0.9658641"/>
    <m/>
    <n v="17111099"/>
    <n v="16526996.25"/>
    <n v="17111099"/>
    <n v="16526996.25"/>
    <n v="1536"/>
    <s v="AMOMPY"/>
    <s v="Momentum Capital Investment S.A."/>
    <s v="20/04/2026"/>
    <s v="20/04/2026"/>
    <n v="30"/>
    <s v="No"/>
    <s v=""/>
    <m/>
    <m/>
    <s v="*FED240600044"/>
    <s v="*FED240600044"/>
    <n v="4.355862247445182E-4"/>
  </r>
  <r>
    <x v="73"/>
    <s v="Pesos"/>
    <d v="2026-06-26T00:00:00"/>
    <s v="14/05/2026"/>
    <n v="0.96917238999999999"/>
    <m/>
    <n v="25000000"/>
    <n v="24229309.640000001"/>
    <n v="25000000"/>
    <n v="24229309.640000001"/>
    <n v="900"/>
    <s v="AMOMPY"/>
    <s v="Momentum Capital Investment S.A."/>
    <s v="22/04/2026"/>
    <s v="22/04/2026"/>
    <n v="27"/>
    <s v="No"/>
    <s v=""/>
    <m/>
    <m/>
    <s v="*PRO240600012"/>
    <s v="*PRO240600012"/>
    <n v="6.3858872807897931E-4"/>
  </r>
  <r>
    <x v="49"/>
    <s v="Pesos"/>
    <d v="2026-06-26T00:00:00"/>
    <s v="14/05/2026"/>
    <n v="0.95392423999999998"/>
    <m/>
    <n v="11785044.42"/>
    <n v="11242039.52"/>
    <n v="11785044.42"/>
    <n v="11242039.52"/>
    <n v="9344726"/>
    <s v="AMOMPY"/>
    <s v="Momentum Capital Investment S.A."/>
    <s v="01/04/2026"/>
    <s v="01/04/2026"/>
    <n v="41"/>
    <s v="No"/>
    <s v=""/>
    <m/>
    <m/>
    <s v="*MAV240601164"/>
    <s v="*MAV240601164"/>
    <n v="2.9629567762172606E-4"/>
  </r>
  <r>
    <x v="8"/>
    <s v="Pesos"/>
    <d v="2026-06-26T00:00:00"/>
    <s v="14/05/2026"/>
    <n v="0.95392416999999996"/>
    <m/>
    <n v="20000000"/>
    <n v="19078483.370000001"/>
    <n v="20000000"/>
    <n v="19078483.370000001"/>
    <n v="13318405"/>
    <s v="AMOMPY"/>
    <s v="Momentum Capital Investment S.A."/>
    <s v="27/03/2026"/>
    <s v="27/03/2026"/>
    <n v="41"/>
    <s v="No"/>
    <s v=""/>
    <m/>
    <m/>
    <s v="*MAV240601142"/>
    <s v="*MAV240601142"/>
    <n v="5.0283332913501281E-4"/>
  </r>
  <r>
    <x v="118"/>
    <s v="Pesos"/>
    <d v="2026-06-26T00:00:00"/>
    <s v="14/05/2026"/>
    <n v="0.95178512000000004"/>
    <m/>
    <n v="15000000"/>
    <n v="14276776.789999999"/>
    <n v="15000000"/>
    <n v="14276776.789999999"/>
    <n v="16771103"/>
    <s v="AMOMPY"/>
    <s v="Momentum Capital Investment S.A."/>
    <s v="24/04/2026"/>
    <s v="24/04/2026"/>
    <n v="43"/>
    <s v="No"/>
    <s v=""/>
    <m/>
    <m/>
    <s v="*MAV240601239"/>
    <s v="*MAV240601239"/>
    <n v="3.7627934377223933E-4"/>
  </r>
  <r>
    <x v="95"/>
    <s v="Pesos"/>
    <d v="2026-06-29T00:00:00"/>
    <s v="14/05/2026"/>
    <n v="0.95775407999999995"/>
    <m/>
    <n v="2000000"/>
    <n v="1915508.17"/>
    <n v="2000000"/>
    <n v="1915508.17"/>
    <n v="7742"/>
    <s v="AMOMPY"/>
    <s v="Momentum Capital Investment S.A."/>
    <s v="08/05/2026"/>
    <s v="08/05/2026"/>
    <n v="35"/>
    <s v="No"/>
    <s v=""/>
    <m/>
    <m/>
    <s v="*MAV250601205"/>
    <s v="*MAV250601205"/>
    <n v="5.0485215801847883E-5"/>
  </r>
  <r>
    <x v="101"/>
    <s v="Pesos"/>
    <d v="2026-06-29T00:00:00"/>
    <s v="14/05/2026"/>
    <n v="0.95086755000000001"/>
    <m/>
    <n v="2000000"/>
    <n v="1901735.1"/>
    <n v="2000000"/>
    <n v="1901735.1"/>
    <n v="11213039"/>
    <s v="AMOMPY"/>
    <s v="Momentum Capital Investment S.A."/>
    <s v="27/03/2026"/>
    <s v="27/03/2026"/>
    <n v="41"/>
    <s v="No"/>
    <s v=""/>
    <m/>
    <m/>
    <s v="*MAV250601030"/>
    <s v="*MAV250601030"/>
    <n v="5.0122212175920278E-5"/>
  </r>
  <r>
    <x v="47"/>
    <s v="Pesos"/>
    <d v="2026-06-29T00:00:00"/>
    <s v="14/05/2026"/>
    <n v="0.95775399000000006"/>
    <m/>
    <n v="5000000"/>
    <n v="4788769.95"/>
    <n v="5000000"/>
    <n v="4788769.95"/>
    <n v="90000059"/>
    <s v="AMOMPY"/>
    <s v="Momentum Capital Investment S.A."/>
    <s v="11/03/2026"/>
    <s v="11/03/2026"/>
    <n v="35"/>
    <s v="No"/>
    <s v=""/>
    <m/>
    <m/>
    <s v="*MIL250600022"/>
    <s v="*MIL250600022"/>
    <n v="1.2621302698549928E-4"/>
  </r>
  <r>
    <x v="113"/>
    <s v="Pesos"/>
    <d v="2026-06-29T00:00:00"/>
    <s v="14/05/2026"/>
    <n v="0.96827251000000003"/>
    <m/>
    <n v="10000000"/>
    <n v="9682725.1099999994"/>
    <n v="10000000"/>
    <n v="9682725.1099999994"/>
    <n v="1742536"/>
    <s v="AMOMPY"/>
    <s v="Momentum Capital Investment S.A."/>
    <s v="21/04/2026"/>
    <s v="21/04/2026"/>
    <n v="26"/>
    <s v="No"/>
    <s v=""/>
    <m/>
    <m/>
    <s v="*CMP250600031"/>
    <s v="*CMP250600031"/>
    <n v="2.5519831989456943E-4"/>
  </r>
  <r>
    <x v="46"/>
    <s v="Pesos"/>
    <d v="2026-06-29T00:00:00"/>
    <s v="14/05/2026"/>
    <n v="0.96356931999999995"/>
    <m/>
    <n v="17352660"/>
    <n v="16720490.720000001"/>
    <n v="17352660"/>
    <n v="16720490.720000001"/>
    <n v="1494"/>
    <s v="AMOMPY"/>
    <s v="Momentum Capital Investment S.A."/>
    <s v="20/04/2026"/>
    <s v="20/04/2026"/>
    <n v="30"/>
    <s v="No"/>
    <s v=""/>
    <m/>
    <m/>
    <s v="*FED250600040"/>
    <s v="*FED250600040"/>
    <n v="4.4068597332685614E-4"/>
  </r>
  <r>
    <x v="111"/>
    <s v="Pesos"/>
    <d v="2026-06-29T00:00:00"/>
    <s v="14/05/2026"/>
    <n v="0.96709237999999997"/>
    <m/>
    <n v="10000000"/>
    <n v="9670923.8000000007"/>
    <n v="10000000"/>
    <n v="9670923.8000000007"/>
    <n v="30178"/>
    <s v="AMOMPY"/>
    <s v="Momentum Capital Investment S.A."/>
    <s v="21/04/2026"/>
    <s v="21/04/2026"/>
    <n v="27"/>
    <s v="No"/>
    <s v=""/>
    <m/>
    <m/>
    <s v="*TRD250600019"/>
    <s v="*TRD250600019"/>
    <n v="2.5488728406009714E-4"/>
  </r>
  <r>
    <x v="111"/>
    <s v="Pesos"/>
    <d v="2026-06-29T00:00:00"/>
    <s v="14/05/2026"/>
    <n v="0.96709237999999997"/>
    <m/>
    <n v="10000000"/>
    <n v="9670923.8000000007"/>
    <n v="10000000"/>
    <n v="9670923.8000000007"/>
    <n v="30177"/>
    <s v="AMOMPY"/>
    <s v="Momentum Capital Investment S.A."/>
    <s v="21/04/2026"/>
    <s v="21/04/2026"/>
    <n v="27"/>
    <s v="No"/>
    <s v=""/>
    <m/>
    <m/>
    <s v="*TRD250600020"/>
    <s v="*TRD250600020"/>
    <n v="2.5488728406009714E-4"/>
  </r>
  <r>
    <x v="9"/>
    <s v="Pesos"/>
    <d v="2026-06-29T00:00:00"/>
    <s v="14/05/2026"/>
    <n v="0.96709235999999998"/>
    <m/>
    <n v="3000000"/>
    <n v="2901277.08"/>
    <n v="3000000"/>
    <n v="2901277.08"/>
    <n v="13314552"/>
    <s v="AMOMPY"/>
    <s v="Momentum Capital Investment S.A."/>
    <s v="17/04/2026"/>
    <s v="17/04/2026"/>
    <n v="27"/>
    <s v="No"/>
    <s v=""/>
    <m/>
    <m/>
    <s v="*MOV250600056"/>
    <s v="*MOV250600056"/>
    <n v="7.6466183636666552E-5"/>
  </r>
  <r>
    <x v="49"/>
    <s v="Pesos"/>
    <d v="2026-06-29T00:00:00"/>
    <s v="14/05/2026"/>
    <n v="0.95086755000000001"/>
    <m/>
    <n v="15909586.57"/>
    <n v="15127909.57"/>
    <n v="15909586.57"/>
    <n v="15127909.57"/>
    <n v="30494"/>
    <s v="AMOMPY"/>
    <s v="Momentum Capital Investment S.A."/>
    <s v="27/03/2026"/>
    <s v="27/03/2026"/>
    <n v="41"/>
    <s v="No"/>
    <s v=""/>
    <m/>
    <m/>
    <s v="*MAV250601029"/>
    <s v="*MAV250601029"/>
    <n v="3.9871183596794049E-4"/>
  </r>
  <r>
    <x v="49"/>
    <s v="Pesos"/>
    <d v="2026-06-29T00:00:00"/>
    <s v="14/05/2026"/>
    <n v="0.95086755000000001"/>
    <m/>
    <n v="15389210.15"/>
    <n v="14633100.52"/>
    <n v="15389210.15"/>
    <n v="14633100.52"/>
    <n v="9344720"/>
    <s v="AMOMPY"/>
    <s v="Momentum Capital Investment S.A."/>
    <s v="27/03/2026"/>
    <s v="27/03/2026"/>
    <n v="41"/>
    <s v="No"/>
    <s v=""/>
    <m/>
    <m/>
    <s v="*MAV250601031"/>
    <s v="*MAV250601031"/>
    <n v="3.8567062734184656E-4"/>
  </r>
  <r>
    <x v="8"/>
    <s v="Pesos"/>
    <d v="2026-06-29T00:00:00"/>
    <s v="14/05/2026"/>
    <n v="0.95086755000000001"/>
    <m/>
    <n v="20000000"/>
    <n v="19017350.960000001"/>
    <n v="20000000"/>
    <n v="19017350.960000001"/>
    <n v="13318406"/>
    <s v="AMOMPY"/>
    <s v="Momentum Capital Investment S.A."/>
    <s v="27/03/2026"/>
    <s v="27/03/2026"/>
    <n v="41"/>
    <s v="No"/>
    <s v=""/>
    <m/>
    <m/>
    <s v="*MAV250601028"/>
    <s v="*MAV250601028"/>
    <n v="5.0122212070496106E-4"/>
  </r>
  <r>
    <x v="118"/>
    <s v="Pesos"/>
    <d v="2026-06-29T00:00:00"/>
    <s v="14/05/2026"/>
    <n v="0.94859424999999997"/>
    <m/>
    <n v="15000000"/>
    <n v="14228913.74"/>
    <n v="15000000"/>
    <n v="14228913.74"/>
    <n v="16771105"/>
    <s v="AMOMPY"/>
    <s v="Momentum Capital Investment S.A."/>
    <s v="24/04/2026"/>
    <s v="24/04/2026"/>
    <n v="43"/>
    <s v="No"/>
    <s v=""/>
    <m/>
    <m/>
    <s v="*MAV250601115"/>
    <s v="*MAV250601115"/>
    <n v="3.7501786316566769E-4"/>
  </r>
  <r>
    <x v="58"/>
    <s v="Pesos"/>
    <d v="2026-06-29T00:00:00"/>
    <s v="14/05/2026"/>
    <n v="0.95086766"/>
    <m/>
    <n v="192000000"/>
    <n v="182566590.25999999"/>
    <n v="192000000"/>
    <n v="182566590.25999999"/>
    <n v="70379138"/>
    <s v="AMOMPY"/>
    <s v="Momentum Capital Investment S.A."/>
    <s v="07/05/2026"/>
    <s v="07/05/2026"/>
    <n v="41"/>
    <s v="No"/>
    <s v=""/>
    <m/>
    <m/>
    <s v="*MAV250601194"/>
    <s v="*MAV250601194"/>
    <n v="4.811732913404196E-3"/>
  </r>
  <r>
    <x v="29"/>
    <s v="Pesos"/>
    <d v="2026-06-30T00:00:00"/>
    <s v="14/05/2026"/>
    <n v="0.95687520000000004"/>
    <m/>
    <n v="10000000"/>
    <n v="9568751.9900000002"/>
    <n v="10000000"/>
    <n v="9568751.9900000002"/>
    <n v="29098103"/>
    <s v="AMOMPY"/>
    <s v="Momentum Capital Investment S.A."/>
    <s v="20/04/2026"/>
    <s v="20/04/2026"/>
    <n v="35"/>
    <s v="No"/>
    <s v=""/>
    <m/>
    <m/>
    <s v="*MAV260601213"/>
    <s v="*MAV260601213"/>
    <n v="2.521944394366699E-4"/>
  </r>
  <r>
    <x v="119"/>
    <s v="Pesos"/>
    <d v="2026-06-30T00:00:00"/>
    <s v="14/05/2026"/>
    <n v="0.96280664999999999"/>
    <m/>
    <n v="8200000"/>
    <n v="7895014.54"/>
    <n v="8200000"/>
    <n v="7895014.54"/>
    <n v="66589587"/>
    <s v="AMOMPY"/>
    <s v="Momentum Capital Investment S.A."/>
    <s v="29/04/2026"/>
    <s v="29/04/2026"/>
    <n v="30"/>
    <s v="No"/>
    <s v=""/>
    <m/>
    <m/>
    <s v="*MAV260601277"/>
    <s v="*MAV260601277"/>
    <n v="2.0808134314072221E-4"/>
  </r>
  <r>
    <x v="120"/>
    <s v="Pesos"/>
    <d v="2026-06-30T00:00:00"/>
    <s v="14/05/2026"/>
    <n v="0.95923908999999996"/>
    <m/>
    <n v="2000000"/>
    <n v="1918478.19"/>
    <n v="2000000"/>
    <n v="1918478.19"/>
    <n v="148"/>
    <s v="AMOMPY"/>
    <s v="Momentum Capital Investment S.A."/>
    <s v="05/05/2026"/>
    <s v="05/05/2026"/>
    <n v="33"/>
    <s v="No"/>
    <s v=""/>
    <m/>
    <m/>
    <s v="*MAV260601308"/>
    <s v="*MAV260601308"/>
    <n v="5.0563493776843839E-5"/>
  </r>
  <r>
    <x v="95"/>
    <s v="Pesos"/>
    <d v="2026-06-30T00:00:00"/>
    <s v="14/05/2026"/>
    <n v="0.95687522000000003"/>
    <m/>
    <n v="2000000"/>
    <n v="1913750.44"/>
    <n v="2000000"/>
    <n v="1913750.44"/>
    <n v="7743"/>
    <s v="AMOMPY"/>
    <s v="Momentum Capital Investment S.A."/>
    <s v="08/05/2026"/>
    <s v="08/05/2026"/>
    <n v="35"/>
    <s v="No"/>
    <s v=""/>
    <m/>
    <m/>
    <s v="*MAV260601332"/>
    <s v="*MAV260601332"/>
    <n v="5.0438888994287792E-5"/>
  </r>
  <r>
    <x v="36"/>
    <s v="Pesos"/>
    <d v="2026-06-30T00:00:00"/>
    <s v="14/05/2026"/>
    <n v="0.95687520000000004"/>
    <m/>
    <n v="10000000"/>
    <n v="9568751.9900000002"/>
    <n v="10000000"/>
    <n v="9568751.9900000002"/>
    <n v="386"/>
    <s v="AMOMPY"/>
    <s v="Momentum Capital Investment S.A."/>
    <s v="20/04/2026"/>
    <s v="20/04/2026"/>
    <n v="35"/>
    <s v="No"/>
    <s v=""/>
    <m/>
    <m/>
    <s v="*MAV260601211"/>
    <s v="*MAV260601211"/>
    <n v="2.521944394366699E-4"/>
  </r>
  <r>
    <x v="33"/>
    <s v="Pesos"/>
    <d v="2026-06-30T00:00:00"/>
    <s v="14/05/2026"/>
    <n v="0.94407949000000002"/>
    <m/>
    <n v="10000000"/>
    <n v="9440794.8800000008"/>
    <n v="10000000"/>
    <n v="9440794.8800000008"/>
    <n v="3924"/>
    <s v="AMOMPY"/>
    <s v="Momentum Capital Investment S.A."/>
    <s v="11/08/2025"/>
    <s v="11/08/2025"/>
    <n v="46"/>
    <s v="No"/>
    <s v=""/>
    <m/>
    <m/>
    <s v="*MAV260600989"/>
    <s v="*MAV260600989"/>
    <n v="2.4882199633624152E-4"/>
  </r>
  <r>
    <x v="34"/>
    <s v="Pesos"/>
    <d v="2026-06-30T00:00:00"/>
    <s v="14/05/2026"/>
    <n v="0.94869274999999997"/>
    <m/>
    <n v="10000000"/>
    <n v="9486927.5199999996"/>
    <n v="10000000"/>
    <n v="9486927.5199999996"/>
    <n v="4019"/>
    <s v="AMOMPY"/>
    <s v="Momentum Capital Investment S.A."/>
    <s v="26/03/2026"/>
    <s v="26/03/2026"/>
    <n v="42"/>
    <s v="No"/>
    <s v=""/>
    <m/>
    <m/>
    <s v="*MAV260601067"/>
    <s v="*MAV260601067"/>
    <n v="2.5003787018234935E-4"/>
  </r>
  <r>
    <x v="24"/>
    <s v="Pesos"/>
    <d v="2026-06-30T00:00:00"/>
    <s v="14/05/2026"/>
    <n v="0.95101621999999997"/>
    <m/>
    <n v="10000000"/>
    <n v="9510162.1799999997"/>
    <n v="10000000"/>
    <n v="9510162.1799999997"/>
    <n v="1344"/>
    <s v="AMOMPY"/>
    <s v="Momentum Capital Investment S.A."/>
    <s v="24/02/2026"/>
    <s v="24/02/2026"/>
    <n v="40"/>
    <s v="No"/>
    <s v=""/>
    <m/>
    <m/>
    <s v="*MAV260601012"/>
    <s v="*MAV260601012"/>
    <n v="2.5065024388169126E-4"/>
  </r>
  <r>
    <x v="47"/>
    <s v="Pesos"/>
    <d v="2026-06-30T00:00:00"/>
    <s v="14/05/2026"/>
    <n v="0.96400184"/>
    <m/>
    <n v="15000000"/>
    <n v="14460027.66"/>
    <n v="15000000"/>
    <n v="14460027.66"/>
    <n v="15"/>
    <s v="AMOMPY"/>
    <s v="Momentum Capital Investment S.A."/>
    <s v="01/04/2026"/>
    <s v="01/04/2026"/>
    <n v="29"/>
    <s v="No"/>
    <s v=""/>
    <m/>
    <m/>
    <s v="*MIL260600028"/>
    <s v="*MIL260600028"/>
    <n v="3.8110911159193309E-4"/>
  </r>
  <r>
    <x v="47"/>
    <s v="Pesos"/>
    <d v="2026-06-30T00:00:00"/>
    <s v="14/05/2026"/>
    <n v="0.96400184"/>
    <m/>
    <n v="26000000"/>
    <n v="25064047.940000001"/>
    <n v="26000000"/>
    <n v="25064047.940000001"/>
    <n v="65889075"/>
    <s v="AMOMPY"/>
    <s v="Momentum Capital Investment S.A."/>
    <s v="01/04/2026"/>
    <s v="01/04/2026"/>
    <n v="29"/>
    <s v="No"/>
    <s v=""/>
    <m/>
    <m/>
    <s v="*MIL260600029"/>
    <s v="*MIL260600029"/>
    <n v="6.6058912665392655E-4"/>
  </r>
  <r>
    <x v="47"/>
    <s v="Pesos"/>
    <d v="2026-06-30T00:00:00"/>
    <s v="14/05/2026"/>
    <n v="0.95687515999999995"/>
    <m/>
    <n v="5000000"/>
    <n v="4784375.8099999996"/>
    <n v="5000000"/>
    <n v="4784375.8099999996"/>
    <n v="90000060"/>
    <s v="AMOMPY"/>
    <s v="Momentum Capital Investment S.A."/>
    <s v="11/03/2026"/>
    <s v="11/03/2026"/>
    <n v="35"/>
    <s v="No"/>
    <s v=""/>
    <m/>
    <m/>
    <s v="*MIL260600027"/>
    <s v="*MIL260600027"/>
    <n v="1.2609721484246699E-4"/>
  </r>
  <r>
    <x v="113"/>
    <s v="Pesos"/>
    <d v="2026-06-30T00:00:00"/>
    <s v="14/05/2026"/>
    <n v="0.96760524000000003"/>
    <m/>
    <n v="10000000"/>
    <n v="9676052.4499999993"/>
    <n v="10000000"/>
    <n v="9676052.4499999993"/>
    <n v="1742537"/>
    <s v="AMOMPY"/>
    <s v="Momentum Capital Investment S.A."/>
    <s v="21/04/2026"/>
    <s v="21/04/2026"/>
    <n v="26"/>
    <s v="No"/>
    <s v=""/>
    <m/>
    <m/>
    <s v="*CMP260600025"/>
    <s v="*CMP260600025"/>
    <n v="2.5502245498031415E-4"/>
  </r>
  <r>
    <x v="37"/>
    <s v="Pesos"/>
    <d v="2026-06-30T00:00:00"/>
    <s v="14/05/2026"/>
    <n v="0.96400180999999996"/>
    <m/>
    <n v="12500000"/>
    <n v="12050022.57"/>
    <n v="12500000"/>
    <n v="12050022.57"/>
    <n v="28996508"/>
    <s v="AMOMPY"/>
    <s v="Momentum Capital Investment S.A."/>
    <s v="31/03/2026"/>
    <s v="31/03/2026"/>
    <n v="29"/>
    <s v="No"/>
    <s v=""/>
    <m/>
    <m/>
    <s v="*AAR260600015"/>
    <s v="*AAR260600015"/>
    <n v="3.1759091367571026E-4"/>
  </r>
  <r>
    <x v="47"/>
    <s v="Pesos"/>
    <d v="2026-06-30T00:00:00"/>
    <s v="14/05/2026"/>
    <n v="0.96400193999999995"/>
    <m/>
    <n v="11000000"/>
    <n v="10604021.390000001"/>
    <n v="11000000"/>
    <n v="10604021.390000001"/>
    <n v="9798600"/>
    <s v="AMOMPY"/>
    <s v="Momentum Capital Investment S.A."/>
    <s v="28/04/2026"/>
    <s v="28/04/2026"/>
    <n v="29"/>
    <s v="No"/>
    <s v=""/>
    <m/>
    <m/>
    <s v="*MIL260600033"/>
    <s v="*MIL260600033"/>
    <n v="2.7948004431720125E-4"/>
  </r>
  <r>
    <x v="25"/>
    <s v="Pesos"/>
    <d v="2026-06-30T00:00:00"/>
    <s v="14/05/2026"/>
    <n v="0.96640115999999998"/>
    <m/>
    <n v="10530592.43"/>
    <n v="10176776.689999999"/>
    <n v="10530592.43"/>
    <n v="10176776.689999999"/>
    <n v="5805"/>
    <s v="AMOMPY"/>
    <s v="Momentum Capital Investment S.A."/>
    <s v="14/04/2026"/>
    <s v="14/04/2026"/>
    <n v="27"/>
    <s v="No"/>
    <s v=""/>
    <m/>
    <m/>
    <s v="%INC280600029"/>
    <s v="%INC280600029"/>
    <n v="2.6821956460873004E-4"/>
  </r>
  <r>
    <x v="25"/>
    <s v="Pesos"/>
    <d v="2026-06-30T00:00:00"/>
    <s v="14/05/2026"/>
    <n v="0.96640115999999998"/>
    <m/>
    <n v="6111109.9900000002"/>
    <n v="5905783.75"/>
    <n v="6111109.9900000002"/>
    <n v="5905783.75"/>
    <n v="5806"/>
    <s v="AMOMPY"/>
    <s v="Momentum Capital Investment S.A."/>
    <s v="14/04/2026"/>
    <s v="14/04/2026"/>
    <n v="27"/>
    <s v="No"/>
    <s v=""/>
    <m/>
    <m/>
    <s v="%INC280600031"/>
    <s v="%INC280600031"/>
    <n v="1.5565309079198367E-4"/>
  </r>
  <r>
    <x v="25"/>
    <s v="Pesos"/>
    <d v="2026-06-30T00:00:00"/>
    <s v="14/05/2026"/>
    <n v="0.96640115999999998"/>
    <m/>
    <n v="10039730.84"/>
    <n v="9702407.4800000004"/>
    <n v="10039730.84"/>
    <n v="9702407.4800000004"/>
    <n v="5807"/>
    <s v="AMOMPY"/>
    <s v="Momentum Capital Investment S.A."/>
    <s v="14/04/2026"/>
    <s v="14/04/2026"/>
    <n v="27"/>
    <s v="No"/>
    <s v=""/>
    <m/>
    <m/>
    <s v="%INC280600030"/>
    <s v="%INC280600030"/>
    <n v="2.5571706928572546E-4"/>
  </r>
  <r>
    <x v="49"/>
    <s v="Pesos"/>
    <d v="2026-06-30T00:00:00"/>
    <s v="14/05/2026"/>
    <n v="0.94985315000000003"/>
    <m/>
    <n v="15909586.57"/>
    <n v="15111770.85"/>
    <n v="15909586.57"/>
    <n v="15111770.85"/>
    <n v="30495"/>
    <s v="AMOMPY"/>
    <s v="Momentum Capital Investment S.A."/>
    <s v="27/03/2026"/>
    <s v="27/03/2026"/>
    <n v="41"/>
    <s v="No"/>
    <s v=""/>
    <m/>
    <m/>
    <s v="*MAV260601072"/>
    <s v="*MAV260601072"/>
    <n v="3.9828648316875845E-4"/>
  </r>
  <r>
    <x v="49"/>
    <s v="Pesos"/>
    <d v="2026-06-30T00:00:00"/>
    <s v="14/05/2026"/>
    <n v="0.94985315000000003"/>
    <m/>
    <n v="14664256.84"/>
    <n v="13928890.49"/>
    <n v="14664256.84"/>
    <n v="13928890.49"/>
    <n v="30528"/>
    <s v="AMOMPY"/>
    <s v="Momentum Capital Investment S.A."/>
    <s v="27/03/2026"/>
    <s v="27/03/2026"/>
    <n v="41"/>
    <s v="No"/>
    <s v=""/>
    <m/>
    <m/>
    <s v="*MAV260601088"/>
    <s v="*MAV260601088"/>
    <n v="3.6711043747099067E-4"/>
  </r>
  <r>
    <x v="49"/>
    <s v="Pesos"/>
    <d v="2026-06-30T00:00:00"/>
    <s v="14/05/2026"/>
    <n v="0.94985302999999999"/>
    <m/>
    <n v="11785044.42"/>
    <n v="11194060.199999999"/>
    <n v="11785044.42"/>
    <n v="11194060.199999999"/>
    <n v="9344725"/>
    <s v="AMOMPY"/>
    <s v="Momentum Capital Investment S.A."/>
    <s v="01/04/2026"/>
    <s v="01/04/2026"/>
    <n v="41"/>
    <s v="No"/>
    <s v=""/>
    <m/>
    <m/>
    <s v="*MAV260601132"/>
    <s v="*MAV260601132"/>
    <n v="2.9503113259802828E-4"/>
  </r>
  <r>
    <x v="8"/>
    <s v="Pesos"/>
    <d v="2026-06-30T00:00:00"/>
    <s v="14/05/2026"/>
    <n v="0.94985315000000003"/>
    <m/>
    <n v="20000000"/>
    <n v="18997062.91"/>
    <n v="20000000"/>
    <n v="18997062.91"/>
    <n v="13318407"/>
    <s v="AMOMPY"/>
    <s v="Momentum Capital Investment S.A."/>
    <s v="27/03/2026"/>
    <s v="27/03/2026"/>
    <n v="41"/>
    <s v="No"/>
    <s v=""/>
    <m/>
    <m/>
    <s v="*MAV260601080"/>
    <s v="*MAV260601080"/>
    <n v="5.006874079856472E-4"/>
  </r>
  <r>
    <x v="105"/>
    <s v="Pesos"/>
    <d v="2026-07-01T00:00:00"/>
    <s v="14/05/2026"/>
    <n v="0.95240599000000004"/>
    <m/>
    <n v="4298084.1900000004"/>
    <n v="4093521.15"/>
    <n v="4298084.1900000004"/>
    <n v="4093521.15"/>
    <n v="532"/>
    <s v="AMOMPY"/>
    <s v="Momentum Capital Investment S.A."/>
    <s v="22/04/2026"/>
    <s v="22/04/2026"/>
    <n v="38"/>
    <s v="No"/>
    <s v=""/>
    <m/>
    <m/>
    <s v="*MAV290600785"/>
    <s v="*MAV290600785"/>
    <n v="1.0788901967835435E-4"/>
  </r>
  <r>
    <x v="43"/>
    <s v="Pesos"/>
    <d v="2026-07-01T00:00:00"/>
    <s v="14/05/2026"/>
    <n v="0.97188202999999995"/>
    <m/>
    <n v="4341150"/>
    <n v="4219085.6900000004"/>
    <n v="4341150"/>
    <n v="4219085.6900000004"/>
    <n v="9837"/>
    <s v="AMOMPY"/>
    <s v="Momentum Capital Investment S.A."/>
    <s v="13/04/2026"/>
    <s v="13/04/2026"/>
    <n v="22"/>
    <s v="No"/>
    <s v=""/>
    <m/>
    <m/>
    <s v="*MAV290600749"/>
    <s v="*MAV290600749"/>
    <n v="1.1119840410084929E-4"/>
  </r>
  <r>
    <x v="43"/>
    <s v="Pesos"/>
    <d v="2026-07-01T00:00:00"/>
    <s v="14/05/2026"/>
    <n v="0.95961721"/>
    <m/>
    <n v="2433059"/>
    <n v="2334805.2999999998"/>
    <n v="2433059"/>
    <n v="2334805.2999999998"/>
    <n v="9889"/>
    <s v="AMOMPY"/>
    <s v="Momentum Capital Investment S.A."/>
    <s v="30/04/2026"/>
    <s v="30/04/2026"/>
    <n v="32"/>
    <s v="No"/>
    <s v=""/>
    <m/>
    <m/>
    <s v="*MAV290600841"/>
    <s v="*MAV290600841"/>
    <n v="6.1536229013211771E-5"/>
  </r>
  <r>
    <x v="32"/>
    <s v="Pesos"/>
    <d v="2026-07-01T00:00:00"/>
    <s v="14/05/2026"/>
    <n v="0.95240599999999997"/>
    <m/>
    <n v="5450000"/>
    <n v="5190612.6900000004"/>
    <n v="5450000"/>
    <n v="5190612.6900000004"/>
    <n v="28514"/>
    <s v="AMOMPY"/>
    <s v="Momentum Capital Investment S.A."/>
    <s v="08/04/2026"/>
    <s v="08/04/2026"/>
    <n v="38"/>
    <s v="No"/>
    <s v=""/>
    <m/>
    <m/>
    <s v="*MAV290600741"/>
    <s v="*MAV290600741"/>
    <n v="1.3680401154251418E-4"/>
  </r>
  <r>
    <x v="121"/>
    <s v="Pesos"/>
    <d v="2026-07-01T00:00:00"/>
    <s v="14/05/2026"/>
    <n v="0.96571079999999998"/>
    <m/>
    <n v="200000000"/>
    <n v="193142159.90000001"/>
    <n v="200000000"/>
    <n v="193142159.90000001"/>
    <n v="18576"/>
    <s v="AMOMPY"/>
    <s v="Momentum Capital Investment S.A."/>
    <s v="29/04/2026"/>
    <s v="29/04/2026"/>
    <n v="27"/>
    <s v="No"/>
    <s v=""/>
    <m/>
    <m/>
    <s v="*AFD270600019"/>
    <s v="*AFD270600019"/>
    <n v="5.0904630821733913E-3"/>
  </r>
  <r>
    <x v="47"/>
    <s v="Pesos"/>
    <d v="2026-07-01T00:00:00"/>
    <s v="14/05/2026"/>
    <n v="0.96571068999999998"/>
    <m/>
    <n v="12000000"/>
    <n v="11588528.310000001"/>
    <n v="12000000"/>
    <n v="11588528.310000001"/>
    <n v="32526"/>
    <s v="AMOMPY"/>
    <s v="Momentum Capital Investment S.A."/>
    <s v="27/04/2026"/>
    <s v="27/04/2026"/>
    <n v="27"/>
    <s v="No"/>
    <s v=""/>
    <m/>
    <m/>
    <s v="*MIL290600031"/>
    <s v="*MIL290600031"/>
    <n v="3.0542775108924417E-4"/>
  </r>
  <r>
    <x v="47"/>
    <s v="Pesos"/>
    <d v="2026-07-01T00:00:00"/>
    <s v="14/05/2026"/>
    <n v="0.96326402"/>
    <m/>
    <n v="25000000"/>
    <n v="24081600.399999999"/>
    <n v="25000000"/>
    <n v="24081600.399999999"/>
    <n v="3417"/>
    <s v="AMOMPY"/>
    <s v="Momentum Capital Investment S.A."/>
    <s v="30/04/2026"/>
    <s v="30/04/2026"/>
    <n v="29"/>
    <s v="No"/>
    <s v=""/>
    <m/>
    <m/>
    <s v="*MIL280600026"/>
    <s v="*MIL280600026"/>
    <n v="6.3469569698983131E-4"/>
  </r>
  <r>
    <x v="77"/>
    <s v="Pesos"/>
    <d v="2026-07-01T00:00:00"/>
    <s v="14/05/2026"/>
    <n v="0.96326402"/>
    <m/>
    <n v="6530318"/>
    <n v="6290420.3700000001"/>
    <n v="6530318"/>
    <n v="6290420.3700000001"/>
    <n v="68"/>
    <s v="AMOMPY"/>
    <s v="Momentum Capital Investment S.A."/>
    <s v="29/01/2026"/>
    <s v="29/01/2026"/>
    <n v="29"/>
    <s v="No"/>
    <s v=""/>
    <m/>
    <m/>
    <s v="*ACI280600193"/>
    <s v="*ACI280600193"/>
    <n v="1.6579059010945896E-4"/>
  </r>
  <r>
    <x v="73"/>
    <s v="Pesos"/>
    <d v="2026-07-01T00:00:00"/>
    <s v="14/05/2026"/>
    <n v="0.96693878"/>
    <m/>
    <n v="14000000"/>
    <n v="13537142.949999999"/>
    <n v="14000000"/>
    <n v="13537142.949999999"/>
    <n v="61"/>
    <s v="AMOMPY"/>
    <s v="Momentum Capital Investment S.A."/>
    <s v="22/04/2026"/>
    <s v="22/04/2026"/>
    <n v="26"/>
    <s v="No"/>
    <s v=""/>
    <m/>
    <m/>
    <s v="*PRO270600010"/>
    <s v="*PRO270600010"/>
    <n v="3.5678552243983053E-4"/>
  </r>
  <r>
    <x v="73"/>
    <s v="Pesos"/>
    <d v="2026-07-01T00:00:00"/>
    <s v="14/05/2026"/>
    <n v="0.96693867"/>
    <m/>
    <n v="19183831"/>
    <n v="18549587.989999998"/>
    <n v="19183831"/>
    <n v="18549587.989999998"/>
    <n v="76811"/>
    <s v="AMOMPY"/>
    <s v="Momentum Capital Investment S.A."/>
    <s v="04/05/2026"/>
    <s v="04/05/2026"/>
    <n v="26"/>
    <s v="No"/>
    <s v=""/>
    <m/>
    <m/>
    <s v="*PRO290600005"/>
    <s v="*PRO290600005"/>
    <n v="4.8889373972783195E-4"/>
  </r>
  <r>
    <x v="89"/>
    <s v="Pesos"/>
    <d v="2026-07-01T00:00:00"/>
    <s v="14/05/2026"/>
    <n v="0.96448581"/>
    <m/>
    <n v="5000000"/>
    <n v="4822429.04"/>
    <n v="5000000"/>
    <n v="4822429.04"/>
    <n v="6034645"/>
    <s v="AMOMPY"/>
    <s v="Momentum Capital Investment S.A."/>
    <s v="04/05/2026"/>
    <s v="04/05/2026"/>
    <n v="28"/>
    <s v="No"/>
    <s v=""/>
    <m/>
    <m/>
    <s v="*CUY290600023"/>
    <s v="*CUY290600023"/>
    <n v="1.2710014741075114E-4"/>
  </r>
  <r>
    <x v="49"/>
    <s v="Pesos"/>
    <d v="2026-07-01T00:00:00"/>
    <s v="14/05/2026"/>
    <n v="0.94884071999999997"/>
    <m/>
    <n v="15389210.15"/>
    <n v="14601909.300000001"/>
    <n v="15389210.15"/>
    <n v="14601909.300000001"/>
    <n v="9344719"/>
    <s v="AMOMPY"/>
    <s v="Momentum Capital Investment S.A."/>
    <s v="27/03/2026"/>
    <s v="27/03/2026"/>
    <n v="41"/>
    <s v="No"/>
    <s v=""/>
    <m/>
    <m/>
    <s v="*MAV290600703"/>
    <s v="*MAV290600703"/>
    <n v="3.8484855020457035E-4"/>
  </r>
  <r>
    <x v="49"/>
    <s v="Pesos"/>
    <d v="2026-07-01T00:00:00"/>
    <s v="14/05/2026"/>
    <n v="0.94884071999999997"/>
    <m/>
    <n v="14664256.84"/>
    <n v="13914044.07"/>
    <n v="14664256.84"/>
    <n v="13914044.07"/>
    <n v="30529"/>
    <s v="AMOMPY"/>
    <s v="Momentum Capital Investment S.A."/>
    <s v="27/03/2026"/>
    <s v="27/03/2026"/>
    <n v="41"/>
    <s v="No"/>
    <s v=""/>
    <m/>
    <m/>
    <s v="*MAV290600705"/>
    <s v="*MAV290600705"/>
    <n v="3.6671914458624933E-4"/>
  </r>
  <r>
    <x v="49"/>
    <s v="Pesos"/>
    <d v="2026-07-01T00:00:00"/>
    <s v="14/05/2026"/>
    <n v="0.94884071999999997"/>
    <m/>
    <n v="15909586.57"/>
    <n v="15095663.640000001"/>
    <n v="15909586.57"/>
    <n v="15095663.640000001"/>
    <n v="30496"/>
    <s v="AMOMPY"/>
    <s v="Momentum Capital Investment S.A."/>
    <s v="27/03/2026"/>
    <s v="27/03/2026"/>
    <n v="41"/>
    <s v="No"/>
    <s v=""/>
    <m/>
    <m/>
    <s v="*MAV290600706"/>
    <s v="*MAV290600706"/>
    <n v="3.9786196084849306E-4"/>
  </r>
  <r>
    <x v="8"/>
    <s v="Pesos"/>
    <d v="2026-07-01T00:00:00"/>
    <s v="14/05/2026"/>
    <n v="0.94884071999999997"/>
    <m/>
    <n v="20000000"/>
    <n v="18976814.48"/>
    <n v="20000000"/>
    <n v="18976814.48"/>
    <n v="13318408"/>
    <s v="AMOMPY"/>
    <s v="Momentum Capital Investment S.A."/>
    <s v="27/03/2026"/>
    <s v="27/03/2026"/>
    <n v="41"/>
    <s v="No"/>
    <s v=""/>
    <m/>
    <m/>
    <s v="*MAV290600704"/>
    <s v="*MAV290600704"/>
    <n v="5.0015373949275916E-4"/>
  </r>
  <r>
    <x v="118"/>
    <s v="Pesos"/>
    <d v="2026-07-01T00:00:00"/>
    <s v="14/05/2026"/>
    <n v="0.94765832999999999"/>
    <m/>
    <n v="15000000"/>
    <n v="14214874.93"/>
    <n v="15000000"/>
    <n v="14214874.93"/>
    <n v="16771112"/>
    <s v="AMOMPY"/>
    <s v="Momentum Capital Investment S.A."/>
    <s v="29/04/2026"/>
    <s v="29/04/2026"/>
    <n v="42"/>
    <s v="No"/>
    <s v=""/>
    <m/>
    <m/>
    <s v="*MAV290600827"/>
    <s v="*MAV290600827"/>
    <n v="3.7464785568485845E-4"/>
  </r>
  <r>
    <x v="23"/>
    <s v="Pesos"/>
    <d v="2026-07-01T00:00:00"/>
    <s v="14/05/2026"/>
    <n v="0.95240599999999997"/>
    <m/>
    <n v="50000000"/>
    <n v="47620299.880000003"/>
    <n v="50000000"/>
    <n v="47620299.880000003"/>
    <n v="2609"/>
    <s v="AMOMPY"/>
    <s v="Momentum Capital Investment S.A."/>
    <s v="22/04/2026"/>
    <s v="22/04/2026"/>
    <n v="38"/>
    <s v="No"/>
    <s v=""/>
    <m/>
    <m/>
    <s v="*MAV290600787"/>
    <s v="*MAV290600787"/>
    <n v="1.2550826739572251E-3"/>
  </r>
  <r>
    <x v="81"/>
    <s v="Pesos"/>
    <d v="2026-07-01T00:00:00"/>
    <s v="14/05/2026"/>
    <n v="0.95720148000000005"/>
    <m/>
    <n v="10000000"/>
    <n v="9572014.7699999996"/>
    <n v="10000000"/>
    <n v="9572014.7699999996"/>
    <n v="16814"/>
    <s v="AMOMPY"/>
    <s v="Momentum Capital Investment S.A."/>
    <s v="29/04/2026"/>
    <s v="29/04/2026"/>
    <n v="34"/>
    <s v="No"/>
    <s v=""/>
    <m/>
    <m/>
    <s v="*MAV290600831"/>
    <s v="*MAV290600831"/>
    <n v="2.5228043340683079E-4"/>
  </r>
  <r>
    <x v="122"/>
    <s v="Pesos"/>
    <d v="2026-07-02T00:00:00"/>
    <s v="14/05/2026"/>
    <n v="0.96128526000000003"/>
    <m/>
    <n v="10000000"/>
    <n v="9612852.5700000003"/>
    <n v="10000000"/>
    <n v="9612852.5700000003"/>
    <n v="3463101"/>
    <s v="AMOMPY"/>
    <s v="Momentum Capital Investment S.A."/>
    <s v="17/04/2026"/>
    <s v="17/04/2026"/>
    <n v="30"/>
    <s v="No"/>
    <s v=""/>
    <m/>
    <m/>
    <s v="*MAV300601996"/>
    <s v="*MAV300601996"/>
    <n v="2.5335675622192627E-4"/>
  </r>
  <r>
    <x v="61"/>
    <s v="Pesos"/>
    <d v="2026-07-02T00:00:00"/>
    <s v="14/05/2026"/>
    <n v="0.95146251999999998"/>
    <m/>
    <n v="7272516.8499999996"/>
    <n v="6919527.1799999997"/>
    <n v="7272516.8499999996"/>
    <n v="6919527.1799999997"/>
    <n v="90000056"/>
    <s v="AMOMPY"/>
    <s v="Momentum Capital Investment S.A."/>
    <s v="22/04/2026"/>
    <s v="22/04/2026"/>
    <n v="38"/>
    <s v="No"/>
    <s v=""/>
    <m/>
    <m/>
    <s v="*MAV300602011"/>
    <s v="*MAV300602011"/>
    <n v="1.8237135628038168E-4"/>
  </r>
  <r>
    <x v="110"/>
    <s v="Pesos"/>
    <d v="2026-07-02T00:00:00"/>
    <s v="14/05/2026"/>
    <n v="0.94903811999999999"/>
    <m/>
    <n v="50000000"/>
    <n v="47451906.060000002"/>
    <n v="50000000"/>
    <n v="47451906.060000002"/>
    <n v="306"/>
    <s v="AMOMPY"/>
    <s v="Momentum Capital Investment S.A."/>
    <s v="18/03/2026"/>
    <s v="18/03/2026"/>
    <n v="40"/>
    <s v="No"/>
    <s v=""/>
    <m/>
    <m/>
    <s v="*MAV300601846"/>
    <s v="*MAV300601846"/>
    <n v="1.2506444791870106E-3"/>
  </r>
  <r>
    <x v="101"/>
    <s v="Pesos"/>
    <d v="2026-07-02T00:00:00"/>
    <s v="14/05/2026"/>
    <n v="0.94783046000000004"/>
    <m/>
    <n v="2000000"/>
    <n v="1895660.91"/>
    <n v="2000000"/>
    <n v="1895660.91"/>
    <n v="11213040"/>
    <s v="AMOMPY"/>
    <s v="Momentum Capital Investment S.A."/>
    <s v="27/03/2026"/>
    <s v="27/03/2026"/>
    <n v="41"/>
    <s v="No"/>
    <s v=""/>
    <m/>
    <m/>
    <s v="*MAV300601876"/>
    <s v="*MAV300601876"/>
    <n v="4.9962120562752463E-5"/>
  </r>
  <r>
    <x v="62"/>
    <s v="Pesos"/>
    <d v="2026-07-02T00:00:00"/>
    <s v="14/05/2026"/>
    <n v="0.94903800000000005"/>
    <m/>
    <n v="2000000"/>
    <n v="1898076.01"/>
    <n v="2000000"/>
    <n v="1898076.01"/>
    <n v="38"/>
    <s v="AMOMPY"/>
    <s v="Momentum Capital Investment S.A."/>
    <s v="30/03/2026"/>
    <s v="30/03/2026"/>
    <n v="40"/>
    <s v="No"/>
    <s v=""/>
    <m/>
    <m/>
    <s v="*MAV300601897"/>
    <s v="*MAV300601897"/>
    <n v="5.0025773042336012E-5"/>
  </r>
  <r>
    <x v="112"/>
    <s v="Pesos"/>
    <d v="2026-07-02T00:00:00"/>
    <s v="14/05/2026"/>
    <n v="0.97131301000000003"/>
    <m/>
    <n v="4000000"/>
    <n v="3885252.03"/>
    <n v="4000000"/>
    <n v="3885252.03"/>
    <n v="64816755"/>
    <s v="AMOMPY"/>
    <s v="Momentum Capital Investment S.A."/>
    <s v="13/04/2026"/>
    <s v="13/04/2026"/>
    <n v="22"/>
    <s v="No"/>
    <s v=""/>
    <m/>
    <m/>
    <s v="*MAV300601958"/>
    <s v="*MAV300601958"/>
    <n v="1.0239986978448522E-4"/>
  </r>
  <r>
    <x v="108"/>
    <s v="Pesos"/>
    <d v="2026-07-02T00:00:00"/>
    <s v="14/05/2026"/>
    <n v="0.94903802999999998"/>
    <m/>
    <n v="3800000"/>
    <n v="3606344.53"/>
    <n v="3800000"/>
    <n v="3606344.53"/>
    <n v="1018"/>
    <s v="AMOMPY"/>
    <s v="Momentum Capital Investment S.A."/>
    <s v="09/03/2026"/>
    <s v="09/03/2026"/>
    <n v="40"/>
    <s v="No"/>
    <s v=""/>
    <m/>
    <m/>
    <s v="*MAV300601821"/>
    <s v="*MAV300601821"/>
    <n v="9.5048971705959201E-5"/>
  </r>
  <r>
    <x v="24"/>
    <s v="Pesos"/>
    <d v="2026-07-02T00:00:00"/>
    <s v="14/05/2026"/>
    <n v="0.94903808999999995"/>
    <m/>
    <n v="10000000"/>
    <n v="9490380.9000000004"/>
    <n v="10000000"/>
    <n v="9490380.9000000004"/>
    <n v="1345"/>
    <s v="AMOMPY"/>
    <s v="Momentum Capital Investment S.A."/>
    <s v="24/02/2026"/>
    <s v="24/02/2026"/>
    <n v="40"/>
    <s v="No"/>
    <s v=""/>
    <m/>
    <m/>
    <s v="*MAV300601797"/>
    <s v="*MAV300601797"/>
    <n v="2.5012888761431664E-4"/>
  </r>
  <r>
    <x v="47"/>
    <s v="Pesos"/>
    <d v="2026-07-02T00:00:00"/>
    <s v="14/05/2026"/>
    <n v="0.96128524999999998"/>
    <m/>
    <n v="35000000"/>
    <n v="33644983.789999999"/>
    <n v="35000000"/>
    <n v="33644983.789999999"/>
    <n v="1451"/>
    <s v="AMOMPY"/>
    <s v="Momentum Capital Investment S.A."/>
    <s v="06/04/2026"/>
    <s v="06/04/2026"/>
    <n v="30"/>
    <s v="No"/>
    <s v=""/>
    <m/>
    <m/>
    <s v="*MIL300600058"/>
    <s v="*MIL300600058"/>
    <n v="8.8674864137375307E-4"/>
  </r>
  <r>
    <x v="47"/>
    <s v="Pesos"/>
    <d v="2026-07-02T00:00:00"/>
    <s v="14/05/2026"/>
    <n v="0.96252747000000005"/>
    <m/>
    <n v="30000000"/>
    <n v="28875824.18"/>
    <n v="30000000"/>
    <n v="28875824.18"/>
    <n v="10941"/>
    <s v="AMOMPY"/>
    <s v="Momentum Capital Investment S.A."/>
    <s v="01/04/2026"/>
    <s v="01/04/2026"/>
    <n v="29"/>
    <s v="No"/>
    <s v=""/>
    <m/>
    <m/>
    <s v="*MIL300600056"/>
    <s v="*MIL300600056"/>
    <n v="7.6105246535362848E-4"/>
  </r>
  <r>
    <x v="47"/>
    <s v="Pesos"/>
    <d v="2026-07-02T00:00:00"/>
    <s v="14/05/2026"/>
    <n v="0.96252747000000005"/>
    <m/>
    <n v="33000000"/>
    <n v="31763406.600000001"/>
    <n v="33000000"/>
    <n v="31763406.600000001"/>
    <n v="67"/>
    <s v="AMOMPY"/>
    <s v="Momentum Capital Investment S.A."/>
    <s v="01/04/2026"/>
    <s v="01/04/2026"/>
    <n v="29"/>
    <s v="No"/>
    <s v=""/>
    <m/>
    <m/>
    <s v="*MIL300600057"/>
    <s v="*MIL300600057"/>
    <n v="8.3715771194170345E-4"/>
  </r>
  <r>
    <x v="47"/>
    <s v="Pesos"/>
    <d v="2026-07-02T00:00:00"/>
    <s v="14/05/2026"/>
    <n v="0.95512233999999996"/>
    <m/>
    <n v="5000000"/>
    <n v="4775611.7"/>
    <n v="5000000"/>
    <n v="4775611.7"/>
    <n v="90000055"/>
    <s v="AMOMPY"/>
    <s v="Momentum Capital Investment S.A."/>
    <s v="11/03/2026"/>
    <s v="11/03/2026"/>
    <n v="35"/>
    <s v="No"/>
    <s v=""/>
    <m/>
    <m/>
    <s v="*MIL300600053"/>
    <s v="*MIL300600053"/>
    <n v="1.258662275819631E-4"/>
  </r>
  <r>
    <x v="37"/>
    <s v="Pesos"/>
    <d v="2026-07-02T00:00:00"/>
    <s v="14/05/2026"/>
    <n v="0.96252742999999996"/>
    <m/>
    <n v="15000000"/>
    <n v="14437911.49"/>
    <n v="15000000"/>
    <n v="14437911.49"/>
    <n v="800"/>
    <s v="AMOMPY"/>
    <s v="Momentum Capital Investment S.A."/>
    <s v="31/03/2026"/>
    <s v="31/03/2026"/>
    <n v="29"/>
    <s v="No"/>
    <s v=""/>
    <m/>
    <m/>
    <s v="*AAR300600039"/>
    <s v="*AAR300600039"/>
    <n v="3.8052621686318844E-4"/>
  </r>
  <r>
    <x v="46"/>
    <s v="Pesos"/>
    <d v="2026-07-02T00:00:00"/>
    <s v="14/05/2026"/>
    <n v="0.96252736000000005"/>
    <m/>
    <n v="70000000"/>
    <n v="67376915.170000002"/>
    <n v="70000000"/>
    <n v="67376915.170000002"/>
    <n v="90041867"/>
    <s v="AMOMPY"/>
    <s v="Momentum Capital Investment S.A."/>
    <s v="20/04/2026"/>
    <s v="20/04/2026"/>
    <n v="29"/>
    <s v="No"/>
    <s v=""/>
    <m/>
    <m/>
    <s v="*FED300600128"/>
    <s v="*FED300600128"/>
    <n v="1.7757888771731257E-3"/>
  </r>
  <r>
    <x v="72"/>
    <s v="Pesos"/>
    <d v="2026-07-02T00:00:00"/>
    <s v="14/05/2026"/>
    <n v="0.95881061999999995"/>
    <m/>
    <n v="50000000"/>
    <n v="47940531.18"/>
    <n v="50000000"/>
    <n v="47940531.18"/>
    <n v="11915481"/>
    <s v="AMOMPY"/>
    <s v="Momentum Capital Investment S.A."/>
    <s v="07/04/2026"/>
    <s v="07/04/2026"/>
    <n v="32"/>
    <s v="No"/>
    <s v=""/>
    <m/>
    <m/>
    <s v="*AFB300600009"/>
    <s v="*AFB300600009"/>
    <n v="1.2635227038877716E-3"/>
  </r>
  <r>
    <x v="47"/>
    <s v="Pesos"/>
    <d v="2026-07-02T00:00:00"/>
    <s v="14/05/2026"/>
    <n v="0.96502144999999995"/>
    <m/>
    <n v="7000000"/>
    <n v="6755150.1799999997"/>
    <n v="7000000"/>
    <n v="6755150.1799999997"/>
    <n v="66547883"/>
    <s v="AMOMPY"/>
    <s v="Momentum Capital Investment S.A."/>
    <s v="27/04/2026"/>
    <s v="27/04/2026"/>
    <n v="27"/>
    <s v="No"/>
    <s v=""/>
    <m/>
    <m/>
    <s v="*MIL300600062"/>
    <s v="*MIL300600062"/>
    <n v="1.7803902899103354E-4"/>
  </r>
  <r>
    <x v="89"/>
    <s v="Pesos"/>
    <d v="2026-07-02T00:00:00"/>
    <s v="14/05/2026"/>
    <n v="0.96377288999999999"/>
    <m/>
    <n v="5000000"/>
    <n v="4818864.4400000004"/>
    <n v="5000000"/>
    <n v="4818864.4400000004"/>
    <n v="6034646"/>
    <s v="AMOMPY"/>
    <s v="Momentum Capital Investment S.A."/>
    <s v="04/05/2026"/>
    <s v="04/05/2026"/>
    <n v="28"/>
    <s v="No"/>
    <s v=""/>
    <m/>
    <m/>
    <s v="*CUY300600035"/>
    <s v="*CUY300600035"/>
    <n v="1.270061986596752E-4"/>
  </r>
  <r>
    <x v="28"/>
    <s v="Pesos"/>
    <d v="2026-07-02T00:00:00"/>
    <s v="14/05/2026"/>
    <n v="0.95389928000000002"/>
    <m/>
    <n v="25000000"/>
    <n v="23847481.91"/>
    <n v="25000000"/>
    <n v="23847481.91"/>
    <n v="1173719"/>
    <s v="AMOMPY"/>
    <s v="Momentum Capital Investment S.A."/>
    <s v="10/04/2026"/>
    <s v="10/04/2026"/>
    <n v="36"/>
    <s v="No"/>
    <s v=""/>
    <m/>
    <m/>
    <s v="*MAV300601956"/>
    <s v="*MAV300601956"/>
    <n v="6.2852525998728247E-4"/>
  </r>
  <r>
    <x v="49"/>
    <s v="Pesos"/>
    <d v="2026-07-02T00:00:00"/>
    <s v="14/05/2026"/>
    <n v="0.94783046000000004"/>
    <m/>
    <n v="15909586.57"/>
    <n v="15079590.710000001"/>
    <n v="15909586.57"/>
    <n v="15079590.710000001"/>
    <n v="30497"/>
    <s v="AMOMPY"/>
    <s v="Momentum Capital Investment S.A."/>
    <s v="27/03/2026"/>
    <s v="27/03/2026"/>
    <n v="41"/>
    <s v="No"/>
    <s v=""/>
    <m/>
    <m/>
    <s v="*MAV300601877"/>
    <s v="*MAV300601877"/>
    <n v="3.9743834201338366E-4"/>
  </r>
  <r>
    <x v="49"/>
    <s v="Pesos"/>
    <d v="2026-07-02T00:00:00"/>
    <s v="14/05/2026"/>
    <n v="0.94783046000000004"/>
    <m/>
    <n v="14664256.859999999"/>
    <n v="13899229.26"/>
    <n v="14664256.859999999"/>
    <n v="13899229.26"/>
    <n v="30530"/>
    <s v="AMOMPY"/>
    <s v="Momentum Capital Investment S.A."/>
    <s v="27/03/2026"/>
    <s v="27/03/2026"/>
    <n v="41"/>
    <s v="No"/>
    <s v=""/>
    <m/>
    <m/>
    <s v="*MAV300601878"/>
    <s v="*MAV300601878"/>
    <n v="3.6632868481602899E-4"/>
  </r>
  <r>
    <x v="49"/>
    <s v="Pesos"/>
    <d v="2026-07-02T00:00:00"/>
    <s v="14/05/2026"/>
    <n v="0.94783052999999995"/>
    <m/>
    <n v="11785044.42"/>
    <n v="11170224.93"/>
    <n v="11785044.42"/>
    <n v="11170224.93"/>
    <n v="9344724"/>
    <s v="AMOMPY"/>
    <s v="Momentum Capital Investment S.A."/>
    <s v="01/04/2026"/>
    <s v="01/04/2026"/>
    <n v="41"/>
    <s v="No"/>
    <s v=""/>
    <m/>
    <m/>
    <s v="*MAV300601920"/>
    <s v="*MAV300601920"/>
    <n v="2.9440292919566673E-4"/>
  </r>
  <r>
    <x v="8"/>
    <s v="Pesos"/>
    <d v="2026-07-02T00:00:00"/>
    <s v="14/05/2026"/>
    <n v="0.94783046000000004"/>
    <m/>
    <n v="20000000"/>
    <n v="18956609.140000001"/>
    <n v="20000000"/>
    <n v="18956609.140000001"/>
    <n v="13318409"/>
    <s v="AMOMPY"/>
    <s v="Momentum Capital Investment S.A."/>
    <s v="27/03/2026"/>
    <s v="27/03/2026"/>
    <n v="41"/>
    <s v="No"/>
    <s v=""/>
    <m/>
    <m/>
    <s v="*MAV300601881"/>
    <s v="*MAV300601881"/>
    <n v="4.9962120668176643E-4"/>
  </r>
  <r>
    <x v="118"/>
    <s v="Pesos"/>
    <d v="2026-07-02T00:00:00"/>
    <s v="14/05/2026"/>
    <n v="0.94662599999999997"/>
    <m/>
    <n v="15000000"/>
    <n v="14199389.939999999"/>
    <n v="15000000"/>
    <n v="14199389.939999999"/>
    <n v="16771113"/>
    <s v="AMOMPY"/>
    <s v="Momentum Capital Investment S.A."/>
    <s v="29/04/2026"/>
    <s v="29/04/2026"/>
    <n v="42"/>
    <s v="No"/>
    <s v=""/>
    <m/>
    <m/>
    <s v="*MAV300602100"/>
    <s v="*MAV300602100"/>
    <n v="3.7423973262170316E-4"/>
  </r>
  <r>
    <x v="123"/>
    <s v="Pesos"/>
    <d v="2026-07-02T00:00:00"/>
    <s v="14/05/2026"/>
    <n v="0.96627324000000003"/>
    <m/>
    <n v="1000000000"/>
    <n v="966273237"/>
    <n v="1000000000"/>
    <n v="966273237"/>
    <n v="10452"/>
    <s v="AMOMPY"/>
    <s v="Momentum Capital Investment S.A."/>
    <s v="30/04/2026"/>
    <s v="30/04/2026"/>
    <n v="26"/>
    <s v="No"/>
    <s v=""/>
    <m/>
    <m/>
    <s v="*MAV300602111"/>
    <s v="*MAV300602111"/>
    <n v="2.5467139037833032E-2"/>
  </r>
  <r>
    <x v="105"/>
    <s v="Pesos"/>
    <d v="2026-07-03T00:00:00"/>
    <s v="14/05/2026"/>
    <n v="0.9505209"/>
    <m/>
    <n v="4298084.1900000004"/>
    <n v="4085418.85"/>
    <n v="4298084.1900000004"/>
    <n v="4085418.85"/>
    <n v="533"/>
    <s v="AMOMPY"/>
    <s v="Momentum Capital Investment S.A."/>
    <s v="22/04/2026"/>
    <s v="22/04/2026"/>
    <n v="38"/>
    <s v="No"/>
    <s v=""/>
    <m/>
    <m/>
    <s v="*MAV010701115"/>
    <s v="*MAV010701115"/>
    <n v="1.0767547511070508E-4"/>
  </r>
  <r>
    <x v="95"/>
    <s v="Pesos"/>
    <d v="2026-07-03T00:00:00"/>
    <s v="14/05/2026"/>
    <n v="0.95424856000000002"/>
    <m/>
    <n v="2000000"/>
    <n v="1908497.11"/>
    <n v="2000000"/>
    <n v="1908497.11"/>
    <n v="7744"/>
    <s v="AMOMPY"/>
    <s v="Momentum Capital Investment S.A."/>
    <s v="08/05/2026"/>
    <s v="08/05/2026"/>
    <n v="35"/>
    <s v="No"/>
    <s v=""/>
    <m/>
    <m/>
    <s v="*MAV010701183"/>
    <s v="*MAV010701183"/>
    <n v="5.0300432002622588E-5"/>
  </r>
  <r>
    <x v="76"/>
    <s v="Pesos"/>
    <d v="2026-07-03T00:00:00"/>
    <s v="14/05/2026"/>
    <n v="0.95926433"/>
    <m/>
    <n v="15000000"/>
    <n v="14388964.92"/>
    <n v="15000000"/>
    <n v="14388964.92"/>
    <n v="70219532"/>
    <s v="AMOMPY"/>
    <s v="Momentum Capital Investment S.A."/>
    <s v="05/05/2026"/>
    <s v="05/05/2026"/>
    <n v="31"/>
    <s v="No"/>
    <s v=""/>
    <m/>
    <m/>
    <s v="*MAV010701150"/>
    <s v="*MAV010701150"/>
    <n v="3.7923617895684514E-4"/>
  </r>
  <r>
    <x v="76"/>
    <s v="Pesos"/>
    <d v="2026-07-03T00:00:00"/>
    <s v="14/05/2026"/>
    <n v="0.95926422"/>
    <m/>
    <n v="25000000"/>
    <n v="23981605.550000001"/>
    <n v="25000000"/>
    <n v="23981605.550000001"/>
    <n v="70219533"/>
    <s v="AMOMPY"/>
    <s v="Momentum Capital Investment S.A."/>
    <s v="07/05/2026"/>
    <s v="07/05/2026"/>
    <n v="31"/>
    <s v="No"/>
    <s v=""/>
    <m/>
    <m/>
    <s v="*MAV010701178"/>
    <s v="*MAV010701178"/>
    <n v="6.3206022841789445E-4"/>
  </r>
  <r>
    <x v="85"/>
    <s v="Pesos"/>
    <d v="2026-07-03T00:00:00"/>
    <s v="14/05/2026"/>
    <n v="0.95424849"/>
    <m/>
    <n v="6238663.2000000002"/>
    <n v="5953234.9699999997"/>
    <n v="6238663.2000000002"/>
    <n v="5953234.9699999997"/>
    <n v="9266641"/>
    <s v="AMOMPY"/>
    <s v="Momentum Capital Investment S.A."/>
    <s v="16/04/2026"/>
    <s v="16/04/2026"/>
    <n v="35"/>
    <s v="No"/>
    <s v=""/>
    <m/>
    <m/>
    <s v="*MAV010701098"/>
    <s v="*MAV010701098"/>
    <n v="1.5690371718934376E-4"/>
  </r>
  <r>
    <x v="86"/>
    <s v="Pesos"/>
    <d v="2026-07-03T00:00:00"/>
    <s v="14/05/2026"/>
    <n v="0.95052099000000001"/>
    <m/>
    <n v="22500000"/>
    <n v="21386722.18"/>
    <n v="22500000"/>
    <n v="21386722.18"/>
    <n v="65800963"/>
    <s v="AMOMPY"/>
    <s v="Momentum Capital Investment S.A."/>
    <s v="26/03/2026"/>
    <s v="26/03/2026"/>
    <n v="38"/>
    <s v="No"/>
    <s v=""/>
    <m/>
    <m/>
    <s v="*MAV010701039"/>
    <s v="*MAV010701039"/>
    <n v="5.636693705939488E-4"/>
  </r>
  <r>
    <x v="86"/>
    <s v="Dolar 3500"/>
    <d v="2026-07-03T00:00:00"/>
    <s v="14/05/2026"/>
    <n v="0.98648654999999996"/>
    <s v="1 US3 = 1393,2322905547 $"/>
    <n v="50000"/>
    <n v="49324.33"/>
    <n v="69661614.530000001"/>
    <n v="68720249.269999996"/>
    <n v="142720"/>
    <s v="AMOMPY"/>
    <s v="Momentum Capital Investment S.A."/>
    <s v="12/03/2026"/>
    <s v="12/03/2026"/>
    <n v="10"/>
    <s v="No"/>
    <s v=""/>
    <m/>
    <m/>
    <s v="#UMV010760033"/>
    <s v="#UMV010760033"/>
    <n v="1.8111938485507631E-3"/>
  </r>
  <r>
    <x v="124"/>
    <s v="Dolar 3500"/>
    <d v="2026-07-03T00:00:00"/>
    <s v="14/05/2026"/>
    <n v="0.98648634999999996"/>
    <s v="1 US3 = 1393,2322905547 $"/>
    <n v="50000"/>
    <n v="49324.32"/>
    <n v="69661614.530000001"/>
    <n v="68720235.329999998"/>
    <n v="141980"/>
    <s v="AMOMPY"/>
    <s v="Momentum Capital Investment S.A."/>
    <s v="05/03/2026"/>
    <s v="05/03/2026"/>
    <n v="10"/>
    <s v="No"/>
    <s v=""/>
    <m/>
    <m/>
    <s v="#UMV010760032"/>
    <s v="#UMV010760032"/>
    <n v="1.8111934811475231E-3"/>
  </r>
  <r>
    <x v="124"/>
    <s v="Dolar 3500"/>
    <d v="2026-07-03T00:00:00"/>
    <s v="14/05/2026"/>
    <n v="0.98782135000000004"/>
    <s v="1 US3 = 1393,2322905547 $"/>
    <n v="50000"/>
    <n v="49391.07"/>
    <n v="69661614.530000001"/>
    <n v="68813233.590000004"/>
    <n v="144915"/>
    <s v="AMOMPY"/>
    <s v="Momentum Capital Investment S.A."/>
    <s v="01/04/2026"/>
    <s v="01/04/2026"/>
    <n v="9"/>
    <s v="No"/>
    <s v=""/>
    <m/>
    <m/>
    <s v="#UMV010760034"/>
    <s v="#UMV010760034"/>
    <n v="1.8136445472921778E-3"/>
  </r>
  <r>
    <x v="37"/>
    <s v="Pesos"/>
    <d v="2026-07-03T00:00:00"/>
    <s v="14/05/2026"/>
    <n v="0.96179186999999999"/>
    <m/>
    <n v="15000000"/>
    <n v="14426878"/>
    <n v="15000000"/>
    <n v="14426878"/>
    <n v="801"/>
    <s v="AMOMPY"/>
    <s v="Momentum Capital Investment S.A."/>
    <s v="31/03/2026"/>
    <s v="31/03/2026"/>
    <n v="29"/>
    <s v="No"/>
    <s v=""/>
    <m/>
    <m/>
    <s v="*AAR010700018"/>
    <s v="*AAR010700018"/>
    <n v="3.80235417725695E-4"/>
  </r>
  <r>
    <x v="37"/>
    <s v="Pesos"/>
    <d v="2026-07-03T00:00:00"/>
    <s v="14/05/2026"/>
    <n v="0.96179186999999999"/>
    <m/>
    <n v="12500000"/>
    <n v="12022398.34"/>
    <n v="12500000"/>
    <n v="12022398.34"/>
    <n v="28996520"/>
    <s v="AMOMPY"/>
    <s v="Momentum Capital Investment S.A."/>
    <s v="31/03/2026"/>
    <s v="31/03/2026"/>
    <n v="29"/>
    <s v="No"/>
    <s v=""/>
    <m/>
    <m/>
    <s v="*AAR010700017"/>
    <s v="*AAR010700017"/>
    <n v="3.1686284828045283E-4"/>
  </r>
  <r>
    <x v="99"/>
    <s v="Pesos"/>
    <d v="2026-07-03T00:00:00"/>
    <s v="14/05/2026"/>
    <n v="0.95176015000000003"/>
    <m/>
    <n v="100000000"/>
    <n v="95176014.769999996"/>
    <n v="100000000"/>
    <n v="95176014.769999996"/>
    <n v="7353"/>
    <s v="AMOMPY"/>
    <s v="Momentum Capital Investment S.A."/>
    <s v="31/03/2026"/>
    <s v="31/03/2026"/>
    <n v="37"/>
    <s v="No"/>
    <s v=""/>
    <m/>
    <m/>
    <s v="*MAV010701052"/>
    <s v="*MAV010701052"/>
    <n v="2.5084631431372658E-3"/>
  </r>
  <r>
    <x v="78"/>
    <s v="Pesos"/>
    <d v="2026-07-03T00:00:00"/>
    <s v="14/05/2026"/>
    <n v="0.96179192999999996"/>
    <m/>
    <n v="5000000"/>
    <n v="4808959.6399999997"/>
    <n v="5000000"/>
    <n v="4808959.6399999997"/>
    <n v="16779597"/>
    <s v="AMOMPY"/>
    <s v="Momentum Capital Investment S.A."/>
    <s v="30/04/2026"/>
    <s v="30/04/2026"/>
    <n v="29"/>
    <s v="No"/>
    <s v=""/>
    <m/>
    <m/>
    <s v="*INP010700054"/>
    <s v="*INP010700054"/>
    <n v="1.267451473244182E-4"/>
  </r>
  <r>
    <x v="7"/>
    <s v="Pesos"/>
    <d v="2026-07-03T00:00:00"/>
    <s v="14/05/2026"/>
    <n v="0.96306079"/>
    <m/>
    <n v="500000000"/>
    <n v="481530393.19999999"/>
    <n v="500000000"/>
    <n v="481530393.19999999"/>
    <n v="147165"/>
    <s v="AMOMPY"/>
    <s v="Momentum Capital Investment S.A."/>
    <s v="23/04/2026"/>
    <s v="23/04/2026"/>
    <n v="28"/>
    <s v="No"/>
    <s v=""/>
    <m/>
    <m/>
    <s v="#INT020760001"/>
    <s v="#INT020760001"/>
    <n v="1.2691235775752742E-2"/>
  </r>
  <r>
    <x v="47"/>
    <s v="Pesos"/>
    <d v="2026-07-03T00:00:00"/>
    <s v="14/05/2026"/>
    <n v="0.96433301000000005"/>
    <m/>
    <n v="10000000"/>
    <n v="9643330.1400000006"/>
    <n v="10000000"/>
    <n v="9643330.1400000006"/>
    <n v="32529"/>
    <s v="AMOMPY"/>
    <s v="Momentum Capital Investment S.A."/>
    <s v="27/04/2026"/>
    <s v="27/04/2026"/>
    <n v="27"/>
    <s v="No"/>
    <s v=""/>
    <m/>
    <m/>
    <s v="*MIL010700023"/>
    <s v="*MIL010700023"/>
    <n v="2.541600243690759E-4"/>
  </r>
  <r>
    <x v="104"/>
    <s v="Pesos"/>
    <d v="2026-07-03T00:00:00"/>
    <s v="14/05/2026"/>
    <n v="0.95300267000000005"/>
    <m/>
    <n v="16500000"/>
    <n v="15724544.109999999"/>
    <n v="16500000"/>
    <n v="15724544.109999999"/>
    <n v="32225"/>
    <s v="AMOMPY"/>
    <s v="Momentum Capital Investment S.A."/>
    <s v="22/04/2026"/>
    <s v="22/04/2026"/>
    <n v="36"/>
    <s v="No"/>
    <s v=""/>
    <m/>
    <m/>
    <s v="*MAV010701100"/>
    <s v="*MAV010701100"/>
    <n v="4.1443676159263055E-4"/>
  </r>
  <r>
    <x v="125"/>
    <s v="Pesos"/>
    <d v="2026-07-03T00:00:00"/>
    <s v="14/05/2026"/>
    <n v="0.96052641999999999"/>
    <m/>
    <n v="1000000000"/>
    <n v="960526423.20000005"/>
    <n v="1000000000"/>
    <n v="960526423.20000005"/>
    <n v="147160"/>
    <s v="AMOMPY"/>
    <s v="Momentum Capital Investment S.A."/>
    <s v="23/04/2026"/>
    <s v="23/04/2026"/>
    <n v="30"/>
    <s v="No"/>
    <s v=""/>
    <m/>
    <m/>
    <s v="#MAV020760016"/>
    <s v="#MAV020760016"/>
    <n v="2.5315675765887793E-2"/>
  </r>
  <r>
    <x v="95"/>
    <s v="Pesos"/>
    <d v="2026-07-06T00:00:00"/>
    <s v="14/05/2026"/>
    <n v="0.95163626999999995"/>
    <m/>
    <n v="2000000"/>
    <n v="1903272.54"/>
    <n v="2000000"/>
    <n v="1903272.54"/>
    <n v="7745"/>
    <s v="AMOMPY"/>
    <s v="Momentum Capital Investment S.A."/>
    <s v="08/05/2026"/>
    <s v="08/05/2026"/>
    <n v="35"/>
    <s v="No"/>
    <s v=""/>
    <m/>
    <m/>
    <s v="*MAV020700893"/>
    <s v="*MAV020700893"/>
    <n v="5.0162733010755662E-5"/>
  </r>
  <r>
    <x v="76"/>
    <s v="Pesos"/>
    <d v="2026-07-06T00:00:00"/>
    <s v="14/05/2026"/>
    <n v="0.95692526"/>
    <m/>
    <n v="42000000"/>
    <n v="40190860.82"/>
    <n v="42000000"/>
    <n v="40190860.82"/>
    <n v="148257"/>
    <s v="AMOMPY"/>
    <s v="Momentum Capital Investment S.A."/>
    <s v="05/05/2026"/>
    <s v="05/05/2026"/>
    <n v="31"/>
    <s v="No"/>
    <s v=""/>
    <m/>
    <m/>
    <s v="#MAV030760052"/>
    <s v="#MAV030760052"/>
    <n v="1.0592720582130084E-3"/>
  </r>
  <r>
    <x v="113"/>
    <s v="Pesos"/>
    <d v="2026-07-06T00:00:00"/>
    <s v="14/05/2026"/>
    <n v="0.96362007000000005"/>
    <m/>
    <n v="10000000"/>
    <n v="9636200.7300000004"/>
    <n v="10000000"/>
    <n v="9636200.7300000004"/>
    <n v="1742541"/>
    <s v="AMOMPY"/>
    <s v="Momentum Capital Investment S.A."/>
    <s v="21/04/2026"/>
    <s v="21/04/2026"/>
    <n v="26"/>
    <s v="No"/>
    <s v=""/>
    <m/>
    <m/>
    <s v="*CMP020700021"/>
    <s v="*CMP020700021"/>
    <n v="2.5397212133215498E-4"/>
  </r>
  <r>
    <x v="37"/>
    <s v="Pesos"/>
    <d v="2026-07-06T00:00:00"/>
    <s v="14/05/2026"/>
    <n v="0.95959203999999998"/>
    <m/>
    <n v="15000000"/>
    <n v="14393880.57"/>
    <n v="15000000"/>
    <n v="14393880.57"/>
    <n v="802"/>
    <s v="AMOMPY"/>
    <s v="Momentum Capital Investment S.A."/>
    <s v="31/03/2026"/>
    <s v="31/03/2026"/>
    <n v="29"/>
    <s v="No"/>
    <s v=""/>
    <m/>
    <m/>
    <s v="*AAR020700017"/>
    <s v="*AAR020700017"/>
    <n v="3.7936573603989131E-4"/>
  </r>
  <r>
    <x v="123"/>
    <s v="Pesos"/>
    <d v="2026-07-06T00:00:00"/>
    <s v="14/05/2026"/>
    <n v="0.96362017"/>
    <m/>
    <n v="1000000000"/>
    <n v="963620166"/>
    <n v="1000000000"/>
    <n v="963620166"/>
    <n v="10453"/>
    <s v="AMOMPY"/>
    <s v="Momentum Capital Investment S.A."/>
    <s v="30/04/2026"/>
    <s v="30/04/2026"/>
    <n v="26"/>
    <s v="No"/>
    <s v=""/>
    <m/>
    <m/>
    <s v="*MAV020700846"/>
    <s v="*MAV020700846"/>
    <n v="2.5397214584327501E-2"/>
  </r>
  <r>
    <x v="61"/>
    <s v="Pesos"/>
    <d v="2026-07-07T00:00:00"/>
    <s v="14/05/2026"/>
    <n v="0.94677323000000002"/>
    <m/>
    <n v="7162509.1500000004"/>
    <n v="6781271.9400000004"/>
    <n v="7162509.1500000004"/>
    <n v="6781271.9400000004"/>
    <n v="65964534"/>
    <s v="AMOMPY"/>
    <s v="Momentum Capital Investment S.A."/>
    <s v="22/04/2026"/>
    <s v="22/04/2026"/>
    <n v="38"/>
    <s v="No"/>
    <s v=""/>
    <m/>
    <m/>
    <s v="*MAV030700983"/>
    <s v="*MAV030700983"/>
    <n v="1.7872749522228126E-4"/>
  </r>
  <r>
    <x v="29"/>
    <s v="Pesos"/>
    <d v="2026-07-07T00:00:00"/>
    <s v="14/05/2026"/>
    <n v="0.95076857000000004"/>
    <m/>
    <n v="10000000"/>
    <n v="9507685.6699999999"/>
    <n v="10000000"/>
    <n v="9507685.6699999999"/>
    <n v="29098102"/>
    <s v="AMOMPY"/>
    <s v="Momentum Capital Investment S.A."/>
    <s v="20/04/2026"/>
    <s v="20/04/2026"/>
    <n v="35"/>
    <s v="No"/>
    <s v=""/>
    <m/>
    <m/>
    <s v="*MAV030700971"/>
    <s v="*MAV030700971"/>
    <n v="2.5058497287750369E-4"/>
  </r>
  <r>
    <x v="126"/>
    <s v="Pesos"/>
    <d v="2026-07-07T00:00:00"/>
    <s v="14/05/2026"/>
    <n v="0.95345089999999999"/>
    <m/>
    <n v="1862351.88"/>
    <n v="1775661.08"/>
    <n v="1862351.88"/>
    <n v="1775661.08"/>
    <n v="11123599"/>
    <s v="AMOMPY"/>
    <s v="Momentum Capital Investment S.A."/>
    <s v="05/05/2026"/>
    <s v="05/05/2026"/>
    <n v="33"/>
    <s v="No"/>
    <s v=""/>
    <m/>
    <m/>
    <s v="*MAV030701051"/>
    <s v="*MAV030701051"/>
    <n v="4.6799399876609395E-5"/>
  </r>
  <r>
    <x v="95"/>
    <s v="Pesos"/>
    <d v="2026-07-07T00:00:00"/>
    <s v="14/05/2026"/>
    <n v="0.95076859000000002"/>
    <m/>
    <n v="2000000"/>
    <n v="1901537.18"/>
    <n v="2000000"/>
    <n v="1901537.18"/>
    <n v="7746"/>
    <s v="AMOMPY"/>
    <s v="Momentum Capital Investment S.A."/>
    <s v="08/05/2026"/>
    <s v="08/05/2026"/>
    <n v="35"/>
    <s v="No"/>
    <s v=""/>
    <m/>
    <m/>
    <s v="*MAV030701081"/>
    <s v="*MAV030701081"/>
    <n v="5.0116995787878715E-5"/>
  </r>
  <r>
    <x v="35"/>
    <s v="Pesos"/>
    <d v="2026-07-07T00:00:00"/>
    <s v="14/05/2026"/>
    <n v="0.94810150000000004"/>
    <m/>
    <n v="9500000"/>
    <n v="9006964.2899999991"/>
    <n v="9500000"/>
    <n v="9006964.2899999991"/>
    <n v="10949772"/>
    <s v="AMOMPY"/>
    <s v="Momentum Capital Investment S.A."/>
    <s v="13/05/2026"/>
    <s v="13/05/2026"/>
    <n v="37"/>
    <s v="No"/>
    <s v=""/>
    <m/>
    <m/>
    <s v="*MAV030701116"/>
    <s v="*MAV030701116"/>
    <n v="2.3738793862737093E-4"/>
  </r>
  <r>
    <x v="36"/>
    <s v="Pesos"/>
    <d v="2026-07-07T00:00:00"/>
    <s v="14/05/2026"/>
    <n v="0.95076857000000004"/>
    <m/>
    <n v="10000000"/>
    <n v="9507685.6699999999"/>
    <n v="10000000"/>
    <n v="9507685.6699999999"/>
    <n v="387"/>
    <s v="AMOMPY"/>
    <s v="Momentum Capital Investment S.A."/>
    <s v="20/04/2026"/>
    <s v="20/04/2026"/>
    <n v="35"/>
    <s v="No"/>
    <s v=""/>
    <m/>
    <m/>
    <s v="*MAV030700970"/>
    <s v="*MAV030700970"/>
    <n v="2.5058497287750369E-4"/>
  </r>
  <r>
    <x v="113"/>
    <s v="Pesos"/>
    <d v="2026-07-07T00:00:00"/>
    <s v="14/05/2026"/>
    <n v="0.96295920999999995"/>
    <m/>
    <n v="10000000"/>
    <n v="9629592.0700000003"/>
    <n v="10000000"/>
    <n v="9629592.0700000003"/>
    <n v="1742542"/>
    <s v="AMOMPY"/>
    <s v="Momentum Capital Investment S.A."/>
    <s v="21/04/2026"/>
    <s v="21/04/2026"/>
    <n v="26"/>
    <s v="No"/>
    <s v=""/>
    <m/>
    <m/>
    <s v="*CMP030700027"/>
    <s v="*CMP030700027"/>
    <n v="2.5379794320465527E-4"/>
  </r>
  <r>
    <x v="37"/>
    <s v="Pesos"/>
    <d v="2026-07-07T00:00:00"/>
    <s v="14/05/2026"/>
    <n v="0.95886095000000005"/>
    <m/>
    <n v="12500000"/>
    <n v="11985761.84"/>
    <n v="12500000"/>
    <n v="11985761.84"/>
    <n v="28996507"/>
    <s v="AMOMPY"/>
    <s v="Momentum Capital Investment S.A."/>
    <s v="31/03/2026"/>
    <s v="31/03/2026"/>
    <n v="29"/>
    <s v="No"/>
    <s v=""/>
    <m/>
    <m/>
    <s v="*AAR030700014"/>
    <s v="*AAR030700014"/>
    <n v="3.1589725510904683E-4"/>
  </r>
  <r>
    <x v="78"/>
    <s v="Pesos"/>
    <d v="2026-07-07T00:00:00"/>
    <s v="14/05/2026"/>
    <n v="0.95886103"/>
    <m/>
    <n v="12000000"/>
    <n v="11506332.369999999"/>
    <n v="12000000"/>
    <n v="11506332.369999999"/>
    <n v="90000619"/>
    <s v="AMOMPY"/>
    <s v="Momentum Capital Investment S.A."/>
    <s v="04/05/2026"/>
    <s v="04/05/2026"/>
    <n v="29"/>
    <s v="No"/>
    <s v=""/>
    <m/>
    <m/>
    <s v="*INP030700058"/>
    <s v="*INP030700058"/>
    <n v="3.0326139135560974E-4"/>
  </r>
  <r>
    <x v="78"/>
    <s v="Pesos"/>
    <d v="2026-07-07T00:00:00"/>
    <s v="14/05/2026"/>
    <n v="0.95886099999999996"/>
    <m/>
    <n v="5000000"/>
    <n v="4794305.0199999996"/>
    <n v="5000000"/>
    <n v="4794305.0199999996"/>
    <n v="16779598"/>
    <s v="AMOMPY"/>
    <s v="Momentum Capital Investment S.A."/>
    <s v="30/04/2026"/>
    <s v="30/04/2026"/>
    <n v="29"/>
    <s v="No"/>
    <s v=""/>
    <m/>
    <m/>
    <s v="*INP030700057"/>
    <s v="*INP030700057"/>
    <n v="1.2635890952873493E-4"/>
  </r>
  <r>
    <x v="47"/>
    <s v="Pesos"/>
    <d v="2026-07-07T00:00:00"/>
    <s v="14/05/2026"/>
    <n v="0.96158922999999996"/>
    <m/>
    <n v="10000000"/>
    <n v="9615892.2899999991"/>
    <n v="10000000"/>
    <n v="9615892.2899999991"/>
    <n v="32530"/>
    <s v="AMOMPY"/>
    <s v="Momentum Capital Investment S.A."/>
    <s v="27/04/2026"/>
    <s v="27/04/2026"/>
    <n v="27"/>
    <s v="No"/>
    <s v=""/>
    <m/>
    <m/>
    <s v="*MIL030700016"/>
    <s v="*MIL030700016"/>
    <n v="2.5343687121312313E-4"/>
  </r>
  <r>
    <x v="78"/>
    <s v="Pesos"/>
    <d v="2026-07-07T00:00:00"/>
    <s v="14/05/2026"/>
    <n v="0.95750274000000002"/>
    <m/>
    <n v="20000000"/>
    <n v="19150054.850000001"/>
    <n v="20000000"/>
    <n v="19150054.850000001"/>
    <n v="107"/>
    <s v="AMOMPY"/>
    <s v="Momentum Capital Investment S.A."/>
    <s v="20/04/2026"/>
    <s v="20/04/2026"/>
    <n v="30"/>
    <s v="No"/>
    <s v=""/>
    <m/>
    <m/>
    <s v="*INP030700051"/>
    <s v="*INP030700051"/>
    <n v="5.047196701434449E-4"/>
  </r>
  <r>
    <x v="58"/>
    <s v="Pesos"/>
    <d v="2026-07-07T00:00:00"/>
    <s v="14/05/2026"/>
    <n v="0.94412852000000003"/>
    <m/>
    <n v="267500000"/>
    <n v="252554380.03999999"/>
    <n v="267500000"/>
    <n v="252554380.03999999"/>
    <n v="70379142"/>
    <s v="AMOMPY"/>
    <s v="Momentum Capital Investment S.A."/>
    <s v="12/05/2026"/>
    <s v="12/05/2026"/>
    <n v="40"/>
    <s v="No"/>
    <s v=""/>
    <m/>
    <m/>
    <s v="*MAV030701106"/>
    <s v="*MAV030701106"/>
    <n v="6.6563341142112193E-3"/>
  </r>
  <r>
    <x v="127"/>
    <s v="Pesos"/>
    <d v="2026-07-08T00:00:00"/>
    <s v="14/05/2026"/>
    <n v="0.94719107999999996"/>
    <m/>
    <n v="28270320.699999999"/>
    <n v="26777395.609999999"/>
    <n v="28270320.699999999"/>
    <n v="26777395.609999999"/>
    <n v="29253353"/>
    <s v="AMOMPY"/>
    <s v="Momentum Capital Investment S.A."/>
    <s v="13/05/2026"/>
    <s v="13/05/2026"/>
    <n v="37"/>
    <s v="No"/>
    <s v=""/>
    <m/>
    <m/>
    <s v="*MAV040701074"/>
    <s v="*MAV040701074"/>
    <n v="7.0574619161363548E-4"/>
  </r>
  <r>
    <x v="76"/>
    <s v="Pesos"/>
    <d v="2026-07-08T00:00:00"/>
    <s v="14/05/2026"/>
    <n v="0.95537234000000004"/>
    <m/>
    <n v="25000000"/>
    <n v="23884308.41"/>
    <n v="25000000"/>
    <n v="23884308.41"/>
    <n v="70219531"/>
    <s v="AMOMPY"/>
    <s v="Momentum Capital Investment S.A."/>
    <s v="07/05/2026"/>
    <s v="07/05/2026"/>
    <n v="31"/>
    <s v="No"/>
    <s v=""/>
    <m/>
    <m/>
    <s v="*MAV060700866"/>
    <s v="*MAV060700866"/>
    <n v="6.2949586080686903E-4"/>
  </r>
  <r>
    <x v="43"/>
    <s v="Pesos"/>
    <d v="2026-07-08T00:00:00"/>
    <s v="14/05/2026"/>
    <n v="0.96791307999999998"/>
    <m/>
    <n v="1977599"/>
    <n v="1914143.94"/>
    <n v="1977599"/>
    <n v="1914143.94"/>
    <n v="9866"/>
    <s v="AMOMPY"/>
    <s v="Momentum Capital Investment S.A."/>
    <s v="13/04/2026"/>
    <s v="13/04/2026"/>
    <n v="22"/>
    <s v="No"/>
    <s v=""/>
    <m/>
    <m/>
    <s v="*MAV060700762"/>
    <s v="*MAV060700762"/>
    <n v="5.0449260097230162E-5"/>
  </r>
  <r>
    <x v="4"/>
    <s v="Pesos"/>
    <d v="2026-07-08T00:00:00"/>
    <s v="14/05/2026"/>
    <n v="0.94584106000000001"/>
    <m/>
    <n v="5000000"/>
    <n v="4729205.29"/>
    <n v="5000000"/>
    <n v="4729205.29"/>
    <n v="60524151"/>
    <s v="AMOMPY"/>
    <s v="Momentum Capital Investment S.A."/>
    <s v="31/03/2026"/>
    <s v="31/03/2026"/>
    <n v="38"/>
    <s v="No"/>
    <s v=""/>
    <m/>
    <m/>
    <s v="*MAV060700702"/>
    <s v="*MAV060700702"/>
    <n v="1.2464313824194788E-4"/>
  </r>
  <r>
    <x v="87"/>
    <s v="Pesos"/>
    <d v="2026-07-08T00:00:00"/>
    <s v="14/05/2026"/>
    <n v="0.95262963000000001"/>
    <m/>
    <n v="38136774.549999997"/>
    <n v="36330221.399999999"/>
    <n v="38136774.549999997"/>
    <n v="36330221.399999999"/>
    <n v="66789069"/>
    <s v="AMOMPY"/>
    <s v="Momentum Capital Investment S.A."/>
    <s v="12/05/2026"/>
    <s v="12/05/2026"/>
    <n v="33"/>
    <s v="No"/>
    <s v=""/>
    <m/>
    <m/>
    <s v="*MAV050701033"/>
    <s v="*MAV050701033"/>
    <n v="9.5752087943739347E-4"/>
  </r>
  <r>
    <x v="47"/>
    <s v="Pesos"/>
    <d v="2026-07-08T00:00:00"/>
    <s v="14/05/2026"/>
    <n v="0.95674968000000005"/>
    <m/>
    <n v="35000000"/>
    <n v="33486238.920000002"/>
    <n v="35000000"/>
    <n v="33486238.920000002"/>
    <n v="10948"/>
    <s v="AMOMPY"/>
    <s v="Momentum Capital Investment S.A."/>
    <s v="08/04/2026"/>
    <s v="08/04/2026"/>
    <n v="30"/>
    <s v="No"/>
    <s v=""/>
    <m/>
    <m/>
    <s v="*MIL060700029"/>
    <s v="*MIL060700029"/>
    <n v="8.8256475474517962E-4"/>
  </r>
  <r>
    <x v="78"/>
    <s v="Pesos"/>
    <d v="2026-07-08T00:00:00"/>
    <s v="14/05/2026"/>
    <n v="0.95813101000000001"/>
    <m/>
    <n v="5000000"/>
    <n v="4790655.05"/>
    <n v="5000000"/>
    <n v="4790655.05"/>
    <n v="16779599"/>
    <s v="AMOMPY"/>
    <s v="Momentum Capital Investment S.A."/>
    <s v="30/04/2026"/>
    <s v="30/04/2026"/>
    <n v="29"/>
    <s v="No"/>
    <s v=""/>
    <m/>
    <m/>
    <s v="*INP060700044"/>
    <s v="*INP060700044"/>
    <n v="1.2626271076226334E-4"/>
  </r>
  <r>
    <x v="47"/>
    <s v="Pesos"/>
    <d v="2026-07-08T00:00:00"/>
    <s v="14/05/2026"/>
    <n v="0.95813110000000001"/>
    <m/>
    <n v="1200000"/>
    <n v="1149757.32"/>
    <n v="1200000"/>
    <n v="1149757.32"/>
    <n v="543"/>
    <s v="AMOMPY"/>
    <s v="Momentum Capital Investment S.A."/>
    <s v="28/04/2026"/>
    <s v="28/04/2026"/>
    <n v="29"/>
    <s v="No"/>
    <s v=""/>
    <m/>
    <m/>
    <s v="*MIL040700024"/>
    <s v="*MIL040700024"/>
    <n v="3.0303053429395857E-5"/>
  </r>
  <r>
    <x v="47"/>
    <s v="Pesos"/>
    <d v="2026-07-08T00:00:00"/>
    <s v="14/05/2026"/>
    <n v="0.95813110000000001"/>
    <m/>
    <n v="12500000"/>
    <n v="11976638.77"/>
    <n v="12500000"/>
    <n v="11976638.77"/>
    <n v="9798605"/>
    <s v="AMOMPY"/>
    <s v="Momentum Capital Investment S.A."/>
    <s v="28/04/2026"/>
    <s v="28/04/2026"/>
    <n v="29"/>
    <s v="No"/>
    <s v=""/>
    <m/>
    <m/>
    <s v="*MIL060700031"/>
    <s v="*MIL060700031"/>
    <n v="3.1565680708332767E-4"/>
  </r>
  <r>
    <x v="47"/>
    <s v="Pesos"/>
    <d v="2026-07-08T00:00:00"/>
    <s v="14/05/2026"/>
    <n v="0.95813101000000001"/>
    <m/>
    <n v="7000000"/>
    <n v="6706917.0499999998"/>
    <n v="7000000"/>
    <n v="6706917.0499999998"/>
    <n v="66582572"/>
    <s v="AMOMPY"/>
    <s v="Momentum Capital Investment S.A."/>
    <s v="30/04/2026"/>
    <s v="30/04/2026"/>
    <n v="29"/>
    <s v="No"/>
    <s v=""/>
    <m/>
    <m/>
    <s v="*MIL060700032"/>
    <s v="*MIL060700032"/>
    <n v="1.7676779454004783E-4"/>
  </r>
  <r>
    <x v="89"/>
    <s v="Pesos"/>
    <d v="2026-07-08T00:00:00"/>
    <s v="14/05/2026"/>
    <n v="0.95951633999999997"/>
    <m/>
    <n v="6500000"/>
    <n v="6236856.21"/>
    <n v="6500000"/>
    <n v="6236856.21"/>
    <n v="29175485"/>
    <s v="AMOMPY"/>
    <s v="Momentum Capital Investment S.A."/>
    <s v="04/05/2026"/>
    <s v="04/05/2026"/>
    <n v="28"/>
    <s v="No"/>
    <s v=""/>
    <m/>
    <m/>
    <s v="*CUY060700025"/>
    <s v="*CUY060700025"/>
    <n v="1.6437885080226262E-4"/>
  </r>
  <r>
    <x v="128"/>
    <s v="Pesos"/>
    <d v="2026-07-08T00:00:00"/>
    <s v="14/05/2026"/>
    <n v="0.94719107999999996"/>
    <m/>
    <n v="50000000"/>
    <n v="47359554.020000003"/>
    <n v="50000000"/>
    <n v="47359554.020000003"/>
    <n v="29239213"/>
    <s v="AMOMPY"/>
    <s v="Momentum Capital Investment S.A."/>
    <s v="13/05/2026"/>
    <s v="13/05/2026"/>
    <n v="37"/>
    <s v="No"/>
    <s v=""/>
    <m/>
    <m/>
    <s v="*MAV060700916"/>
    <s v="*MAV060700916"/>
    <n v="1.2482104448444994E-3"/>
  </r>
  <r>
    <x v="129"/>
    <s v="Pesos"/>
    <d v="2026-07-08T00:00:00"/>
    <s v="14/05/2026"/>
    <n v="0.94854484999999999"/>
    <m/>
    <n v="5000000"/>
    <n v="4742724.24"/>
    <n v="5000000"/>
    <n v="4742724.24"/>
    <n v="66205682"/>
    <s v="AMOMPY"/>
    <s v="Momentum Capital Investment S.A."/>
    <s v="14/04/2026"/>
    <s v="14/04/2026"/>
    <n v="36"/>
    <s v="No"/>
    <s v=""/>
    <m/>
    <m/>
    <s v="*MAV060700774"/>
    <s v="*MAV060700774"/>
    <n v="1.2499944427021422E-4"/>
  </r>
  <r>
    <x v="104"/>
    <s v="Pesos"/>
    <d v="2026-07-08T00:00:00"/>
    <s v="14/05/2026"/>
    <n v="0.94854481000000002"/>
    <m/>
    <n v="16500000"/>
    <n v="15650989.289999999"/>
    <n v="16500000"/>
    <n v="15650989.289999999"/>
    <n v="32344"/>
    <s v="AMOMPY"/>
    <s v="Momentum Capital Investment S.A."/>
    <s v="24/04/2026"/>
    <s v="24/04/2026"/>
    <n v="36"/>
    <s v="No"/>
    <s v=""/>
    <m/>
    <m/>
    <s v="*MAV060700792"/>
    <s v="*MAV060700792"/>
    <n v="4.1249814758976465E-4"/>
  </r>
  <r>
    <x v="130"/>
    <s v="Pesos"/>
    <d v="2026-07-13T00:00:00"/>
    <s v="14/05/2026"/>
    <n v="0.94854472999999995"/>
    <m/>
    <n v="1100000"/>
    <n v="1043399.2"/>
    <n v="1100000"/>
    <n v="1043399.2"/>
    <n v="49400429"/>
    <s v="AMOMPY"/>
    <s v="Momentum Capital Investment S.A."/>
    <s v="05/05/2026"/>
    <s v="05/05/2026"/>
    <n v="33"/>
    <s v="No"/>
    <s v=""/>
    <m/>
    <m/>
    <s v="*MAV070701178"/>
    <s v="*MAV070701178"/>
    <n v="2.7499874239364609E-5"/>
  </r>
  <r>
    <x v="95"/>
    <s v="Pesos"/>
    <d v="2026-07-13T00:00:00"/>
    <s v="14/05/2026"/>
    <n v="0.94559612000000004"/>
    <m/>
    <n v="2000000"/>
    <n v="1891192.23"/>
    <n v="2000000"/>
    <n v="1891192.23"/>
    <n v="7747"/>
    <s v="AMOMPY"/>
    <s v="Momentum Capital Investment S.A."/>
    <s v="08/05/2026"/>
    <s v="08/05/2026"/>
    <n v="35"/>
    <s v="No"/>
    <s v=""/>
    <m/>
    <m/>
    <s v="*MAV070701218"/>
    <s v="*MAV070701218"/>
    <n v="4.9844343840270823E-5"/>
  </r>
  <r>
    <x v="76"/>
    <s v="Pesos"/>
    <d v="2026-07-13T00:00:00"/>
    <s v="14/05/2026"/>
    <n v="0.95151215"/>
    <m/>
    <n v="42000000"/>
    <n v="39963510.460000001"/>
    <n v="42000000"/>
    <n v="39963510.460000001"/>
    <n v="148258"/>
    <s v="AMOMPY"/>
    <s v="Momentum Capital Investment S.A."/>
    <s v="07/05/2026"/>
    <s v="07/05/2026"/>
    <n v="31"/>
    <s v="No"/>
    <s v=""/>
    <m/>
    <m/>
    <s v="#MAV080760029"/>
    <s v="#MAV080760029"/>
    <n v="1.0532800023361454E-3"/>
  </r>
  <r>
    <x v="76"/>
    <s v="Pesos"/>
    <d v="2026-07-13T00:00:00"/>
    <s v="14/05/2026"/>
    <n v="0.95151215"/>
    <m/>
    <n v="25000000"/>
    <n v="23787803.850000001"/>
    <n v="25000000"/>
    <n v="23787803.850000001"/>
    <n v="70219526"/>
    <s v="AMOMPY"/>
    <s v="Momentum Capital Investment S.A."/>
    <s v="07/05/2026"/>
    <s v="07/05/2026"/>
    <n v="31"/>
    <s v="No"/>
    <s v=""/>
    <m/>
    <m/>
    <s v="*MAV070701195"/>
    <s v="*MAV070701195"/>
    <n v="6.2695238246844858E-4"/>
  </r>
  <r>
    <x v="76"/>
    <s v="Pesos"/>
    <d v="2026-07-13T00:00:00"/>
    <s v="14/05/2026"/>
    <n v="0.95151218999999998"/>
    <m/>
    <n v="25000000"/>
    <n v="23787804.739999998"/>
    <n v="25000000"/>
    <n v="23787804.739999998"/>
    <n v="148259"/>
    <s v="AMOMPY"/>
    <s v="Momentum Capital Investment S.A."/>
    <s v="11/05/2026"/>
    <s v="11/05/2026"/>
    <n v="31"/>
    <s v="No"/>
    <s v=""/>
    <m/>
    <m/>
    <s v="#MAV080760032"/>
    <s v="#MAV080760032"/>
    <n v="6.2695240592532684E-4"/>
  </r>
  <r>
    <x v="78"/>
    <s v="Pesos"/>
    <d v="2026-07-13T00:00:00"/>
    <s v="14/05/2026"/>
    <n v="0.95599800000000001"/>
    <m/>
    <n v="1000000"/>
    <n v="955998"/>
    <n v="1000000"/>
    <n v="955998"/>
    <n v="18305446"/>
    <s v="AMOMPY"/>
    <s v="Momentum Capital Investment S.A."/>
    <s v="22/04/2026"/>
    <s v="22/04/2026"/>
    <n v="28"/>
    <s v="No"/>
    <s v=""/>
    <m/>
    <m/>
    <s v="*INP070700054"/>
    <s v="*INP070700054"/>
    <n v="2.5196324449054673E-5"/>
  </r>
  <r>
    <x v="47"/>
    <s v="Pesos"/>
    <d v="2026-07-13T00:00:00"/>
    <s v="14/05/2026"/>
    <n v="0.95750279999999999"/>
    <m/>
    <n v="10000000"/>
    <n v="9575027.9800000004"/>
    <n v="10000000"/>
    <n v="9575027.9800000004"/>
    <n v="32531"/>
    <s v="AMOMPY"/>
    <s v="Momentum Capital Investment S.A."/>
    <s v="27/04/2026"/>
    <s v="27/04/2026"/>
    <n v="27"/>
    <s v="No"/>
    <s v=""/>
    <m/>
    <m/>
    <s v="*MIL070700029"/>
    <s v="*MIL070700029"/>
    <n v="2.5235984969932638E-4"/>
  </r>
  <r>
    <x v="47"/>
    <s v="Pesos"/>
    <d v="2026-07-13T00:00:00"/>
    <s v="14/05/2026"/>
    <n v="0.95449806000000004"/>
    <m/>
    <n v="20000000"/>
    <n v="19089961.27"/>
    <n v="20000000"/>
    <n v="19089961.27"/>
    <n v="816"/>
    <s v="AMOMPY"/>
    <s v="Momentum Capital Investment S.A."/>
    <s v="30/04/2026"/>
    <s v="30/04/2026"/>
    <n v="29"/>
    <s v="No"/>
    <s v=""/>
    <m/>
    <m/>
    <s v="*MIL070700030"/>
    <s v="*MIL070700030"/>
    <n v="5.0313584116160059E-4"/>
  </r>
  <r>
    <x v="47"/>
    <s v="Pesos"/>
    <d v="2026-07-13T00:00:00"/>
    <s v="14/05/2026"/>
    <n v="0.95449806999999998"/>
    <m/>
    <n v="6500000"/>
    <n v="6204237.4199999999"/>
    <n v="6500000"/>
    <n v="6204237.4199999999"/>
    <n v="66607731"/>
    <s v="AMOMPY"/>
    <s v="Momentum Capital Investment S.A."/>
    <s v="30/04/2026"/>
    <s v="30/04/2026"/>
    <n v="29"/>
    <s v="No"/>
    <s v=""/>
    <m/>
    <m/>
    <s v="*MIL070700031"/>
    <s v="*MIL070700031"/>
    <n v="1.635191485686015E-4"/>
  </r>
  <r>
    <x v="89"/>
    <s v="Pesos"/>
    <d v="2026-07-13T00:00:00"/>
    <s v="14/05/2026"/>
    <n v="0.95599807999999997"/>
    <m/>
    <n v="6500000"/>
    <n v="6213987.5499999998"/>
    <n v="6500000"/>
    <n v="6213987.5499999998"/>
    <n v="29175483"/>
    <s v="AMOMPY"/>
    <s v="Momentum Capital Investment S.A."/>
    <s v="04/05/2026"/>
    <s v="04/05/2026"/>
    <n v="28"/>
    <s v="No"/>
    <s v=""/>
    <m/>
    <m/>
    <s v="*CUY070700022"/>
    <s v="*CUY070700022"/>
    <n v="1.6377612341467906E-4"/>
  </r>
  <r>
    <x v="76"/>
    <s v="Pesos"/>
    <d v="2026-07-14T00:00:00"/>
    <s v="14/05/2026"/>
    <n v="0.95074376000000005"/>
    <m/>
    <n v="30000000"/>
    <n v="28522312.73"/>
    <n v="30000000"/>
    <n v="28522312.73"/>
    <n v="70219529"/>
    <s v="AMOMPY"/>
    <s v="Momentum Capital Investment S.A."/>
    <s v="07/05/2026"/>
    <s v="07/05/2026"/>
    <n v="31"/>
    <s v="No"/>
    <s v=""/>
    <m/>
    <m/>
    <s v="*MAV080701273"/>
    <s v="*MAV080701273"/>
    <n v="7.5173530235678567E-4"/>
  </r>
  <r>
    <x v="76"/>
    <s v="Pesos"/>
    <d v="2026-07-14T00:00:00"/>
    <s v="14/05/2026"/>
    <n v="0.95074378999999998"/>
    <m/>
    <n v="3200000"/>
    <n v="3042380.13"/>
    <n v="3200000"/>
    <n v="3042380.13"/>
    <n v="148262"/>
    <s v="AMOMPY"/>
    <s v="Momentum Capital Investment S.A."/>
    <s v="11/05/2026"/>
    <s v="11/05/2026"/>
    <n v="31"/>
    <s v="No"/>
    <s v=""/>
    <m/>
    <m/>
    <s v="#MAV130760053"/>
    <s v="#MAV130760053"/>
    <n v="8.0185101697741136E-5"/>
  </r>
  <r>
    <x v="76"/>
    <s v="Pesos"/>
    <d v="2026-07-14T00:00:00"/>
    <s v="14/05/2026"/>
    <n v="0.95074378999999998"/>
    <m/>
    <n v="25000000"/>
    <n v="23768594.699999999"/>
    <n v="25000000"/>
    <n v="23768594.699999999"/>
    <n v="70219530"/>
    <s v="AMOMPY"/>
    <s v="Momentum Capital Investment S.A."/>
    <s v="11/05/2026"/>
    <s v="11/05/2026"/>
    <n v="31"/>
    <s v="No"/>
    <s v=""/>
    <m/>
    <m/>
    <s v="*MAV080701292"/>
    <s v="*MAV080701292"/>
    <n v="6.2644610528398738E-4"/>
  </r>
  <r>
    <x v="131"/>
    <s v="Pesos"/>
    <d v="2026-07-14T00:00:00"/>
    <s v="14/05/2026"/>
    <n v="0.94324996000000005"/>
    <m/>
    <n v="4771794.93"/>
    <n v="4500995.3899999997"/>
    <n v="4771794.93"/>
    <n v="4500995.3899999997"/>
    <n v="143"/>
    <s v="AMOMPY"/>
    <s v="Momentum Capital Investment S.A."/>
    <s v="14/04/2026"/>
    <s v="14/04/2026"/>
    <n v="36"/>
    <s v="No"/>
    <s v=""/>
    <m/>
    <m/>
    <s v="*MAV080701187"/>
    <s v="*MAV080701187"/>
    <n v="1.1862842829183677E-4"/>
  </r>
  <r>
    <x v="37"/>
    <s v="Pesos"/>
    <d v="2026-07-14T00:00:00"/>
    <s v="14/05/2026"/>
    <n v="0.95377462999999996"/>
    <m/>
    <n v="12500000"/>
    <n v="11922182.9"/>
    <n v="12500000"/>
    <n v="11922182.9"/>
    <n v="28996519"/>
    <s v="AMOMPY"/>
    <s v="Momentum Capital Investment S.A."/>
    <s v="31/03/2026"/>
    <s v="31/03/2026"/>
    <n v="29"/>
    <s v="No"/>
    <s v=""/>
    <m/>
    <m/>
    <s v="*AAR080700032"/>
    <s v="*AAR080700032"/>
    <n v="3.1422156582897823E-4"/>
  </r>
  <r>
    <x v="47"/>
    <s v="Pesos"/>
    <d v="2026-07-14T00:00:00"/>
    <s v="14/05/2026"/>
    <n v="0.95377469000000004"/>
    <m/>
    <n v="20000000"/>
    <n v="19075493.859999999"/>
    <n v="20000000"/>
    <n v="19075493.859999999"/>
    <n v="817"/>
    <s v="AMOMPY"/>
    <s v="Momentum Capital Investment S.A."/>
    <s v="30/04/2026"/>
    <s v="30/04/2026"/>
    <n v="29"/>
    <s v="No"/>
    <s v=""/>
    <m/>
    <m/>
    <s v="*MIL080700030"/>
    <s v="*MIL080700030"/>
    <n v="5.0275453748073776E-4"/>
  </r>
  <r>
    <x v="73"/>
    <s v="Pesos"/>
    <d v="2026-07-14T00:00:00"/>
    <s v="14/05/2026"/>
    <n v="0.95529750000000002"/>
    <m/>
    <n v="15000000"/>
    <n v="14329462.550000001"/>
    <n v="15000000"/>
    <n v="14329462.550000001"/>
    <n v="29131907"/>
    <s v="AMOMPY"/>
    <s v="Momentum Capital Investment S.A."/>
    <s v="21/04/2026"/>
    <s v="21/04/2026"/>
    <n v="28"/>
    <s v="No"/>
    <s v=""/>
    <m/>
    <m/>
    <s v="*PRO080700009"/>
    <s v="*PRO080700009"/>
    <n v="3.7766793193121572E-4"/>
  </r>
  <r>
    <x v="132"/>
    <s v="Pesos"/>
    <d v="2026-07-15T00:00:00"/>
    <s v="14/05/2026"/>
    <n v="0.95151211000000002"/>
    <m/>
    <n v="5000000"/>
    <n v="4757560.54"/>
    <n v="5000000"/>
    <n v="4757560.54"/>
    <n v="3501231"/>
    <s v="AMOMPY"/>
    <s v="Momentum Capital Investment S.A."/>
    <s v="17/04/2026"/>
    <s v="17/04/2026"/>
    <n v="30"/>
    <s v="No"/>
    <s v=""/>
    <m/>
    <m/>
    <s v="*MAV090700468"/>
    <s v="*MAV090700468"/>
    <n v="1.2539047043179982E-4"/>
  </r>
  <r>
    <x v="132"/>
    <s v="Pesos"/>
    <d v="2026-07-15T00:00:00"/>
    <s v="14/05/2026"/>
    <n v="0.94692067999999996"/>
    <m/>
    <n v="5600000"/>
    <n v="5302755.82"/>
    <n v="5600000"/>
    <n v="5302755.82"/>
    <n v="3501248"/>
    <s v="AMOMPY"/>
    <s v="Momentum Capital Investment S.A."/>
    <s v="24/04/2026"/>
    <s v="24/04/2026"/>
    <n v="33"/>
    <s v="No"/>
    <s v=""/>
    <m/>
    <m/>
    <s v="*MAV090700481"/>
    <s v="*MAV090700481"/>
    <n v="1.3975966070518242E-4"/>
  </r>
  <r>
    <x v="105"/>
    <s v="Pesos"/>
    <d v="2026-07-15T00:00:00"/>
    <s v="14/05/2026"/>
    <n v="0.93936611000000003"/>
    <m/>
    <n v="4599318.34"/>
    <n v="4320443.79"/>
    <n v="4599318.34"/>
    <n v="4320443.79"/>
    <n v="573"/>
    <s v="AMOMPY"/>
    <s v="Momentum Capital Investment S.A."/>
    <s v="22/04/2026"/>
    <s v="22/04/2026"/>
    <n v="38"/>
    <s v="No"/>
    <s v=""/>
    <m/>
    <m/>
    <s v="*MAV100701396"/>
    <s v="*MAV100701396"/>
    <n v="1.1386980254848174E-4"/>
  </r>
  <r>
    <x v="36"/>
    <s v="Pesos"/>
    <d v="2026-07-15T00:00:00"/>
    <s v="14/05/2026"/>
    <n v="0.95151205999999999"/>
    <m/>
    <n v="10250000"/>
    <n v="9752998.5800000001"/>
    <n v="10250000"/>
    <n v="9752998.5800000001"/>
    <n v="453"/>
    <s v="AMOMPY"/>
    <s v="Momentum Capital Investment S.A."/>
    <s v="04/05/2026"/>
    <s v="04/05/2026"/>
    <n v="30"/>
    <s v="No"/>
    <s v=""/>
    <m/>
    <m/>
    <s v="*MAV100701434"/>
    <s v="*MAV100701434"/>
    <n v="2.5705045049555491E-4"/>
  </r>
  <r>
    <x v="36"/>
    <s v="Pesos"/>
    <d v="2026-07-15T00:00:00"/>
    <s v="14/05/2026"/>
    <n v="0.95151211000000002"/>
    <m/>
    <n v="10000000"/>
    <n v="9515121.1500000004"/>
    <n v="10000000"/>
    <n v="9515121.1500000004"/>
    <n v="470"/>
    <s v="AMOMPY"/>
    <s v="Momentum Capital Investment S.A."/>
    <s v="12/05/2026"/>
    <s v="12/05/2026"/>
    <n v="30"/>
    <s v="No"/>
    <s v=""/>
    <m/>
    <m/>
    <s v="*MAV090700498"/>
    <s v="*MAV090700498"/>
    <n v="2.5078094270852266E-4"/>
  </r>
  <r>
    <x v="43"/>
    <s v="Pesos"/>
    <d v="2026-07-15T00:00:00"/>
    <s v="14/05/2026"/>
    <n v="0.96397639999999996"/>
    <m/>
    <n v="1977599"/>
    <n v="1906358.77"/>
    <n v="1977599"/>
    <n v="1906358.77"/>
    <n v="9867"/>
    <s v="AMOMPY"/>
    <s v="Momentum Capital Investment S.A."/>
    <s v="13/04/2026"/>
    <s v="13/04/2026"/>
    <n v="22"/>
    <s v="No"/>
    <s v=""/>
    <m/>
    <m/>
    <s v="*MAV130700961"/>
    <s v="*MAV130700961"/>
    <n v="5.0244073821515106E-5"/>
  </r>
  <r>
    <x v="34"/>
    <s v="Pesos"/>
    <d v="2026-07-15T00:00:00"/>
    <s v="14/05/2026"/>
    <n v="0.93340847000000005"/>
    <m/>
    <n v="20000000"/>
    <n v="18668169.34"/>
    <n v="20000000"/>
    <n v="18668169.34"/>
    <n v="4020"/>
    <s v="AMOMPY"/>
    <s v="Momentum Capital Investment S.A."/>
    <s v="26/03/2026"/>
    <s v="26/03/2026"/>
    <n v="42"/>
    <s v="No"/>
    <s v=""/>
    <m/>
    <m/>
    <s v="*MAV100701281"/>
    <s v="*MAV100701281"/>
    <n v="4.9201907489402155E-4"/>
  </r>
  <r>
    <x v="35"/>
    <s v="Pesos"/>
    <d v="2026-07-15T00:00:00"/>
    <s v="14/05/2026"/>
    <n v="0.94086738000000003"/>
    <m/>
    <n v="9500000"/>
    <n v="8938240.1400000006"/>
    <n v="9500000"/>
    <n v="8938240.1400000006"/>
    <n v="10949773"/>
    <s v="AMOMPY"/>
    <s v="Momentum Capital Investment S.A."/>
    <s v="13/05/2026"/>
    <s v="13/05/2026"/>
    <n v="37"/>
    <s v="No"/>
    <s v=""/>
    <m/>
    <m/>
    <s v="*MAV130701175"/>
    <s v="*MAV130701175"/>
    <n v="2.3557664197101238E-4"/>
  </r>
  <r>
    <x v="36"/>
    <s v="Pesos"/>
    <d v="2026-07-15T00:00:00"/>
    <s v="14/05/2026"/>
    <n v="0.94388424999999998"/>
    <m/>
    <n v="11000000"/>
    <n v="10382726.710000001"/>
    <n v="11000000"/>
    <n v="10382726.710000001"/>
    <n v="388"/>
    <s v="AMOMPY"/>
    <s v="Momentum Capital Investment S.A."/>
    <s v="20/04/2026"/>
    <s v="20/04/2026"/>
    <n v="35"/>
    <s v="No"/>
    <s v=""/>
    <m/>
    <m/>
    <s v="*MAV100701382"/>
    <s v="*MAV100701382"/>
    <n v="2.73647592203149E-4"/>
  </r>
  <r>
    <x v="47"/>
    <s v="Pesos"/>
    <d v="2026-07-15T00:00:00"/>
    <s v="14/05/2026"/>
    <n v="0.95151209000000003"/>
    <m/>
    <n v="35000000"/>
    <n v="33302923.260000002"/>
    <n v="35000000"/>
    <n v="33302923.260000002"/>
    <n v="1452"/>
    <s v="AMOMPY"/>
    <s v="Momentum Capital Investment S.A."/>
    <s v="06/04/2026"/>
    <s v="06/04/2026"/>
    <n v="30"/>
    <s v="No"/>
    <s v=""/>
    <m/>
    <m/>
    <s v="*MIL100700041"/>
    <s v="*MIL100700041"/>
    <n v="8.7773327931745632E-4"/>
  </r>
  <r>
    <x v="47"/>
    <s v="Pesos"/>
    <d v="2026-07-15T00:00:00"/>
    <s v="14/05/2026"/>
    <n v="0.9545979"/>
    <m/>
    <n v="15000000"/>
    <n v="14318968.460000001"/>
    <n v="15000000"/>
    <n v="14318968.460000001"/>
    <n v="13039364"/>
    <s v="AMOMPY"/>
    <s v="Momentum Capital Investment S.A."/>
    <s v="14/04/2026"/>
    <s v="14/04/2026"/>
    <n v="28"/>
    <s v="No"/>
    <s v=""/>
    <m/>
    <m/>
    <s v="*MIL100700042"/>
    <s v="*MIL100700042"/>
    <n v="3.7739134924334651E-4"/>
  </r>
  <r>
    <x v="47"/>
    <s v="Pesos"/>
    <d v="2026-07-15T00:00:00"/>
    <s v="14/05/2026"/>
    <n v="0.9545979"/>
    <m/>
    <n v="15000000"/>
    <n v="14318968.460000001"/>
    <n v="15000000"/>
    <n v="14318968.460000001"/>
    <n v="13039368"/>
    <s v="AMOMPY"/>
    <s v="Momentum Capital Investment S.A."/>
    <s v="14/04/2026"/>
    <s v="14/04/2026"/>
    <n v="28"/>
    <s v="No"/>
    <s v=""/>
    <m/>
    <m/>
    <s v="*MIL100700043"/>
    <s v="*MIL100700043"/>
    <n v="3.7739134924334651E-4"/>
  </r>
  <r>
    <x v="47"/>
    <s v="Pesos"/>
    <d v="2026-07-15T00:00:00"/>
    <s v="14/05/2026"/>
    <n v="0.9545979"/>
    <m/>
    <n v="15000000"/>
    <n v="14318968.460000001"/>
    <n v="15000000"/>
    <n v="14318968.460000001"/>
    <n v="13039366"/>
    <s v="AMOMPY"/>
    <s v="Momentum Capital Investment S.A."/>
    <s v="14/04/2026"/>
    <s v="14/04/2026"/>
    <n v="28"/>
    <s v="No"/>
    <s v=""/>
    <m/>
    <m/>
    <s v="*MIL100700044"/>
    <s v="*MIL100700044"/>
    <n v="3.7739134924334651E-4"/>
  </r>
  <r>
    <x v="47"/>
    <s v="Pesos"/>
    <d v="2026-07-15T00:00:00"/>
    <s v="14/05/2026"/>
    <n v="0.9545979"/>
    <m/>
    <n v="15000000"/>
    <n v="14318968.460000001"/>
    <n v="15000000"/>
    <n v="14318968.460000001"/>
    <n v="13039365"/>
    <s v="AMOMPY"/>
    <s v="Momentum Capital Investment S.A."/>
    <s v="14/04/2026"/>
    <s v="14/04/2026"/>
    <n v="28"/>
    <s v="No"/>
    <s v=""/>
    <m/>
    <m/>
    <s v="*MIL100700045"/>
    <s v="*MIL100700045"/>
    <n v="3.7739134924334651E-4"/>
  </r>
  <r>
    <x v="47"/>
    <s v="Pesos"/>
    <d v="2026-07-15T00:00:00"/>
    <s v="14/05/2026"/>
    <n v="0.9545979"/>
    <m/>
    <n v="15000000"/>
    <n v="14318968.460000001"/>
    <n v="15000000"/>
    <n v="14318968.460000001"/>
    <n v="13039367"/>
    <s v="AMOMPY"/>
    <s v="Momentum Capital Investment S.A."/>
    <s v="14/04/2026"/>
    <s v="14/04/2026"/>
    <n v="28"/>
    <s v="No"/>
    <s v=""/>
    <m/>
    <m/>
    <s v="*MIL100700046"/>
    <s v="*MIL100700046"/>
    <n v="3.7739134924334651E-4"/>
  </r>
  <r>
    <x v="47"/>
    <s v="Pesos"/>
    <d v="2026-07-15T00:00:00"/>
    <s v="14/05/2026"/>
    <n v="0.9545979"/>
    <m/>
    <n v="7000000"/>
    <n v="6682185.2800000003"/>
    <n v="7000000"/>
    <n v="6682185.2800000003"/>
    <n v="13039369"/>
    <s v="AMOMPY"/>
    <s v="Momentum Capital Investment S.A."/>
    <s v="14/04/2026"/>
    <s v="14/04/2026"/>
    <n v="28"/>
    <s v="No"/>
    <s v=""/>
    <m/>
    <m/>
    <s v="*MIL100700047"/>
    <s v="*MIL100700047"/>
    <n v="1.7611596294508697E-4"/>
  </r>
  <r>
    <x v="37"/>
    <s v="Pesos"/>
    <d v="2026-07-15T00:00:00"/>
    <s v="14/05/2026"/>
    <n v="0.95305253000000001"/>
    <m/>
    <n v="12500000"/>
    <n v="11913156.59"/>
    <n v="12500000"/>
    <n v="11913156.59"/>
    <n v="28996511"/>
    <s v="AMOMPY"/>
    <s v="Momentum Capital Investment S.A."/>
    <s v="31/03/2026"/>
    <s v="31/03/2026"/>
    <n v="29"/>
    <s v="No"/>
    <s v=""/>
    <m/>
    <m/>
    <s v="*AAR100700021"/>
    <s v="*AAR100700021"/>
    <n v="3.1398366801398516E-4"/>
  </r>
  <r>
    <x v="46"/>
    <s v="Pesos"/>
    <d v="2026-07-15T00:00:00"/>
    <s v="14/05/2026"/>
    <n v="0.95151207999999998"/>
    <m/>
    <n v="17129876"/>
    <n v="16299283.91"/>
    <n v="17129876"/>
    <n v="16299283.91"/>
    <n v="1537"/>
    <s v="AMOMPY"/>
    <s v="Momentum Capital Investment S.A."/>
    <s v="20/04/2026"/>
    <s v="20/04/2026"/>
    <n v="30"/>
    <s v="No"/>
    <s v=""/>
    <m/>
    <m/>
    <s v="*FED130700032"/>
    <s v="*FED130700032"/>
    <n v="4.2958462850718981E-4"/>
  </r>
  <r>
    <x v="46"/>
    <s v="Pesos"/>
    <d v="2026-07-15T00:00:00"/>
    <s v="14/05/2026"/>
    <n v="0.95151209999999997"/>
    <m/>
    <n v="4000000"/>
    <n v="3806048.4"/>
    <n v="4000000"/>
    <n v="3806048.4"/>
    <n v="798"/>
    <s v="AMOMPY"/>
    <s v="Momentum Capital Investment S.A."/>
    <s v="17/04/2026"/>
    <s v="17/04/2026"/>
    <n v="30"/>
    <s v="No"/>
    <s v=""/>
    <m/>
    <m/>
    <s v="*FED100700045"/>
    <s v="*FED100700045"/>
    <n v="1.0031237550204647E-4"/>
  </r>
  <r>
    <x v="133"/>
    <s v="Pesos"/>
    <d v="2026-07-15T00:00:00"/>
    <s v="14/05/2026"/>
    <n v="0.94692078000000002"/>
    <m/>
    <n v="50000000"/>
    <n v="47346038.859999999"/>
    <n v="50000000"/>
    <n v="47346038.859999999"/>
    <n v="133"/>
    <s v="AMOMPY"/>
    <s v="Momentum Capital Investment S.A."/>
    <s v="13/05/2026"/>
    <s v="13/05/2026"/>
    <n v="33"/>
    <s v="No"/>
    <s v=""/>
    <m/>
    <m/>
    <s v="*MAV130701169"/>
    <s v="*MAV130701169"/>
    <n v="1.2478542387056361E-3"/>
  </r>
  <r>
    <x v="99"/>
    <s v="Pesos"/>
    <d v="2026-07-15T00:00:00"/>
    <s v="14/05/2026"/>
    <n v="0.93936604000000001"/>
    <m/>
    <n v="85000000"/>
    <n v="79846113.709999993"/>
    <n v="85000000"/>
    <n v="79846113.709999993"/>
    <n v="7363"/>
    <s v="AMOMPY"/>
    <s v="Momentum Capital Investment S.A."/>
    <s v="14/04/2026"/>
    <s v="14/04/2026"/>
    <n v="38"/>
    <s v="No"/>
    <s v=""/>
    <m/>
    <m/>
    <s v="*MAV130700974"/>
    <s v="*MAV130700974"/>
    <n v="2.1044276107620228E-3"/>
  </r>
  <r>
    <x v="78"/>
    <s v="Pesos"/>
    <d v="2026-07-15T00:00:00"/>
    <s v="14/05/2026"/>
    <n v="0.95305258000000004"/>
    <m/>
    <n v="788284.3"/>
    <n v="751276.39"/>
    <n v="788284.3"/>
    <n v="751276.39"/>
    <n v="5375"/>
    <s v="AMOMPY"/>
    <s v="Momentum Capital Investment S.A."/>
    <s v="22/04/2026"/>
    <s v="22/04/2026"/>
    <n v="29"/>
    <s v="No"/>
    <s v=""/>
    <m/>
    <m/>
    <s v="*INP130700051"/>
    <s v="*INP130700051"/>
    <n v="1.9800672881485665E-5"/>
  </r>
  <r>
    <x v="78"/>
    <s v="Pesos"/>
    <d v="2026-07-15T00:00:00"/>
    <s v="14/05/2026"/>
    <n v="0.95305242000000001"/>
    <m/>
    <n v="5000000"/>
    <n v="4765262.08"/>
    <n v="5000000"/>
    <n v="4765262.08"/>
    <n v="16779600"/>
    <s v="AMOMPY"/>
    <s v="Momentum Capital Investment S.A."/>
    <s v="30/04/2026"/>
    <s v="30/04/2026"/>
    <n v="29"/>
    <s v="No"/>
    <s v=""/>
    <m/>
    <m/>
    <s v="*INP100700075"/>
    <s v="*INP100700075"/>
    <n v="1.2559345255163412E-4"/>
  </r>
  <r>
    <x v="47"/>
    <s v="Pesos"/>
    <d v="2026-07-15T00:00:00"/>
    <s v="14/05/2026"/>
    <n v="0.95151211999999996"/>
    <m/>
    <n v="60000000"/>
    <n v="57090727.340000004"/>
    <n v="60000000"/>
    <n v="57090727.340000004"/>
    <n v="59"/>
    <s v="AMOMPY"/>
    <s v="Momentum Capital Investment S.A."/>
    <s v="05/05/2026"/>
    <s v="05/05/2026"/>
    <n v="30"/>
    <s v="No"/>
    <s v=""/>
    <m/>
    <m/>
    <s v="*MIL100700051"/>
    <s v="*MIL100700051"/>
    <n v="1.5046856678477948E-3"/>
  </r>
  <r>
    <x v="47"/>
    <s v="Pesos"/>
    <d v="2026-07-15T00:00:00"/>
    <s v="14/05/2026"/>
    <n v="0.95305251000000002"/>
    <m/>
    <n v="12500000"/>
    <n v="11913156.369999999"/>
    <n v="12500000"/>
    <n v="11913156.369999999"/>
    <n v="9798604"/>
    <s v="AMOMPY"/>
    <s v="Momentum Capital Investment S.A."/>
    <s v="28/04/2026"/>
    <s v="28/04/2026"/>
    <n v="29"/>
    <s v="No"/>
    <s v=""/>
    <m/>
    <m/>
    <s v="*MIL130700044"/>
    <s v="*MIL130700044"/>
    <n v="3.1398366221565568E-4"/>
  </r>
  <r>
    <x v="47"/>
    <s v="Pesos"/>
    <d v="2026-07-15T00:00:00"/>
    <s v="14/05/2026"/>
    <n v="0.95305242000000001"/>
    <m/>
    <n v="25000000"/>
    <n v="23826310.43"/>
    <n v="25000000"/>
    <n v="23826310.43"/>
    <n v="3418"/>
    <s v="AMOMPY"/>
    <s v="Momentum Capital Investment S.A."/>
    <s v="30/04/2026"/>
    <s v="30/04/2026"/>
    <n v="29"/>
    <s v="No"/>
    <s v=""/>
    <m/>
    <m/>
    <s v="*MIL100700050"/>
    <s v="*MIL100700050"/>
    <n v="6.279672635488519E-4"/>
  </r>
  <r>
    <x v="47"/>
    <s v="Pesos"/>
    <d v="2026-07-15T00:00:00"/>
    <s v="14/05/2026"/>
    <n v="0.95305249000000003"/>
    <m/>
    <n v="12500000"/>
    <n v="11913156.07"/>
    <n v="12500000"/>
    <n v="11913156.07"/>
    <n v="4949"/>
    <s v="AMOMPY"/>
    <s v="Momentum Capital Investment S.A."/>
    <s v="24/04/2026"/>
    <s v="24/04/2026"/>
    <n v="29"/>
    <s v="No"/>
    <s v=""/>
    <m/>
    <m/>
    <s v="*MIL110700039"/>
    <s v="*MIL110700039"/>
    <n v="3.1398365430884278E-4"/>
  </r>
  <r>
    <x v="134"/>
    <s v="Pesos"/>
    <d v="2026-07-15T00:00:00"/>
    <s v="14/05/2026"/>
    <n v="0.95614827999999996"/>
    <m/>
    <n v="50000000"/>
    <n v="47807413.780000001"/>
    <n v="50000000"/>
    <n v="47807413.780000001"/>
    <n v="67982"/>
    <s v="AMOMPY"/>
    <s v="Momentum Capital Investment S.A."/>
    <s v="12/05/2026"/>
    <s v="12/05/2026"/>
    <n v="27"/>
    <s v="No"/>
    <s v=""/>
    <m/>
    <m/>
    <s v="*MAV110701223"/>
    <s v="*MAV110701223"/>
    <n v="1.260014255961924E-3"/>
  </r>
  <r>
    <x v="89"/>
    <s v="Pesos"/>
    <d v="2026-07-15T00:00:00"/>
    <s v="14/05/2026"/>
    <n v="0.95459782000000004"/>
    <m/>
    <n v="6500000"/>
    <n v="6204885.8399999999"/>
    <n v="6500000"/>
    <n v="6204885.8399999999"/>
    <n v="29175490"/>
    <s v="AMOMPY"/>
    <s v="Momentum Capital Investment S.A."/>
    <s v="04/05/2026"/>
    <s v="04/05/2026"/>
    <n v="28"/>
    <s v="No"/>
    <s v=""/>
    <m/>
    <m/>
    <s v="*CUY130700038"/>
    <s v="*CUY130700038"/>
    <n v="1.6353623835403959E-4"/>
  </r>
  <r>
    <x v="128"/>
    <s v="Pesos"/>
    <d v="2026-07-15T00:00:00"/>
    <s v="14/05/2026"/>
    <n v="0.94086738000000003"/>
    <m/>
    <n v="50000000"/>
    <n v="47043369.18"/>
    <n v="50000000"/>
    <n v="47043369.18"/>
    <n v="29239217"/>
    <s v="AMOMPY"/>
    <s v="Momentum Capital Investment S.A."/>
    <s v="13/05/2026"/>
    <s v="13/05/2026"/>
    <n v="37"/>
    <s v="No"/>
    <s v=""/>
    <m/>
    <m/>
    <s v="*MAV120701200"/>
    <s v="*MAV120701200"/>
    <n v="1.2398770635879354E-3"/>
  </r>
  <r>
    <x v="9"/>
    <s v="Pesos"/>
    <d v="2026-07-15T00:00:00"/>
    <s v="14/05/2026"/>
    <n v="0.95305249000000003"/>
    <m/>
    <n v="2500000"/>
    <n v="2382631.2400000002"/>
    <n v="2500000"/>
    <n v="2382631.2400000002"/>
    <n v="364"/>
    <s v="AMOMPY"/>
    <s v="Momentum Capital Investment S.A."/>
    <s v="17/04/2026"/>
    <s v="17/04/2026"/>
    <n v="29"/>
    <s v="No"/>
    <s v=""/>
    <m/>
    <m/>
    <s v="*MOV100700068"/>
    <s v="*MOV100700068"/>
    <n v="6.2796731547025688E-5"/>
  </r>
  <r>
    <x v="9"/>
    <s v="Pesos"/>
    <d v="2026-07-15T00:00:00"/>
    <s v="14/05/2026"/>
    <n v="0.95459786999999996"/>
    <m/>
    <n v="40000000"/>
    <n v="38183914.850000001"/>
    <n v="40000000"/>
    <n v="38183914.850000001"/>
    <n v="29086863"/>
    <s v="AMOMPY"/>
    <s v="Momentum Capital Investment S.A."/>
    <s v="17/04/2026"/>
    <s v="17/04/2026"/>
    <n v="28"/>
    <s v="No"/>
    <s v=""/>
    <m/>
    <m/>
    <s v="*MOV100700072"/>
    <s v="*MOV100700072"/>
    <n v="1.0063769038174523E-3"/>
  </r>
  <r>
    <x v="78"/>
    <s v="Pesos"/>
    <d v="2026-07-15T00:00:00"/>
    <s v="14/05/2026"/>
    <n v="0.95305245999999999"/>
    <m/>
    <n v="5000000"/>
    <n v="4765262.3"/>
    <n v="5000000"/>
    <n v="4765262.3"/>
    <n v="16771073"/>
    <s v="AMOMPY"/>
    <s v="Momentum Capital Investment S.A."/>
    <s v="20/04/2026"/>
    <s v="20/04/2026"/>
    <n v="29"/>
    <s v="No"/>
    <s v=""/>
    <m/>
    <m/>
    <s v="*INP130700050"/>
    <s v="*INP130700050"/>
    <n v="1.255934583499636E-4"/>
  </r>
  <r>
    <x v="39"/>
    <s v="Pesos"/>
    <d v="2026-07-15T00:00:00"/>
    <s v="14/05/2026"/>
    <n v="0.94692065999999997"/>
    <m/>
    <n v="50000000"/>
    <n v="47346032.770000003"/>
    <n v="50000000"/>
    <n v="47346032.770000003"/>
    <n v="4526"/>
    <s v="AMOMPY"/>
    <s v="Momentum Capital Investment S.A."/>
    <s v="20/04/2026"/>
    <s v="20/04/2026"/>
    <n v="33"/>
    <s v="No"/>
    <s v=""/>
    <m/>
    <m/>
    <s v="*MAV100701387"/>
    <s v="*MAV100701387"/>
    <n v="1.2478540781973339E-3"/>
  </r>
  <r>
    <x v="23"/>
    <s v="Pesos"/>
    <d v="2026-07-15T00:00:00"/>
    <s v="14/05/2026"/>
    <n v="0.93936598000000004"/>
    <m/>
    <n v="100000000"/>
    <n v="93936598.060000002"/>
    <n v="100000000"/>
    <n v="93936598.060000002"/>
    <n v="2597"/>
    <s v="AMOMPY"/>
    <s v="Momentum Capital Investment S.A."/>
    <s v="13/04/2026"/>
    <s v="13/04/2026"/>
    <n v="38"/>
    <s v="No"/>
    <s v=""/>
    <m/>
    <m/>
    <s v="*MAV130700971"/>
    <s v="*MAV130700971"/>
    <n v="2.4757970229646923E-3"/>
  </r>
  <r>
    <x v="104"/>
    <s v="Pesos"/>
    <d v="2026-07-15T00:00:00"/>
    <s v="14/05/2026"/>
    <n v="0.94237331999999996"/>
    <m/>
    <n v="16800000"/>
    <n v="15831871.779999999"/>
    <n v="16800000"/>
    <n v="15831871.779999999"/>
    <n v="32476"/>
    <s v="AMOMPY"/>
    <s v="Momentum Capital Investment S.A."/>
    <s v="27/04/2026"/>
    <s v="27/04/2026"/>
    <n v="36"/>
    <s v="No"/>
    <s v=""/>
    <m/>
    <m/>
    <s v="*MAV130701035"/>
    <s v="*MAV130701035"/>
    <n v="4.1726549428420639E-4"/>
  </r>
  <r>
    <x v="41"/>
    <s v="Pesos"/>
    <d v="2026-07-15T00:00:00"/>
    <s v="14/05/2026"/>
    <n v="0.93193081"/>
    <m/>
    <n v="3000000"/>
    <n v="2795792.43"/>
    <n v="3000000"/>
    <n v="2795792.43"/>
    <n v="3071"/>
    <s v="AMOMPY"/>
    <s v="Momentum Capital Investment S.A."/>
    <s v="13/02/2026"/>
    <s v="13/02/2026"/>
    <n v="43"/>
    <s v="No"/>
    <s v=""/>
    <m/>
    <m/>
    <s v="*MAV130700768"/>
    <s v="*MAV130700768"/>
    <n v="7.3686025659563069E-5"/>
  </r>
  <r>
    <x v="135"/>
    <s v="Pesos"/>
    <d v="2026-07-15T00:00:00"/>
    <s v="14/05/2026"/>
    <n v="0.94086729999999996"/>
    <m/>
    <n v="5000000"/>
    <n v="4704336.5"/>
    <n v="5000000"/>
    <n v="4704336.5"/>
    <n v="40734594"/>
    <s v="AMOMPY"/>
    <s v="Momentum Capital Investment S.A."/>
    <s v="05/05/2026"/>
    <s v="05/05/2026"/>
    <n v="37"/>
    <s v="No"/>
    <s v=""/>
    <m/>
    <m/>
    <s v="*MAV130701116"/>
    <s v="*MAV130701116"/>
    <n v="1.2398769534196753E-4"/>
  </r>
  <r>
    <x v="119"/>
    <s v="Pesos"/>
    <d v="2026-07-16T00:00:00"/>
    <s v="14/05/2026"/>
    <n v="0.95076857000000004"/>
    <m/>
    <n v="14700000"/>
    <n v="13976297.949999999"/>
    <n v="14700000"/>
    <n v="13976297.949999999"/>
    <n v="66589641"/>
    <s v="AMOMPY"/>
    <s v="Momentum Capital Investment S.A."/>
    <s v="29/04/2026"/>
    <s v="29/04/2026"/>
    <n v="30"/>
    <s v="No"/>
    <s v=""/>
    <m/>
    <m/>
    <s v="*MAV140701399"/>
    <s v="*MAV140701399"/>
    <n v="3.6835991052790667E-4"/>
  </r>
  <r>
    <x v="108"/>
    <s v="Pesos"/>
    <d v="2026-07-16T00:00:00"/>
    <s v="14/05/2026"/>
    <n v="0.93541785"/>
    <m/>
    <n v="4100000"/>
    <n v="3835213.18"/>
    <n v="4100000"/>
    <n v="3835213.18"/>
    <n v="1019"/>
    <s v="AMOMPY"/>
    <s v="Momentum Capital Investment S.A."/>
    <s v="09/03/2026"/>
    <s v="09/03/2026"/>
    <n v="40"/>
    <s v="No"/>
    <s v=""/>
    <m/>
    <m/>
    <s v="*MAV140701264"/>
    <s v="*MAV140701264"/>
    <n v="1.0108104369943318E-4"/>
  </r>
  <r>
    <x v="34"/>
    <s v="Pesos"/>
    <d v="2026-07-16T00:00:00"/>
    <s v="14/05/2026"/>
    <n v="0.93240694999999996"/>
    <m/>
    <n v="20000000"/>
    <n v="18648139.030000001"/>
    <n v="20000000"/>
    <n v="18648139.030000001"/>
    <n v="4021"/>
    <s v="AMOMPY"/>
    <s v="Momentum Capital Investment S.A."/>
    <s v="26/03/2026"/>
    <s v="26/03/2026"/>
    <n v="42"/>
    <s v="No"/>
    <s v=""/>
    <m/>
    <m/>
    <s v="*MAV140701282"/>
    <s v="*MAV140701282"/>
    <n v="4.9149115518124485E-4"/>
  </r>
  <r>
    <x v="5"/>
    <s v="Pesos"/>
    <d v="2026-07-16T00:00:00"/>
    <s v="14/05/2026"/>
    <n v="0.94149815000000003"/>
    <m/>
    <n v="3214300"/>
    <n v="3026257.49"/>
    <n v="3214300"/>
    <n v="3026257.49"/>
    <n v="2466"/>
    <s v="AMOMPY"/>
    <s v="Momentum Capital Investment S.A."/>
    <s v="04/05/2026"/>
    <s v="04/05/2026"/>
    <n v="36"/>
    <s v="No"/>
    <s v=""/>
    <m/>
    <m/>
    <s v="*MAV140701413"/>
    <s v="*MAV140701413"/>
    <n v="7.9760172703731425E-5"/>
  </r>
  <r>
    <x v="94"/>
    <s v="Pesos"/>
    <d v="2026-07-16T00:00:00"/>
    <s v="14/05/2026"/>
    <n v="0.95547243000000004"/>
    <m/>
    <n v="130000000"/>
    <n v="124211415.65000001"/>
    <n v="130000000"/>
    <n v="124211415.65000001"/>
    <n v="31"/>
    <s v="AMOMPY"/>
    <s v="Momentum Capital Investment S.A."/>
    <s v="17/04/2026"/>
    <s v="17/04/2026"/>
    <n v="27"/>
    <s v="No"/>
    <s v=""/>
    <m/>
    <m/>
    <s v="*FID140700021"/>
    <s v="*FID140700021"/>
    <n v="3.2737214188667627E-3"/>
  </r>
  <r>
    <x v="94"/>
    <s v="Pesos"/>
    <d v="2026-07-16T00:00:00"/>
    <s v="14/05/2026"/>
    <n v="0.95547243000000004"/>
    <m/>
    <n v="150000000"/>
    <n v="143320864.22"/>
    <n v="150000000"/>
    <n v="143320864.22"/>
    <n v="30"/>
    <s v="AMOMPY"/>
    <s v="Momentum Capital Investment S.A."/>
    <s v="17/04/2026"/>
    <s v="17/04/2026"/>
    <n v="27"/>
    <s v="No"/>
    <s v=""/>
    <m/>
    <m/>
    <s v="*FID140700020"/>
    <s v="*FID140700020"/>
    <n v="3.7773708681462003E-3"/>
  </r>
  <r>
    <x v="32"/>
    <s v="Pesos"/>
    <d v="2026-07-16T00:00:00"/>
    <s v="14/05/2026"/>
    <n v="0.93844828000000002"/>
    <m/>
    <n v="5450000"/>
    <n v="5114543.1100000003"/>
    <n v="5450000"/>
    <n v="5114543.1100000003"/>
    <n v="28515"/>
    <s v="AMOMPY"/>
    <s v="Momentum Capital Investment S.A."/>
    <s v="08/04/2026"/>
    <s v="08/04/2026"/>
    <n v="38"/>
    <s v="No"/>
    <s v=""/>
    <m/>
    <m/>
    <s v="*MAV140701323"/>
    <s v="*MAV140701323"/>
    <n v="1.3479911841681377E-4"/>
  </r>
  <r>
    <x v="47"/>
    <s v="Pesos"/>
    <d v="2026-07-16T00:00:00"/>
    <s v="14/05/2026"/>
    <n v="0.95233131999999998"/>
    <m/>
    <n v="1200000"/>
    <n v="1142797.5900000001"/>
    <n v="1200000"/>
    <n v="1142797.5900000001"/>
    <n v="544"/>
    <s v="AMOMPY"/>
    <s v="Momentum Capital Investment S.A."/>
    <s v="28/04/2026"/>
    <s v="28/04/2026"/>
    <n v="29"/>
    <s v="No"/>
    <s v=""/>
    <m/>
    <m/>
    <s v="*MIL140700053"/>
    <s v="*MIL140700053"/>
    <n v="3.0119622485860598E-5"/>
  </r>
  <r>
    <x v="73"/>
    <s v="Pesos"/>
    <d v="2026-07-16T00:00:00"/>
    <s v="14/05/2026"/>
    <n v="0.95705070999999997"/>
    <m/>
    <n v="96959948.799999997"/>
    <n v="92795587.900000006"/>
    <n v="96959948.799999997"/>
    <n v="92795587.900000006"/>
    <n v="1289"/>
    <s v="AMOMPY"/>
    <s v="Momentum Capital Investment S.A."/>
    <s v="04/05/2026"/>
    <s v="04/05/2026"/>
    <n v="26"/>
    <s v="No"/>
    <s v=""/>
    <m/>
    <m/>
    <s v="*PRO140700017"/>
    <s v="*PRO140700017"/>
    <n v="2.4457245100608705E-3"/>
  </r>
  <r>
    <x v="89"/>
    <s v="Pesos"/>
    <d v="2026-07-16T00:00:00"/>
    <s v="14/05/2026"/>
    <n v="0.95389922999999999"/>
    <m/>
    <n v="6500000"/>
    <n v="6200344.9699999997"/>
    <n v="6500000"/>
    <n v="6200344.9699999997"/>
    <n v="29175488"/>
    <s v="AMOMPY"/>
    <s v="Momentum Capital Investment S.A."/>
    <s v="04/05/2026"/>
    <s v="04/05/2026"/>
    <n v="28"/>
    <s v="No"/>
    <s v=""/>
    <m/>
    <m/>
    <s v="*CUY140700024"/>
    <s v="*CUY140700024"/>
    <n v="1.6341655898880977E-4"/>
  </r>
  <r>
    <x v="41"/>
    <s v="Pesos"/>
    <d v="2026-07-16T00:00:00"/>
    <s v="14/05/2026"/>
    <n v="0.93090872999999996"/>
    <m/>
    <n v="3500000"/>
    <n v="3258180.54"/>
    <n v="3500000"/>
    <n v="3258180.54"/>
    <n v="3072"/>
    <s v="AMOMPY"/>
    <s v="Momentum Capital Investment S.A."/>
    <s v="13/02/2026"/>
    <s v="13/02/2026"/>
    <n v="43"/>
    <s v="No"/>
    <s v=""/>
    <m/>
    <m/>
    <s v="*MAV140701247"/>
    <s v="*MAV140701247"/>
    <n v="8.5872746595114379E-5"/>
  </r>
  <r>
    <x v="62"/>
    <s v="Pesos"/>
    <d v="2026-07-17T00:00:00"/>
    <s v="14/05/2026"/>
    <n v="0.94217879000000004"/>
    <m/>
    <n v="1500000"/>
    <n v="1413268.18"/>
    <n v="1500000"/>
    <n v="1413268.18"/>
    <n v="1"/>
    <s v="AMOMPY"/>
    <s v="Momentum Capital Investment S.A."/>
    <s v="23/04/2026"/>
    <s v="23/04/2026"/>
    <n v="35"/>
    <s v="No"/>
    <s v=""/>
    <m/>
    <m/>
    <s v="*MAV150701604"/>
    <s v="*MAV150701604"/>
    <n v="3.7248157001170507E-5"/>
  </r>
  <r>
    <x v="86"/>
    <s v="Pesos"/>
    <d v="2026-07-17T00:00:00"/>
    <s v="14/05/2026"/>
    <n v="0.93753211999999997"/>
    <m/>
    <n v="20000000"/>
    <n v="18750642.300000001"/>
    <n v="20000000"/>
    <n v="18750642.300000001"/>
    <n v="65800709"/>
    <s v="AMOMPY"/>
    <s v="Momentum Capital Investment S.A."/>
    <s v="26/03/2026"/>
    <s v="26/03/2026"/>
    <n v="38"/>
    <s v="No"/>
    <s v=""/>
    <m/>
    <m/>
    <s v="*MAV150701506"/>
    <s v="*MAV150701506"/>
    <n v="4.9419273577870322E-4"/>
  </r>
  <r>
    <x v="108"/>
    <s v="Pesos"/>
    <d v="2026-07-17T00:00:00"/>
    <s v="14/05/2026"/>
    <n v="0.93445986999999997"/>
    <m/>
    <n v="4100000"/>
    <n v="3831285.46"/>
    <n v="4100000"/>
    <n v="3831285.46"/>
    <n v="1020"/>
    <s v="AMOMPY"/>
    <s v="Momentum Capital Investment S.A."/>
    <s v="09/03/2026"/>
    <s v="09/03/2026"/>
    <n v="40"/>
    <s v="No"/>
    <s v=""/>
    <m/>
    <m/>
    <s v="*MAV150701468"/>
    <s v="*MAV150701468"/>
    <n v="1.009775245420029E-4"/>
  </r>
  <r>
    <x v="37"/>
    <s v="Pesos"/>
    <d v="2026-07-17T00:00:00"/>
    <s v="14/05/2026"/>
    <n v="0.95161127999999995"/>
    <m/>
    <n v="12500000"/>
    <n v="11895141.060000001"/>
    <n v="12500000"/>
    <n v="11895141.060000001"/>
    <n v="28996509"/>
    <s v="AMOMPY"/>
    <s v="Momentum Capital Investment S.A."/>
    <s v="31/03/2026"/>
    <s v="31/03/2026"/>
    <n v="29"/>
    <s v="No"/>
    <s v=""/>
    <m/>
    <m/>
    <s v="*AAR150700042"/>
    <s v="*AAR150700042"/>
    <n v="3.13508849929636E-4"/>
  </r>
  <r>
    <x v="46"/>
    <s v="Pesos"/>
    <d v="2026-07-17T00:00:00"/>
    <s v="14/05/2026"/>
    <n v="0.95161138999999995"/>
    <m/>
    <n v="70000000"/>
    <n v="66612797.380000003"/>
    <n v="70000000"/>
    <n v="66612797.380000003"/>
    <n v="90041868"/>
    <s v="AMOMPY"/>
    <s v="Momentum Capital Investment S.A."/>
    <s v="20/04/2026"/>
    <s v="20/04/2026"/>
    <n v="29"/>
    <s v="No"/>
    <s v=""/>
    <m/>
    <m/>
    <s v="*FED150700056"/>
    <s v="*FED150700056"/>
    <n v="1.7556497558003461E-3"/>
  </r>
  <r>
    <x v="78"/>
    <s v="Pesos"/>
    <d v="2026-07-17T00:00:00"/>
    <s v="14/05/2026"/>
    <n v="0.95320179000000005"/>
    <m/>
    <n v="1000000"/>
    <n v="953201.79"/>
    <n v="1000000"/>
    <n v="953201.79"/>
    <n v="10805445"/>
    <s v="AMOMPY"/>
    <s v="Momentum Capital Investment S.A."/>
    <s v="22/04/2026"/>
    <s v="22/04/2026"/>
    <n v="28"/>
    <s v="No"/>
    <s v=""/>
    <m/>
    <m/>
    <s v="*INP150700098"/>
    <s v="*INP150700098"/>
    <n v="2.5122627417902213E-5"/>
  </r>
  <r>
    <x v="47"/>
    <s v="Pesos"/>
    <d v="2026-07-17T00:00:00"/>
    <s v="14/05/2026"/>
    <n v="0.95161130000000005"/>
    <m/>
    <n v="3500000"/>
    <n v="3330639.56"/>
    <n v="3500000"/>
    <n v="3330639.56"/>
    <n v="404"/>
    <s v="AMOMPY"/>
    <s v="Momentum Capital Investment S.A."/>
    <s v="22/04/2026"/>
    <s v="22/04/2026"/>
    <n v="29"/>
    <s v="No"/>
    <s v=""/>
    <m/>
    <m/>
    <s v="*MIL150700044"/>
    <s v="*MIL150700044"/>
    <n v="8.7782479645999995E-5"/>
  </r>
  <r>
    <x v="73"/>
    <s v="Pesos"/>
    <d v="2026-07-17T00:00:00"/>
    <s v="14/05/2026"/>
    <n v="0.95320174000000002"/>
    <m/>
    <n v="15000000"/>
    <n v="14298026.15"/>
    <n v="15000000"/>
    <n v="14298026.15"/>
    <n v="29131904"/>
    <s v="AMOMPY"/>
    <s v="Momentum Capital Investment S.A."/>
    <s v="21/04/2026"/>
    <s v="21/04/2026"/>
    <n v="28"/>
    <s v="No"/>
    <s v=""/>
    <m/>
    <m/>
    <s v="*PRO150700020"/>
    <s v="*PRO150700020"/>
    <n v="3.7683939281930303E-4"/>
  </r>
  <r>
    <x v="52"/>
    <s v="Pesos"/>
    <d v="2026-07-17T00:00:00"/>
    <s v="14/05/2026"/>
    <n v="0.93445995999999998"/>
    <m/>
    <n v="40000000"/>
    <n v="37378398.520000003"/>
    <n v="40000000"/>
    <n v="37378398.520000003"/>
    <n v="224"/>
    <s v="AMOMPY"/>
    <s v="Momentum Capital Investment S.A."/>
    <s v="18/03/2026"/>
    <s v="18/03/2026"/>
    <n v="40"/>
    <s v="No"/>
    <s v=""/>
    <m/>
    <m/>
    <s v="*MAV150701477"/>
    <s v="*MAV150701477"/>
    <n v="9.8514668074199435E-4"/>
  </r>
  <r>
    <x v="41"/>
    <s v="Pesos"/>
    <d v="2026-07-17T00:00:00"/>
    <s v="14/05/2026"/>
    <n v="0.92988904999999999"/>
    <m/>
    <n v="3500000"/>
    <n v="3254611.67"/>
    <n v="3500000"/>
    <n v="3254611.67"/>
    <n v="3073"/>
    <s v="AMOMPY"/>
    <s v="Momentum Capital Investment S.A."/>
    <s v="13/02/2026"/>
    <s v="13/02/2026"/>
    <n v="43"/>
    <s v="No"/>
    <s v=""/>
    <m/>
    <m/>
    <s v="*MAV150701443"/>
    <s v="*MAV150701443"/>
    <n v="8.5778685303734595E-5"/>
  </r>
  <r>
    <x v="135"/>
    <s v="Pesos"/>
    <d v="2026-07-17T00:00:00"/>
    <s v="14/05/2026"/>
    <n v="0.93907584"/>
    <m/>
    <n v="5000000"/>
    <n v="4695379.22"/>
    <n v="5000000"/>
    <n v="4695379.22"/>
    <n v="40734595"/>
    <s v="AMOMPY"/>
    <s v="Momentum Capital Investment S.A."/>
    <s v="05/05/2026"/>
    <s v="05/05/2026"/>
    <n v="37"/>
    <s v="No"/>
    <s v=""/>
    <m/>
    <m/>
    <s v="*MAV150701651"/>
    <s v="*MAV150701651"/>
    <n v="1.2375161688462659E-4"/>
  </r>
  <r>
    <x v="28"/>
    <s v="Pesos"/>
    <d v="2026-07-17T00:00:00"/>
    <s v="14/05/2026"/>
    <n v="0.93293130999999996"/>
    <m/>
    <n v="45000000"/>
    <n v="41981909.119999997"/>
    <n v="45000000"/>
    <n v="41981909.119999997"/>
    <n v="64885072"/>
    <s v="AMOMPY"/>
    <s v="Momentum Capital Investment S.A."/>
    <s v="13/02/2026"/>
    <s v="13/02/2026"/>
    <n v="41"/>
    <s v="No"/>
    <s v=""/>
    <m/>
    <m/>
    <s v="*MAV150701442"/>
    <s v="*MAV150701442"/>
    <n v="1.1064770043224435E-3"/>
  </r>
  <r>
    <x v="76"/>
    <s v="Pesos"/>
    <d v="2026-07-20T00:00:00"/>
    <s v="14/05/2026"/>
    <n v="0.94615985000000002"/>
    <m/>
    <n v="15000000"/>
    <n v="14192397.710000001"/>
    <n v="15000000"/>
    <n v="14192397.710000001"/>
    <n v="70219528"/>
    <s v="AMOMPY"/>
    <s v="Momentum Capital Investment S.A."/>
    <s v="11/05/2026"/>
    <s v="11/05/2026"/>
    <n v="31"/>
    <s v="No"/>
    <s v=""/>
    <m/>
    <m/>
    <s v="*MAV160701096"/>
    <s v="*MAV160701096"/>
    <n v="3.7405544510676859E-4"/>
  </r>
  <r>
    <x v="4"/>
    <s v="Pesos"/>
    <d v="2026-07-20T00:00:00"/>
    <s v="14/05/2026"/>
    <n v="0.93479491000000003"/>
    <m/>
    <n v="8000000"/>
    <n v="7478359.2999999998"/>
    <n v="8000000"/>
    <n v="7478359.2999999998"/>
    <n v="60524090"/>
    <s v="AMOMPY"/>
    <s v="Momentum Capital Investment S.A."/>
    <s v="19/03/2026"/>
    <s v="19/03/2026"/>
    <n v="38"/>
    <s v="No"/>
    <s v=""/>
    <m/>
    <m/>
    <s v="*MAV160700961"/>
    <s v="*MAV160700961"/>
    <n v="1.9709995969594641E-4"/>
  </r>
  <r>
    <x v="4"/>
    <s v="Pesos"/>
    <d v="2026-07-20T00:00:00"/>
    <s v="14/05/2026"/>
    <n v="0.93159787999999999"/>
    <m/>
    <n v="3500000"/>
    <n v="3260592.57"/>
    <n v="3500000"/>
    <n v="3260592.57"/>
    <n v="60524036"/>
    <s v="AMOMPY"/>
    <s v="Momentum Capital Investment S.A."/>
    <s v="06/03/2026"/>
    <s v="06/03/2026"/>
    <n v="40"/>
    <s v="No"/>
    <s v=""/>
    <m/>
    <m/>
    <s v="*MAV160700952"/>
    <s v="*MAV160700952"/>
    <n v="8.593631816164575E-5"/>
  </r>
  <r>
    <x v="108"/>
    <s v="Pesos"/>
    <d v="2026-07-20T00:00:00"/>
    <s v="14/05/2026"/>
    <n v="0.93159784999999995"/>
    <m/>
    <n v="4100000"/>
    <n v="3819551.2"/>
    <n v="4100000"/>
    <n v="3819551.2"/>
    <n v="1021"/>
    <s v="AMOMPY"/>
    <s v="Momentum Capital Investment S.A."/>
    <s v="09/03/2026"/>
    <s v="09/03/2026"/>
    <n v="40"/>
    <s v="No"/>
    <s v=""/>
    <m/>
    <m/>
    <s v="*MAV160700955"/>
    <s v="*MAV160700955"/>
    <n v="1.0066825588021745E-4"/>
  </r>
  <r>
    <x v="78"/>
    <s v="Pesos"/>
    <d v="2026-07-20T00:00:00"/>
    <s v="14/05/2026"/>
    <n v="0.95277882999999997"/>
    <m/>
    <n v="20000000"/>
    <n v="19055576.670000002"/>
    <n v="20000000"/>
    <n v="19055576.670000002"/>
    <n v="30169"/>
    <s v="AMOMPY"/>
    <s v="Momentum Capital Investment S.A."/>
    <s v="22/04/2026"/>
    <s v="22/04/2026"/>
    <n v="27"/>
    <s v="No"/>
    <s v=""/>
    <m/>
    <m/>
    <s v="*INP160700041"/>
    <s v="*INP160700041"/>
    <n v="5.0222959916355143E-4"/>
  </r>
  <r>
    <x v="78"/>
    <s v="Pesos"/>
    <d v="2026-07-20T00:00:00"/>
    <s v="14/05/2026"/>
    <n v="0.94945780999999996"/>
    <m/>
    <n v="5000000"/>
    <n v="4747289.07"/>
    <n v="5000000"/>
    <n v="4747289.07"/>
    <n v="16779601"/>
    <s v="AMOMPY"/>
    <s v="Momentum Capital Investment S.A."/>
    <s v="30/04/2026"/>
    <s v="30/04/2026"/>
    <n v="29"/>
    <s v="No"/>
    <s v=""/>
    <m/>
    <m/>
    <s v="*INP160700044"/>
    <s v="*INP160700044"/>
    <n v="1.2511975512623566E-4"/>
  </r>
  <r>
    <x v="65"/>
    <s v="Pesos"/>
    <d v="2026-07-20T00:00:00"/>
    <s v="14/05/2026"/>
    <n v="0.94451925000000003"/>
    <m/>
    <n v="15000000"/>
    <n v="14167788.779999999"/>
    <n v="15000000"/>
    <n v="14167788.779999999"/>
    <n v="172"/>
    <s v="AMOMPY"/>
    <s v="Momentum Capital Investment S.A."/>
    <s v="17/04/2026"/>
    <s v="17/04/2026"/>
    <n v="32"/>
    <s v="No"/>
    <s v=""/>
    <m/>
    <m/>
    <s v="*NEU160700021"/>
    <s v="*NEU160700021"/>
    <n v="3.7340685108813666E-4"/>
  </r>
  <r>
    <x v="29"/>
    <s v="Pesos"/>
    <d v="2026-07-21T00:00:00"/>
    <s v="14/05/2026"/>
    <n v="0.93878618999999996"/>
    <m/>
    <n v="10000000"/>
    <n v="9387861.9100000001"/>
    <n v="10000000"/>
    <n v="9387861.9100000001"/>
    <n v="40624310"/>
    <s v="AMOMPY"/>
    <s v="Momentum Capital Investment S.A."/>
    <s v="20/04/2026"/>
    <s v="20/04/2026"/>
    <n v="35"/>
    <s v="No"/>
    <s v=""/>
    <m/>
    <m/>
    <s v="*MAV170701366"/>
    <s v="*MAV170701366"/>
    <n v="2.4742689269986143E-4"/>
  </r>
  <r>
    <x v="136"/>
    <s v="Pesos"/>
    <d v="2026-07-21T00:00:00"/>
    <s v="14/05/2026"/>
    <n v="0.93551366999999996"/>
    <m/>
    <n v="5000000"/>
    <n v="4677568.33"/>
    <n v="5000000"/>
    <n v="4677568.33"/>
    <n v="66786647"/>
    <s v="AMOMPY"/>
    <s v="Momentum Capital Investment S.A."/>
    <s v="13/05/2026"/>
    <s v="13/05/2026"/>
    <n v="37"/>
    <s v="No"/>
    <s v=""/>
    <m/>
    <m/>
    <s v="*MAV170701525"/>
    <s v="*MAV170701525"/>
    <n v="1.2328219230092828E-4"/>
  </r>
  <r>
    <x v="36"/>
    <s v="Pesos"/>
    <d v="2026-07-21T00:00:00"/>
    <s v="14/05/2026"/>
    <n v="0.94706813000000001"/>
    <m/>
    <n v="10250000"/>
    <n v="9707448.3200000003"/>
    <n v="10250000"/>
    <n v="9707448.3200000003"/>
    <n v="454"/>
    <s v="AMOMPY"/>
    <s v="Momentum Capital Investment S.A."/>
    <s v="04/05/2026"/>
    <s v="04/05/2026"/>
    <n v="30"/>
    <s v="No"/>
    <s v=""/>
    <m/>
    <m/>
    <s v="*MAV170701431"/>
    <s v="*MAV170701431"/>
    <n v="2.5584992588180178E-4"/>
  </r>
  <r>
    <x v="110"/>
    <s v="Pesos"/>
    <d v="2026-07-21T00:00:00"/>
    <s v="14/05/2026"/>
    <n v="0.93064776999999999"/>
    <m/>
    <n v="100000000"/>
    <n v="93064777.079999998"/>
    <n v="100000000"/>
    <n v="93064777.079999998"/>
    <n v="305"/>
    <s v="AMOMPY"/>
    <s v="Momentum Capital Investment S.A."/>
    <s v="18/03/2026"/>
    <s v="18/03/2026"/>
    <n v="40"/>
    <s v="No"/>
    <s v=""/>
    <m/>
    <m/>
    <s v="*MAV170701013"/>
    <s v="*MAV170701013"/>
    <n v="2.4528192716790484E-3"/>
  </r>
  <r>
    <x v="33"/>
    <s v="Pesos"/>
    <d v="2026-07-21T00:00:00"/>
    <s v="14/05/2026"/>
    <n v="0.92106597000000001"/>
    <m/>
    <n v="10000000"/>
    <n v="9210659.7200000007"/>
    <n v="10000000"/>
    <n v="9210659.7200000007"/>
    <n v="3925"/>
    <s v="AMOMPY"/>
    <s v="Momentum Capital Investment S.A."/>
    <s v="11/08/2025"/>
    <s v="11/08/2025"/>
    <n v="46"/>
    <s v="No"/>
    <s v=""/>
    <m/>
    <m/>
    <s v="*MAV170700987"/>
    <s v="*MAV170700987"/>
    <n v="2.4275654415067719E-4"/>
  </r>
  <r>
    <x v="108"/>
    <s v="Pesos"/>
    <d v="2026-07-21T00:00:00"/>
    <s v="14/05/2026"/>
    <n v="0.93064767999999998"/>
    <m/>
    <n v="4100000"/>
    <n v="3815655.49"/>
    <n v="4100000"/>
    <n v="3815655.49"/>
    <n v="1022"/>
    <s v="AMOMPY"/>
    <s v="Momentum Capital Investment S.A."/>
    <s v="09/03/2026"/>
    <s v="09/03/2026"/>
    <n v="40"/>
    <s v="No"/>
    <s v=""/>
    <m/>
    <m/>
    <s v="*MAV170701009"/>
    <s v="*MAV170701009"/>
    <n v="1.0056558037972537E-4"/>
  </r>
  <r>
    <x v="34"/>
    <s v="Pesos"/>
    <d v="2026-07-21T00:00:00"/>
    <s v="14/05/2026"/>
    <n v="0.92743184999999995"/>
    <m/>
    <n v="20000000"/>
    <n v="18548636.969999999"/>
    <n v="20000000"/>
    <n v="18548636.969999999"/>
    <n v="4022"/>
    <s v="AMOMPY"/>
    <s v="Momentum Capital Investment S.A."/>
    <s v="26/03/2026"/>
    <s v="26/03/2026"/>
    <n v="42"/>
    <s v="No"/>
    <s v=""/>
    <m/>
    <m/>
    <s v="*MAV170701024"/>
    <s v="*MAV170701024"/>
    <n v="4.8886867460376526E-4"/>
  </r>
  <r>
    <x v="137"/>
    <s v="Pesos"/>
    <d v="2026-07-21T00:00:00"/>
    <s v="14/05/2026"/>
    <n v="0.94208141000000001"/>
    <m/>
    <n v="50000000"/>
    <n v="47104070.539999999"/>
    <n v="50000000"/>
    <n v="47104070.539999999"/>
    <n v="29007572"/>
    <s v="AMOMPY"/>
    <s v="Momentum Capital Investment S.A."/>
    <s v="31/03/2026"/>
    <s v="31/03/2026"/>
    <n v="33"/>
    <s v="No"/>
    <s v=""/>
    <m/>
    <m/>
    <s v="*MAV170701219"/>
    <s v="*MAV170701219"/>
    <n v="1.241476911245628E-3"/>
  </r>
  <r>
    <x v="37"/>
    <s v="Pesos"/>
    <d v="2026-07-21T00:00:00"/>
    <s v="14/05/2026"/>
    <n v="0.94874199000000004"/>
    <m/>
    <n v="12500000"/>
    <n v="11859274.91"/>
    <n v="12500000"/>
    <n v="11859274.91"/>
    <n v="28996504"/>
    <s v="AMOMPY"/>
    <s v="Momentum Capital Investment S.A."/>
    <s v="31/03/2026"/>
    <s v="31/03/2026"/>
    <n v="29"/>
    <s v="No"/>
    <s v=""/>
    <m/>
    <m/>
    <s v="*AAR170700014"/>
    <s v="*AAR170700014"/>
    <n v="3.1256356013599783E-4"/>
  </r>
  <r>
    <x v="78"/>
    <s v="Pesos"/>
    <d v="2026-07-21T00:00:00"/>
    <s v="14/05/2026"/>
    <n v="0.94874208999999998"/>
    <m/>
    <n v="5000000"/>
    <n v="4743710.46"/>
    <n v="5000000"/>
    <n v="4743710.46"/>
    <n v="16771074"/>
    <s v="AMOMPY"/>
    <s v="Momentum Capital Investment S.A."/>
    <s v="20/04/2026"/>
    <s v="20/04/2026"/>
    <n v="29"/>
    <s v="No"/>
    <s v=""/>
    <m/>
    <m/>
    <s v="*INP170700067"/>
    <s v="*INP170700067"/>
    <n v="1.2502543712699648E-4"/>
  </r>
  <r>
    <x v="135"/>
    <s v="Pesos"/>
    <d v="2026-07-21T00:00:00"/>
    <s v="14/05/2026"/>
    <n v="0.93551390000000001"/>
    <m/>
    <n v="5000000"/>
    <n v="4677569.4800000004"/>
    <n v="5000000"/>
    <n v="4677569.4800000004"/>
    <n v="40734601"/>
    <s v="AMOMPY"/>
    <s v="Momentum Capital Investment S.A."/>
    <s v="05/05/2026"/>
    <s v="05/05/2026"/>
    <n v="37"/>
    <s v="No"/>
    <s v=""/>
    <m/>
    <m/>
    <s v="*MAV170701437"/>
    <s v="*MAV170701437"/>
    <n v="1.2328222261037781E-4"/>
  </r>
  <r>
    <x v="138"/>
    <s v="Pesos"/>
    <d v="2026-07-22T00:00:00"/>
    <s v="14/05/2026"/>
    <n v="0.93297905999999997"/>
    <m/>
    <n v="3116595.02"/>
    <n v="2907717.88"/>
    <n v="3116595.02"/>
    <n v="2907717.88"/>
    <n v="103"/>
    <s v="AMOMPY"/>
    <s v="Momentum Capital Investment S.A."/>
    <s v="17/04/2026"/>
    <s v="17/04/2026"/>
    <n v="38"/>
    <s v="No"/>
    <s v=""/>
    <m/>
    <m/>
    <s v="*MAV200701011"/>
    <s v="*MAV200701011"/>
    <n v="7.6635937638778971E-5"/>
  </r>
  <r>
    <x v="136"/>
    <s v="Pesos"/>
    <d v="2026-07-22T00:00:00"/>
    <s v="14/05/2026"/>
    <n v="0.93462756000000002"/>
    <m/>
    <n v="5454223.6600000001"/>
    <n v="5097667.76"/>
    <n v="5454223.6600000001"/>
    <n v="5097667.76"/>
    <n v="66786698"/>
    <s v="AMOMPY"/>
    <s v="Momentum Capital Investment S.A."/>
    <s v="13/05/2026"/>
    <s v="13/05/2026"/>
    <n v="37"/>
    <s v="No"/>
    <s v=""/>
    <m/>
    <m/>
    <s v="*MAV200701147"/>
    <s v="*MAV200701147"/>
    <n v="1.3435435096563567E-4"/>
  </r>
  <r>
    <x v="110"/>
    <s v="Pesos"/>
    <d v="2026-07-22T00:00:00"/>
    <s v="14/05/2026"/>
    <n v="0.93628171999999998"/>
    <m/>
    <n v="65000000"/>
    <n v="60858311.609999999"/>
    <n v="65000000"/>
    <n v="60858311.609999999"/>
    <n v="311"/>
    <s v="AMOMPY"/>
    <s v="Momentum Capital Investment S.A."/>
    <s v="10/04/2026"/>
    <s v="10/04/2026"/>
    <n v="36"/>
    <s v="No"/>
    <s v=""/>
    <m/>
    <m/>
    <s v="*MAV200700987"/>
    <s v="*MAV200700987"/>
    <n v="1.6039842810834655E-3"/>
  </r>
  <r>
    <x v="43"/>
    <s v="Pesos"/>
    <d v="2026-07-22T00:00:00"/>
    <s v="14/05/2026"/>
    <n v="0.94295759999999995"/>
    <m/>
    <n v="1809446"/>
    <n v="1706230.85"/>
    <n v="1809446"/>
    <n v="1706230.85"/>
    <n v="9947"/>
    <s v="AMOMPY"/>
    <s v="Momentum Capital Investment S.A."/>
    <s v="30/04/2026"/>
    <s v="30/04/2026"/>
    <n v="32"/>
    <s v="No"/>
    <s v=""/>
    <m/>
    <m/>
    <s v="*MAV200701092"/>
    <s v="*MAV200701092"/>
    <n v="4.4969493745370113E-5"/>
  </r>
  <r>
    <x v="108"/>
    <s v="Pesos"/>
    <d v="2026-07-22T00:00:00"/>
    <s v="14/05/2026"/>
    <n v="0.92969942999999999"/>
    <m/>
    <n v="4100000"/>
    <n v="3811767.68"/>
    <n v="4100000"/>
    <n v="3811767.68"/>
    <n v="1023"/>
    <s v="AMOMPY"/>
    <s v="Momentum Capital Investment S.A."/>
    <s v="09/03/2026"/>
    <s v="09/03/2026"/>
    <n v="40"/>
    <s v="No"/>
    <s v=""/>
    <m/>
    <m/>
    <s v="*MAV200700914"/>
    <s v="*MAV200700914"/>
    <n v="1.0046311309197343E-4"/>
  </r>
  <r>
    <x v="47"/>
    <s v="Pesos"/>
    <d v="2026-07-22T00:00:00"/>
    <s v="14/05/2026"/>
    <n v="0.94802748000000003"/>
    <m/>
    <n v="11000000"/>
    <n v="10428302.32"/>
    <n v="11000000"/>
    <n v="10428302.32"/>
    <n v="269"/>
    <s v="AMOMPY"/>
    <s v="Momentum Capital Investment S.A."/>
    <s v="14/04/2026"/>
    <s v="14/04/2026"/>
    <n v="29"/>
    <s v="No"/>
    <s v=""/>
    <m/>
    <m/>
    <s v="*MIL200700043"/>
    <s v="*MIL200700043"/>
    <n v="2.7484878494259357E-4"/>
  </r>
  <r>
    <x v="94"/>
    <s v="Pesos"/>
    <d v="2026-07-22T00:00:00"/>
    <s v="14/05/2026"/>
    <n v="0.94633149999999999"/>
    <m/>
    <n v="15000000"/>
    <n v="14194972.57"/>
    <n v="15000000"/>
    <n v="14194972.57"/>
    <n v="2833124"/>
    <s v="AMOMPY"/>
    <s v="Momentum Capital Investment S.A."/>
    <s v="21/04/2026"/>
    <s v="21/04/2026"/>
    <n v="30"/>
    <s v="No"/>
    <s v=""/>
    <m/>
    <m/>
    <s v="*FID200700022"/>
    <s v="*FID200700022"/>
    <n v="3.741233082277907E-4"/>
  </r>
  <r>
    <x v="133"/>
    <s v="Pesos"/>
    <d v="2026-07-22T00:00:00"/>
    <s v="14/05/2026"/>
    <n v="0.94127985999999997"/>
    <m/>
    <n v="50000000"/>
    <n v="47063993.039999999"/>
    <n v="50000000"/>
    <n v="47063993.039999999"/>
    <n v="134"/>
    <s v="AMOMPY"/>
    <s v="Momentum Capital Investment S.A."/>
    <s v="13/05/2026"/>
    <s v="13/05/2026"/>
    <n v="33"/>
    <s v="No"/>
    <s v=""/>
    <m/>
    <m/>
    <s v="*MAV200701140"/>
    <s v="*MAV200701140"/>
    <n v="1.2404206269300679E-3"/>
  </r>
  <r>
    <x v="99"/>
    <s v="Pesos"/>
    <d v="2026-07-22T00:00:00"/>
    <s v="14/05/2026"/>
    <n v="0.93462738999999995"/>
    <m/>
    <n v="100000000"/>
    <n v="93462738.560000002"/>
    <n v="100000000"/>
    <n v="93462738.560000002"/>
    <n v="7376"/>
    <s v="AMOMPY"/>
    <s v="Momentum Capital Investment S.A."/>
    <s v="23/04/2026"/>
    <s v="23/04/2026"/>
    <n v="37"/>
    <s v="No"/>
    <s v=""/>
    <m/>
    <m/>
    <s v="*MAV200701047"/>
    <s v="*MAV200701047"/>
    <n v="2.4633079615803935E-3"/>
  </r>
  <r>
    <x v="47"/>
    <s v="Pesos"/>
    <d v="2026-07-22T00:00:00"/>
    <s v="14/05/2026"/>
    <n v="0.94802748000000003"/>
    <m/>
    <n v="40000000"/>
    <n v="37921099.009999998"/>
    <n v="40000000"/>
    <n v="37921099.009999998"/>
    <n v="54026408"/>
    <s v="AMOMPY"/>
    <s v="Momentum Capital Investment S.A."/>
    <s v="28/04/2026"/>
    <s v="28/04/2026"/>
    <n v="29"/>
    <s v="No"/>
    <s v=""/>
    <m/>
    <m/>
    <s v="*MIL200700046"/>
    <s v="*MIL200700046"/>
    <n v="9.9945011822272223E-4"/>
  </r>
  <r>
    <x v="47"/>
    <s v="Pesos"/>
    <d v="2026-07-22T00:00:00"/>
    <s v="14/05/2026"/>
    <n v="0.94802748000000003"/>
    <m/>
    <n v="12500000"/>
    <n v="11850343.439999999"/>
    <n v="12500000"/>
    <n v="11850343.439999999"/>
    <n v="9798603"/>
    <s v="AMOMPY"/>
    <s v="Momentum Capital Investment S.A."/>
    <s v="28/04/2026"/>
    <s v="28/04/2026"/>
    <n v="29"/>
    <s v="No"/>
    <s v=""/>
    <m/>
    <m/>
    <s v="*MIL200700047"/>
    <s v="*MIL200700047"/>
    <n v="3.1232816192812814E-4"/>
  </r>
  <r>
    <x v="47"/>
    <s v="Pesos"/>
    <d v="2026-07-22T00:00:00"/>
    <s v="14/05/2026"/>
    <n v="0.94802737999999998"/>
    <m/>
    <n v="4166666.7"/>
    <n v="3950114.12"/>
    <n v="4166666.7"/>
    <n v="3950114.12"/>
    <n v="13567715"/>
    <s v="AMOMPY"/>
    <s v="Momentum Capital Investment S.A."/>
    <s v="30/04/2026"/>
    <s v="30/04/2026"/>
    <n v="29"/>
    <s v="No"/>
    <s v=""/>
    <m/>
    <m/>
    <s v="*MIL200700049"/>
    <s v="*MIL200700049"/>
    <n v="1.0410937782120056E-4"/>
  </r>
  <r>
    <x v="47"/>
    <s v="Pesos"/>
    <d v="2026-07-22T00:00:00"/>
    <s v="14/05/2026"/>
    <n v="0.94802737999999998"/>
    <m/>
    <n v="10000000"/>
    <n v="9480273.8000000007"/>
    <n v="10000000"/>
    <n v="9480273.8000000007"/>
    <n v="66581708"/>
    <s v="AMOMPY"/>
    <s v="Momentum Capital Investment S.A."/>
    <s v="30/04/2026"/>
    <s v="30/04/2026"/>
    <n v="29"/>
    <s v="No"/>
    <s v=""/>
    <m/>
    <m/>
    <s v="*MIL200700050"/>
    <s v="*MIL200700050"/>
    <n v="2.4986250445154954E-4"/>
  </r>
  <r>
    <x v="47"/>
    <s v="Pesos"/>
    <d v="2026-07-22T00:00:00"/>
    <s v="14/05/2026"/>
    <n v="0.94802734"/>
    <m/>
    <n v="3500000"/>
    <n v="3318095.68"/>
    <n v="3500000"/>
    <n v="3318095.68"/>
    <n v="405"/>
    <s v="AMOMPY"/>
    <s v="Momentum Capital Investment S.A."/>
    <s v="22/04/2026"/>
    <s v="22/04/2026"/>
    <n v="29"/>
    <s v="No"/>
    <s v=""/>
    <m/>
    <m/>
    <s v="*MIL200700045"/>
    <s v="*MIL200700045"/>
    <n v="8.7451872604635888E-5"/>
  </r>
  <r>
    <x v="89"/>
    <s v="Pesos"/>
    <d v="2026-07-22T00:00:00"/>
    <s v="14/05/2026"/>
    <n v="0.94972946999999996"/>
    <m/>
    <n v="6500000"/>
    <n v="6173241.5599999996"/>
    <n v="6500000"/>
    <n v="6173241.5599999996"/>
    <n v="29175495"/>
    <s v="AMOMPY"/>
    <s v="Momentum Capital Investment S.A."/>
    <s v="04/05/2026"/>
    <s v="04/05/2026"/>
    <n v="28"/>
    <s v="No"/>
    <s v=""/>
    <m/>
    <m/>
    <s v="*CUY200700030"/>
    <s v="*CUY200700030"/>
    <n v="1.6270222034789656E-4"/>
  </r>
  <r>
    <x v="78"/>
    <s v="Pesos"/>
    <d v="2026-07-22T00:00:00"/>
    <s v="14/05/2026"/>
    <n v="0.94802743"/>
    <m/>
    <n v="5000000"/>
    <n v="4740137.13"/>
    <n v="5000000"/>
    <n v="4740137.13"/>
    <n v="16771075"/>
    <s v="AMOMPY"/>
    <s v="Momentum Capital Investment S.A."/>
    <s v="20/04/2026"/>
    <s v="20/04/2026"/>
    <n v="29"/>
    <s v="No"/>
    <s v=""/>
    <m/>
    <m/>
    <s v="*INP200700070"/>
    <s v="*INP200700070"/>
    <n v="1.2493125828766467E-4"/>
  </r>
  <r>
    <x v="34"/>
    <s v="Pesos"/>
    <d v="2026-07-23T00:00:00"/>
    <s v="14/05/2026"/>
    <n v="0.92875328999999995"/>
    <m/>
    <n v="10000000"/>
    <n v="9287532.8699999992"/>
    <n v="10000000"/>
    <n v="9287532.8699999992"/>
    <n v="4093"/>
    <s v="AMOMPY"/>
    <s v="Momentum Capital Investment S.A."/>
    <s v="17/04/2026"/>
    <s v="17/04/2026"/>
    <n v="40"/>
    <s v="No"/>
    <s v=""/>
    <m/>
    <m/>
    <s v="*MAV210701197"/>
    <s v="*MAV210701197"/>
    <n v="2.4478261620189569E-4"/>
  </r>
  <r>
    <x v="78"/>
    <s v="Pesos"/>
    <d v="2026-07-23T00:00:00"/>
    <s v="14/05/2026"/>
    <n v="0.94731399000000005"/>
    <m/>
    <n v="5000000"/>
    <n v="4736569.97"/>
    <n v="5000000"/>
    <n v="4736569.97"/>
    <n v="16779602"/>
    <s v="AMOMPY"/>
    <s v="Momentum Capital Investment S.A."/>
    <s v="30/04/2026"/>
    <s v="30/04/2026"/>
    <n v="29"/>
    <s v="No"/>
    <s v=""/>
    <m/>
    <m/>
    <s v="*INP210700080"/>
    <s v="*INP210700080"/>
    <n v="1.248372420651185E-4"/>
  </r>
  <r>
    <x v="111"/>
    <s v="Pesos"/>
    <d v="2026-07-23T00:00:00"/>
    <s v="14/05/2026"/>
    <n v="0.94903811000000005"/>
    <m/>
    <n v="25000000"/>
    <n v="23725952.84"/>
    <n v="25000000"/>
    <n v="23725952.84"/>
    <n v="895"/>
    <s v="AMOMPY"/>
    <s v="Momentum Capital Investment S.A."/>
    <s v="22/04/2026"/>
    <s v="22/04/2026"/>
    <n v="28"/>
    <s v="No"/>
    <s v=""/>
    <m/>
    <m/>
    <s v="*TRD210700023"/>
    <s v="*TRD210700023"/>
    <n v="6.2532223458585702E-4"/>
  </r>
  <r>
    <x v="7"/>
    <s v="Pesos"/>
    <d v="2026-07-23T00:00:00"/>
    <s v="14/05/2026"/>
    <n v="0.94903804000000003"/>
    <m/>
    <n v="50000000"/>
    <n v="47451902.049999997"/>
    <n v="50000000"/>
    <n v="47451902.049999997"/>
    <n v="4576"/>
    <s v="AMOMPY"/>
    <s v="Momentum Capital Investment S.A."/>
    <s v="05/05/2026"/>
    <s v="05/05/2026"/>
    <n v="28"/>
    <s v="No"/>
    <s v=""/>
    <m/>
    <m/>
    <s v="*BIF210700008"/>
    <s v="*BIF210700008"/>
    <n v="1.2506443734992777E-3"/>
  </r>
  <r>
    <x v="47"/>
    <s v="Pesos"/>
    <d v="2026-07-23T00:00:00"/>
    <s v="14/05/2026"/>
    <n v="0.94731399000000005"/>
    <m/>
    <n v="25000000"/>
    <n v="23682849.870000001"/>
    <n v="25000000"/>
    <n v="23682849.870000001"/>
    <n v="3419"/>
    <s v="AMOMPY"/>
    <s v="Momentum Capital Investment S.A."/>
    <s v="30/04/2026"/>
    <s v="30/04/2026"/>
    <n v="29"/>
    <s v="No"/>
    <s v=""/>
    <m/>
    <m/>
    <s v="*MIL210700043"/>
    <s v="*MIL210700043"/>
    <n v="6.2418621085271343E-4"/>
  </r>
  <r>
    <x v="47"/>
    <s v="Pesos"/>
    <d v="2026-07-23T00:00:00"/>
    <s v="14/05/2026"/>
    <n v="0.94731399000000005"/>
    <m/>
    <n v="10000000"/>
    <n v="9473139.9499999993"/>
    <n v="10000000"/>
    <n v="9473139.9499999993"/>
    <n v="66581742"/>
    <s v="AMOMPY"/>
    <s v="Momentum Capital Investment S.A."/>
    <s v="30/04/2026"/>
    <s v="30/04/2026"/>
    <n v="29"/>
    <s v="No"/>
    <s v=""/>
    <m/>
    <m/>
    <s v="*MIL210700044"/>
    <s v="*MIL210700044"/>
    <n v="2.4967448439379745E-4"/>
  </r>
  <r>
    <x v="80"/>
    <s v="Pesos"/>
    <d v="2026-07-23T00:00:00"/>
    <s v="14/05/2026"/>
    <n v="0.93709889999999996"/>
    <m/>
    <n v="5450000"/>
    <n v="5107189.0199999996"/>
    <n v="5450000"/>
    <n v="5107189.0199999996"/>
    <n v="6898"/>
    <s v="AMOMPY"/>
    <s v="Momentum Capital Investment S.A."/>
    <s v="20/04/2026"/>
    <s v="20/04/2026"/>
    <n v="35"/>
    <s v="No"/>
    <s v=""/>
    <m/>
    <m/>
    <s v="*MAV210701206"/>
    <s v="*MAV210701206"/>
    <n v="1.346052937041391E-4"/>
  </r>
  <r>
    <x v="89"/>
    <s v="Pesos"/>
    <d v="2026-07-23T00:00:00"/>
    <s v="14/05/2026"/>
    <n v="0.94903797999999995"/>
    <m/>
    <n v="6500000"/>
    <n v="6168746.8700000001"/>
    <n v="6500000"/>
    <n v="6168746.8700000001"/>
    <n v="29175489"/>
    <s v="AMOMPY"/>
    <s v="Momentum Capital Investment S.A."/>
    <s v="04/05/2026"/>
    <s v="04/05/2026"/>
    <n v="28"/>
    <s v="No"/>
    <s v=""/>
    <m/>
    <m/>
    <s v="*CUY210700026"/>
    <s v="*CUY210700026"/>
    <n v="1.6258375810473505E-4"/>
  </r>
  <r>
    <x v="139"/>
    <s v="Pesos"/>
    <d v="2026-07-24T00:00:00"/>
    <s v="14/05/2026"/>
    <n v="0.94486166999999999"/>
    <m/>
    <n v="6013017.5"/>
    <n v="5681469.7400000002"/>
    <n v="6013017.5"/>
    <n v="5681469.7400000002"/>
    <n v="66632353"/>
    <s v="AMOMPY"/>
    <s v="Momentum Capital Investment S.A."/>
    <s v="30/04/2026"/>
    <s v="30/04/2026"/>
    <n v="30"/>
    <s v="No"/>
    <s v=""/>
    <m/>
    <m/>
    <s v="*MAV220701306"/>
    <s v="*MAV220701306"/>
    <n v="1.4974106108645239E-4"/>
  </r>
  <r>
    <x v="139"/>
    <s v="Pesos"/>
    <d v="2026-07-24T00:00:00"/>
    <s v="14/05/2026"/>
    <n v="0.94486166999999999"/>
    <m/>
    <n v="6013017.5"/>
    <n v="5681469.7400000002"/>
    <n v="6013017.5"/>
    <n v="5681469.7400000002"/>
    <n v="66632320"/>
    <s v="AMOMPY"/>
    <s v="Momentum Capital Investment S.A."/>
    <s v="30/04/2026"/>
    <s v="30/04/2026"/>
    <n v="30"/>
    <s v="No"/>
    <s v=""/>
    <m/>
    <m/>
    <s v="*MAV220701307"/>
    <s v="*MAV220701307"/>
    <n v="1.4974106108645239E-4"/>
  </r>
  <r>
    <x v="139"/>
    <s v="Pesos"/>
    <d v="2026-07-24T00:00:00"/>
    <s v="14/05/2026"/>
    <n v="0.94486166999999999"/>
    <m/>
    <n v="6013017.5"/>
    <n v="5681469.7400000002"/>
    <n v="6013017.5"/>
    <n v="5681469.7400000002"/>
    <n v="66632294"/>
    <s v="AMOMPY"/>
    <s v="Momentum Capital Investment S.A."/>
    <s v="30/04/2026"/>
    <s v="30/04/2026"/>
    <n v="30"/>
    <s v="No"/>
    <s v=""/>
    <m/>
    <m/>
    <s v="*MAV220701308"/>
    <s v="*MAV220701308"/>
    <n v="1.4974106108645239E-4"/>
  </r>
  <r>
    <x v="4"/>
    <s v="Pesos"/>
    <d v="2026-07-24T00:00:00"/>
    <s v="14/05/2026"/>
    <n v="0.92780896000000002"/>
    <m/>
    <n v="3500000"/>
    <n v="3247331.35"/>
    <n v="3500000"/>
    <n v="3247331.35"/>
    <n v="60524037"/>
    <s v="AMOMPY"/>
    <s v="Momentum Capital Investment S.A."/>
    <s v="06/03/2026"/>
    <s v="06/03/2026"/>
    <n v="40"/>
    <s v="No"/>
    <s v=""/>
    <m/>
    <m/>
    <s v="*MAV220701194"/>
    <s v="*MAV220701194"/>
    <n v="8.5586804876356147E-5"/>
  </r>
  <r>
    <x v="47"/>
    <s v="Pesos"/>
    <d v="2026-07-24T00:00:00"/>
    <s v="14/05/2026"/>
    <n v="0.94486163999999995"/>
    <m/>
    <n v="10000000"/>
    <n v="9448616.3499999996"/>
    <n v="10000000"/>
    <n v="9448616.3499999996"/>
    <n v="1372330"/>
    <s v="AMOMPY"/>
    <s v="Momentum Capital Investment S.A."/>
    <s v="01/04/2026"/>
    <s v="01/04/2026"/>
    <n v="30"/>
    <s v="No"/>
    <s v=""/>
    <m/>
    <m/>
    <s v="*MIL220700034"/>
    <s v="*MIL220700034"/>
    <n v="2.4902813933631943E-4"/>
  </r>
  <r>
    <x v="47"/>
    <s v="Pesos"/>
    <d v="2026-07-24T00:00:00"/>
    <s v="14/05/2026"/>
    <n v="0.94660137"/>
    <m/>
    <n v="20000000"/>
    <n v="18932027.469999999"/>
    <n v="20000000"/>
    <n v="18932027.469999999"/>
    <n v="66179083"/>
    <s v="AMOMPY"/>
    <s v="Momentum Capital Investment S.A."/>
    <s v="14/04/2026"/>
    <s v="14/04/2026"/>
    <n v="29"/>
    <s v="No"/>
    <s v=""/>
    <m/>
    <m/>
    <s v="*MIL220700035"/>
    <s v="*MIL220700035"/>
    <n v="4.9897333112886813E-4"/>
  </r>
  <r>
    <x v="47"/>
    <s v="Pesos"/>
    <d v="2026-07-24T00:00:00"/>
    <s v="14/05/2026"/>
    <n v="0.94660137"/>
    <m/>
    <n v="10000000"/>
    <n v="9466013.7200000007"/>
    <n v="10000000"/>
    <n v="9466013.7200000007"/>
    <n v="491333"/>
    <s v="AMOMPY"/>
    <s v="Momentum Capital Investment S.A."/>
    <s v="14/04/2026"/>
    <s v="14/04/2026"/>
    <n v="29"/>
    <s v="No"/>
    <s v=""/>
    <m/>
    <m/>
    <s v="*MIL220700036"/>
    <s v="*MIL220700036"/>
    <n v="2.4948666516909346E-4"/>
  </r>
  <r>
    <x v="37"/>
    <s v="Pesos"/>
    <d v="2026-07-24T00:00:00"/>
    <s v="14/05/2026"/>
    <n v="0.94660138999999999"/>
    <m/>
    <n v="12500000"/>
    <n v="11832517.380000001"/>
    <n v="12500000"/>
    <n v="11832517.380000001"/>
    <n v="28996510"/>
    <s v="AMOMPY"/>
    <s v="Momentum Capital Investment S.A."/>
    <s v="31/03/2026"/>
    <s v="31/03/2026"/>
    <n v="29"/>
    <s v="No"/>
    <s v=""/>
    <m/>
    <m/>
    <s v="*AAR220700016"/>
    <s v="*AAR220700016"/>
    <n v="3.1185833752325672E-4"/>
  </r>
  <r>
    <x v="78"/>
    <s v="Pesos"/>
    <d v="2026-07-24T00:00:00"/>
    <s v="14/05/2026"/>
    <n v="0.94486166000000005"/>
    <m/>
    <n v="1040000"/>
    <n v="982656.13"/>
    <n v="1040000"/>
    <n v="982656.13"/>
    <n v="12201550"/>
    <s v="AMOMPY"/>
    <s v="Momentum Capital Investment S.A."/>
    <s v="30/04/2026"/>
    <s v="30/04/2026"/>
    <n v="30"/>
    <s v="No"/>
    <s v=""/>
    <m/>
    <m/>
    <s v="*INP220700080"/>
    <s v="*INP220700080"/>
    <n v="2.5898927271116098E-5"/>
  </r>
  <r>
    <x v="78"/>
    <s v="Pesos"/>
    <d v="2026-07-24T00:00:00"/>
    <s v="14/05/2026"/>
    <n v="0.94660146999999994"/>
    <m/>
    <n v="5000000"/>
    <n v="4733007.3499999996"/>
    <n v="5000000"/>
    <n v="4733007.3499999996"/>
    <n v="16779603"/>
    <s v="AMOMPY"/>
    <s v="Momentum Capital Investment S.A."/>
    <s v="30/04/2026"/>
    <s v="30/04/2026"/>
    <n v="29"/>
    <s v="No"/>
    <s v=""/>
    <m/>
    <m/>
    <s v="*INP220700079"/>
    <s v="*INP220700079"/>
    <n v="1.2474334549900782E-4"/>
  </r>
  <r>
    <x v="7"/>
    <s v="Pesos"/>
    <d v="2026-07-24T00:00:00"/>
    <s v="14/05/2026"/>
    <n v="0.94834753999999999"/>
    <m/>
    <n v="50000000"/>
    <n v="47417376.850000001"/>
    <n v="50000000"/>
    <n v="47417376.850000001"/>
    <n v="4635"/>
    <s v="AMOMPY"/>
    <s v="Momentum Capital Investment S.A."/>
    <s v="12/05/2026"/>
    <s v="12/05/2026"/>
    <n v="28"/>
    <s v="No"/>
    <s v=""/>
    <m/>
    <m/>
    <s v="*BIF220700005"/>
    <s v="*BIF220700005"/>
    <n v="1.2497344258415751E-3"/>
  </r>
  <r>
    <x v="47"/>
    <s v="Pesos"/>
    <d v="2026-07-24T00:00:00"/>
    <s v="14/05/2026"/>
    <n v="0.94660135000000001"/>
    <m/>
    <n v="40000000"/>
    <n v="37864053.880000003"/>
    <n v="40000000"/>
    <n v="37864053.880000003"/>
    <n v="54026409"/>
    <s v="AMOMPY"/>
    <s v="Momentum Capital Investment S.A."/>
    <s v="28/04/2026"/>
    <s v="28/04/2026"/>
    <n v="29"/>
    <s v="No"/>
    <s v=""/>
    <m/>
    <m/>
    <s v="*MIL220700040"/>
    <s v="*MIL220700040"/>
    <n v="9.9794663432033084E-4"/>
  </r>
  <r>
    <x v="47"/>
    <s v="Pesos"/>
    <d v="2026-07-24T00:00:00"/>
    <s v="14/05/2026"/>
    <n v="0.94660133000000002"/>
    <m/>
    <n v="12500000"/>
    <n v="11832516.58"/>
    <n v="12500000"/>
    <n v="11832516.58"/>
    <n v="4954"/>
    <s v="AMOMPY"/>
    <s v="Momentum Capital Investment S.A."/>
    <s v="24/04/2026"/>
    <s v="24/04/2026"/>
    <n v="29"/>
    <s v="No"/>
    <s v=""/>
    <m/>
    <m/>
    <s v="*MIL220700038"/>
    <s v="*MIL220700038"/>
    <n v="3.1185831643842227E-4"/>
  </r>
  <r>
    <x v="73"/>
    <s v="Pesos"/>
    <d v="2026-07-24T00:00:00"/>
    <s v="14/05/2026"/>
    <n v="0.94834757999999997"/>
    <m/>
    <n v="15000000"/>
    <n v="14225213.76"/>
    <n v="15000000"/>
    <n v="14225213.76"/>
    <n v="29131906"/>
    <s v="AMOMPY"/>
    <s v="Momentum Capital Investment S.A."/>
    <s v="21/04/2026"/>
    <s v="21/04/2026"/>
    <n v="28"/>
    <s v="No"/>
    <s v=""/>
    <m/>
    <m/>
    <s v="*PRO220700012"/>
    <s v="*PRO220700012"/>
    <n v="3.7492034633348288E-4"/>
  </r>
  <r>
    <x v="52"/>
    <s v="Pesos"/>
    <d v="2026-07-24T00:00:00"/>
    <s v="14/05/2026"/>
    <n v="0.93625760999999996"/>
    <m/>
    <n v="16600000"/>
    <n v="15541876.27"/>
    <n v="16600000"/>
    <n v="15541876.27"/>
    <n v="290"/>
    <s v="AMOMPY"/>
    <s v="Momentum Capital Investment S.A."/>
    <s v="14/04/2026"/>
    <s v="14/04/2026"/>
    <n v="35"/>
    <s v="No"/>
    <s v=""/>
    <m/>
    <m/>
    <s v="*MAV220701228"/>
    <s v="*MAV220701228"/>
    <n v="4.096223601367196E-4"/>
  </r>
  <r>
    <x v="36"/>
    <s v="Pesos"/>
    <d v="2026-07-27T00:00:00"/>
    <s v="14/05/2026"/>
    <n v="0.94266534000000002"/>
    <m/>
    <n v="10000000"/>
    <n v="9426653.3599999994"/>
    <n v="10000000"/>
    <n v="9426653.3599999994"/>
    <n v="471"/>
    <s v="AMOMPY"/>
    <s v="Momentum Capital Investment S.A."/>
    <s v="12/05/2026"/>
    <s v="12/05/2026"/>
    <n v="30"/>
    <s v="No"/>
    <s v=""/>
    <m/>
    <m/>
    <s v="*MAV230701030"/>
    <s v="*MAV230701030"/>
    <n v="2.4844928182625003E-4"/>
  </r>
  <r>
    <x v="108"/>
    <s v="Pesos"/>
    <d v="2026-07-27T00:00:00"/>
    <s v="14/05/2026"/>
    <n v="0.92498745000000004"/>
    <m/>
    <n v="4100000"/>
    <n v="3792448.53"/>
    <n v="4100000"/>
    <n v="3792448.53"/>
    <n v="1024"/>
    <s v="AMOMPY"/>
    <s v="Momentum Capital Investment S.A."/>
    <s v="09/03/2026"/>
    <s v="09/03/2026"/>
    <n v="40"/>
    <s v="No"/>
    <s v=""/>
    <m/>
    <m/>
    <s v="*MAV230700923"/>
    <s v="*MAV230700923"/>
    <n v="9.995393674277609E-5"/>
  </r>
  <r>
    <x v="47"/>
    <s v="Pesos"/>
    <d v="2026-07-27T00:00:00"/>
    <s v="14/05/2026"/>
    <n v="0.94719094999999998"/>
    <m/>
    <n v="150000000"/>
    <n v="142078641.83000001"/>
    <n v="150000000"/>
    <n v="142078641.83000001"/>
    <n v="51"/>
    <s v="AMOMPY"/>
    <s v="Momentum Capital Investment S.A."/>
    <s v="21/04/2026"/>
    <s v="21/04/2026"/>
    <n v="27.5"/>
    <s v="No"/>
    <s v=""/>
    <m/>
    <m/>
    <s v="*MIL230700028"/>
    <s v="*MIL230700028"/>
    <n v="3.7446308013507471E-3"/>
  </r>
  <r>
    <x v="80"/>
    <s v="Pesos"/>
    <d v="2026-07-27T00:00:00"/>
    <s v="14/05/2026"/>
    <n v="0.93374268000000005"/>
    <m/>
    <n v="5450000"/>
    <n v="5088897.6100000003"/>
    <n v="5450000"/>
    <n v="5088897.6100000003"/>
    <n v="6899"/>
    <s v="AMOMPY"/>
    <s v="Momentum Capital Investment S.A."/>
    <s v="20/04/2026"/>
    <s v="20/04/2026"/>
    <n v="35"/>
    <s v="No"/>
    <s v=""/>
    <m/>
    <m/>
    <s v="*MAV230700964"/>
    <s v="*MAV230700964"/>
    <n v="1.3412320451463173E-4"/>
  </r>
  <r>
    <x v="78"/>
    <s v="Pesos"/>
    <d v="2026-07-27T00:00:00"/>
    <s v="14/05/2026"/>
    <n v="0.94447035000000001"/>
    <m/>
    <n v="5000000"/>
    <n v="4722351.76"/>
    <n v="5000000"/>
    <n v="4722351.76"/>
    <n v="16779576"/>
    <s v="AMOMPY"/>
    <s v="Momentum Capital Investment S.A."/>
    <s v="20/04/2026"/>
    <s v="20/04/2026"/>
    <n v="29"/>
    <s v="No"/>
    <s v=""/>
    <m/>
    <m/>
    <s v="*INP230700044"/>
    <s v="*INP230700044"/>
    <n v="1.2446250631018512E-4"/>
  </r>
  <r>
    <x v="65"/>
    <s v="Pesos"/>
    <d v="2026-07-27T00:00:00"/>
    <s v="14/05/2026"/>
    <n v="0.93907591000000001"/>
    <m/>
    <n v="15000000"/>
    <n v="14086138.720000001"/>
    <n v="15000000"/>
    <n v="14086138.720000001"/>
    <n v="173"/>
    <s v="AMOMPY"/>
    <s v="Momentum Capital Investment S.A."/>
    <s v="17/04/2026"/>
    <s v="17/04/2026"/>
    <n v="32"/>
    <s v="No"/>
    <s v=""/>
    <m/>
    <m/>
    <s v="*NEU230700018"/>
    <s v="*NEU230700018"/>
    <n v="3.7125487859128545E-4"/>
  </r>
  <r>
    <x v="86"/>
    <s v="Pesos"/>
    <d v="2026-07-28T00:00:00"/>
    <s v="14/05/2026"/>
    <n v="0.92757307"/>
    <m/>
    <n v="20000000"/>
    <n v="18551461.350000001"/>
    <n v="20000000"/>
    <n v="18551461.350000001"/>
    <n v="65800773"/>
    <s v="AMOMPY"/>
    <s v="Momentum Capital Investment S.A."/>
    <s v="26/03/2026"/>
    <s v="26/03/2026"/>
    <n v="38"/>
    <s v="No"/>
    <s v=""/>
    <m/>
    <m/>
    <s v="*MAV240701056"/>
    <s v="*MAV240701056"/>
    <n v="4.8894311408465062E-4"/>
  </r>
  <r>
    <x v="108"/>
    <s v="Pesos"/>
    <d v="2026-07-28T00:00:00"/>
    <s v="14/05/2026"/>
    <n v="0.9240507"/>
    <m/>
    <n v="4100000"/>
    <n v="3788607.85"/>
    <n v="4100000"/>
    <n v="3788607.85"/>
    <n v="1025"/>
    <s v="AMOMPY"/>
    <s v="Momentum Capital Investment S.A."/>
    <s v="09/03/2026"/>
    <s v="09/03/2026"/>
    <n v="40"/>
    <s v="No"/>
    <s v=""/>
    <m/>
    <m/>
    <s v="*MAV240701043"/>
    <s v="*MAV240701043"/>
    <n v="9.9852711615333356E-5"/>
  </r>
  <r>
    <x v="34"/>
    <s v="Pesos"/>
    <d v="2026-07-28T00:00:00"/>
    <s v="14/05/2026"/>
    <n v="0.92405064999999997"/>
    <m/>
    <n v="20000000"/>
    <n v="18481013.039999999"/>
    <n v="20000000"/>
    <n v="18481013.039999999"/>
    <n v="4121"/>
    <s v="AMOMPY"/>
    <s v="Momentum Capital Investment S.A."/>
    <s v="28/04/2026"/>
    <s v="28/04/2026"/>
    <n v="40"/>
    <s v="No"/>
    <s v=""/>
    <m/>
    <m/>
    <s v="*MAV240701132"/>
    <s v="*MAV240701132"/>
    <n v="4.8708637539309727E-4"/>
  </r>
  <r>
    <x v="137"/>
    <s v="Pesos"/>
    <d v="2026-07-28T00:00:00"/>
    <s v="14/05/2026"/>
    <n v="0.93649782999999998"/>
    <m/>
    <n v="50000000"/>
    <n v="46824891.359999999"/>
    <n v="50000000"/>
    <n v="46824891.359999999"/>
    <n v="29007568"/>
    <s v="AMOMPY"/>
    <s v="Momentum Capital Investment S.A."/>
    <s v="31/03/2026"/>
    <s v="31/03/2026"/>
    <n v="33"/>
    <s v="No"/>
    <s v=""/>
    <m/>
    <m/>
    <s v="*MAV240701063"/>
    <s v="*MAV240701063"/>
    <n v="1.2341188527573248E-3"/>
  </r>
  <r>
    <x v="47"/>
    <s v="Pesos"/>
    <d v="2026-07-28T00:00:00"/>
    <s v="14/05/2026"/>
    <n v="0.94651542"/>
    <m/>
    <n v="150000000"/>
    <n v="141977313.71000001"/>
    <n v="150000000"/>
    <n v="141977313.71000001"/>
    <n v="1762"/>
    <s v="AMOMPY"/>
    <s v="Momentum Capital Investment S.A."/>
    <s v="21/04/2026"/>
    <s v="21/04/2026"/>
    <n v="27.5"/>
    <s v="No"/>
    <s v=""/>
    <m/>
    <m/>
    <s v="*MIL240700031"/>
    <s v="*MIL240700031"/>
    <n v="3.7419601930572853E-3"/>
  </r>
  <r>
    <x v="37"/>
    <s v="Pesos"/>
    <d v="2026-07-28T00:00:00"/>
    <s v="14/05/2026"/>
    <n v="0.94376218000000001"/>
    <m/>
    <n v="12500000"/>
    <n v="11797027.300000001"/>
    <n v="12500000"/>
    <n v="11797027.300000001"/>
    <n v="28996506"/>
    <s v="AMOMPY"/>
    <s v="Momentum Capital Investment S.A."/>
    <s v="31/03/2026"/>
    <s v="31/03/2026"/>
    <n v="29"/>
    <s v="No"/>
    <s v=""/>
    <m/>
    <m/>
    <s v="*AAR240700018"/>
    <s v="*AAR240700018"/>
    <n v="3.1092295944673049E-4"/>
  </r>
  <r>
    <x v="78"/>
    <s v="Pesos"/>
    <d v="2026-07-28T00:00:00"/>
    <s v="14/05/2026"/>
    <n v="0.94193557000000006"/>
    <m/>
    <n v="10000000"/>
    <n v="9419355.7100000009"/>
    <n v="10000000"/>
    <n v="9419355.7100000009"/>
    <n v="90019958"/>
    <s v="AMOMPY"/>
    <s v="Momentum Capital Investment S.A."/>
    <s v="22/04/2026"/>
    <s v="22/04/2026"/>
    <n v="30"/>
    <s v="No"/>
    <s v=""/>
    <m/>
    <m/>
    <s v="*INP240700065"/>
    <s v="*INP240700065"/>
    <n v="2.4825694464864547E-4"/>
  </r>
  <r>
    <x v="78"/>
    <s v="Pesos"/>
    <d v="2026-07-28T00:00:00"/>
    <s v="14/05/2026"/>
    <n v="0.94376221000000005"/>
    <m/>
    <n v="5000000"/>
    <n v="4718811.03"/>
    <n v="5000000"/>
    <n v="4718811.03"/>
    <n v="6878"/>
    <s v="AMOMPY"/>
    <s v="Momentum Capital Investment S.A."/>
    <s v="22/04/2026"/>
    <s v="22/04/2026"/>
    <n v="29"/>
    <s v="No"/>
    <s v=""/>
    <m/>
    <m/>
    <s v="*INP240700064"/>
    <s v="*INP240700064"/>
    <n v="1.2436918667785694E-4"/>
  </r>
  <r>
    <x v="78"/>
    <s v="Pesos"/>
    <d v="2026-07-28T00:00:00"/>
    <s v="14/05/2026"/>
    <n v="0.94193563000000002"/>
    <m/>
    <n v="1040000"/>
    <n v="979613.05"/>
    <n v="1040000"/>
    <n v="979613.05"/>
    <n v="16601551"/>
    <s v="AMOMPY"/>
    <s v="Momentum Capital Investment S.A."/>
    <s v="30/04/2026"/>
    <s v="30/04/2026"/>
    <n v="30"/>
    <s v="No"/>
    <s v=""/>
    <m/>
    <m/>
    <s v="*INP240700067"/>
    <s v="*INP240700067"/>
    <n v="2.5818723723614504E-5"/>
  </r>
  <r>
    <x v="47"/>
    <s v="Pesos"/>
    <d v="2026-07-28T00:00:00"/>
    <s v="14/05/2026"/>
    <n v="0.94376212999999998"/>
    <m/>
    <n v="30000000"/>
    <n v="28312864.050000001"/>
    <n v="30000000"/>
    <n v="28312864.050000001"/>
    <n v="54026410"/>
    <s v="AMOMPY"/>
    <s v="Momentum Capital Investment S.A."/>
    <s v="28/04/2026"/>
    <s v="28/04/2026"/>
    <n v="29"/>
    <s v="No"/>
    <s v=""/>
    <m/>
    <m/>
    <s v="*MIL240700033"/>
    <s v="*MIL240700033"/>
    <n v="7.4621506392876988E-4"/>
  </r>
  <r>
    <x v="9"/>
    <s v="Pesos"/>
    <d v="2026-07-28T00:00:00"/>
    <s v="14/05/2026"/>
    <n v="0.94376214999999997"/>
    <m/>
    <n v="5000000"/>
    <n v="4718810.76"/>
    <n v="5000000"/>
    <n v="4718810.76"/>
    <n v="43314"/>
    <s v="AMOMPY"/>
    <s v="Momentum Capital Investment S.A."/>
    <s v="21/04/2026"/>
    <s v="21/04/2026"/>
    <n v="29"/>
    <s v="No"/>
    <s v=""/>
    <m/>
    <m/>
    <s v="*MOV240700053"/>
    <s v="*MOV240700053"/>
    <n v="1.2436917956172529E-4"/>
  </r>
  <r>
    <x v="78"/>
    <s v="Pesos"/>
    <d v="2026-07-28T00:00:00"/>
    <s v="14/05/2026"/>
    <n v="0.94376229"/>
    <m/>
    <n v="5000000"/>
    <n v="4718811.45"/>
    <n v="5000000"/>
    <n v="4718811.45"/>
    <n v="16779577"/>
    <s v="AMOMPY"/>
    <s v="Momentum Capital Investment S.A."/>
    <s v="20/04/2026"/>
    <s v="20/04/2026"/>
    <n v="29"/>
    <s v="No"/>
    <s v=""/>
    <m/>
    <m/>
    <s v="*INP240700062"/>
    <s v="*INP240700062"/>
    <n v="1.2436919774739503E-4"/>
  </r>
  <r>
    <x v="105"/>
    <s v="Pesos"/>
    <d v="2026-07-29T00:00:00"/>
    <s v="14/05/2026"/>
    <n v="0.92667820999999995"/>
    <m/>
    <n v="4599318.34"/>
    <n v="4262088.0999999996"/>
    <n v="4599318.34"/>
    <n v="4262088.0999999996"/>
    <n v="576"/>
    <s v="AMOMPY"/>
    <s v="Momentum Capital Investment S.A."/>
    <s v="22/04/2026"/>
    <s v="22/04/2026"/>
    <n v="38"/>
    <s v="No"/>
    <s v=""/>
    <m/>
    <m/>
    <s v="*MAV250701301"/>
    <s v="*MAV250701301"/>
    <n v="1.1233177747030326E-4"/>
  </r>
  <r>
    <x v="106"/>
    <s v="Pesos"/>
    <d v="2026-07-29T00:00:00"/>
    <s v="14/05/2026"/>
    <n v="0.92667836999999997"/>
    <m/>
    <n v="3519950.15"/>
    <n v="3261861.68"/>
    <n v="3519950.15"/>
    <n v="3261861.68"/>
    <n v="90000186"/>
    <s v="AMOMPY"/>
    <s v="Momentum Capital Investment S.A."/>
    <s v="17/04/2026"/>
    <s v="17/04/2026"/>
    <n v="38"/>
    <s v="No"/>
    <s v=""/>
    <m/>
    <m/>
    <s v="*MAV250701294"/>
    <s v="*MAV250701294"/>
    <n v="8.5969766879448022E-5"/>
  </r>
  <r>
    <x v="4"/>
    <s v="Pesos"/>
    <d v="2026-07-29T00:00:00"/>
    <s v="14/05/2026"/>
    <n v="0.92311588"/>
    <m/>
    <n v="3500000"/>
    <n v="3230905.58"/>
    <n v="3500000"/>
    <n v="3230905.58"/>
    <n v="60524038"/>
    <s v="AMOMPY"/>
    <s v="Momentum Capital Investment S.A."/>
    <s v="06/03/2026"/>
    <s v="06/03/2026"/>
    <n v="40"/>
    <s v="No"/>
    <s v=""/>
    <m/>
    <m/>
    <s v="*MAV270700762"/>
    <s v="*MAV270700762"/>
    <n v="8.5153886575014984E-5"/>
  </r>
  <r>
    <x v="108"/>
    <s v="Pesos"/>
    <d v="2026-07-29T00:00:00"/>
    <s v="14/05/2026"/>
    <n v="0.92311584999999996"/>
    <m/>
    <n v="4100000"/>
    <n v="3784775"/>
    <n v="4100000"/>
    <n v="3784775"/>
    <n v="1026"/>
    <s v="AMOMPY"/>
    <s v="Momentum Capital Investment S.A."/>
    <s v="09/03/2026"/>
    <s v="09/03/2026"/>
    <n v="40"/>
    <s v="No"/>
    <s v=""/>
    <m/>
    <m/>
    <s v="*MAV270700763"/>
    <s v="*MAV270700763"/>
    <n v="9.9751692855707758E-5"/>
  </r>
  <r>
    <x v="47"/>
    <s v="Pesos"/>
    <d v="2026-07-29T00:00:00"/>
    <s v="14/05/2026"/>
    <n v="0.94120687999999997"/>
    <m/>
    <n v="10000000"/>
    <n v="9412068.7599999998"/>
    <n v="10000000"/>
    <n v="9412068.7599999998"/>
    <n v="65931682"/>
    <s v="AMOMPY"/>
    <s v="Momentum Capital Investment S.A."/>
    <s v="01/04/2026"/>
    <s v="01/04/2026"/>
    <n v="30"/>
    <s v="No"/>
    <s v=""/>
    <m/>
    <m/>
    <s v="*MIL250700032"/>
    <s v="*MIL250700032"/>
    <n v="2.4806488948070154E-4"/>
  </r>
  <r>
    <x v="47"/>
    <s v="Pesos"/>
    <d v="2026-07-29T00:00:00"/>
    <s v="14/05/2026"/>
    <n v="0.94305516"/>
    <m/>
    <n v="11000000"/>
    <n v="10373606.75"/>
    <n v="11000000"/>
    <n v="10373606.75"/>
    <n v="270"/>
    <s v="AMOMPY"/>
    <s v="Momentum Capital Investment S.A."/>
    <s v="14/04/2026"/>
    <s v="14/04/2026"/>
    <n v="29"/>
    <s v="No"/>
    <s v=""/>
    <m/>
    <m/>
    <s v="*MIL270700024"/>
    <s v="*MIL270700024"/>
    <n v="2.7340722614472375E-4"/>
  </r>
  <r>
    <x v="133"/>
    <s v="Pesos"/>
    <d v="2026-07-29T00:00:00"/>
    <s v="14/05/2026"/>
    <n v="0.93570575"/>
    <m/>
    <n v="50000000"/>
    <n v="46785287.670000002"/>
    <n v="50000000"/>
    <n v="46785287.670000002"/>
    <n v="135"/>
    <s v="AMOMPY"/>
    <s v="Momentum Capital Investment S.A."/>
    <s v="13/05/2026"/>
    <s v="13/05/2026"/>
    <n v="33"/>
    <s v="No"/>
    <s v=""/>
    <m/>
    <m/>
    <s v="*MAV270700938"/>
    <s v="*MAV270700938"/>
    <n v="1.2330750561985247E-3"/>
  </r>
  <r>
    <x v="78"/>
    <s v="Pesos"/>
    <d v="2026-07-29T00:00:00"/>
    <s v="14/05/2026"/>
    <n v="0.94120683999999999"/>
    <m/>
    <n v="10000000"/>
    <n v="9412068.3900000006"/>
    <n v="10000000"/>
    <n v="9412068.3900000006"/>
    <n v="90019959"/>
    <s v="AMOMPY"/>
    <s v="Momentum Capital Investment S.A."/>
    <s v="22/04/2026"/>
    <s v="22/04/2026"/>
    <n v="30"/>
    <s v="No"/>
    <s v=""/>
    <m/>
    <m/>
    <s v="*INP270700049"/>
    <s v="*INP270700049"/>
    <n v="2.4806487972896561E-4"/>
  </r>
  <r>
    <x v="78"/>
    <s v="Pesos"/>
    <d v="2026-07-29T00:00:00"/>
    <s v="14/05/2026"/>
    <n v="0.94120689999999996"/>
    <m/>
    <n v="1040000"/>
    <n v="978855.18"/>
    <n v="1040000"/>
    <n v="978855.18"/>
    <n v="15901552"/>
    <s v="AMOMPY"/>
    <s v="Momentum Capital Investment S.A."/>
    <s v="30/04/2026"/>
    <s v="30/04/2026"/>
    <n v="30"/>
    <s v="No"/>
    <s v=""/>
    <m/>
    <m/>
    <s v="*INP270700051"/>
    <s v="*INP270700051"/>
    <n v="2.5798749269263969E-5"/>
  </r>
  <r>
    <x v="78"/>
    <s v="Pesos"/>
    <d v="2026-07-29T00:00:00"/>
    <s v="14/05/2026"/>
    <n v="0.94305505999999995"/>
    <m/>
    <n v="5000000"/>
    <n v="4715275.29"/>
    <n v="5000000"/>
    <n v="4715275.29"/>
    <n v="16779604"/>
    <s v="AMOMPY"/>
    <s v="Momentum Capital Investment S.A."/>
    <s v="30/04/2026"/>
    <s v="30/04/2026"/>
    <n v="29"/>
    <s v="No"/>
    <s v=""/>
    <m/>
    <m/>
    <s v="*INP270700050"/>
    <s v="*INP270700050"/>
    <n v="1.2427599856218357E-4"/>
  </r>
  <r>
    <x v="47"/>
    <s v="Pesos"/>
    <d v="2026-07-29T00:00:00"/>
    <s v="14/05/2026"/>
    <n v="0.94305516"/>
    <m/>
    <n v="1300000"/>
    <n v="1225971.7"/>
    <n v="1300000"/>
    <n v="1225971.7"/>
    <n v="545"/>
    <s v="AMOMPY"/>
    <s v="Momentum Capital Investment S.A."/>
    <s v="28/04/2026"/>
    <s v="28/04/2026"/>
    <n v="29"/>
    <s v="No"/>
    <s v=""/>
    <m/>
    <m/>
    <s v="*MIL250700034"/>
    <s v="*MIL250700034"/>
    <n v="3.2311762910130689E-5"/>
  </r>
  <r>
    <x v="47"/>
    <s v="Pesos"/>
    <d v="2026-07-29T00:00:00"/>
    <s v="14/05/2026"/>
    <n v="0.94305514999999995"/>
    <m/>
    <n v="12500000"/>
    <n v="11788189.4"/>
    <n v="12500000"/>
    <n v="11788189.4"/>
    <n v="9798602"/>
    <s v="AMOMPY"/>
    <s v="Momentum Capital Investment S.A."/>
    <s v="28/04/2026"/>
    <s v="28/04/2026"/>
    <n v="29"/>
    <s v="No"/>
    <s v=""/>
    <m/>
    <m/>
    <s v="*MIL270700025"/>
    <s v="*MIL270700025"/>
    <n v="3.1069002737380951E-4"/>
  </r>
  <r>
    <x v="47"/>
    <s v="Pesos"/>
    <d v="2026-07-29T00:00:00"/>
    <s v="14/05/2026"/>
    <n v="0.94305501000000003"/>
    <m/>
    <n v="3500000"/>
    <n v="3300692.54"/>
    <n v="3500000"/>
    <n v="3300692.54"/>
    <n v="406"/>
    <s v="AMOMPY"/>
    <s v="Momentum Capital Investment S.A."/>
    <s v="22/04/2026"/>
    <s v="22/04/2026"/>
    <n v="29"/>
    <s v="No"/>
    <s v=""/>
    <m/>
    <m/>
    <s v="*MIL250700033"/>
    <s v="*MIL250700033"/>
    <n v="8.6993194697493478E-5"/>
  </r>
  <r>
    <x v="80"/>
    <s v="Pesos"/>
    <d v="2026-07-29T00:00:00"/>
    <s v="14/05/2026"/>
    <n v="0.93207368000000002"/>
    <m/>
    <n v="5450000"/>
    <n v="5079801.58"/>
    <n v="5450000"/>
    <n v="5079801.58"/>
    <n v="6896"/>
    <s v="AMOMPY"/>
    <s v="Momentum Capital Investment S.A."/>
    <s v="20/04/2026"/>
    <s v="20/04/2026"/>
    <n v="35"/>
    <s v="No"/>
    <s v=""/>
    <m/>
    <m/>
    <s v="*MAV260701074"/>
    <s v="*MAV260701074"/>
    <n v="1.338834691563168E-4"/>
  </r>
  <r>
    <x v="89"/>
    <s v="Pesos"/>
    <d v="2026-07-29T00:00:00"/>
    <s v="14/05/2026"/>
    <n v="0.94491051999999998"/>
    <m/>
    <n v="6500000"/>
    <n v="6141918.4100000001"/>
    <n v="6500000"/>
    <n v="6141918.4100000001"/>
    <n v="29175492"/>
    <s v="AMOMPY"/>
    <s v="Momentum Capital Investment S.A."/>
    <s v="04/05/2026"/>
    <s v="04/05/2026"/>
    <n v="28"/>
    <s v="No"/>
    <s v=""/>
    <m/>
    <m/>
    <s v="*CUY270700036"/>
    <s v="*CUY270700036"/>
    <n v="1.6187666605785997E-4"/>
  </r>
  <r>
    <x v="9"/>
    <s v="Pesos"/>
    <d v="2026-07-29T00:00:00"/>
    <s v="14/05/2026"/>
    <n v="0.94305516"/>
    <m/>
    <n v="5000000"/>
    <n v="4715275.78"/>
    <n v="5000000"/>
    <n v="4715275.78"/>
    <n v="43315"/>
    <s v="AMOMPY"/>
    <s v="Momentum Capital Investment S.A."/>
    <s v="21/04/2026"/>
    <s v="21/04/2026"/>
    <n v="29"/>
    <s v="No"/>
    <s v=""/>
    <m/>
    <m/>
    <s v="*MOV270700045"/>
    <s v="*MOV270700045"/>
    <n v="1.2427601147664468E-4"/>
  </r>
  <r>
    <x v="78"/>
    <s v="Pesos"/>
    <d v="2026-07-29T00:00:00"/>
    <s v="14/05/2026"/>
    <n v="0.94305510000000004"/>
    <m/>
    <n v="5000000"/>
    <n v="4715275.5"/>
    <n v="5000000"/>
    <n v="4715275.5"/>
    <n v="16779578"/>
    <s v="AMOMPY"/>
    <s v="Momentum Capital Investment S.A."/>
    <s v="20/04/2026"/>
    <s v="20/04/2026"/>
    <n v="29"/>
    <s v="No"/>
    <s v=""/>
    <m/>
    <m/>
    <s v="*INP270700048"/>
    <s v="*INP270700048"/>
    <n v="1.2427600409695261E-4"/>
  </r>
  <r>
    <x v="78"/>
    <s v="Pesos"/>
    <d v="2026-07-29T00:00:00"/>
    <s v="14/05/2026"/>
    <n v="0.94677327"/>
    <m/>
    <n v="20000000"/>
    <n v="18935465.390000001"/>
    <n v="20000000"/>
    <n v="18935465.390000001"/>
    <n v="66450549"/>
    <s v="AMOMPY"/>
    <s v="Momentum Capital Investment S.A."/>
    <s v="23/04/2026"/>
    <s v="23/04/2026"/>
    <n v="27"/>
    <s v="No"/>
    <s v=""/>
    <m/>
    <m/>
    <s v="*INP250700071"/>
    <s v="*INP250700071"/>
    <n v="4.9906394109640979E-4"/>
  </r>
  <r>
    <x v="34"/>
    <s v="Pesos"/>
    <d v="2026-07-30T00:00:00"/>
    <s v="14/05/2026"/>
    <n v="0.92218306999999999"/>
    <m/>
    <n v="20000000"/>
    <n v="18443661.359999999"/>
    <n v="20000000"/>
    <n v="18443661.359999999"/>
    <n v="4122"/>
    <s v="AMOMPY"/>
    <s v="Momentum Capital Investment S.A."/>
    <s v="28/04/2026"/>
    <s v="28/04/2026"/>
    <n v="40"/>
    <s v="No"/>
    <s v=""/>
    <m/>
    <m/>
    <s v="*MAV280701203"/>
    <s v="*MAV280701203"/>
    <n v="4.8610193290681881E-4"/>
  </r>
  <r>
    <x v="37"/>
    <s v="Pesos"/>
    <d v="2026-07-30T00:00:00"/>
    <s v="14/05/2026"/>
    <n v="0.94234903999999997"/>
    <m/>
    <n v="12500000"/>
    <n v="11779363"/>
    <n v="12500000"/>
    <n v="11779363"/>
    <n v="28996512"/>
    <s v="AMOMPY"/>
    <s v="Momentum Capital Investment S.A."/>
    <s v="31/03/2026"/>
    <s v="31/03/2026"/>
    <n v="29"/>
    <s v="No"/>
    <s v=""/>
    <m/>
    <m/>
    <s v="*AAR280700029"/>
    <s v="*AAR280700029"/>
    <n v="3.1045739839538367E-4"/>
  </r>
  <r>
    <x v="46"/>
    <s v="Pesos"/>
    <d v="2026-07-30T00:00:00"/>
    <s v="14/05/2026"/>
    <n v="0.94611073999999995"/>
    <m/>
    <n v="75000000"/>
    <n v="70958305.700000003"/>
    <n v="75000000"/>
    <n v="70958305.700000003"/>
    <n v="16181"/>
    <s v="AMOMPY"/>
    <s v="Momentum Capital Investment S.A."/>
    <s v="22/04/2026"/>
    <s v="22/04/2026"/>
    <n v="27"/>
    <s v="No"/>
    <s v=""/>
    <m/>
    <m/>
    <s v="*FED280700037"/>
    <s v="*FED280700037"/>
    <n v="1.8701801601806757E-3"/>
  </r>
  <r>
    <x v="78"/>
    <s v="Pesos"/>
    <d v="2026-07-30T00:00:00"/>
    <s v="14/05/2026"/>
    <n v="0.94234892000000003"/>
    <m/>
    <n v="5000000"/>
    <n v="4711744.58"/>
    <n v="5000000"/>
    <n v="4711744.58"/>
    <n v="16779605"/>
    <s v="AMOMPY"/>
    <s v="Momentum Capital Investment S.A."/>
    <s v="30/04/2026"/>
    <s v="30/04/2026"/>
    <n v="29"/>
    <s v="No"/>
    <s v=""/>
    <m/>
    <m/>
    <s v="*INP280700072"/>
    <s v="*INP280700072"/>
    <n v="1.2418294301740678E-4"/>
  </r>
  <r>
    <x v="80"/>
    <s v="Pesos"/>
    <d v="2026-07-30T00:00:00"/>
    <s v="14/05/2026"/>
    <n v="0.93124130999999999"/>
    <m/>
    <n v="5450000"/>
    <n v="5075265.12"/>
    <n v="5450000"/>
    <n v="5075265.12"/>
    <n v="6900"/>
    <s v="AMOMPY"/>
    <s v="Momentum Capital Investment S.A."/>
    <s v="20/04/2026"/>
    <s v="20/04/2026"/>
    <n v="35"/>
    <s v="No"/>
    <s v=""/>
    <m/>
    <m/>
    <s v="*MAV280701169"/>
    <s v="*MAV280701169"/>
    <n v="1.3376390602123686E-4"/>
  </r>
  <r>
    <x v="77"/>
    <s v="Pesos"/>
    <d v="2026-07-30T00:00:00"/>
    <s v="14/05/2026"/>
    <n v="0.94234892000000003"/>
    <m/>
    <n v="6530318"/>
    <n v="6153838.0899999999"/>
    <n v="6530318"/>
    <n v="6153838.0899999999"/>
    <n v="69"/>
    <s v="AMOMPY"/>
    <s v="Momentum Capital Investment S.A."/>
    <s v="29/01/2026"/>
    <s v="29/01/2026"/>
    <n v="29"/>
    <s v="No"/>
    <s v=""/>
    <m/>
    <m/>
    <s v="*ACI280700201"/>
    <s v="*ACI280700201"/>
    <n v="1.6219082165714878E-4"/>
  </r>
  <r>
    <x v="89"/>
    <s v="Pesos"/>
    <d v="2026-07-30T00:00:00"/>
    <s v="14/05/2026"/>
    <n v="0.94422603000000005"/>
    <m/>
    <n v="6500000"/>
    <n v="6137469.1900000004"/>
    <n v="6500000"/>
    <n v="6137469.1900000004"/>
    <n v="29175493"/>
    <s v="AMOMPY"/>
    <s v="Momentum Capital Investment S.A."/>
    <s v="04/05/2026"/>
    <s v="04/05/2026"/>
    <n v="28"/>
    <s v="No"/>
    <s v=""/>
    <m/>
    <m/>
    <s v="*CUY280700024"/>
    <s v="*CUY280700024"/>
    <n v="1.6175940222397619E-4"/>
  </r>
  <r>
    <x v="9"/>
    <s v="Pesos"/>
    <d v="2026-07-30T00:00:00"/>
    <s v="14/05/2026"/>
    <n v="0.94234901999999998"/>
    <m/>
    <n v="5000000"/>
    <n v="4711745.1100000003"/>
    <n v="5000000"/>
    <n v="4711745.1100000003"/>
    <n v="43316"/>
    <s v="AMOMPY"/>
    <s v="Momentum Capital Investment S.A."/>
    <s v="21/04/2026"/>
    <s v="21/04/2026"/>
    <n v="29"/>
    <s v="No"/>
    <s v=""/>
    <m/>
    <m/>
    <s v="*MOV280700075"/>
    <s v="*MOV280700075"/>
    <n v="1.241829569861096E-4"/>
  </r>
  <r>
    <x v="78"/>
    <s v="Pesos"/>
    <d v="2026-07-30T00:00:00"/>
    <s v="14/05/2026"/>
    <n v="0.94234896999999995"/>
    <m/>
    <n v="5000000"/>
    <n v="4711744.84"/>
    <n v="5000000"/>
    <n v="4711744.84"/>
    <n v="16779579"/>
    <s v="AMOMPY"/>
    <s v="Momentum Capital Investment S.A."/>
    <s v="20/04/2026"/>
    <s v="20/04/2026"/>
    <n v="29"/>
    <s v="No"/>
    <s v=""/>
    <m/>
    <m/>
    <s v="*INP280700068"/>
    <s v="*INP280700068"/>
    <n v="1.2418294986997797E-4"/>
  </r>
  <r>
    <x v="65"/>
    <s v="Pesos"/>
    <d v="2026-07-30T00:00:00"/>
    <s v="14/05/2026"/>
    <n v="0.93676223999999997"/>
    <m/>
    <n v="15000000"/>
    <n v="14051433.67"/>
    <n v="15000000"/>
    <n v="14051433.67"/>
    <n v="174"/>
    <s v="AMOMPY"/>
    <s v="Momentum Capital Investment S.A."/>
    <s v="17/04/2026"/>
    <s v="17/04/2026"/>
    <n v="32"/>
    <s v="No"/>
    <s v=""/>
    <m/>
    <m/>
    <s v="*NEU280700020"/>
    <s v="*NEU280700020"/>
    <n v="3.7034019079923918E-4"/>
  </r>
  <r>
    <x v="52"/>
    <s v="Pesos"/>
    <d v="2026-07-30T00:00:00"/>
    <s v="14/05/2026"/>
    <n v="0.93124130999999999"/>
    <m/>
    <n v="25000000"/>
    <n v="23281032.670000002"/>
    <n v="25000000"/>
    <n v="23281032.670000002"/>
    <n v="1310"/>
    <s v="AMOMPY"/>
    <s v="Momentum Capital Investment S.A."/>
    <s v="20/04/2026"/>
    <s v="20/04/2026"/>
    <n v="35"/>
    <s v="No"/>
    <s v=""/>
    <m/>
    <m/>
    <s v="*MAV280701170"/>
    <s v="*MAV280701170"/>
    <n v="6.1359589942903817E-4"/>
  </r>
  <r>
    <x v="36"/>
    <s v="Pesos"/>
    <d v="2026-07-31T00:00:00"/>
    <s v="14/05/2026"/>
    <n v="0.93975299999999995"/>
    <m/>
    <n v="10000000"/>
    <n v="9397529.9800000004"/>
    <n v="10000000"/>
    <n v="9397529.9800000004"/>
    <n v="499"/>
    <s v="AMOMPY"/>
    <s v="Momentum Capital Investment S.A."/>
    <s v="14/05/2026"/>
    <s v="14/05/2026"/>
    <n v="30"/>
    <s v="No"/>
    <s v=""/>
    <m/>
    <m/>
    <s v="*MAV290701192"/>
    <s v="*MAV290701192"/>
    <n v="2.4768170476904583E-4"/>
  </r>
  <r>
    <x v="32"/>
    <s v="Pesos"/>
    <d v="2026-07-31T00:00:00"/>
    <s v="14/05/2026"/>
    <n v="0.92489374000000002"/>
    <m/>
    <n v="5450000"/>
    <n v="5040670.9000000004"/>
    <n v="5450000"/>
    <n v="5040670.9000000004"/>
    <n v="28516"/>
    <s v="AMOMPY"/>
    <s v="Momentum Capital Investment S.A."/>
    <s v="08/04/2026"/>
    <s v="08/04/2026"/>
    <n v="38"/>
    <s v="No"/>
    <s v=""/>
    <m/>
    <m/>
    <s v="*MAV290701080"/>
    <s v="*MAV290701080"/>
    <n v="1.3285213926944245E-4"/>
  </r>
  <r>
    <x v="108"/>
    <s v="Pesos"/>
    <d v="2026-07-31T00:00:00"/>
    <s v="14/05/2026"/>
    <n v="0.92125199000000002"/>
    <m/>
    <n v="4600000"/>
    <n v="4237759.17"/>
    <n v="4600000"/>
    <n v="4237759.17"/>
    <n v="1027"/>
    <s v="AMOMPY"/>
    <s v="Momentum Capital Investment S.A."/>
    <s v="09/03/2026"/>
    <s v="09/03/2026"/>
    <n v="40"/>
    <s v="No"/>
    <s v=""/>
    <m/>
    <m/>
    <s v="*MAV290701056"/>
    <s v="*MAV290701056"/>
    <n v="1.116905631437269E-4"/>
  </r>
  <r>
    <x v="47"/>
    <s v="Pesos"/>
    <d v="2026-07-31T00:00:00"/>
    <s v="14/05/2026"/>
    <n v="0.94164395000000001"/>
    <m/>
    <n v="20000000"/>
    <n v="18832879.079999998"/>
    <n v="20000000"/>
    <n v="18832879.079999998"/>
    <n v="66179118"/>
    <s v="AMOMPY"/>
    <s v="Momentum Capital Investment S.A."/>
    <s v="14/04/2026"/>
    <s v="14/04/2026"/>
    <n v="29"/>
    <s v="No"/>
    <s v=""/>
    <m/>
    <m/>
    <s v="*MIL290700024"/>
    <s v="*MIL290700024"/>
    <n v="4.9636017189313606E-4"/>
  </r>
  <r>
    <x v="47"/>
    <s v="Pesos"/>
    <d v="2026-07-31T00:00:00"/>
    <s v="14/05/2026"/>
    <n v="0.94164395000000001"/>
    <m/>
    <n v="10000000"/>
    <n v="9416439.5399999991"/>
    <n v="10000000"/>
    <n v="9416439.5399999991"/>
    <n v="491334"/>
    <s v="AMOMPY"/>
    <s v="Momentum Capital Investment S.A."/>
    <s v="14/04/2026"/>
    <s v="14/04/2026"/>
    <n v="29"/>
    <s v="No"/>
    <s v=""/>
    <m/>
    <m/>
    <s v="*MIL290700025"/>
    <s v="*MIL290700025"/>
    <n v="2.4818008594656803E-4"/>
  </r>
  <r>
    <x v="78"/>
    <s v="Pesos"/>
    <d v="2026-07-31T00:00:00"/>
    <s v="14/05/2026"/>
    <n v="0.93975295999999997"/>
    <m/>
    <n v="10000000"/>
    <n v="9397529.5700000003"/>
    <n v="10000000"/>
    <n v="9397529.5700000003"/>
    <n v="90019960"/>
    <s v="AMOMPY"/>
    <s v="Momentum Capital Investment S.A."/>
    <s v="22/04/2026"/>
    <s v="22/04/2026"/>
    <n v="30"/>
    <s v="No"/>
    <s v=""/>
    <m/>
    <m/>
    <s v="*INP290700069"/>
    <s v="*INP290700069"/>
    <n v="2.4768169396306819E-4"/>
  </r>
  <r>
    <x v="78"/>
    <s v="Pesos"/>
    <d v="2026-07-31T00:00:00"/>
    <s v="14/05/2026"/>
    <n v="0.93975299999999995"/>
    <m/>
    <n v="1040000"/>
    <n v="977343.12"/>
    <n v="1040000"/>
    <n v="977343.12"/>
    <n v="11001553"/>
    <s v="AMOMPY"/>
    <s v="Momentum Capital Investment S.A."/>
    <s v="30/04/2026"/>
    <s v="30/04/2026"/>
    <n v="30"/>
    <s v="No"/>
    <s v=""/>
    <m/>
    <m/>
    <s v="*INP290700073"/>
    <s v="*INP290700073"/>
    <n v="2.5758897350801335E-5"/>
  </r>
  <r>
    <x v="78"/>
    <s v="Pesos"/>
    <d v="2026-07-31T00:00:00"/>
    <s v="14/05/2026"/>
    <n v="0.94164404999999995"/>
    <m/>
    <n v="5000000"/>
    <n v="4708220.25"/>
    <n v="5000000"/>
    <n v="4708220.25"/>
    <n v="16779606"/>
    <s v="AMOMPY"/>
    <s v="Momentum Capital Investment S.A."/>
    <s v="30/04/2026"/>
    <s v="30/04/2026"/>
    <n v="29"/>
    <s v="No"/>
    <s v=""/>
    <m/>
    <m/>
    <s v="*INP290700072"/>
    <s v="*INP290700072"/>
    <n v="1.2409005562418469E-4"/>
  </r>
  <r>
    <x v="73"/>
    <s v="Pesos"/>
    <d v="2026-07-31T00:00:00"/>
    <s v="14/05/2026"/>
    <n v="0.94354260999999995"/>
    <m/>
    <n v="15000000"/>
    <n v="14153139.189999999"/>
    <n v="15000000"/>
    <n v="14153139.189999999"/>
    <n v="29131905"/>
    <s v="AMOMPY"/>
    <s v="Momentum Capital Investment S.A."/>
    <s v="21/04/2026"/>
    <s v="21/04/2026"/>
    <n v="28"/>
    <s v="No"/>
    <s v=""/>
    <m/>
    <m/>
    <s v="*PRO290700011"/>
    <s v="*PRO290700011"/>
    <n v="3.7302074586334998E-4"/>
  </r>
  <r>
    <x v="9"/>
    <s v="Pesos"/>
    <d v="2026-07-31T00:00:00"/>
    <s v="14/05/2026"/>
    <n v="0.94164393999999996"/>
    <m/>
    <n v="5000000"/>
    <n v="4708219.72"/>
    <n v="5000000"/>
    <n v="4708219.72"/>
    <n v="43317"/>
    <s v="AMOMPY"/>
    <s v="Momentum Capital Investment S.A."/>
    <s v="21/04/2026"/>
    <s v="21/04/2026"/>
    <n v="29"/>
    <s v="No"/>
    <s v=""/>
    <m/>
    <m/>
    <s v="*MOV290700053"/>
    <s v="*MOV290700053"/>
    <n v="1.2409004165548187E-4"/>
  </r>
  <r>
    <x v="78"/>
    <s v="Pesos"/>
    <d v="2026-07-31T00:00:00"/>
    <s v="14/05/2026"/>
    <n v="0.94164389000000004"/>
    <m/>
    <n v="5000000"/>
    <n v="4708219.45"/>
    <n v="5000000"/>
    <n v="4708219.45"/>
    <n v="16779580"/>
    <s v="AMOMPY"/>
    <s v="Momentum Capital Investment S.A."/>
    <s v="20/04/2026"/>
    <s v="20/04/2026"/>
    <n v="29"/>
    <s v="No"/>
    <s v=""/>
    <m/>
    <m/>
    <s v="*INP290700068"/>
    <s v="*INP290700068"/>
    <n v="1.2409003453935023E-4"/>
  </r>
  <r>
    <x v="52"/>
    <s v="Pesos"/>
    <d v="2026-07-31T00:00:00"/>
    <s v="14/05/2026"/>
    <n v="0.93041048999999998"/>
    <m/>
    <n v="16600000"/>
    <n v="15444814.15"/>
    <n v="16600000"/>
    <n v="15444814.15"/>
    <n v="29088024"/>
    <s v="AMOMPY"/>
    <s v="Momentum Capital Investment S.A."/>
    <s v="14/04/2026"/>
    <s v="14/04/2026"/>
    <n v="35"/>
    <s v="No"/>
    <s v=""/>
    <m/>
    <m/>
    <s v="*MAV290701088"/>
    <s v="*MAV290701088"/>
    <n v="4.0706418672293307E-4"/>
  </r>
  <r>
    <x v="81"/>
    <s v="Pesos"/>
    <d v="2026-07-31T00:00:00"/>
    <s v="14/05/2026"/>
    <n v="0.93226412000000003"/>
    <m/>
    <n v="5000000"/>
    <n v="4661320.62"/>
    <n v="5000000"/>
    <n v="4661320.62"/>
    <n v="16815"/>
    <s v="AMOMPY"/>
    <s v="Momentum Capital Investment S.A."/>
    <s v="29/04/2026"/>
    <s v="29/04/2026"/>
    <n v="34"/>
    <s v="No"/>
    <s v=""/>
    <m/>
    <m/>
    <s v="*MAV290701134"/>
    <s v="*MAV290701134"/>
    <n v="1.228539669566136E-4"/>
  </r>
  <r>
    <x v="28"/>
    <s v="Pesos"/>
    <d v="2026-07-31T00:00:00"/>
    <s v="14/05/2026"/>
    <n v="0.91944194000000001"/>
    <m/>
    <n v="40000000"/>
    <n v="36777677.710000001"/>
    <n v="40000000"/>
    <n v="36777677.710000001"/>
    <n v="64885127"/>
    <s v="AMOMPY"/>
    <s v="Momentum Capital Investment S.A."/>
    <s v="13/02/2026"/>
    <s v="13/02/2026"/>
    <n v="41"/>
    <s v="No"/>
    <s v=""/>
    <m/>
    <m/>
    <s v="*MAV290701035"/>
    <s v="*MAV290701035"/>
    <n v="9.6931405720924741E-4"/>
  </r>
  <r>
    <x v="122"/>
    <s v="Pesos"/>
    <d v="2026-08-03T00:00:00"/>
    <s v="14/05/2026"/>
    <n v="0.93758034999999995"/>
    <m/>
    <n v="10000000"/>
    <n v="9375803.5399999991"/>
    <n v="10000000"/>
    <n v="9375803.5399999991"/>
    <n v="3463102"/>
    <s v="AMOMPY"/>
    <s v="Momentum Capital Investment S.A."/>
    <s v="17/04/2026"/>
    <s v="17/04/2026"/>
    <n v="30"/>
    <s v="No"/>
    <s v=""/>
    <m/>
    <m/>
    <s v="*MAV300701132"/>
    <s v="*MAV300701132"/>
    <n v="2.471090817809612E-4"/>
  </r>
  <r>
    <x v="105"/>
    <s v="Pesos"/>
    <d v="2026-08-03T00:00:00"/>
    <s v="14/05/2026"/>
    <n v="0.92222972000000003"/>
    <m/>
    <n v="4599318.34"/>
    <n v="4241628.07"/>
    <n v="4599318.34"/>
    <n v="4241628.07"/>
    <n v="577"/>
    <s v="AMOMPY"/>
    <s v="Momentum Capital Investment S.A."/>
    <s v="22/04/2026"/>
    <s v="22/04/2026"/>
    <n v="38"/>
    <s v="No"/>
    <s v=""/>
    <m/>
    <m/>
    <s v="*MAV300701144"/>
    <s v="*MAV300701144"/>
    <n v="1.1179253203870468E-4"/>
  </r>
  <r>
    <x v="140"/>
    <s v="Pesos"/>
    <d v="2026-08-03T00:00:00"/>
    <s v="14/05/2026"/>
    <n v="0.92222961999999997"/>
    <m/>
    <n v="9978017.3200000003"/>
    <n v="9202023.1400000006"/>
    <n v="9978017.3200000003"/>
    <n v="9202023.1400000006"/>
    <n v="30001645"/>
    <s v="AMOMPY"/>
    <s v="Momentum Capital Investment S.A."/>
    <s v="17/04/2026"/>
    <s v="17/04/2026"/>
    <n v="38"/>
    <s v="No"/>
    <s v=""/>
    <m/>
    <m/>
    <s v="*MAV300701130"/>
    <s v="*MAV300701130"/>
    <n v="2.4252891807634416E-4"/>
  </r>
  <r>
    <x v="46"/>
    <s v="Pesos"/>
    <d v="2026-08-03T00:00:00"/>
    <s v="14/05/2026"/>
    <n v="0.93953516999999998"/>
    <m/>
    <n v="80000000"/>
    <n v="75162813.459999993"/>
    <n v="80000000"/>
    <n v="75162813.459999993"/>
    <n v="90041869"/>
    <s v="AMOMPY"/>
    <s v="Momentum Capital Investment S.A."/>
    <s v="20/04/2026"/>
    <s v="20/04/2026"/>
    <n v="29"/>
    <s v="No"/>
    <s v=""/>
    <m/>
    <m/>
    <s v="*FED300700061"/>
    <s v="*FED300700061"/>
    <n v="1.9809943477307836E-3"/>
  </r>
  <r>
    <x v="78"/>
    <s v="Pesos"/>
    <d v="2026-08-03T00:00:00"/>
    <s v="14/05/2026"/>
    <n v="0.93758043000000002"/>
    <m/>
    <n v="10000000"/>
    <n v="9375804.3399999999"/>
    <n v="10000000"/>
    <n v="9375804.3399999999"/>
    <n v="90019961"/>
    <s v="AMOMPY"/>
    <s v="Momentum Capital Investment S.A."/>
    <s v="22/04/2026"/>
    <s v="22/04/2026"/>
    <n v="30"/>
    <s v="No"/>
    <s v=""/>
    <m/>
    <m/>
    <s v="*INP300700065"/>
    <s v="*INP300700065"/>
    <n v="2.4710910286579566E-4"/>
  </r>
  <r>
    <x v="47"/>
    <s v="Pesos"/>
    <d v="2026-08-03T00:00:00"/>
    <s v="14/05/2026"/>
    <n v="0.93953529000000002"/>
    <m/>
    <n v="3500000"/>
    <n v="3288373.5"/>
    <n v="3500000"/>
    <n v="3288373.5"/>
    <n v="407"/>
    <s v="AMOMPY"/>
    <s v="Momentum Capital Investment S.A."/>
    <s v="22/04/2026"/>
    <s v="22/04/2026"/>
    <n v="29"/>
    <s v="No"/>
    <s v=""/>
    <m/>
    <m/>
    <s v="*MIL300700030"/>
    <s v="*MIL300700030"/>
    <n v="8.6668513548849988E-5"/>
  </r>
  <r>
    <x v="9"/>
    <s v="Pesos"/>
    <d v="2026-08-03T00:00:00"/>
    <s v="14/05/2026"/>
    <n v="0.93953520000000001"/>
    <m/>
    <n v="2500000"/>
    <n v="2348838.0099999998"/>
    <n v="2500000"/>
    <n v="2348838.0099999998"/>
    <n v="365"/>
    <s v="AMOMPY"/>
    <s v="Momentum Capital Investment S.A."/>
    <s v="17/04/2026"/>
    <s v="17/04/2026"/>
    <n v="29"/>
    <s v="No"/>
    <s v=""/>
    <m/>
    <m/>
    <s v="*MOV300700055"/>
    <s v="*MOV300700055"/>
    <n v="6.1906075722158334E-5"/>
  </r>
  <r>
    <x v="9"/>
    <s v="Pesos"/>
    <d v="2026-08-03T00:00:00"/>
    <s v="14/05/2026"/>
    <n v="0.93953522"/>
    <m/>
    <n v="5000000"/>
    <n v="4697676.12"/>
    <n v="5000000"/>
    <n v="4697676.12"/>
    <n v="43318"/>
    <s v="AMOMPY"/>
    <s v="Momentum Capital Investment S.A."/>
    <s v="21/04/2026"/>
    <s v="21/04/2026"/>
    <n v="29"/>
    <s v="No"/>
    <s v=""/>
    <m/>
    <m/>
    <s v="*MOV300700056"/>
    <s v="*MOV300700056"/>
    <n v="1.23812154079921E-4"/>
  </r>
  <r>
    <x v="78"/>
    <s v="Pesos"/>
    <d v="2026-08-03T00:00:00"/>
    <s v="14/05/2026"/>
    <n v="0.93953516999999998"/>
    <m/>
    <n v="5000000"/>
    <n v="4697675.84"/>
    <n v="5000000"/>
    <n v="4697675.84"/>
    <n v="16779581"/>
    <s v="AMOMPY"/>
    <s v="Momentum Capital Investment S.A."/>
    <s v="20/04/2026"/>
    <s v="20/04/2026"/>
    <n v="29"/>
    <s v="No"/>
    <s v=""/>
    <m/>
    <m/>
    <s v="*INP300700064"/>
    <s v="*INP300700064"/>
    <n v="1.2381214670022892E-4"/>
  </r>
  <r>
    <x v="28"/>
    <s v="Pesos"/>
    <d v="2026-08-03T00:00:00"/>
    <s v="14/05/2026"/>
    <n v="0.92601997000000003"/>
    <m/>
    <n v="25000000"/>
    <n v="23150499.350000001"/>
    <n v="25000000"/>
    <n v="23150499.350000001"/>
    <n v="1165497"/>
    <s v="AMOMPY"/>
    <s v="Momentum Capital Investment S.A."/>
    <s v="06/04/2026"/>
    <s v="06/04/2026"/>
    <n v="36"/>
    <s v="No"/>
    <s v=""/>
    <m/>
    <m/>
    <s v="*MAV300701114"/>
    <s v="*MAV300701114"/>
    <n v="6.1015555762692947E-4"/>
  </r>
  <r>
    <x v="65"/>
    <s v="Pesos"/>
    <d v="2026-08-03T00:00:00"/>
    <s v="14/05/2026"/>
    <n v="0.93369495999999996"/>
    <m/>
    <n v="15000000"/>
    <n v="14005424.41"/>
    <n v="15000000"/>
    <n v="14005424.41"/>
    <n v="175"/>
    <s v="AMOMPY"/>
    <s v="Momentum Capital Investment S.A."/>
    <s v="17/04/2026"/>
    <s v="17/04/2026"/>
    <n v="32"/>
    <s v="No"/>
    <s v=""/>
    <m/>
    <m/>
    <s v="*NEU300700019"/>
    <s v="*NEU300700019"/>
    <n v="3.691275687617235E-4"/>
  </r>
  <r>
    <x v="65"/>
    <s v="Pesos"/>
    <d v="2026-08-03T00:00:00"/>
    <s v="14/05/2026"/>
    <n v="0.93176428"/>
    <m/>
    <n v="21395750"/>
    <n v="19935795.539999999"/>
    <n v="21395750"/>
    <n v="19935795.539999999"/>
    <n v="3233100"/>
    <s v="AMOMPY"/>
    <s v="Momentum Capital Investment S.A."/>
    <s v="20/04/2026"/>
    <s v="20/04/2026"/>
    <n v="33"/>
    <s v="No"/>
    <s v=""/>
    <m/>
    <m/>
    <s v="*NEU300700021"/>
    <s v="*NEU300700021"/>
    <n v="5.2542868559961114E-4"/>
  </r>
  <r>
    <x v="65"/>
    <s v="Pesos"/>
    <d v="2026-08-03T00:00:00"/>
    <s v="14/05/2026"/>
    <n v="0.93176428"/>
    <m/>
    <n v="21395750"/>
    <n v="19935795.539999999"/>
    <n v="21395750"/>
    <n v="19935795.539999999"/>
    <n v="3233101"/>
    <s v="AMOMPY"/>
    <s v="Momentum Capital Investment S.A."/>
    <s v="20/04/2026"/>
    <s v="20/04/2026"/>
    <n v="33"/>
    <s v="No"/>
    <s v=""/>
    <m/>
    <m/>
    <s v="*NEU300700020"/>
    <s v="*NEU300700020"/>
    <n v="5.2542868559961114E-4"/>
  </r>
  <r>
    <x v="141"/>
    <s v="Pesos"/>
    <d v="2026-08-04T00:00:00"/>
    <s v="14/05/2026"/>
    <n v="0.92325601000000002"/>
    <m/>
    <n v="6598885.3799999999"/>
    <n v="6092460.6100000003"/>
    <n v="6598885.3799999999"/>
    <n v="6092460.6100000003"/>
    <n v="10902567"/>
    <s v="AMOMPY"/>
    <s v="Momentum Capital Investment S.A."/>
    <s v="13/05/2026"/>
    <s v="13/05/2026"/>
    <n v="37"/>
    <s v="No"/>
    <s v=""/>
    <m/>
    <m/>
    <s v="*MAV310701425"/>
    <s v="*MAV310701425"/>
    <n v="1.6057315415162537E-4"/>
  </r>
  <r>
    <x v="36"/>
    <s v="Pesos"/>
    <d v="2026-08-04T00:00:00"/>
    <s v="14/05/2026"/>
    <n v="0.93685839000000004"/>
    <m/>
    <n v="10000000"/>
    <n v="9368583.8499999996"/>
    <n v="10000000"/>
    <n v="9368583.8499999996"/>
    <n v="492"/>
    <s v="AMOMPY"/>
    <s v="Momentum Capital Investment S.A."/>
    <s v="13/05/2026"/>
    <s v="13/05/2026"/>
    <n v="30"/>
    <s v="No"/>
    <s v=""/>
    <m/>
    <m/>
    <s v="*MAV310701416"/>
    <s v="*MAV310701416"/>
    <n v="2.469187993204732E-4"/>
  </r>
  <r>
    <x v="33"/>
    <s v="Pesos"/>
    <d v="2026-08-04T00:00:00"/>
    <s v="14/05/2026"/>
    <n v="0.85089521999999995"/>
    <m/>
    <n v="10000000"/>
    <n v="8508952.1799999997"/>
    <n v="10000000"/>
    <n v="8508952.1799999997"/>
    <n v="3935"/>
    <s v="AMOMPY"/>
    <s v="Momentum Capital Investment S.A."/>
    <s v="03/09/2025"/>
    <s v="03/09/2025"/>
    <n v="78"/>
    <s v="No"/>
    <s v=""/>
    <m/>
    <m/>
    <s v="*MAV310701190"/>
    <s v="*MAV310701190"/>
    <n v="2.2426231001400741E-4"/>
  </r>
  <r>
    <x v="137"/>
    <s v="Pesos"/>
    <d v="2026-08-04T00:00:00"/>
    <s v="14/05/2026"/>
    <n v="0.93097998000000004"/>
    <m/>
    <n v="50000000"/>
    <n v="46548998.770000003"/>
    <n v="50000000"/>
    <n v="46548998.770000003"/>
    <n v="29030848"/>
    <s v="AMOMPY"/>
    <s v="Momentum Capital Investment S.A."/>
    <s v="06/04/2026"/>
    <s v="06/04/2026"/>
    <n v="33"/>
    <s v="No"/>
    <s v=""/>
    <m/>
    <m/>
    <s v="*MAV310701258"/>
    <s v="*MAV310701258"/>
    <n v="1.2268474157765676E-3"/>
  </r>
  <r>
    <x v="137"/>
    <s v="Pesos"/>
    <d v="2026-08-04T00:00:00"/>
    <s v="14/05/2026"/>
    <n v="0.93098004000000001"/>
    <m/>
    <n v="50000000"/>
    <n v="46549002.079999998"/>
    <n v="50000000"/>
    <n v="46549002.079999998"/>
    <n v="29007569"/>
    <s v="AMOMPY"/>
    <s v="Momentum Capital Investment S.A."/>
    <s v="31/03/2026"/>
    <s v="31/03/2026"/>
    <n v="33"/>
    <s v="No"/>
    <s v=""/>
    <m/>
    <m/>
    <s v="*MAV310701252"/>
    <s v="*MAV310701252"/>
    <n v="1.22684750301507E-3"/>
  </r>
  <r>
    <x v="47"/>
    <s v="Pesos"/>
    <d v="2026-08-04T00:00:00"/>
    <s v="14/05/2026"/>
    <n v="0.93685845000000001"/>
    <m/>
    <n v="10000000"/>
    <n v="9368584.4600000009"/>
    <n v="10000000"/>
    <n v="9368584.4600000009"/>
    <n v="65931757"/>
    <s v="AMOMPY"/>
    <s v="Momentum Capital Investment S.A."/>
    <s v="01/04/2026"/>
    <s v="01/04/2026"/>
    <n v="30"/>
    <s v="No"/>
    <s v=""/>
    <m/>
    <m/>
    <s v="*MIL310700029"/>
    <s v="*MIL310700029"/>
    <n v="2.4691881539765949E-4"/>
  </r>
  <r>
    <x v="72"/>
    <s v="Pesos"/>
    <d v="2026-08-04T00:00:00"/>
    <s v="14/05/2026"/>
    <n v="0.93293126999999998"/>
    <m/>
    <n v="50000000"/>
    <n v="46646563.469999999"/>
    <n v="50000000"/>
    <n v="46646563.469999999"/>
    <n v="11915482"/>
    <s v="AMOMPY"/>
    <s v="Momentum Capital Investment S.A."/>
    <s v="07/04/2026"/>
    <s v="07/04/2026"/>
    <n v="32"/>
    <s v="No"/>
    <s v=""/>
    <m/>
    <m/>
    <s v="*AFB310700008"/>
    <s v="*AFB310700008"/>
    <n v="1.2294188352104727E-3"/>
  </r>
  <r>
    <x v="7"/>
    <s v="Pesos"/>
    <d v="2026-08-04T00:00:00"/>
    <s v="14/05/2026"/>
    <n v="0.94081866000000003"/>
    <m/>
    <n v="50000000"/>
    <n v="47040932.850000001"/>
    <n v="50000000"/>
    <n v="47040932.850000001"/>
    <n v="4577"/>
    <s v="AMOMPY"/>
    <s v="Momentum Capital Investment S.A."/>
    <s v="05/05/2026"/>
    <s v="05/05/2026"/>
    <n v="28"/>
    <s v="No"/>
    <s v=""/>
    <m/>
    <m/>
    <s v="*BIF310700007"/>
    <s v="*BIF310700007"/>
    <n v="1.2398128515695578E-3"/>
  </r>
  <r>
    <x v="9"/>
    <s v="Pesos"/>
    <d v="2026-08-04T00:00:00"/>
    <s v="14/05/2026"/>
    <n v="0.93883435000000004"/>
    <m/>
    <n v="5000000"/>
    <n v="4694171.74"/>
    <n v="5000000"/>
    <n v="4694171.74"/>
    <n v="43319"/>
    <s v="AMOMPY"/>
    <s v="Momentum Capital Investment S.A."/>
    <s v="21/04/2026"/>
    <s v="21/04/2026"/>
    <n v="29"/>
    <s v="No"/>
    <s v=""/>
    <m/>
    <m/>
    <s v="*MOV310700075"/>
    <s v="*MOV310700075"/>
    <n v="1.2371979248975784E-4"/>
  </r>
  <r>
    <x v="78"/>
    <s v="Pesos"/>
    <d v="2026-08-04T00:00:00"/>
    <s v="14/05/2026"/>
    <n v="0.93883448999999997"/>
    <m/>
    <n v="5000000"/>
    <n v="4694172.46"/>
    <n v="5000000"/>
    <n v="4694172.46"/>
    <n v="16779582"/>
    <s v="AMOMPY"/>
    <s v="Momentum Capital Investment S.A."/>
    <s v="20/04/2026"/>
    <s v="20/04/2026"/>
    <n v="29"/>
    <s v="No"/>
    <s v=""/>
    <m/>
    <m/>
    <s v="*INP310700079"/>
    <s v="*INP310700079"/>
    <n v="1.2371981146610885E-4"/>
  </r>
  <r>
    <x v="78"/>
    <s v="Pesos"/>
    <d v="2026-08-04T00:00:00"/>
    <s v="14/05/2026"/>
    <n v="0.93685848000000005"/>
    <m/>
    <n v="40000000"/>
    <n v="37474339.200000003"/>
    <n v="40000000"/>
    <n v="37474339.200000003"/>
    <n v="9631288"/>
    <s v="AMOMPY"/>
    <s v="Momentum Capital Investment S.A."/>
    <s v="23/04/2026"/>
    <s v="23/04/2026"/>
    <n v="30"/>
    <s v="No"/>
    <s v=""/>
    <m/>
    <m/>
    <s v="*INP310700080"/>
    <s v="*INP310700080"/>
    <n v="9.8767529743485662E-4"/>
  </r>
  <r>
    <x v="25"/>
    <s v="Pesos"/>
    <d v="2026-08-04T00:00:00"/>
    <s v="14/05/2026"/>
    <n v="0.94281155999999999"/>
    <m/>
    <n v="27789080.199999999"/>
    <n v="26199865.940000001"/>
    <n v="27789080.199999999"/>
    <n v="26199865.940000001"/>
    <n v="540"/>
    <s v="AMOMPY"/>
    <s v="Momentum Capital Investment S.A."/>
    <s v="04/05/2026"/>
    <s v="04/05/2026"/>
    <n v="27"/>
    <s v="No"/>
    <s v=""/>
    <m/>
    <m/>
    <s v="%INC010800022"/>
    <s v="%INC010800022"/>
    <n v="6.9052479476523678E-4"/>
  </r>
  <r>
    <x v="100"/>
    <s v="Pesos"/>
    <d v="2026-08-04T00:00:00"/>
    <s v="14/05/2026"/>
    <n v="0.91754663000000003"/>
    <m/>
    <n v="50000000"/>
    <n v="45877331.630000003"/>
    <n v="50000000"/>
    <n v="45877331.630000003"/>
    <n v="6540"/>
    <s v="AMOMPY"/>
    <s v="Momentum Capital Investment S.A."/>
    <s v="17/03/2026"/>
    <s v="17/03/2026"/>
    <n v="40"/>
    <s v="No"/>
    <s v=""/>
    <m/>
    <m/>
    <s v="*MAV310701236"/>
    <s v="*MAV310701236"/>
    <n v="1.2091449277157047E-3"/>
  </r>
  <r>
    <x v="105"/>
    <s v="Pesos"/>
    <d v="2026-08-05T00:00:00"/>
    <s v="14/05/2026"/>
    <n v="0.92046205999999997"/>
    <m/>
    <n v="4500000"/>
    <n v="4142079.26"/>
    <n v="4500000"/>
    <n v="4142079.26"/>
    <n v="551"/>
    <s v="AMOMPY"/>
    <s v="Momentum Capital Investment S.A."/>
    <s v="22/04/2026"/>
    <s v="22/04/2026"/>
    <n v="38"/>
    <s v="No"/>
    <s v=""/>
    <m/>
    <m/>
    <s v="*MAV030800733"/>
    <s v="*MAV030800733"/>
    <n v="1.0916881931621226E-4"/>
  </r>
  <r>
    <x v="138"/>
    <s v="Pesos"/>
    <d v="2026-08-05T00:00:00"/>
    <s v="14/05/2026"/>
    <n v="0.92046220000000001"/>
    <m/>
    <n v="3116595.02"/>
    <n v="2868707.91"/>
    <n v="3116595.02"/>
    <n v="2868707.91"/>
    <n v="104"/>
    <s v="AMOMPY"/>
    <s v="Momentum Capital Investment S.A."/>
    <s v="17/04/2026"/>
    <s v="17/04/2026"/>
    <n v="38"/>
    <s v="No"/>
    <s v=""/>
    <m/>
    <m/>
    <s v="*MAV030800729"/>
    <s v="*MAV030800729"/>
    <n v="7.560778918986184E-5"/>
  </r>
  <r>
    <x v="115"/>
    <s v="Pesos"/>
    <d v="2026-08-05T00:00:00"/>
    <s v="14/05/2026"/>
    <n v="0.92046220000000001"/>
    <m/>
    <n v="2398145.2000000002"/>
    <n v="2207402.02"/>
    <n v="2398145.2000000002"/>
    <n v="2207402.02"/>
    <n v="13270644"/>
    <s v="AMOMPY"/>
    <s v="Momentum Capital Investment S.A."/>
    <s v="24/04/2026"/>
    <s v="24/04/2026"/>
    <n v="38"/>
    <s v="No"/>
    <s v=""/>
    <m/>
    <m/>
    <s v="*MAV030800739"/>
    <s v="*MAV030800739"/>
    <n v="5.8178382680108824E-5"/>
  </r>
  <r>
    <x v="124"/>
    <s v="Dolar 3500"/>
    <d v="2026-08-05T00:00:00"/>
    <s v="14/05/2026"/>
    <n v="0.97994473000000004"/>
    <s v="1 US3 = 1393,2322905547 $"/>
    <n v="50000"/>
    <n v="48997.24"/>
    <n v="69661614.530000001"/>
    <n v="68264536.920000002"/>
    <n v="144917"/>
    <s v="AMOMPY"/>
    <s v="Momentum Capital Investment S.A."/>
    <s v="01/04/2026"/>
    <s v="01/04/2026"/>
    <n v="9"/>
    <s v="No"/>
    <s v=""/>
    <m/>
    <m/>
    <s v="#UMV030860028"/>
    <s v="#UMV030860028"/>
    <n v="1.7991830742332007E-3"/>
  </r>
  <r>
    <x v="124"/>
    <s v="Dolar 3500"/>
    <d v="2026-08-05T00:00:00"/>
    <s v="14/05/2026"/>
    <n v="0.98213337000000001"/>
    <s v="1 US3 = 1393,2322905547 $"/>
    <n v="50000"/>
    <n v="49106.67"/>
    <n v="69661614.530000001"/>
    <n v="68416998.329999998"/>
    <n v="144506"/>
    <s v="AMOMPY"/>
    <s v="Momentum Capital Investment S.A."/>
    <s v="30/03/2026"/>
    <s v="30/03/2026"/>
    <n v="8"/>
    <s v="No"/>
    <s v=""/>
    <m/>
    <m/>
    <s v="#UMV030860027"/>
    <s v="#UMV030860027"/>
    <n v="1.8032013537194762E-3"/>
  </r>
  <r>
    <x v="142"/>
    <s v="Dolar 3500"/>
    <d v="2026-08-05T00:00:00"/>
    <s v="14/05/2026"/>
    <n v="0.98433168000000004"/>
    <s v="1 US3 = 1393,2322905547 $"/>
    <n v="100000"/>
    <n v="98433.17"/>
    <n v="139323229.06"/>
    <n v="137140270.91"/>
    <n v="147169"/>
    <s v="AMOMPY"/>
    <s v="Momentum Capital Investment S.A."/>
    <s v="23/04/2026"/>
    <s v="23/04/2026"/>
    <n v="7"/>
    <s v="No"/>
    <s v=""/>
    <m/>
    <m/>
    <s v="#UMV030860029"/>
    <s v="#UMV030860029"/>
    <n v="3.6144748847587696E-3"/>
  </r>
  <r>
    <x v="46"/>
    <s v="Pesos"/>
    <d v="2026-08-05T00:00:00"/>
    <s v="14/05/2026"/>
    <n v="0.93613763999999999"/>
    <m/>
    <n v="8500000"/>
    <n v="7957169.96"/>
    <n v="8500000"/>
    <n v="7957169.96"/>
    <n v="1070"/>
    <s v="AMOMPY"/>
    <s v="Momentum Capital Investment S.A."/>
    <s v="17/04/2026"/>
    <s v="17/04/2026"/>
    <n v="30"/>
    <s v="No"/>
    <s v=""/>
    <m/>
    <m/>
    <s v="*FED030800023"/>
    <s v="*FED030800023"/>
    <n v="2.0971951406638026E-4"/>
  </r>
  <r>
    <x v="46"/>
    <s v="Pesos"/>
    <d v="2026-08-05T00:00:00"/>
    <s v="14/05/2026"/>
    <n v="0.93613763999999999"/>
    <m/>
    <n v="10000000"/>
    <n v="9361376.4299999997"/>
    <n v="10000000"/>
    <n v="9361376.4299999997"/>
    <n v="40621855"/>
    <s v="AMOMPY"/>
    <s v="Momentum Capital Investment S.A."/>
    <s v="17/04/2026"/>
    <s v="17/04/2026"/>
    <n v="30"/>
    <s v="No"/>
    <s v=""/>
    <m/>
    <m/>
    <s v="*FED030800024"/>
    <s v="*FED030800024"/>
    <n v="2.4672884024863352E-4"/>
  </r>
  <r>
    <x v="133"/>
    <s v="Pesos"/>
    <d v="2026-08-05T00:00:00"/>
    <s v="14/05/2026"/>
    <n v="0.93019728000000002"/>
    <m/>
    <n v="50000000"/>
    <n v="46509863.770000003"/>
    <n v="50000000"/>
    <n v="46509863.770000003"/>
    <n v="136"/>
    <s v="AMOMPY"/>
    <s v="Momentum Capital Investment S.A."/>
    <s v="13/05/2026"/>
    <s v="13/05/2026"/>
    <n v="33"/>
    <s v="No"/>
    <s v=""/>
    <m/>
    <m/>
    <s v="*MAV030800838"/>
    <s v="*MAV030800838"/>
    <n v="1.2258159720315871E-3"/>
  </r>
  <r>
    <x v="78"/>
    <s v="Pesos"/>
    <d v="2026-08-05T00:00:00"/>
    <s v="14/05/2026"/>
    <n v="0.93613765999999998"/>
    <m/>
    <n v="15000000"/>
    <n v="14042064.880000001"/>
    <n v="15000000"/>
    <n v="14042064.880000001"/>
    <n v="90000127"/>
    <s v="AMOMPY"/>
    <s v="Momentum Capital Investment S.A."/>
    <s v="05/05/2026"/>
    <s v="05/05/2026"/>
    <n v="30"/>
    <s v="No"/>
    <s v=""/>
    <m/>
    <m/>
    <s v="*INP030800027"/>
    <s v="*INP030800027"/>
    <n v="3.7009326656662044E-4"/>
  </r>
  <r>
    <x v="47"/>
    <s v="Pesos"/>
    <d v="2026-08-05T00:00:00"/>
    <s v="14/05/2026"/>
    <n v="0.93813462000000003"/>
    <m/>
    <n v="4166666.66"/>
    <n v="3908894.23"/>
    <n v="4166666.66"/>
    <n v="3908894.23"/>
    <n v="13567710"/>
    <s v="AMOMPY"/>
    <s v="Momentum Capital Investment S.A."/>
    <s v="30/04/2026"/>
    <s v="30/04/2026"/>
    <n v="29"/>
    <s v="No"/>
    <s v=""/>
    <m/>
    <m/>
    <s v="*MIL020800023"/>
    <s v="*MIL020800023"/>
    <n v="1.0302298462561401E-4"/>
  </r>
  <r>
    <x v="47"/>
    <s v="Pesos"/>
    <d v="2026-08-05T00:00:00"/>
    <s v="14/05/2026"/>
    <n v="0.93813469000000005"/>
    <m/>
    <n v="12500000"/>
    <n v="11726683.58"/>
    <n v="12500000"/>
    <n v="11726683.58"/>
    <n v="4955"/>
    <s v="AMOMPY"/>
    <s v="Momentum Capital Investment S.A."/>
    <s v="24/04/2026"/>
    <s v="24/04/2026"/>
    <n v="29"/>
    <s v="No"/>
    <s v=""/>
    <m/>
    <m/>
    <s v="*MIL010800019"/>
    <s v="*MIL010800019"/>
    <n v="3.0906897733372037E-4"/>
  </r>
  <r>
    <x v="73"/>
    <s v="Pesos"/>
    <d v="2026-08-05T00:00:00"/>
    <s v="14/05/2026"/>
    <n v="0.94215431999999999"/>
    <m/>
    <n v="6060681.79"/>
    <n v="5710097.5499999998"/>
    <n v="6060681.79"/>
    <n v="5710097.5499999998"/>
    <n v="66717853"/>
    <s v="AMOMPY"/>
    <s v="Momentum Capital Investment S.A."/>
    <s v="06/05/2026"/>
    <s v="06/05/2026"/>
    <n v="27"/>
    <s v="No"/>
    <s v=""/>
    <m/>
    <m/>
    <s v="*PRO030800006"/>
    <s v="*PRO030800006"/>
    <n v="1.5049557687939953E-4"/>
  </r>
  <r>
    <x v="89"/>
    <s v="Pesos"/>
    <d v="2026-08-05T00:00:00"/>
    <s v="14/05/2026"/>
    <n v="0.94014023000000002"/>
    <m/>
    <n v="6500000"/>
    <n v="6110911.5199999996"/>
    <n v="6500000"/>
    <n v="6110911.5199999996"/>
    <n v="29175491"/>
    <s v="AMOMPY"/>
    <s v="Momentum Capital Investment S.A."/>
    <s v="04/05/2026"/>
    <s v="04/05/2026"/>
    <n v="28"/>
    <s v="No"/>
    <s v=""/>
    <m/>
    <m/>
    <s v="*CUY030800022"/>
    <s v="*CUY030800022"/>
    <n v="1.6105944713000012E-4"/>
  </r>
  <r>
    <x v="104"/>
    <s v="Pesos"/>
    <d v="2026-08-05T00:00:00"/>
    <s v="14/05/2026"/>
    <n v="0.92433147999999998"/>
    <m/>
    <n v="16800000"/>
    <n v="15528768.890000001"/>
    <n v="16800000"/>
    <n v="15528768.890000001"/>
    <n v="32600"/>
    <s v="AMOMPY"/>
    <s v="Momentum Capital Investment S.A."/>
    <s v="29/04/2026"/>
    <s v="29/04/2026"/>
    <n v="36"/>
    <s v="No"/>
    <s v=""/>
    <m/>
    <m/>
    <s v="*MAV030800746"/>
    <s v="*MAV030800746"/>
    <n v="4.0927690146509368E-4"/>
  </r>
  <r>
    <x v="46"/>
    <s v="Pesos"/>
    <d v="2026-08-06T00:00:00"/>
    <s v="14/05/2026"/>
    <n v="0.93541785"/>
    <m/>
    <n v="8500000"/>
    <n v="7951051.7400000002"/>
    <n v="8500000"/>
    <n v="7951051.7400000002"/>
    <n v="1075"/>
    <s v="AMOMPY"/>
    <s v="Momentum Capital Investment S.A."/>
    <s v="17/04/2026"/>
    <s v="17/04/2026"/>
    <n v="30"/>
    <s v="No"/>
    <s v=""/>
    <m/>
    <m/>
    <s v="*FED040800020"/>
    <s v="*FED040800020"/>
    <n v="2.0955826199663672E-4"/>
  </r>
  <r>
    <x v="46"/>
    <s v="Pesos"/>
    <d v="2026-08-06T00:00:00"/>
    <s v="14/05/2026"/>
    <n v="0.93541785"/>
    <m/>
    <n v="10000000"/>
    <n v="9354178.5099999998"/>
    <n v="10000000"/>
    <n v="9354178.5099999998"/>
    <n v="40621856"/>
    <s v="AMOMPY"/>
    <s v="Momentum Capital Investment S.A."/>
    <s v="17/04/2026"/>
    <s v="17/04/2026"/>
    <n v="30"/>
    <s v="No"/>
    <s v=""/>
    <m/>
    <m/>
    <s v="*FED040800021"/>
    <s v="*FED040800021"/>
    <n v="2.4653913155920287E-4"/>
  </r>
  <r>
    <x v="111"/>
    <s v="Pesos"/>
    <d v="2026-08-06T00:00:00"/>
    <s v="14/05/2026"/>
    <n v="0.93946275999999995"/>
    <m/>
    <n v="25000000"/>
    <n v="23486569.07"/>
    <n v="25000000"/>
    <n v="23486569.07"/>
    <n v="896"/>
    <s v="AMOMPY"/>
    <s v="Momentum Capital Investment S.A."/>
    <s v="22/04/2026"/>
    <s v="22/04/2026"/>
    <n v="28"/>
    <s v="No"/>
    <s v=""/>
    <m/>
    <m/>
    <s v="*TRD040800019"/>
    <s v="*TRD040800019"/>
    <n v="6.1901302563692842E-4"/>
  </r>
  <r>
    <x v="89"/>
    <s v="Pesos"/>
    <d v="2026-08-06T00:00:00"/>
    <s v="14/05/2026"/>
    <n v="0.93946262999999997"/>
    <m/>
    <n v="6500000"/>
    <n v="6106507.0999999996"/>
    <n v="6500000"/>
    <n v="6106507.0999999996"/>
    <n v="29175497"/>
    <s v="AMOMPY"/>
    <s v="Momentum Capital Investment S.A."/>
    <s v="04/05/2026"/>
    <s v="04/05/2026"/>
    <n v="28"/>
    <s v="No"/>
    <s v=""/>
    <m/>
    <m/>
    <s v="*CUY040800025"/>
    <s v="*CUY040800025"/>
    <n v="1.6094336404684522E-4"/>
  </r>
  <r>
    <x v="52"/>
    <s v="Pesos"/>
    <d v="2026-08-06T00:00:00"/>
    <s v="14/05/2026"/>
    <n v="0.92545648999999996"/>
    <m/>
    <n v="25000000"/>
    <n v="23136412.149999999"/>
    <n v="25000000"/>
    <n v="23136412.149999999"/>
    <n v="1308"/>
    <s v="AMOMPY"/>
    <s v="Momentum Capital Investment S.A."/>
    <s v="20/04/2026"/>
    <s v="20/04/2026"/>
    <n v="35"/>
    <s v="No"/>
    <s v=""/>
    <m/>
    <m/>
    <s v="*MAV040801017"/>
    <s v="*MAV040801017"/>
    <n v="6.0978427477719681E-4"/>
  </r>
  <r>
    <x v="4"/>
    <s v="Pesos"/>
    <d v="2026-08-07T00:00:00"/>
    <s v="14/05/2026"/>
    <n v="0.91870136999999996"/>
    <m/>
    <n v="10000000"/>
    <n v="9187013.7300000004"/>
    <n v="10000000"/>
    <n v="9187013.7300000004"/>
    <n v="60524152"/>
    <s v="AMOMPY"/>
    <s v="Momentum Capital Investment S.A."/>
    <s v="31/03/2026"/>
    <s v="31/03/2026"/>
    <n v="38"/>
    <s v="No"/>
    <s v=""/>
    <m/>
    <m/>
    <s v="*MAV050801095"/>
    <s v="*MAV050801095"/>
    <n v="2.4213332942014522E-4"/>
  </r>
  <r>
    <x v="46"/>
    <s v="Pesos"/>
    <d v="2026-08-07T00:00:00"/>
    <s v="14/05/2026"/>
    <n v="0.93469917000000002"/>
    <m/>
    <n v="10000000"/>
    <n v="9346991.6699999999"/>
    <n v="10000000"/>
    <n v="9346991.6699999999"/>
    <n v="40621854"/>
    <s v="AMOMPY"/>
    <s v="Momentum Capital Investment S.A."/>
    <s v="17/04/2026"/>
    <s v="17/04/2026"/>
    <n v="30"/>
    <s v="No"/>
    <s v=""/>
    <m/>
    <m/>
    <s v="*FED050800034"/>
    <s v="*FED050800034"/>
    <n v="2.4634971489472923E-4"/>
  </r>
  <r>
    <x v="78"/>
    <s v="Pesos"/>
    <d v="2026-08-07T00:00:00"/>
    <s v="14/05/2026"/>
    <n v="0.93469933000000005"/>
    <m/>
    <n v="8000000"/>
    <n v="7477594.6500000004"/>
    <n v="8000000"/>
    <n v="7477594.6500000004"/>
    <n v="90000620"/>
    <s v="AMOMPY"/>
    <s v="Momentum Capital Investment S.A."/>
    <s v="04/05/2026"/>
    <s v="04/05/2026"/>
    <n v="30"/>
    <s v="No"/>
    <s v=""/>
    <m/>
    <m/>
    <s v="*INP050800057"/>
    <s v="*INP050800057"/>
    <n v="1.9707980654762398E-4"/>
  </r>
  <r>
    <x v="47"/>
    <s v="Pesos"/>
    <d v="2026-08-07T00:00:00"/>
    <s v="14/05/2026"/>
    <n v="0.93469915999999997"/>
    <m/>
    <n v="10000000"/>
    <n v="9346991.6300000008"/>
    <n v="10000000"/>
    <n v="9346991.6300000008"/>
    <n v="991"/>
    <s v="AMOMPY"/>
    <s v="Momentum Capital Investment S.A."/>
    <s v="05/05/2026"/>
    <s v="05/05/2026"/>
    <n v="30"/>
    <s v="No"/>
    <s v=""/>
    <m/>
    <m/>
    <s v="*MIL050800016"/>
    <s v="*MIL050800016"/>
    <n v="2.4634971384048757E-4"/>
  </r>
  <r>
    <x v="28"/>
    <s v="Pesos"/>
    <d v="2026-08-07T00:00:00"/>
    <s v="14/05/2026"/>
    <n v="0.9128425"/>
    <m/>
    <n v="50000000"/>
    <n v="45642124.920000002"/>
    <n v="50000000"/>
    <n v="45642124.920000002"/>
    <n v="1127975"/>
    <s v="AMOMPY"/>
    <s v="Momentum Capital Investment S.A."/>
    <s v="03/03/2026"/>
    <s v="03/03/2026"/>
    <n v="41"/>
    <s v="No"/>
    <s v=""/>
    <m/>
    <m/>
    <s v="*MAV050801071"/>
    <s v="*MAV050801071"/>
    <n v="1.2029458095399819E-3"/>
  </r>
  <r>
    <x v="23"/>
    <s v="Pesos"/>
    <d v="2026-08-07T00:00:00"/>
    <s v="14/05/2026"/>
    <n v="0.91870127999999995"/>
    <m/>
    <n v="100000000"/>
    <n v="91870128.439999998"/>
    <n v="100000000"/>
    <n v="91870128.439999998"/>
    <n v="2598"/>
    <s v="AMOMPY"/>
    <s v="Momentum Capital Investment S.A."/>
    <s v="13/04/2026"/>
    <s v="13/04/2026"/>
    <n v="38"/>
    <s v="No"/>
    <s v=""/>
    <m/>
    <m/>
    <s v="*MAV050801102"/>
    <s v="*MAV050801102"/>
    <n v="2.4213330606869103E-3"/>
  </r>
  <r>
    <x v="52"/>
    <s v="Pesos"/>
    <d v="2026-08-07T00:00:00"/>
    <s v="14/05/2026"/>
    <n v="0.92463596000000003"/>
    <m/>
    <n v="17000000"/>
    <n v="15718811.24"/>
    <n v="17000000"/>
    <n v="15718811.24"/>
    <n v="29088028"/>
    <s v="AMOMPY"/>
    <s v="Momentum Capital Investment S.A."/>
    <s v="14/04/2026"/>
    <s v="14/04/2026"/>
    <n v="35"/>
    <s v="No"/>
    <s v=""/>
    <m/>
    <m/>
    <s v="*MAV050801106"/>
    <s v="*MAV050801106"/>
    <n v="4.1428566582407851E-4"/>
  </r>
  <r>
    <x v="132"/>
    <s v="Pesos"/>
    <d v="2026-08-10T00:00:00"/>
    <s v="14/05/2026"/>
    <n v="0.92630199000000002"/>
    <m/>
    <n v="5600000"/>
    <n v="5187291.16"/>
    <n v="5600000"/>
    <n v="5187291.16"/>
    <n v="3501249"/>
    <s v="AMOMPY"/>
    <s v="Momentum Capital Investment S.A."/>
    <s v="24/04/2026"/>
    <s v="24/04/2026"/>
    <n v="33"/>
    <s v="No"/>
    <s v=""/>
    <m/>
    <m/>
    <s v="*MAV060800856"/>
    <s v="*MAV060800856"/>
    <n v="1.3671646915482374E-4"/>
  </r>
  <r>
    <x v="78"/>
    <s v="Pesos"/>
    <d v="2026-08-10T00:00:00"/>
    <s v="14/05/2026"/>
    <n v="0.93254983999999996"/>
    <m/>
    <n v="1040000"/>
    <n v="969851.83"/>
    <n v="1040000"/>
    <n v="969851.83"/>
    <n v="13001545"/>
    <s v="AMOMPY"/>
    <s v="Momentum Capital Investment S.A."/>
    <s v="30/04/2026"/>
    <s v="30/04/2026"/>
    <n v="30"/>
    <s v="No"/>
    <s v=""/>
    <m/>
    <m/>
    <s v="*INP060800056"/>
    <s v="*INP060800056"/>
    <n v="2.556145658901945E-5"/>
  </r>
  <r>
    <x v="78"/>
    <s v="Pesos"/>
    <d v="2026-08-10T00:00:00"/>
    <s v="14/05/2026"/>
    <n v="0.93254992000000003"/>
    <m/>
    <n v="10000000"/>
    <n v="9325499.2200000007"/>
    <n v="10000000"/>
    <n v="9325499.2200000007"/>
    <n v="40200399"/>
    <s v="AMOMPY"/>
    <s v="Momentum Capital Investment S.A."/>
    <s v="05/05/2026"/>
    <s v="05/05/2026"/>
    <n v="30"/>
    <s v="No"/>
    <s v=""/>
    <m/>
    <m/>
    <s v="*INP060800057"/>
    <s v="*INP060800057"/>
    <n v="2.4578325895715922E-4"/>
  </r>
  <r>
    <x v="39"/>
    <s v="Pesos"/>
    <d v="2026-08-10T00:00:00"/>
    <s v="14/05/2026"/>
    <n v="0.92837532"/>
    <m/>
    <n v="50000000"/>
    <n v="46418766.109999999"/>
    <n v="50000000"/>
    <n v="46418766.109999999"/>
    <n v="4578"/>
    <s v="AMOMPY"/>
    <s v="Momentum Capital Investment S.A."/>
    <s v="05/05/2026"/>
    <s v="05/05/2026"/>
    <n v="32"/>
    <s v="No"/>
    <s v=""/>
    <m/>
    <m/>
    <s v="*MAV060800872"/>
    <s v="*MAV060800872"/>
    <n v="1.2234149981823639E-3"/>
  </r>
  <r>
    <x v="143"/>
    <s v="Pesos"/>
    <d v="2026-08-11T00:00:00"/>
    <s v="14/05/2026"/>
    <n v="0.91519987000000003"/>
    <m/>
    <n v="5211510.2699999996"/>
    <n v="4769573.54"/>
    <n v="5211510.2699999996"/>
    <n v="4769573.54"/>
    <n v="90000479"/>
    <s v="AMOMPY"/>
    <s v="Momentum Capital Investment S.A."/>
    <s v="24/04/2026"/>
    <s v="24/04/2026"/>
    <n v="38"/>
    <s v="No"/>
    <s v=""/>
    <m/>
    <m/>
    <s v="*MAV070800991"/>
    <s v="*MAV070800991"/>
    <n v="1.2570708557702658E-4"/>
  </r>
  <r>
    <x v="137"/>
    <s v="Pesos"/>
    <d v="2026-08-11T00:00:00"/>
    <s v="14/05/2026"/>
    <n v="0.92552690000000004"/>
    <m/>
    <n v="50000000"/>
    <n v="46276344.810000002"/>
    <n v="50000000"/>
    <n v="46276344.810000002"/>
    <n v="29007571"/>
    <s v="AMOMPY"/>
    <s v="Momentum Capital Investment S.A."/>
    <s v="31/03/2026"/>
    <s v="31/03/2026"/>
    <n v="33"/>
    <s v="No"/>
    <s v=""/>
    <m/>
    <m/>
    <s v="*MAV070800967"/>
    <s v="*MAV070800967"/>
    <n v="1.2196613362675313E-3"/>
  </r>
  <r>
    <x v="39"/>
    <s v="Pesos"/>
    <d v="2026-08-11T00:00:00"/>
    <s v="14/05/2026"/>
    <n v="0.92762023000000005"/>
    <m/>
    <n v="50000000"/>
    <n v="46381011.420000002"/>
    <n v="50000000"/>
    <n v="46381011.420000002"/>
    <n v="4636"/>
    <s v="AMOMPY"/>
    <s v="Momentum Capital Investment S.A."/>
    <s v="12/05/2026"/>
    <s v="12/05/2026"/>
    <n v="32"/>
    <s v="No"/>
    <s v=""/>
    <m/>
    <m/>
    <s v="*MAV070801075"/>
    <s v="*MAV070801075"/>
    <n v="1.2224199339471737E-3"/>
  </r>
  <r>
    <x v="132"/>
    <s v="Pesos"/>
    <d v="2026-08-12T00:00:00"/>
    <s v="14/05/2026"/>
    <n v="0.93112264"/>
    <m/>
    <n v="5000000"/>
    <n v="4655613.1900000004"/>
    <n v="5000000"/>
    <n v="4655613.1900000004"/>
    <n v="3501230"/>
    <s v="AMOMPY"/>
    <s v="Momentum Capital Investment S.A."/>
    <s v="17/04/2026"/>
    <s v="17/04/2026"/>
    <n v="30"/>
    <s v="No"/>
    <s v=""/>
    <m/>
    <m/>
    <s v="*MAV090800977"/>
    <s v="*MAV090800977"/>
    <n v="1.2270354168579688E-4"/>
  </r>
  <r>
    <x v="105"/>
    <s v="Pesos"/>
    <d v="2026-08-12T00:00:00"/>
    <s v="14/05/2026"/>
    <n v="0.91432888000000001"/>
    <m/>
    <n v="4957711.8099999996"/>
    <n v="4532979.0999999996"/>
    <n v="4957711.8099999996"/>
    <n v="4532979.0999999996"/>
    <n v="590"/>
    <s v="AMOMPY"/>
    <s v="Momentum Capital Investment S.A."/>
    <s v="24/04/2026"/>
    <s v="24/04/2026"/>
    <n v="38"/>
    <s v="No"/>
    <s v=""/>
    <m/>
    <m/>
    <s v="*MAV090800979"/>
    <s v="*MAV090800979"/>
    <n v="1.1947139232967417E-4"/>
  </r>
  <r>
    <x v="36"/>
    <s v="Pesos"/>
    <d v="2026-08-12T00:00:00"/>
    <s v="14/05/2026"/>
    <n v="0.93112254000000005"/>
    <m/>
    <n v="10000000"/>
    <n v="9311225.3900000006"/>
    <n v="10000000"/>
    <n v="9311225.3900000006"/>
    <n v="500"/>
    <s v="AMOMPY"/>
    <s v="Momentum Capital Investment S.A."/>
    <s v="14/05/2026"/>
    <s v="14/05/2026"/>
    <n v="30"/>
    <s v="No"/>
    <s v=""/>
    <m/>
    <m/>
    <s v="*MAV080801225"/>
    <s v="*MAV080801225"/>
    <n v="2.4540705727911109E-4"/>
  </r>
  <r>
    <x v="110"/>
    <s v="Pesos"/>
    <d v="2026-08-12T00:00:00"/>
    <s v="14/05/2026"/>
    <n v="0.91847005999999998"/>
    <m/>
    <n v="65000000"/>
    <n v="59700554"/>
    <n v="65000000"/>
    <n v="59700554"/>
    <n v="312"/>
    <s v="AMOMPY"/>
    <s v="Momentum Capital Investment S.A."/>
    <s v="10/04/2026"/>
    <s v="10/04/2026"/>
    <n v="36"/>
    <s v="No"/>
    <s v=""/>
    <m/>
    <m/>
    <s v="*MAV090800974"/>
    <s v="*MAV090800974"/>
    <n v="1.5734703716663726E-3"/>
  </r>
  <r>
    <x v="46"/>
    <s v="Pesos"/>
    <d v="2026-08-12T00:00:00"/>
    <s v="14/05/2026"/>
    <n v="0.93326529999999996"/>
    <m/>
    <n v="80000000"/>
    <n v="74661224.170000002"/>
    <n v="80000000"/>
    <n v="74661224.170000002"/>
    <n v="90041870"/>
    <s v="AMOMPY"/>
    <s v="Momentum Capital Investment S.A."/>
    <s v="20/04/2026"/>
    <s v="20/04/2026"/>
    <n v="29"/>
    <s v="No"/>
    <s v=""/>
    <m/>
    <m/>
    <s v="*FED090800026"/>
    <s v="*FED090800026"/>
    <n v="1.9677744388073228E-3"/>
  </r>
  <r>
    <x v="89"/>
    <s v="Pesos"/>
    <d v="2026-08-12T00:00:00"/>
    <s v="14/05/2026"/>
    <n v="0.93541786999999998"/>
    <m/>
    <n v="7000000"/>
    <n v="6547925.0599999996"/>
    <n v="7000000"/>
    <n v="6547925.0599999996"/>
    <n v="29175494"/>
    <s v="AMOMPY"/>
    <s v="Momentum Capital Investment S.A."/>
    <s v="04/05/2026"/>
    <s v="04/05/2026"/>
    <n v="28"/>
    <s v="No"/>
    <s v=""/>
    <m/>
    <m/>
    <s v="*CUY100800020"/>
    <s v="*CUY100800020"/>
    <n v="1.7257739480611443E-4"/>
  </r>
  <r>
    <x v="65"/>
    <s v="Pesos"/>
    <d v="2026-08-12T00:00:00"/>
    <s v="14/05/2026"/>
    <n v="0.93112258000000003"/>
    <m/>
    <n v="10000000"/>
    <n v="9311225.7899999991"/>
    <n v="10000000"/>
    <n v="9311225.7899999991"/>
    <n v="3435966"/>
    <s v="AMOMPY"/>
    <s v="Momentum Capital Investment S.A."/>
    <s v="11/05/2026"/>
    <s v="11/05/2026"/>
    <n v="30"/>
    <s v="No"/>
    <s v=""/>
    <m/>
    <m/>
    <s v="*NEU080800033"/>
    <s v="*NEU080800033"/>
    <n v="2.4540706782152829E-4"/>
  </r>
  <r>
    <x v="104"/>
    <s v="Pesos"/>
    <d v="2026-08-12T00:00:00"/>
    <s v="14/05/2026"/>
    <n v="0.93112258999999997"/>
    <m/>
    <n v="16800000"/>
    <n v="15642859.51"/>
    <n v="16800000"/>
    <n v="15642859.51"/>
    <n v="32660"/>
    <s v="AMOMPY"/>
    <s v="Momentum Capital Investment S.A."/>
    <s v="04/05/2026"/>
    <s v="04/05/2026"/>
    <n v="30"/>
    <s v="No"/>
    <s v=""/>
    <m/>
    <m/>
    <s v="*MAV100800966"/>
    <s v="*MAV100800966"/>
    <n v="4.1228387875805222E-4"/>
  </r>
  <r>
    <x v="4"/>
    <s v="Pesos"/>
    <d v="2026-08-13T00:00:00"/>
    <s v="14/05/2026"/>
    <n v="0.91974303999999996"/>
    <m/>
    <n v="10000000"/>
    <n v="9197430.3699999992"/>
    <n v="10000000"/>
    <n v="9197430.3699999992"/>
    <n v="254"/>
    <s v="AMOMPY"/>
    <s v="Momentum Capital Investment S.A."/>
    <s v="30/04/2026"/>
    <s v="30/04/2026"/>
    <n v="35"/>
    <s v="No"/>
    <s v=""/>
    <m/>
    <m/>
    <s v="*MAV110801282"/>
    <s v="*MAV110801282"/>
    <n v="2.4240787083247973E-4"/>
  </r>
  <r>
    <x v="78"/>
    <s v="Pesos"/>
    <d v="2026-08-13T00:00:00"/>
    <s v="14/05/2026"/>
    <n v="0.93257365999999997"/>
    <m/>
    <n v="5000000"/>
    <n v="4662868.28"/>
    <n v="5000000"/>
    <n v="4662868.28"/>
    <n v="6879"/>
    <s v="AMOMPY"/>
    <s v="Momentum Capital Investment S.A."/>
    <s v="22/04/2026"/>
    <s v="22/04/2026"/>
    <n v="29"/>
    <s v="No"/>
    <s v=""/>
    <m/>
    <m/>
    <s v="*INP110800047"/>
    <s v="*INP110800047"/>
    <n v="1.22894757150209E-4"/>
  </r>
  <r>
    <x v="134"/>
    <s v="Pesos"/>
    <d v="2026-08-13T00:00:00"/>
    <s v="14/05/2026"/>
    <n v="0.93693057999999996"/>
    <m/>
    <n v="150000000"/>
    <n v="140539587.33000001"/>
    <n v="150000000"/>
    <n v="140539587.33000001"/>
    <n v="67981"/>
    <s v="AMOMPY"/>
    <s v="Momentum Capital Investment S.A."/>
    <s v="12/05/2026"/>
    <s v="12/05/2026"/>
    <n v="27"/>
    <s v="No"/>
    <s v=""/>
    <m/>
    <m/>
    <s v="*MAV110801321"/>
    <s v="*MAV110801321"/>
    <n v="3.7040674146838525E-3"/>
  </r>
  <r>
    <x v="89"/>
    <s v="Pesos"/>
    <d v="2026-08-13T00:00:00"/>
    <s v="14/05/2026"/>
    <n v="0.93474705000000002"/>
    <m/>
    <n v="7000000"/>
    <n v="6543229.3499999996"/>
    <n v="7000000"/>
    <n v="6543229.3499999996"/>
    <n v="29175498"/>
    <s v="AMOMPY"/>
    <s v="Momentum Capital Investment S.A."/>
    <s v="04/05/2026"/>
    <s v="04/05/2026"/>
    <n v="28"/>
    <s v="No"/>
    <s v=""/>
    <m/>
    <m/>
    <s v="*CUY110800024"/>
    <s v="*CUY110800024"/>
    <n v="1.7245363447117789E-4"/>
  </r>
  <r>
    <x v="39"/>
    <s v="Pesos"/>
    <d v="2026-08-13T00:00:00"/>
    <s v="14/05/2026"/>
    <n v="0.92611401000000004"/>
    <m/>
    <n v="50000000"/>
    <n v="46305700.649999999"/>
    <n v="50000000"/>
    <n v="46305700.649999999"/>
    <n v="4633"/>
    <s v="AMOMPY"/>
    <s v="Momentum Capital Investment S.A."/>
    <s v="12/05/2026"/>
    <s v="12/05/2026"/>
    <n v="32"/>
    <s v="No"/>
    <s v=""/>
    <m/>
    <m/>
    <s v="*MAV110801326"/>
    <s v="*MAV110801326"/>
    <n v="1.2204350400505041E-3"/>
  </r>
  <r>
    <x v="52"/>
    <s v="Pesos"/>
    <d v="2026-08-13T00:00:00"/>
    <s v="14/05/2026"/>
    <n v="0.91974308999999999"/>
    <m/>
    <n v="25000000"/>
    <n v="22993577.300000001"/>
    <n v="25000000"/>
    <n v="22993577.300000001"/>
    <n v="1309"/>
    <s v="AMOMPY"/>
    <s v="Momentum Capital Investment S.A."/>
    <s v="20/04/2026"/>
    <s v="20/04/2026"/>
    <n v="35"/>
    <s v="No"/>
    <s v=""/>
    <m/>
    <m/>
    <s v="*MAV110801261"/>
    <s v="*MAV110801261"/>
    <n v="6.0601971332075854E-4"/>
  </r>
  <r>
    <x v="105"/>
    <s v="Pesos"/>
    <d v="2026-08-14T00:00:00"/>
    <s v="14/05/2026"/>
    <n v="0.91259133999999997"/>
    <m/>
    <n v="4957711.8099999996"/>
    <n v="4524364.87"/>
    <n v="4957711.8099999996"/>
    <n v="4524364.87"/>
    <n v="591"/>
    <s v="AMOMPY"/>
    <s v="Momentum Capital Investment S.A."/>
    <s v="24/04/2026"/>
    <s v="24/04/2026"/>
    <n v="38"/>
    <s v="No"/>
    <s v=""/>
    <m/>
    <m/>
    <s v="*MAV120801457"/>
    <s v="*MAV120801457"/>
    <n v="1.1924435531290345E-4"/>
  </r>
  <r>
    <x v="46"/>
    <s v="Pesos"/>
    <d v="2026-08-14T00:00:00"/>
    <s v="14/05/2026"/>
    <n v="0.93628169999999999"/>
    <m/>
    <n v="75000000"/>
    <n v="70221127.290000007"/>
    <n v="75000000"/>
    <n v="70221127.290000007"/>
    <n v="16182"/>
    <s v="AMOMPY"/>
    <s v="Momentum Capital Investment S.A."/>
    <s v="22/04/2026"/>
    <s v="22/04/2026"/>
    <n v="27"/>
    <s v="No"/>
    <s v=""/>
    <m/>
    <m/>
    <s v="*FED120800028"/>
    <s v="*FED120800028"/>
    <n v="1.8507510542670671E-3"/>
  </r>
  <r>
    <x v="78"/>
    <s v="Pesos"/>
    <d v="2026-08-14T00:00:00"/>
    <s v="14/05/2026"/>
    <n v="0.92969964999999999"/>
    <m/>
    <n v="1040000"/>
    <n v="966887.64"/>
    <n v="1040000"/>
    <n v="966887.64"/>
    <n v="10401546"/>
    <s v="AMOMPY"/>
    <s v="Momentum Capital Investment S.A."/>
    <s v="30/04/2026"/>
    <s v="30/04/2026"/>
    <n v="30"/>
    <s v="No"/>
    <s v=""/>
    <m/>
    <m/>
    <s v="*INP120800052"/>
    <s v="*INP120800052"/>
    <n v="2.5483332269754513E-5"/>
  </r>
  <r>
    <x v="77"/>
    <s v="Pesos"/>
    <d v="2026-08-14T00:00:00"/>
    <s v="14/05/2026"/>
    <n v="0.93188320999999996"/>
    <m/>
    <n v="42000000"/>
    <n v="39139094.979999997"/>
    <n v="42000000"/>
    <n v="39139094.979999997"/>
    <n v="7578"/>
    <s v="AMOMPY"/>
    <s v="Momentum Capital Investment S.A."/>
    <s v="20/04/2026"/>
    <s v="20/04/2026"/>
    <n v="29"/>
    <s v="No"/>
    <s v=""/>
    <m/>
    <m/>
    <s v="*ACI120800233"/>
    <s v="*ACI120800233"/>
    <n v="1.0315516724495731E-3"/>
  </r>
  <r>
    <x v="28"/>
    <s v="Pesos"/>
    <d v="2026-08-14T00:00:00"/>
    <s v="14/05/2026"/>
    <n v="0.91680912999999997"/>
    <m/>
    <n v="25000000"/>
    <n v="22920228.34"/>
    <n v="25000000"/>
    <n v="22920228.34"/>
    <n v="1176620"/>
    <s v="AMOMPY"/>
    <s v="Momentum Capital Investment S.A."/>
    <s v="14/04/2026"/>
    <s v="14/04/2026"/>
    <n v="36"/>
    <s v="No"/>
    <s v=""/>
    <m/>
    <m/>
    <s v="*MAV120801432"/>
    <s v="*MAV120801432"/>
    <n v="6.0408652497291604E-4"/>
  </r>
  <r>
    <x v="100"/>
    <s v="Pesos"/>
    <d v="2026-08-14T00:00:00"/>
    <s v="14/05/2026"/>
    <n v="0.91680912999999997"/>
    <m/>
    <n v="50000000"/>
    <n v="45840456.689999998"/>
    <n v="50000000"/>
    <n v="45840456.689999998"/>
    <n v="6573"/>
    <s v="AMOMPY"/>
    <s v="Momentum Capital Investment S.A."/>
    <s v="14/04/2026"/>
    <s v="14/04/2026"/>
    <n v="36"/>
    <s v="No"/>
    <s v=""/>
    <m/>
    <m/>
    <s v="*MAV120801434"/>
    <s v="*MAV120801434"/>
    <n v="1.2081730502093925E-3"/>
  </r>
  <r>
    <x v="41"/>
    <s v="Pesos"/>
    <d v="2026-08-14T00:00:00"/>
    <s v="14/05/2026"/>
    <n v="0.90221477999999999"/>
    <m/>
    <n v="3000000"/>
    <n v="2706644.33"/>
    <n v="3000000"/>
    <n v="2706644.33"/>
    <n v="3074"/>
    <s v="AMOMPY"/>
    <s v="Momentum Capital Investment S.A."/>
    <s v="13/02/2026"/>
    <s v="13/02/2026"/>
    <n v="43"/>
    <s v="No"/>
    <s v=""/>
    <m/>
    <m/>
    <s v="*MAV120801367"/>
    <s v="*MAV120801367"/>
    <n v="7.1336434497639334E-5"/>
  </r>
  <r>
    <x v="132"/>
    <s v="Pesos"/>
    <d v="2026-08-18T00:00:00"/>
    <s v="14/05/2026"/>
    <n v="0.92686648999999999"/>
    <m/>
    <n v="5000000"/>
    <n v="4634332.45"/>
    <n v="5000000"/>
    <n v="4634332.45"/>
    <n v="3501229"/>
    <s v="AMOMPY"/>
    <s v="Momentum Capital Investment S.A."/>
    <s v="17/04/2026"/>
    <s v="17/04/2026"/>
    <n v="30"/>
    <s v="No"/>
    <s v=""/>
    <m/>
    <m/>
    <s v="*MAV130800934"/>
    <s v="*MAV130800934"/>
    <n v="1.2214266558610213E-4"/>
  </r>
  <r>
    <x v="132"/>
    <s v="Pesos"/>
    <d v="2026-08-18T00:00:00"/>
    <s v="14/05/2026"/>
    <n v="0.92013719000000005"/>
    <m/>
    <n v="5600000"/>
    <n v="5152768.25"/>
    <n v="5600000"/>
    <n v="5152768.25"/>
    <n v="3501250"/>
    <s v="AMOMPY"/>
    <s v="Momentum Capital Investment S.A."/>
    <s v="24/04/2026"/>
    <s v="24/04/2026"/>
    <n v="33"/>
    <s v="No"/>
    <s v=""/>
    <m/>
    <m/>
    <s v="*MAV130800942"/>
    <s v="*MAV130800942"/>
    <n v="1.3580658185245959E-4"/>
  </r>
  <r>
    <x v="144"/>
    <s v="Pesos"/>
    <d v="2026-08-18T00:00:00"/>
    <s v="14/05/2026"/>
    <n v="0.90480912999999996"/>
    <m/>
    <n v="9943984.5"/>
    <n v="8997407.9499999993"/>
    <n v="9943984.5"/>
    <n v="8997407.9499999993"/>
    <n v="1820"/>
    <s v="AMOMPY"/>
    <s v="Momentum Capital Investment S.A."/>
    <s v="16/04/2026"/>
    <s v="16/04/2026"/>
    <n v="40"/>
    <s v="No"/>
    <s v=""/>
    <m/>
    <m/>
    <s v="*MAV130800932"/>
    <s v="*MAV130800932"/>
    <n v="2.3713607131887712E-4"/>
  </r>
  <r>
    <x v="144"/>
    <s v="Pesos"/>
    <d v="2026-08-18T00:00:00"/>
    <s v="14/05/2026"/>
    <n v="0.90480912999999996"/>
    <m/>
    <n v="9943984.5"/>
    <n v="8997407.9499999993"/>
    <n v="9943984.5"/>
    <n v="8997407.9499999993"/>
    <n v="1819"/>
    <s v="AMOMPY"/>
    <s v="Momentum Capital Investment S.A."/>
    <s v="16/04/2026"/>
    <s v="16/04/2026"/>
    <n v="40"/>
    <s v="No"/>
    <s v=""/>
    <m/>
    <m/>
    <s v="*MAV130800931"/>
    <s v="*MAV130800931"/>
    <n v="2.3713607131887712E-4"/>
  </r>
  <r>
    <x v="32"/>
    <s v="Pesos"/>
    <d v="2026-08-18T00:00:00"/>
    <s v="14/05/2026"/>
    <n v="0.90913639000000002"/>
    <m/>
    <n v="5450000"/>
    <n v="4954793.3099999996"/>
    <n v="5450000"/>
    <n v="4954793.3099999996"/>
    <n v="28517"/>
    <s v="AMOMPY"/>
    <s v="Momentum Capital Investment S.A."/>
    <s v="08/04/2026"/>
    <s v="08/04/2026"/>
    <n v="38"/>
    <s v="No"/>
    <s v=""/>
    <m/>
    <m/>
    <s v="*MAV130800927"/>
    <s v="*MAV130800927"/>
    <n v="1.3058874580989242E-4"/>
  </r>
  <r>
    <x v="65"/>
    <s v="Pesos"/>
    <d v="2026-08-18T00:00:00"/>
    <s v="14/05/2026"/>
    <n v="0.92236942"/>
    <m/>
    <n v="15000000"/>
    <n v="13835541.26"/>
    <n v="15000000"/>
    <n v="13835541.26"/>
    <n v="176"/>
    <s v="AMOMPY"/>
    <s v="Momentum Capital Investment S.A."/>
    <s v="17/04/2026"/>
    <s v="17/04/2026"/>
    <n v="32"/>
    <s v="No"/>
    <s v=""/>
    <m/>
    <m/>
    <s v="*NEU130800014"/>
    <s v="*NEU130800014"/>
    <n v="3.6465012114590478E-4"/>
  </r>
  <r>
    <x v="41"/>
    <s v="Pesos"/>
    <d v="2026-08-18T00:00:00"/>
    <s v="14/05/2026"/>
    <n v="0.89839519999999995"/>
    <m/>
    <n v="3500000"/>
    <n v="3144383.21"/>
    <n v="3500000"/>
    <n v="3144383.21"/>
    <n v="3075"/>
    <s v="AMOMPY"/>
    <s v="Momentum Capital Investment S.A."/>
    <s v="13/02/2026"/>
    <s v="13/02/2026"/>
    <n v="43"/>
    <s v="No"/>
    <s v=""/>
    <m/>
    <m/>
    <s v="*MAV130800916"/>
    <s v="*MAV130800916"/>
    <n v="8.2873499266023588E-5"/>
  </r>
  <r>
    <x v="144"/>
    <s v="Pesos"/>
    <d v="2026-08-19T00:00:00"/>
    <s v="14/05/2026"/>
    <n v="0.90391301999999996"/>
    <m/>
    <n v="9943984.5"/>
    <n v="8988497.0500000007"/>
    <n v="9943984.5"/>
    <n v="8988497.0500000007"/>
    <n v="1821"/>
    <s v="AMOMPY"/>
    <s v="Momentum Capital Investment S.A."/>
    <s v="16/04/2026"/>
    <s v="16/04/2026"/>
    <n v="40"/>
    <s v="No"/>
    <s v=""/>
    <m/>
    <m/>
    <s v="*MAV140801128"/>
    <s v="*MAV140801128"/>
    <n v="2.3690121525481311E-4"/>
  </r>
  <r>
    <x v="144"/>
    <s v="Pesos"/>
    <d v="2026-08-19T00:00:00"/>
    <s v="14/05/2026"/>
    <n v="0.90391301999999996"/>
    <m/>
    <n v="9943984.5"/>
    <n v="8988497.0500000007"/>
    <n v="9943984.5"/>
    <n v="8988497.0500000007"/>
    <n v="1822"/>
    <s v="AMOMPY"/>
    <s v="Momentum Capital Investment S.A."/>
    <s v="16/04/2026"/>
    <s v="16/04/2026"/>
    <n v="40"/>
    <s v="No"/>
    <s v=""/>
    <m/>
    <m/>
    <s v="*MAV140801129"/>
    <s v="*MAV140801129"/>
    <n v="2.3690121525481311E-4"/>
  </r>
  <r>
    <x v="33"/>
    <s v="Pesos"/>
    <d v="2026-08-19T00:00:00"/>
    <s v="14/05/2026"/>
    <n v="0.82830302"/>
    <m/>
    <n v="10000000"/>
    <n v="8283030.1699999999"/>
    <n v="10000000"/>
    <n v="8283030.1699999999"/>
    <n v="3936"/>
    <s v="AMOMPY"/>
    <s v="Momentum Capital Investment S.A."/>
    <s v="03/09/2025"/>
    <s v="03/09/2025"/>
    <n v="78"/>
    <s v="No"/>
    <s v=""/>
    <m/>
    <m/>
    <s v="*MAV140801099"/>
    <s v="*MAV140801099"/>
    <n v="2.1830789979124276E-4"/>
  </r>
  <r>
    <x v="137"/>
    <s v="Pesos"/>
    <d v="2026-08-19T00:00:00"/>
    <s v="14/05/2026"/>
    <n v="0.91937237999999999"/>
    <m/>
    <n v="50000000"/>
    <n v="45968619"/>
    <n v="50000000"/>
    <n v="45968619"/>
    <n v="29007570"/>
    <s v="AMOMPY"/>
    <s v="Momentum Capital Investment S.A."/>
    <s v="31/03/2026"/>
    <s v="31/03/2026"/>
    <n v="33"/>
    <s v="No"/>
    <s v=""/>
    <m/>
    <m/>
    <s v="*MAV140801114"/>
    <s v="*MAV140801114"/>
    <n v="1.2115509015698559E-3"/>
  </r>
  <r>
    <x v="72"/>
    <s v="Pesos"/>
    <d v="2026-08-19T00:00:00"/>
    <s v="14/05/2026"/>
    <n v="0.92162409000000001"/>
    <m/>
    <n v="3243208.42"/>
    <n v="2989018.99"/>
    <n v="3243208.42"/>
    <n v="2989018.99"/>
    <n v="143910"/>
    <s v="AMOMPY"/>
    <s v="Momentum Capital Investment S.A."/>
    <s v="17/04/2026"/>
    <s v="17/04/2026"/>
    <n v="32"/>
    <s v="No"/>
    <s v=""/>
    <m/>
    <m/>
    <s v="*AFB140800011"/>
    <s v="*AFB140800011"/>
    <n v="7.8778713194405968E-5"/>
  </r>
  <r>
    <x v="78"/>
    <s v="Pesos"/>
    <d v="2026-08-19T00:00:00"/>
    <s v="14/05/2026"/>
    <n v="0.92844614000000003"/>
    <m/>
    <n v="5000000"/>
    <n v="4642230.71"/>
    <n v="5000000"/>
    <n v="4642230.71"/>
    <n v="6880"/>
    <s v="AMOMPY"/>
    <s v="Momentum Capital Investment S.A."/>
    <s v="22/04/2026"/>
    <s v="22/04/2026"/>
    <n v="29"/>
    <s v="No"/>
    <s v=""/>
    <m/>
    <m/>
    <s v="*INP140800093"/>
    <s v="*INP140800093"/>
    <n v="1.2235083246672632E-4"/>
  </r>
  <r>
    <x v="47"/>
    <s v="Pesos"/>
    <d v="2026-08-19T00:00:00"/>
    <s v="14/05/2026"/>
    <n v="0.92616109999999996"/>
    <m/>
    <n v="60000000"/>
    <n v="55569665.920000002"/>
    <n v="60000000"/>
    <n v="55569665.920000002"/>
    <n v="60"/>
    <s v="AMOMPY"/>
    <s v="Momentum Capital Investment S.A."/>
    <s v="05/05/2026"/>
    <s v="05/05/2026"/>
    <n v="30"/>
    <s v="No"/>
    <s v=""/>
    <m/>
    <m/>
    <s v="*MIL140800023"/>
    <s v="*MIL140800023"/>
    <n v="1.4645965075720832E-3"/>
  </r>
  <r>
    <x v="47"/>
    <s v="Pesos"/>
    <d v="2026-08-19T00:00:00"/>
    <s v="14/05/2026"/>
    <n v="0.92844607000000001"/>
    <m/>
    <n v="5500000"/>
    <n v="5106453.3899999997"/>
    <n v="5500000"/>
    <n v="5106453.3899999997"/>
    <n v="66554053"/>
    <s v="AMOMPY"/>
    <s v="Momentum Capital Investment S.A."/>
    <s v="28/04/2026"/>
    <s v="28/04/2026"/>
    <n v="29"/>
    <s v="No"/>
    <s v=""/>
    <m/>
    <m/>
    <s v="*MIL140800022"/>
    <s v="*MIL140800022"/>
    <n v="1.3458590540818611E-4"/>
  </r>
  <r>
    <x v="9"/>
    <s v="Pesos"/>
    <d v="2026-08-19T00:00:00"/>
    <s v="14/05/2026"/>
    <n v="0.92844607000000001"/>
    <m/>
    <n v="2500000"/>
    <n v="2321115.1800000002"/>
    <n v="2500000"/>
    <n v="2321115.1800000002"/>
    <n v="366"/>
    <s v="AMOMPY"/>
    <s v="Momentum Capital Investment S.A."/>
    <s v="17/04/2026"/>
    <s v="17/04/2026"/>
    <n v="29"/>
    <s v="No"/>
    <s v=""/>
    <m/>
    <m/>
    <s v="*MOV140800051"/>
    <s v="*MOV140800051"/>
    <n v="6.1175411621055637E-5"/>
  </r>
  <r>
    <x v="52"/>
    <s v="Pesos"/>
    <d v="2026-08-19T00:00:00"/>
    <s v="14/05/2026"/>
    <n v="0.90391299999999997"/>
    <m/>
    <n v="40000000"/>
    <n v="36156519.810000002"/>
    <n v="40000000"/>
    <n v="36156519.810000002"/>
    <n v="223"/>
    <s v="AMOMPY"/>
    <s v="Momentum Capital Investment S.A."/>
    <s v="18/03/2026"/>
    <s v="18/03/2026"/>
    <n v="40"/>
    <s v="No"/>
    <s v=""/>
    <m/>
    <m/>
    <s v="*MAV140801110"/>
    <s v="*MAV140801110"/>
    <n v="9.5294279285252975E-4"/>
  </r>
  <r>
    <x v="41"/>
    <s v="Pesos"/>
    <d v="2026-08-19T00:00:00"/>
    <s v="14/05/2026"/>
    <n v="0.89744550000000001"/>
    <m/>
    <n v="3500000"/>
    <n v="3141059.25"/>
    <n v="3500000"/>
    <n v="3141059.25"/>
    <n v="3076"/>
    <s v="AMOMPY"/>
    <s v="Momentum Capital Investment S.A."/>
    <s v="13/02/2026"/>
    <s v="13/02/2026"/>
    <n v="43"/>
    <s v="No"/>
    <s v=""/>
    <m/>
    <m/>
    <s v="*MAV140801103"/>
    <s v="*MAV140801103"/>
    <n v="8.2785892833148533E-5"/>
  </r>
  <r>
    <x v="145"/>
    <s v="Pesos"/>
    <d v="2026-08-20T00:00:00"/>
    <s v="14/05/2026"/>
    <n v="0.92545661999999995"/>
    <m/>
    <n v="17969542.75"/>
    <n v="16630032.24"/>
    <n v="17969542.75"/>
    <n v="16630032.24"/>
    <n v="691"/>
    <s v="AMOMPY"/>
    <s v="Momentum Capital Investment S.A."/>
    <s v="06/05/2026"/>
    <s v="06/05/2026"/>
    <n v="30"/>
    <s v="No"/>
    <s v=""/>
    <m/>
    <m/>
    <s v="*MAV150801357"/>
    <s v="*MAV150801357"/>
    <n v="4.3830184573323322E-4"/>
  </r>
  <r>
    <x v="36"/>
    <s v="Pesos"/>
    <d v="2026-08-20T00:00:00"/>
    <s v="14/05/2026"/>
    <n v="0.92545643"/>
    <m/>
    <n v="10000000"/>
    <n v="9254564.2899999991"/>
    <n v="10000000"/>
    <n v="9254564.2899999991"/>
    <n v="501"/>
    <s v="AMOMPY"/>
    <s v="Momentum Capital Investment S.A."/>
    <s v="14/05/2026"/>
    <s v="14/05/2026"/>
    <n v="30"/>
    <s v="No"/>
    <s v=""/>
    <m/>
    <m/>
    <s v="*MAV150801372"/>
    <s v="*MAV150801372"/>
    <n v="2.4391369488793418E-4"/>
  </r>
  <r>
    <x v="36"/>
    <s v="Pesos"/>
    <d v="2026-08-20T00:00:00"/>
    <s v="14/05/2026"/>
    <n v="0.92545653999999999"/>
    <m/>
    <n v="10000000"/>
    <n v="9254565.4100000001"/>
    <n v="10000000"/>
    <n v="9254565.4100000001"/>
    <n v="472"/>
    <s v="AMOMPY"/>
    <s v="Momentum Capital Investment S.A."/>
    <s v="12/05/2026"/>
    <s v="12/05/2026"/>
    <n v="30"/>
    <s v="No"/>
    <s v=""/>
    <m/>
    <m/>
    <s v="*MAV150801364"/>
    <s v="*MAV150801364"/>
    <n v="2.4391372440670241E-4"/>
  </r>
  <r>
    <x v="62"/>
    <s v="Pesos"/>
    <d v="2026-08-20T00:00:00"/>
    <s v="14/05/2026"/>
    <n v="0.91409976999999998"/>
    <m/>
    <n v="1500000"/>
    <n v="1371149.66"/>
    <n v="1500000"/>
    <n v="1371149.66"/>
    <n v="2"/>
    <s v="AMOMPY"/>
    <s v="Momentum Capital Investment S.A."/>
    <s v="23/04/2026"/>
    <s v="23/04/2026"/>
    <n v="35"/>
    <s v="No"/>
    <s v=""/>
    <m/>
    <m/>
    <s v="*MAV150801344"/>
    <s v="*MAV150801344"/>
    <n v="3.6138079474612918E-5"/>
  </r>
  <r>
    <x v="144"/>
    <s v="Pesos"/>
    <d v="2026-08-20T00:00:00"/>
    <s v="14/05/2026"/>
    <n v="0.90301843000000004"/>
    <m/>
    <n v="7551944"/>
    <n v="6819544.6200000001"/>
    <n v="7551944"/>
    <n v="6819544.6200000001"/>
    <n v="1824"/>
    <s v="AMOMPY"/>
    <s v="Momentum Capital Investment S.A."/>
    <s v="16/04/2026"/>
    <s v="16/04/2026"/>
    <n v="40"/>
    <s v="No"/>
    <s v=""/>
    <m/>
    <m/>
    <s v="*MAV160801087"/>
    <s v="*MAV160801087"/>
    <n v="1.7973621162421392E-4"/>
  </r>
  <r>
    <x v="144"/>
    <s v="Pesos"/>
    <d v="2026-08-20T00:00:00"/>
    <s v="14/05/2026"/>
    <n v="0.90301843000000004"/>
    <m/>
    <n v="7551944"/>
    <n v="6819544.6200000001"/>
    <n v="7551944"/>
    <n v="6819544.6200000001"/>
    <n v="1823"/>
    <s v="AMOMPY"/>
    <s v="Momentum Capital Investment S.A."/>
    <s v="16/04/2026"/>
    <s v="16/04/2026"/>
    <n v="40"/>
    <s v="No"/>
    <s v=""/>
    <m/>
    <m/>
    <s v="*MAV160801088"/>
    <s v="*MAV160801088"/>
    <n v="1.7973621162421392E-4"/>
  </r>
  <r>
    <x v="78"/>
    <s v="Pesos"/>
    <d v="2026-08-20T00:00:00"/>
    <s v="14/05/2026"/>
    <n v="0.92776170999999996"/>
    <m/>
    <n v="6410198.7999999998"/>
    <n v="5947136.9699999997"/>
    <n v="6410198.7999999998"/>
    <n v="5947136.9699999997"/>
    <n v="5612"/>
    <s v="AMOMPY"/>
    <s v="Momentum Capital Investment S.A."/>
    <s v="22/04/2026"/>
    <s v="22/04/2026"/>
    <n v="29"/>
    <s v="No"/>
    <s v=""/>
    <m/>
    <m/>
    <s v="*INP170800028"/>
    <s v="*INP170800028"/>
    <n v="1.567429980387908E-4"/>
  </r>
  <r>
    <x v="78"/>
    <s v="Pesos"/>
    <d v="2026-08-20T00:00:00"/>
    <s v="14/05/2026"/>
    <n v="0.92776170999999996"/>
    <m/>
    <n v="5184831.3600000003"/>
    <n v="4810287.9800000004"/>
    <n v="5184831.3600000003"/>
    <n v="4810287.9800000004"/>
    <n v="6881"/>
    <s v="AMOMPY"/>
    <s v="Momentum Capital Investment S.A."/>
    <s v="22/04/2026"/>
    <s v="22/04/2026"/>
    <n v="29"/>
    <s v="No"/>
    <s v=""/>
    <m/>
    <m/>
    <s v="*INP180800042"/>
    <s v="*INP180800042"/>
    <n v="1.2678015711065069E-4"/>
  </r>
  <r>
    <x v="78"/>
    <s v="Pesos"/>
    <d v="2026-08-20T00:00:00"/>
    <s v="14/05/2026"/>
    <n v="0.92545646999999998"/>
    <m/>
    <n v="1040000"/>
    <n v="962474.73"/>
    <n v="1040000"/>
    <n v="962474.73"/>
    <n v="13301548"/>
    <s v="AMOMPY"/>
    <s v="Momentum Capital Investment S.A."/>
    <s v="30/04/2026"/>
    <s v="30/04/2026"/>
    <n v="30"/>
    <s v="No"/>
    <s v=""/>
    <m/>
    <m/>
    <s v="*INP180800044"/>
    <s v="*INP180800044"/>
    <n v="2.5367025423794082E-5"/>
  </r>
  <r>
    <x v="78"/>
    <s v="Pesos"/>
    <d v="2026-08-20T00:00:00"/>
    <s v="14/05/2026"/>
    <n v="0.92545646999999998"/>
    <m/>
    <n v="1040000"/>
    <n v="962474.73"/>
    <n v="1040000"/>
    <n v="962474.73"/>
    <n v="19101547"/>
    <s v="AMOMPY"/>
    <s v="Momentum Capital Investment S.A."/>
    <s v="30/04/2026"/>
    <s v="30/04/2026"/>
    <n v="30"/>
    <s v="No"/>
    <s v=""/>
    <m/>
    <m/>
    <s v="*INP150800068"/>
    <s v="*INP150800068"/>
    <n v="2.5367025423794082E-5"/>
  </r>
  <r>
    <x v="47"/>
    <s v="Pesos"/>
    <d v="2026-08-20T00:00:00"/>
    <s v="14/05/2026"/>
    <n v="0.92776179000000003"/>
    <m/>
    <n v="10000000"/>
    <n v="9277617.8599999994"/>
    <n v="10000000"/>
    <n v="9277617.8599999994"/>
    <n v="2149"/>
    <s v="AMOMPY"/>
    <s v="Momentum Capital Investment S.A."/>
    <s v="27/04/2026"/>
    <s v="27/04/2026"/>
    <n v="29"/>
    <s v="No"/>
    <s v=""/>
    <m/>
    <m/>
    <s v="*MIL170800018"/>
    <s v="*MIL170800018"/>
    <n v="2.4452129577143917E-4"/>
  </r>
  <r>
    <x v="47"/>
    <s v="Pesos"/>
    <d v="2026-08-20T00:00:00"/>
    <s v="14/05/2026"/>
    <n v="0.92776179000000003"/>
    <m/>
    <n v="10000000"/>
    <n v="9277617.8599999994"/>
    <n v="10000000"/>
    <n v="9277617.8599999994"/>
    <n v="2150"/>
    <s v="AMOMPY"/>
    <s v="Momentum Capital Investment S.A."/>
    <s v="27/04/2026"/>
    <s v="27/04/2026"/>
    <n v="29"/>
    <s v="No"/>
    <s v=""/>
    <m/>
    <m/>
    <s v="*MIL180800036"/>
    <s v="*MIL180800036"/>
    <n v="2.4452129577143917E-4"/>
  </r>
  <r>
    <x v="91"/>
    <s v="Pesos"/>
    <d v="2026-08-20T00:00:00"/>
    <s v="14/05/2026"/>
    <n v="0.93474710000000005"/>
    <m/>
    <n v="28712357.309999999"/>
    <n v="26838792.870000001"/>
    <n v="28712357.309999999"/>
    <n v="26838792.870000001"/>
    <n v="568307"/>
    <s v="AMOMPY"/>
    <s v="Momentum Capital Investment S.A."/>
    <s v="24/04/2026"/>
    <s v="24/04/2026"/>
    <n v="26"/>
    <s v="No"/>
    <s v=""/>
    <m/>
    <m/>
    <s v="*MAV180801234"/>
    <s v="*MAV180801234"/>
    <n v="7.0736438044169056E-4"/>
  </r>
  <r>
    <x v="91"/>
    <s v="Pesos"/>
    <d v="2026-08-20T00:00:00"/>
    <s v="14/05/2026"/>
    <n v="0.93474710000000005"/>
    <m/>
    <n v="50399108.950000003"/>
    <n v="47110421.18"/>
    <n v="50399108.950000003"/>
    <n v="47110421.18"/>
    <n v="568283"/>
    <s v="AMOMPY"/>
    <s v="Momentum Capital Investment S.A."/>
    <s v="24/04/2026"/>
    <s v="24/04/2026"/>
    <n v="26"/>
    <s v="No"/>
    <s v=""/>
    <m/>
    <m/>
    <s v="*MAV180801235"/>
    <s v="*MAV180801235"/>
    <n v="1.2416442889868987E-3"/>
  </r>
  <r>
    <x v="91"/>
    <s v="Pesos"/>
    <d v="2026-08-20T00:00:00"/>
    <s v="14/05/2026"/>
    <n v="0.93474710000000005"/>
    <m/>
    <n v="4643215.3099999996"/>
    <n v="4340232.07"/>
    <n v="4643215.3099999996"/>
    <n v="4340232.07"/>
    <n v="568282"/>
    <s v="AMOMPY"/>
    <s v="Momentum Capital Investment S.A."/>
    <s v="24/04/2026"/>
    <s v="24/04/2026"/>
    <n v="26"/>
    <s v="No"/>
    <s v=""/>
    <m/>
    <m/>
    <s v="*MAV180801236"/>
    <s v="*MAV180801236"/>
    <n v="1.1439134330815774E-4"/>
  </r>
  <r>
    <x v="91"/>
    <s v="Pesos"/>
    <d v="2026-08-20T00:00:00"/>
    <s v="14/05/2026"/>
    <n v="0.93474710000000005"/>
    <m/>
    <n v="2120477.86"/>
    <n v="1982110.54"/>
    <n v="2120477.86"/>
    <n v="1982110.54"/>
    <n v="568321"/>
    <s v="AMOMPY"/>
    <s v="Momentum Capital Investment S.A."/>
    <s v="24/04/2026"/>
    <s v="24/04/2026"/>
    <n v="26"/>
    <s v="No"/>
    <s v=""/>
    <m/>
    <m/>
    <s v="*MAV180801237"/>
    <s v="*MAV180801237"/>
    <n v="5.2240590733171995E-5"/>
  </r>
  <r>
    <x v="91"/>
    <s v="Pesos"/>
    <d v="2026-08-20T00:00:00"/>
    <s v="14/05/2026"/>
    <n v="0.93474710000000005"/>
    <m/>
    <n v="3412014.84"/>
    <n v="3189370.99"/>
    <n v="3412014.84"/>
    <n v="3189370.99"/>
    <n v="568312"/>
    <s v="AMOMPY"/>
    <s v="Momentum Capital Investment S.A."/>
    <s v="24/04/2026"/>
    <s v="24/04/2026"/>
    <n v="26"/>
    <s v="No"/>
    <s v=""/>
    <m/>
    <m/>
    <s v="*MAV180801238"/>
    <s v="*MAV180801238"/>
    <n v="8.4059199132678855E-5"/>
  </r>
  <r>
    <x v="91"/>
    <s v="Pesos"/>
    <d v="2026-08-20T00:00:00"/>
    <s v="14/05/2026"/>
    <n v="0.93474710999999999"/>
    <m/>
    <n v="2502217.0699999998"/>
    <n v="2338940.19"/>
    <n v="2502217.0699999998"/>
    <n v="2338940.19"/>
    <n v="568315"/>
    <s v="AMOMPY"/>
    <s v="Momentum Capital Investment S.A."/>
    <s v="24/04/2026"/>
    <s v="24/04/2026"/>
    <n v="26"/>
    <s v="No"/>
    <s v=""/>
    <m/>
    <m/>
    <s v="*MAV180801239"/>
    <s v="*MAV180801239"/>
    <n v="6.1645208352081895E-5"/>
  </r>
  <r>
    <x v="91"/>
    <s v="Pesos"/>
    <d v="2026-08-20T00:00:00"/>
    <s v="14/05/2026"/>
    <n v="0.93474710000000005"/>
    <m/>
    <n v="6395453.2000000002"/>
    <n v="5978131.3600000003"/>
    <n v="6395453.2000000002"/>
    <n v="5978131.3600000003"/>
    <n v="568311"/>
    <s v="AMOMPY"/>
    <s v="Momentum Capital Investment S.A."/>
    <s v="24/04/2026"/>
    <s v="24/04/2026"/>
    <n v="26"/>
    <s v="No"/>
    <s v=""/>
    <m/>
    <m/>
    <s v="*MAV180801240"/>
    <s v="*MAV180801240"/>
    <n v="1.5755988751611246E-4"/>
  </r>
  <r>
    <x v="91"/>
    <s v="Pesos"/>
    <d v="2026-08-20T00:00:00"/>
    <s v="14/05/2026"/>
    <n v="0.93474710999999999"/>
    <m/>
    <n v="1860181.4"/>
    <n v="1738799.19"/>
    <n v="1860181.4"/>
    <n v="1738799.19"/>
    <n v="568323"/>
    <s v="AMOMPY"/>
    <s v="Momentum Capital Investment S.A."/>
    <s v="24/04/2026"/>
    <s v="24/04/2026"/>
    <n v="26"/>
    <s v="No"/>
    <s v=""/>
    <m/>
    <m/>
    <s v="*MAV180801241"/>
    <s v="*MAV180801241"/>
    <n v="4.5827866316659096E-5"/>
  </r>
  <r>
    <x v="91"/>
    <s v="Pesos"/>
    <d v="2026-08-20T00:00:00"/>
    <s v="14/05/2026"/>
    <n v="0.93474710000000005"/>
    <m/>
    <n v="3621557.13"/>
    <n v="3385240.04"/>
    <n v="3621557.13"/>
    <n v="3385240.04"/>
    <n v="568292"/>
    <s v="AMOMPY"/>
    <s v="Momentum Capital Investment S.A."/>
    <s v="24/04/2026"/>
    <s v="24/04/2026"/>
    <n v="26"/>
    <s v="No"/>
    <s v=""/>
    <m/>
    <m/>
    <s v="*MAV180801242"/>
    <s v="*MAV180801242"/>
    <n v="8.9221532247735691E-5"/>
  </r>
  <r>
    <x v="91"/>
    <s v="Pesos"/>
    <d v="2026-08-20T00:00:00"/>
    <s v="14/05/2026"/>
    <n v="0.93474710000000005"/>
    <m/>
    <n v="14947325.66"/>
    <n v="13971969.390000001"/>
    <n v="14947325.66"/>
    <n v="13971969.390000001"/>
    <n v="568359"/>
    <s v="AMOMPY"/>
    <s v="Momentum Capital Investment S.A."/>
    <s v="24/04/2026"/>
    <s v="24/04/2026"/>
    <n v="26"/>
    <s v="No"/>
    <s v=""/>
    <m/>
    <m/>
    <s v="*MAV180801243"/>
    <s v="*MAV180801243"/>
    <n v="3.68245826814178E-4"/>
  </r>
  <r>
    <x v="91"/>
    <s v="Pesos"/>
    <d v="2026-08-20T00:00:00"/>
    <s v="14/05/2026"/>
    <n v="0.93474710000000005"/>
    <m/>
    <n v="10604114.439999999"/>
    <n v="9912165.2699999996"/>
    <n v="10604114.439999999"/>
    <n v="9912165.2699999996"/>
    <n v="568349"/>
    <s v="AMOMPY"/>
    <s v="Momentum Capital Investment S.A."/>
    <s v="24/04/2026"/>
    <s v="24/04/2026"/>
    <n v="26"/>
    <s v="No"/>
    <s v=""/>
    <m/>
    <m/>
    <s v="*MAV180801244"/>
    <s v="*MAV180801244"/>
    <n v="2.6124545463021012E-4"/>
  </r>
  <r>
    <x v="89"/>
    <s v="Pesos"/>
    <d v="2026-08-20T00:00:00"/>
    <s v="14/05/2026"/>
    <n v="0.93007857000000005"/>
    <m/>
    <n v="5000000"/>
    <n v="4650392.87"/>
    <n v="5000000"/>
    <n v="4650392.87"/>
    <n v="29175486"/>
    <s v="AMOMPY"/>
    <s v="Momentum Capital Investment S.A."/>
    <s v="04/05/2026"/>
    <s v="04/05/2026"/>
    <n v="28"/>
    <s v="No"/>
    <s v=""/>
    <m/>
    <m/>
    <s v="*CUY170800021"/>
    <s v="*CUY170800021"/>
    <n v="1.2256595470711292E-4"/>
  </r>
  <r>
    <x v="89"/>
    <s v="Pesos"/>
    <d v="2026-08-20T00:00:00"/>
    <s v="14/05/2026"/>
    <n v="0.93007857000000005"/>
    <m/>
    <n v="5000000"/>
    <n v="4650392.87"/>
    <n v="5000000"/>
    <n v="4650392.87"/>
    <n v="29175484"/>
    <s v="AMOMPY"/>
    <s v="Momentum Capital Investment S.A."/>
    <s v="04/05/2026"/>
    <s v="04/05/2026"/>
    <n v="28"/>
    <s v="No"/>
    <s v=""/>
    <m/>
    <m/>
    <s v="*CUY180800042"/>
    <s v="*CUY180800042"/>
    <n v="1.2256595470711292E-4"/>
  </r>
  <r>
    <x v="52"/>
    <s v="Pesos"/>
    <d v="2026-08-20T00:00:00"/>
    <s v="14/05/2026"/>
    <n v="0.91409980999999996"/>
    <m/>
    <n v="25000000"/>
    <n v="22852495.23"/>
    <n v="25000000"/>
    <n v="22852495.23"/>
    <n v="1307"/>
    <s v="AMOMPY"/>
    <s v="Momentum Capital Investment S.A."/>
    <s v="20/04/2026"/>
    <s v="20/04/2026"/>
    <n v="35"/>
    <s v="No"/>
    <s v=""/>
    <m/>
    <m/>
    <s v="*MAV180801225"/>
    <s v="*MAV180801225"/>
    <n v="6.023013482094673E-4"/>
  </r>
  <r>
    <x v="104"/>
    <s v="Pesos"/>
    <d v="2026-08-20T00:00:00"/>
    <s v="14/05/2026"/>
    <n v="0.92545644000000005"/>
    <m/>
    <n v="13500000"/>
    <n v="12493662"/>
    <n v="13500000"/>
    <n v="12493662"/>
    <n v="32806"/>
    <s v="AMOMPY"/>
    <s v="Momentum Capital Investment S.A."/>
    <s v="07/05/2026"/>
    <s v="07/05/2026"/>
    <n v="30"/>
    <s v="No"/>
    <s v=""/>
    <m/>
    <m/>
    <s v="*MAV180801262"/>
    <s v="*MAV180801262"/>
    <n v="3.2928349359394614E-4"/>
  </r>
  <r>
    <x v="47"/>
    <s v="Pesos"/>
    <d v="2026-08-21T00:00:00"/>
    <s v="14/05/2026"/>
    <n v="0.92707835000000005"/>
    <m/>
    <n v="10000000"/>
    <n v="9270783.5299999993"/>
    <n v="10000000"/>
    <n v="9270783.5299999993"/>
    <n v="2151"/>
    <s v="AMOMPY"/>
    <s v="Momentum Capital Investment S.A."/>
    <s v="27/04/2026"/>
    <s v="27/04/2026"/>
    <n v="29"/>
    <s v="No"/>
    <s v=""/>
    <m/>
    <m/>
    <s v="*MIL190800025"/>
    <s v="*MIL190800025"/>
    <n v="2.4434116987570305E-4"/>
  </r>
  <r>
    <x v="52"/>
    <s v="Pesos"/>
    <d v="2026-08-21T00:00:00"/>
    <s v="14/05/2026"/>
    <n v="0.91329928000000005"/>
    <m/>
    <n v="16600000"/>
    <n v="15160768.109999999"/>
    <n v="16600000"/>
    <n v="15160768.109999999"/>
    <n v="29088026"/>
    <s v="AMOMPY"/>
    <s v="Momentum Capital Investment S.A."/>
    <s v="14/04/2026"/>
    <s v="14/04/2026"/>
    <n v="35"/>
    <s v="No"/>
    <s v=""/>
    <m/>
    <m/>
    <s v="*MAV190801107"/>
    <s v="*MAV190801107"/>
    <n v="3.9957785706292418E-4"/>
  </r>
  <r>
    <x v="132"/>
    <s v="Pesos"/>
    <d v="2026-08-24T00:00:00"/>
    <s v="14/05/2026"/>
    <n v="0.91556727999999998"/>
    <m/>
    <n v="5600000"/>
    <n v="5127176.79"/>
    <n v="5600000"/>
    <n v="5127176.79"/>
    <n v="3501251"/>
    <s v="AMOMPY"/>
    <s v="Momentum Capital Investment S.A."/>
    <s v="24/04/2026"/>
    <s v="24/04/2026"/>
    <n v="33"/>
    <s v="No"/>
    <s v=""/>
    <m/>
    <m/>
    <s v="*MAV200801181"/>
    <s v="*MAV200801181"/>
    <n v="1.3513209223084427E-4"/>
  </r>
  <r>
    <x v="146"/>
    <s v="Pesos"/>
    <d v="2026-08-24T00:00:00"/>
    <s v="14/05/2026"/>
    <n v="0.90400237999999999"/>
    <m/>
    <n v="7865231.25"/>
    <n v="7110187.7999999998"/>
    <n v="7865231.25"/>
    <n v="7110187.7999999998"/>
    <n v="90000558"/>
    <s v="AMOMPY"/>
    <s v="Momentum Capital Investment S.A."/>
    <s v="22/04/2026"/>
    <s v="22/04/2026"/>
    <n v="38"/>
    <s v="No"/>
    <s v=""/>
    <m/>
    <m/>
    <s v="*MAV200801174"/>
    <s v="*MAV200801174"/>
    <n v="1.8739641579010652E-4"/>
  </r>
  <r>
    <x v="144"/>
    <s v="Pesos"/>
    <d v="2026-08-24T00:00:00"/>
    <s v="14/05/2026"/>
    <n v="0.89945796"/>
    <m/>
    <n v="7551944"/>
    <n v="6792656.1299999999"/>
    <n v="7551944"/>
    <n v="6792656.1299999999"/>
    <n v="1825"/>
    <s v="AMOMPY"/>
    <s v="Momentum Capital Investment S.A."/>
    <s v="16/04/2026"/>
    <s v="16/04/2026"/>
    <n v="40"/>
    <s v="No"/>
    <s v=""/>
    <m/>
    <m/>
    <s v="*MAV200801170"/>
    <s v="*MAV200801170"/>
    <n v="1.7902753742407422E-4"/>
  </r>
  <r>
    <x v="144"/>
    <s v="Pesos"/>
    <d v="2026-08-24T00:00:00"/>
    <s v="14/05/2026"/>
    <n v="0.89945796"/>
    <m/>
    <n v="7551944"/>
    <n v="6792656.1299999999"/>
    <n v="7551944"/>
    <n v="6792656.1299999999"/>
    <n v="1826"/>
    <s v="AMOMPY"/>
    <s v="Momentum Capital Investment S.A."/>
    <s v="16/04/2026"/>
    <s v="16/04/2026"/>
    <n v="40"/>
    <s v="No"/>
    <s v=""/>
    <m/>
    <m/>
    <s v="*MAV200801171"/>
    <s v="*MAV200801171"/>
    <n v="1.7902753742407422E-4"/>
  </r>
  <r>
    <x v="47"/>
    <s v="Pesos"/>
    <d v="2026-08-24T00:00:00"/>
    <s v="14/05/2026"/>
    <n v="0.92503422000000002"/>
    <m/>
    <n v="10000000"/>
    <n v="9250342.1799999997"/>
    <n v="10000000"/>
    <n v="9250342.1799999997"/>
    <n v="66412292"/>
    <s v="AMOMPY"/>
    <s v="Momentum Capital Investment S.A."/>
    <s v="22/04/2026"/>
    <s v="22/04/2026"/>
    <n v="29"/>
    <s v="No"/>
    <s v=""/>
    <m/>
    <m/>
    <s v="*MIL200800030"/>
    <s v="*MIL200800030"/>
    <n v="2.4380241677498876E-4"/>
  </r>
  <r>
    <x v="78"/>
    <s v="Pesos"/>
    <d v="2026-08-24T00:00:00"/>
    <s v="14/05/2026"/>
    <n v="0.92503426"/>
    <m/>
    <n v="11923076.92"/>
    <n v="11029254.65"/>
    <n v="11923076.92"/>
    <n v="11029254.65"/>
    <n v="90021985"/>
    <s v="AMOMPY"/>
    <s v="Momentum Capital Investment S.A."/>
    <s v="30/04/2026"/>
    <s v="30/04/2026"/>
    <n v="29"/>
    <s v="No"/>
    <s v=""/>
    <m/>
    <m/>
    <s v="*NEU200800029"/>
    <s v="*NEU200800029"/>
    <n v="2.9068751042642869E-4"/>
  </r>
  <r>
    <x v="47"/>
    <s v="Pesos"/>
    <d v="2026-08-24T00:00:00"/>
    <s v="14/05/2026"/>
    <n v="0.92503429999999998"/>
    <m/>
    <n v="10000000"/>
    <n v="9250342.9700000007"/>
    <n v="10000000"/>
    <n v="9250342.9700000007"/>
    <n v="2152"/>
    <s v="AMOMPY"/>
    <s v="Momentum Capital Investment S.A."/>
    <s v="27/04/2026"/>
    <s v="27/04/2026"/>
    <n v="29"/>
    <s v="No"/>
    <s v=""/>
    <m/>
    <m/>
    <s v="*MIL200800031"/>
    <s v="*MIL200800031"/>
    <n v="2.438024375962628E-4"/>
  </r>
  <r>
    <x v="4"/>
    <s v="Pesos"/>
    <d v="2026-08-25T00:00:00"/>
    <s v="14/05/2026"/>
    <n v="0.91011096999999996"/>
    <m/>
    <n v="10000000"/>
    <n v="9101109.6600000001"/>
    <n v="10000000"/>
    <n v="9101109.6600000001"/>
    <n v="161"/>
    <s v="AMOMPY"/>
    <s v="Momentum Capital Investment S.A."/>
    <s v="23/04/2026"/>
    <s v="23/04/2026"/>
    <n v="35"/>
    <s v="No"/>
    <s v=""/>
    <m/>
    <m/>
    <s v="*MAV210801077"/>
    <s v="*MAV210801077"/>
    <n v="2.3986923805257508E-4"/>
  </r>
  <r>
    <x v="137"/>
    <s v="Pesos"/>
    <d v="2026-08-25T00:00:00"/>
    <s v="14/05/2026"/>
    <n v="0.91481003000000005"/>
    <m/>
    <n v="50000000"/>
    <n v="45740501.719999999"/>
    <n v="50000000"/>
    <n v="45740501.719999999"/>
    <n v="29007567"/>
    <s v="AMOMPY"/>
    <s v="Momentum Capital Investment S.A."/>
    <s v="31/03/2026"/>
    <s v="31/03/2026"/>
    <n v="33"/>
    <s v="No"/>
    <s v=""/>
    <m/>
    <m/>
    <s v="*MAV210801063"/>
    <s v="*MAV210801063"/>
    <n v="1.2055386327164527E-3"/>
  </r>
  <r>
    <x v="47"/>
    <s v="Pesos"/>
    <d v="2026-08-25T00:00:00"/>
    <s v="14/05/2026"/>
    <n v="0.92435500999999998"/>
    <m/>
    <n v="10000000"/>
    <n v="9243550.0500000007"/>
    <n v="10000000"/>
    <n v="9243550.0500000007"/>
    <n v="66412351"/>
    <s v="AMOMPY"/>
    <s v="Momentum Capital Investment S.A."/>
    <s v="22/04/2026"/>
    <s v="22/04/2026"/>
    <n v="29"/>
    <s v="No"/>
    <s v=""/>
    <m/>
    <m/>
    <s v="*MIL210800020"/>
    <s v="*MIL210800020"/>
    <n v="2.4362340310426963E-4"/>
  </r>
  <r>
    <x v="78"/>
    <s v="Pesos"/>
    <d v="2026-08-25T00:00:00"/>
    <s v="14/05/2026"/>
    <n v="0.92435506000000001"/>
    <m/>
    <n v="40000000"/>
    <n v="36974202.329999998"/>
    <n v="40000000"/>
    <n v="36974202.329999998"/>
    <n v="80939847"/>
    <s v="AMOMPY"/>
    <s v="Momentum Capital Investment S.A."/>
    <s v="30/04/2026"/>
    <s v="30/04/2026"/>
    <n v="29"/>
    <s v="No"/>
    <s v=""/>
    <m/>
    <m/>
    <s v="*INP210800035"/>
    <s v="*INP210800035"/>
    <n v="9.7449366855545015E-4"/>
  </r>
  <r>
    <x v="47"/>
    <s v="Pesos"/>
    <d v="2026-08-25T00:00:00"/>
    <s v="14/05/2026"/>
    <n v="0.92435487999999999"/>
    <m/>
    <n v="10000000"/>
    <n v="9243548.7799999993"/>
    <n v="10000000"/>
    <n v="9243548.7799999993"/>
    <n v="2153"/>
    <s v="AMOMPY"/>
    <s v="Momentum Capital Investment S.A."/>
    <s v="27/04/2026"/>
    <s v="27/04/2026"/>
    <n v="29"/>
    <s v="No"/>
    <s v=""/>
    <m/>
    <m/>
    <s v="*MIL210800022"/>
    <s v="*MIL210800022"/>
    <n v="2.4362336963209492E-4"/>
  </r>
  <r>
    <x v="47"/>
    <s v="Pesos"/>
    <d v="2026-08-25T00:00:00"/>
    <s v="14/05/2026"/>
    <n v="0.92435493999999996"/>
    <m/>
    <n v="5500000"/>
    <n v="5083952.1399999997"/>
    <n v="5500000"/>
    <n v="5083952.1399999997"/>
    <n v="66554072"/>
    <s v="AMOMPY"/>
    <s v="Momentum Capital Investment S.A."/>
    <s v="28/04/2026"/>
    <s v="28/04/2026"/>
    <n v="29"/>
    <s v="No"/>
    <s v=""/>
    <m/>
    <m/>
    <s v="*MIL210800023"/>
    <s v="*MIL210800023"/>
    <n v="1.339928614943816E-4"/>
  </r>
  <r>
    <x v="47"/>
    <s v="Pesos"/>
    <d v="2026-08-25T00:00:00"/>
    <s v="14/05/2026"/>
    <n v="0.92435491000000003"/>
    <m/>
    <n v="12500000"/>
    <n v="11554436.42"/>
    <n v="12500000"/>
    <n v="11554436.42"/>
    <n v="4956"/>
    <s v="AMOMPY"/>
    <s v="Momentum Capital Investment S.A."/>
    <s v="24/04/2026"/>
    <s v="24/04/2026"/>
    <n v="29"/>
    <s v="No"/>
    <s v=""/>
    <m/>
    <m/>
    <s v="*MIL210800021"/>
    <s v="*MIL210800021"/>
    <n v="3.0452922376855783E-4"/>
  </r>
  <r>
    <x v="9"/>
    <s v="Pesos"/>
    <d v="2026-08-25T00:00:00"/>
    <s v="14/05/2026"/>
    <n v="0.92677239"/>
    <m/>
    <n v="10000000"/>
    <n v="9267723.8800000008"/>
    <n v="10000000"/>
    <n v="9267723.8800000008"/>
    <n v="360532"/>
    <s v="AMOMPY"/>
    <s v="Momentum Capital Investment S.A."/>
    <s v="21/04/2026"/>
    <s v="21/04/2026"/>
    <n v="28"/>
    <s v="No"/>
    <s v=""/>
    <m/>
    <m/>
    <s v="*MOV210800042"/>
    <s v="*MOV210800042"/>
    <n v="2.442605296085681E-4"/>
  </r>
  <r>
    <x v="105"/>
    <s v="Pesos"/>
    <d v="2026-08-26T00:00:00"/>
    <s v="14/05/2026"/>
    <n v="0.90230409"/>
    <m/>
    <n v="4500000"/>
    <n v="4060368.4"/>
    <n v="4500000"/>
    <n v="4060368.4"/>
    <n v="555"/>
    <s v="AMOMPY"/>
    <s v="Momentum Capital Investment S.A."/>
    <s v="22/04/2026"/>
    <s v="22/04/2026"/>
    <n v="38"/>
    <s v="No"/>
    <s v=""/>
    <m/>
    <m/>
    <s v="*MAV230801002"/>
    <s v="*MAV230801002"/>
    <n v="1.0701524437194324E-4"/>
  </r>
  <r>
    <x v="115"/>
    <s v="Pesos"/>
    <d v="2026-08-26T00:00:00"/>
    <s v="14/05/2026"/>
    <n v="0.90230398000000001"/>
    <m/>
    <n v="2398145.2000000002"/>
    <n v="2163855.96"/>
    <n v="2398145.2000000002"/>
    <n v="2163855.96"/>
    <n v="13270645"/>
    <s v="AMOMPY"/>
    <s v="Momentum Capital Investment S.A."/>
    <s v="24/04/2026"/>
    <s v="24/04/2026"/>
    <n v="38"/>
    <s v="No"/>
    <s v=""/>
    <m/>
    <m/>
    <s v="*MAV240800762"/>
    <s v="*MAV240800762"/>
    <n v="5.7030680847847665E-5"/>
  </r>
  <r>
    <x v="36"/>
    <s v="Pesos"/>
    <d v="2026-08-26T00:00:00"/>
    <s v="14/05/2026"/>
    <n v="0.92125201999999995"/>
    <m/>
    <n v="10000000"/>
    <n v="9212520.2100000009"/>
    <n v="10000000"/>
    <n v="9212520.2100000009"/>
    <n v="502"/>
    <s v="AMOMPY"/>
    <s v="Momentum Capital Investment S.A."/>
    <s v="14/05/2026"/>
    <s v="14/05/2026"/>
    <n v="30"/>
    <s v="No"/>
    <s v=""/>
    <m/>
    <m/>
    <s v="*MAV220801199"/>
    <s v="*MAV220801199"/>
    <n v="2.4280557930522168E-4"/>
  </r>
  <r>
    <x v="36"/>
    <s v="Pesos"/>
    <d v="2026-08-26T00:00:00"/>
    <s v="14/05/2026"/>
    <n v="0.92125212999999995"/>
    <m/>
    <n v="10000000"/>
    <n v="9212521.3200000003"/>
    <n v="10000000"/>
    <n v="9212521.3200000003"/>
    <n v="473"/>
    <s v="AMOMPY"/>
    <s v="Momentum Capital Investment S.A."/>
    <s v="12/05/2026"/>
    <s v="12/05/2026"/>
    <n v="30"/>
    <s v="No"/>
    <s v=""/>
    <m/>
    <m/>
    <s v="*MAV220801198"/>
    <s v="*MAV220801198"/>
    <n v="2.4280560856042947E-4"/>
  </r>
  <r>
    <x v="47"/>
    <s v="Pesos"/>
    <d v="2026-08-26T00:00:00"/>
    <s v="14/05/2026"/>
    <n v="0.92367657999999997"/>
    <m/>
    <n v="10000000"/>
    <n v="9236765.8300000001"/>
    <n v="10000000"/>
    <n v="9236765.8300000001"/>
    <n v="66412396"/>
    <s v="AMOMPY"/>
    <s v="Momentum Capital Investment S.A."/>
    <s v="22/04/2026"/>
    <s v="22/04/2026"/>
    <n v="29"/>
    <s v="No"/>
    <s v=""/>
    <m/>
    <m/>
    <s v="*MIL240800016"/>
    <s v="*MIL240800016"/>
    <n v="2.4344459790985105E-4"/>
  </r>
  <r>
    <x v="78"/>
    <s v="Pesos"/>
    <d v="2026-08-26T00:00:00"/>
    <s v="14/05/2026"/>
    <n v="0.92125204999999999"/>
    <m/>
    <n v="1040000"/>
    <n v="958102.13"/>
    <n v="1040000"/>
    <n v="958102.13"/>
    <n v="10601549"/>
    <s v="AMOMPY"/>
    <s v="Momentum Capital Investment S.A."/>
    <s v="30/04/2026"/>
    <s v="30/04/2026"/>
    <n v="30"/>
    <s v="No"/>
    <s v=""/>
    <m/>
    <m/>
    <s v="*INP220800066"/>
    <s v="*INP220800066"/>
    <n v="2.5251780989929225E-5"/>
  </r>
  <r>
    <x v="47"/>
    <s v="Pesos"/>
    <d v="2026-08-26T00:00:00"/>
    <s v="14/05/2026"/>
    <n v="0.92367666999999998"/>
    <m/>
    <n v="10000000"/>
    <n v="9236766.6500000004"/>
    <n v="10000000"/>
    <n v="9236766.6500000004"/>
    <n v="2154"/>
    <s v="AMOMPY"/>
    <s v="Momentum Capital Investment S.A."/>
    <s v="27/04/2026"/>
    <s v="27/04/2026"/>
    <n v="29"/>
    <s v="No"/>
    <s v=""/>
    <m/>
    <m/>
    <s v="*MIL240800017"/>
    <s v="*MIL240800017"/>
    <n v="2.4344461952180636E-4"/>
  </r>
  <r>
    <x v="89"/>
    <s v="Pesos"/>
    <d v="2026-08-26T00:00:00"/>
    <s v="14/05/2026"/>
    <n v="0.92611403999999997"/>
    <m/>
    <n v="5000000"/>
    <n v="4630570.21"/>
    <n v="5000000"/>
    <n v="4630570.21"/>
    <n v="29175487"/>
    <s v="AMOMPY"/>
    <s v="Momentum Capital Investment S.A."/>
    <s v="04/05/2026"/>
    <s v="04/05/2026"/>
    <n v="28"/>
    <s v="No"/>
    <s v=""/>
    <m/>
    <m/>
    <s v="*CUY240800027"/>
    <s v="*CUY240800027"/>
    <n v="1.2204350782667666E-4"/>
  </r>
  <r>
    <x v="9"/>
    <s v="Pesos"/>
    <d v="2026-08-26T00:00:00"/>
    <s v="14/05/2026"/>
    <n v="0.92611392000000003"/>
    <m/>
    <n v="10000000"/>
    <n v="9261139.1600000001"/>
    <n v="10000000"/>
    <n v="9261139.1600000001"/>
    <n v="360558"/>
    <s v="AMOMPY"/>
    <s v="Momentum Capital Investment S.A."/>
    <s v="21/04/2026"/>
    <s v="21/04/2026"/>
    <n v="28"/>
    <s v="No"/>
    <s v=""/>
    <m/>
    <m/>
    <s v="*MOV230800052"/>
    <s v="*MOV230800052"/>
    <n v="2.4408698244473908E-4"/>
  </r>
  <r>
    <x v="65"/>
    <s v="Pesos"/>
    <d v="2026-08-26T00:00:00"/>
    <s v="14/05/2026"/>
    <n v="0.91644071999999999"/>
    <m/>
    <n v="15000000"/>
    <n v="13746610.779999999"/>
    <n v="15000000"/>
    <n v="13746610.779999999"/>
    <n v="177"/>
    <s v="AMOMPY"/>
    <s v="Momentum Capital Investment S.A."/>
    <s v="17/04/2026"/>
    <s v="17/04/2026"/>
    <n v="32"/>
    <s v="No"/>
    <s v=""/>
    <m/>
    <m/>
    <s v="*NEU220800025"/>
    <s v="*NEU220800025"/>
    <n v="3.6230626558607083E-4"/>
  </r>
  <r>
    <x v="47"/>
    <s v="Pesos"/>
    <d v="2026-08-27T00:00:00"/>
    <s v="14/05/2026"/>
    <n v="0.92299916000000004"/>
    <m/>
    <n v="10000000"/>
    <n v="9229991.5700000003"/>
    <n v="10000000"/>
    <n v="9229991.5700000003"/>
    <n v="66412433"/>
    <s v="AMOMPY"/>
    <s v="Momentum Capital Investment S.A."/>
    <s v="22/04/2026"/>
    <s v="22/04/2026"/>
    <n v="29"/>
    <s v="No"/>
    <s v=""/>
    <m/>
    <m/>
    <s v="*MIL250800026"/>
    <s v="*MIL250800026"/>
    <n v="2.4326605522162131E-4"/>
  </r>
  <r>
    <x v="78"/>
    <s v="Pesos"/>
    <d v="2026-08-27T00:00:00"/>
    <s v="14/05/2026"/>
    <n v="0.92299920000000002"/>
    <m/>
    <n v="40000000"/>
    <n v="36919968.030000001"/>
    <n v="40000000"/>
    <n v="36919968.030000001"/>
    <n v="80939846"/>
    <s v="AMOMPY"/>
    <s v="Momentum Capital Investment S.A."/>
    <s v="30/04/2026"/>
    <s v="30/04/2026"/>
    <n v="29"/>
    <s v="No"/>
    <s v=""/>
    <m/>
    <m/>
    <s v="*INP250800064"/>
    <s v="*INP250800064"/>
    <n v="9.7306426700956067E-4"/>
  </r>
  <r>
    <x v="47"/>
    <s v="Pesos"/>
    <d v="2026-08-27T00:00:00"/>
    <s v="14/05/2026"/>
    <n v="0.92299924"/>
    <m/>
    <n v="10000000"/>
    <n v="9229992.3800000008"/>
    <n v="10000000"/>
    <n v="9229992.3800000008"/>
    <n v="2155"/>
    <s v="AMOMPY"/>
    <s v="Momentum Capital Investment S.A."/>
    <s v="27/04/2026"/>
    <s v="27/04/2026"/>
    <n v="29"/>
    <s v="No"/>
    <s v=""/>
    <m/>
    <m/>
    <s v="*MIL250800027"/>
    <s v="*MIL250800027"/>
    <n v="2.4326607657001621E-4"/>
  </r>
  <r>
    <x v="89"/>
    <s v="Pesos"/>
    <d v="2026-08-27T00:00:00"/>
    <s v="14/05/2026"/>
    <n v="0.92545650000000002"/>
    <m/>
    <n v="5000000"/>
    <n v="4627282.49"/>
    <n v="5000000"/>
    <n v="4627282.49"/>
    <n v="29175496"/>
    <s v="AMOMPY"/>
    <s v="Momentum Capital Investment S.A."/>
    <s v="04/05/2026"/>
    <s v="04/05/2026"/>
    <n v="28"/>
    <s v="No"/>
    <s v=""/>
    <m/>
    <m/>
    <s v="*CUY250800056"/>
    <s v="*CUY250800056"/>
    <n v="1.2195685653680196E-4"/>
  </r>
  <r>
    <x v="47"/>
    <s v="Pesos"/>
    <d v="2026-08-28T00:00:00"/>
    <s v="14/05/2026"/>
    <n v="0.92232292999999999"/>
    <m/>
    <n v="10000000"/>
    <n v="9223229.2699999996"/>
    <n v="10000000"/>
    <n v="9223229.2699999996"/>
    <n v="66412455"/>
    <s v="AMOMPY"/>
    <s v="Momentum Capital Investment S.A."/>
    <s v="22/04/2026"/>
    <s v="22/04/2026"/>
    <n v="29"/>
    <s v="No"/>
    <s v=""/>
    <m/>
    <m/>
    <s v="*MIL260800029"/>
    <s v="*MIL260800029"/>
    <n v="2.4308782775166651E-4"/>
  </r>
  <r>
    <x v="78"/>
    <s v="Pesos"/>
    <d v="2026-08-28T00:00:00"/>
    <s v="14/05/2026"/>
    <n v="0.92232276000000002"/>
    <m/>
    <n v="40000000"/>
    <n v="36892910.57"/>
    <n v="40000000"/>
    <n v="36892910.57"/>
    <n v="80939845"/>
    <s v="AMOMPY"/>
    <s v="Momentum Capital Investment S.A."/>
    <s v="30/04/2026"/>
    <s v="30/04/2026"/>
    <n v="29"/>
    <s v="No"/>
    <s v=""/>
    <m/>
    <m/>
    <s v="*INP260800068"/>
    <s v="*INP260800068"/>
    <n v="9.7235113942882579E-4"/>
  </r>
  <r>
    <x v="47"/>
    <s v="Pesos"/>
    <d v="2026-08-28T00:00:00"/>
    <s v="14/05/2026"/>
    <n v="0.9223228"/>
    <m/>
    <n v="10000000"/>
    <n v="9223228.0099999998"/>
    <n v="10000000"/>
    <n v="9223228.0099999998"/>
    <n v="2156"/>
    <s v="AMOMPY"/>
    <s v="Momentum Capital Investment S.A."/>
    <s v="27/04/2026"/>
    <s v="27/04/2026"/>
    <n v="29"/>
    <s v="No"/>
    <s v=""/>
    <m/>
    <m/>
    <s v="*MIL260800030"/>
    <s v="*MIL260800030"/>
    <n v="2.4308779454305227E-4"/>
  </r>
  <r>
    <x v="9"/>
    <s v="Pesos"/>
    <d v="2026-08-28T00:00:00"/>
    <s v="14/05/2026"/>
    <n v="0.92479997000000003"/>
    <m/>
    <n v="10000000"/>
    <n v="9247999.6699999999"/>
    <n v="10000000"/>
    <n v="9247999.6699999999"/>
    <n v="360559"/>
    <s v="AMOMPY"/>
    <s v="Momentum Capital Investment S.A."/>
    <s v="21/04/2026"/>
    <s v="21/04/2026"/>
    <n v="28"/>
    <s v="No"/>
    <s v=""/>
    <m/>
    <m/>
    <s v="*MOV260800071"/>
    <s v="*MOV260800071"/>
    <n v="2.4374067748057061E-4"/>
  </r>
  <r>
    <x v="65"/>
    <s v="Pesos"/>
    <d v="2026-08-28T00:00:00"/>
    <s v="14/05/2026"/>
    <n v="0.91497054"/>
    <m/>
    <n v="15000000"/>
    <n v="13724558.09"/>
    <n v="15000000"/>
    <n v="13724558.09"/>
    <n v="178"/>
    <s v="AMOMPY"/>
    <s v="Momentum Capital Investment S.A."/>
    <s v="17/04/2026"/>
    <s v="17/04/2026"/>
    <n v="32"/>
    <s v="No"/>
    <s v=""/>
    <m/>
    <m/>
    <s v="*NEU260800027"/>
    <s v="*NEU260800027"/>
    <n v="3.6172504393893932E-4"/>
  </r>
  <r>
    <x v="52"/>
    <s v="Pesos"/>
    <d v="2026-08-28T00:00:00"/>
    <s v="14/05/2026"/>
    <n v="0.90773455999999997"/>
    <m/>
    <n v="16600000"/>
    <n v="15068393.689999999"/>
    <n v="16600000"/>
    <n v="15068393.689999999"/>
    <n v="29088025"/>
    <s v="AMOMPY"/>
    <s v="Momentum Capital Investment S.A."/>
    <s v="14/04/2026"/>
    <s v="14/04/2026"/>
    <n v="35"/>
    <s v="No"/>
    <s v=""/>
    <m/>
    <m/>
    <s v="*MAV260801138"/>
    <s v="*MAV260801138"/>
    <n v="3.9714323287216933E-4"/>
  </r>
  <r>
    <x v="132"/>
    <s v="Pesos"/>
    <d v="2026-08-31T00:00:00"/>
    <s v="14/05/2026"/>
    <n v="0.91777737000000004"/>
    <m/>
    <n v="5000000"/>
    <n v="4588886.84"/>
    <n v="5000000"/>
    <n v="4588886.84"/>
    <n v="3495447"/>
    <s v="AMOMPY"/>
    <s v="Momentum Capital Investment S.A."/>
    <s v="17/04/2026"/>
    <s v="17/04/2026"/>
    <n v="30"/>
    <s v="No"/>
    <s v=""/>
    <m/>
    <m/>
    <s v="*MAV270800957"/>
    <s v="*MAV270800957"/>
    <n v="1.2094489913225471E-4"/>
  </r>
  <r>
    <x v="132"/>
    <s v="Pesos"/>
    <d v="2026-08-31T00:00:00"/>
    <s v="14/05/2026"/>
    <n v="0.91029269000000002"/>
    <m/>
    <n v="5600000"/>
    <n v="5097639.09"/>
    <n v="5600000"/>
    <n v="5097639.09"/>
    <n v="3501252"/>
    <s v="AMOMPY"/>
    <s v="Momentum Capital Investment S.A."/>
    <s v="24/04/2026"/>
    <s v="24/04/2026"/>
    <n v="33"/>
    <s v="No"/>
    <s v=""/>
    <m/>
    <m/>
    <s v="*MAV270800960"/>
    <s v="*MAV270800960"/>
    <n v="1.3435359533788127E-4"/>
  </r>
  <r>
    <x v="4"/>
    <s v="Pesos"/>
    <d v="2026-08-31T00:00:00"/>
    <s v="14/05/2026"/>
    <n v="0.90537029000000002"/>
    <m/>
    <n v="10000000"/>
    <n v="9053702.8599999994"/>
    <n v="10000000"/>
    <n v="9053702.8599999994"/>
    <n v="255"/>
    <s v="AMOMPY"/>
    <s v="Momentum Capital Investment S.A."/>
    <s v="30/04/2026"/>
    <s v="30/04/2026"/>
    <n v="35"/>
    <s v="No"/>
    <s v=""/>
    <m/>
    <m/>
    <s v="*MAV270800969"/>
    <s v="*MAV270800969"/>
    <n v="2.3861978239064747E-4"/>
  </r>
  <r>
    <x v="47"/>
    <s v="Pesos"/>
    <d v="2026-08-31T00:00:00"/>
    <s v="14/05/2026"/>
    <n v="0.92029956000000002"/>
    <m/>
    <n v="10000000"/>
    <n v="9202995.6099999994"/>
    <n v="10000000"/>
    <n v="9202995.6099999994"/>
    <n v="66412480"/>
    <s v="AMOMPY"/>
    <s v="Momentum Capital Investment S.A."/>
    <s v="22/04/2026"/>
    <s v="22/04/2026"/>
    <n v="29"/>
    <s v="No"/>
    <s v=""/>
    <m/>
    <m/>
    <s v="*MIL270800027"/>
    <s v="*MIL270800027"/>
    <n v="2.425545485375344E-4"/>
  </r>
  <r>
    <x v="94"/>
    <s v="Pesos"/>
    <d v="2026-08-31T00:00:00"/>
    <s v="14/05/2026"/>
    <n v="0.92283581999999997"/>
    <m/>
    <n v="35000000"/>
    <n v="32299253.84"/>
    <n v="35000000"/>
    <n v="32299253.84"/>
    <n v="3329632"/>
    <s v="AMOMPY"/>
    <s v="Momentum Capital Investment S.A."/>
    <s v="30/04/2026"/>
    <s v="30/04/2026"/>
    <n v="28"/>
    <s v="No"/>
    <s v=""/>
    <m/>
    <m/>
    <s v="*FID270800026"/>
    <s v="*FID270800026"/>
    <n v="8.5128052487036066E-4"/>
  </r>
  <r>
    <x v="47"/>
    <s v="Pesos"/>
    <d v="2026-08-31T00:00:00"/>
    <s v="14/05/2026"/>
    <n v="0.92029963999999997"/>
    <m/>
    <n v="10000000"/>
    <n v="9202996.4000000004"/>
    <n v="10000000"/>
    <n v="9202996.4000000004"/>
    <n v="2157"/>
    <s v="AMOMPY"/>
    <s v="Momentum Capital Investment S.A."/>
    <s v="27/04/2026"/>
    <s v="27/04/2026"/>
    <n v="29"/>
    <s v="No"/>
    <s v=""/>
    <m/>
    <m/>
    <s v="*MIL270800028"/>
    <s v="*MIL270800028"/>
    <n v="2.4255456935880844E-4"/>
  </r>
  <r>
    <x v="105"/>
    <s v="Pesos"/>
    <d v="2026-09-01T00:00:00"/>
    <s v="14/05/2026"/>
    <n v="0.89724702000000001"/>
    <m/>
    <n v="4500000"/>
    <n v="4037611.58"/>
    <n v="4500000"/>
    <n v="4037611.58"/>
    <n v="556"/>
    <s v="AMOMPY"/>
    <s v="Momentum Capital Investment S.A."/>
    <s v="22/04/2026"/>
    <s v="22/04/2026"/>
    <n v="38"/>
    <s v="No"/>
    <s v=""/>
    <m/>
    <m/>
    <s v="*MAV280801009"/>
    <s v="*MAV280801009"/>
    <n v="1.0641546464421502E-4"/>
  </r>
  <r>
    <x v="147"/>
    <s v="Pesos"/>
    <d v="2026-09-01T00:00:00"/>
    <s v="14/05/2026"/>
    <n v="0.89242058999999996"/>
    <m/>
    <n v="9972860.4499999993"/>
    <n v="8899985.9700000007"/>
    <n v="9972860.4499999993"/>
    <n v="8899985.9700000007"/>
    <n v="1179204"/>
    <s v="AMOMPY"/>
    <s v="Momentum Capital Investment S.A."/>
    <s v="16/04/2026"/>
    <s v="16/04/2026"/>
    <n v="40"/>
    <s v="No"/>
    <s v=""/>
    <m/>
    <m/>
    <s v="*MAV280801005"/>
    <s v="*MAV280801005"/>
    <n v="2.3456841341943665E-4"/>
  </r>
  <r>
    <x v="32"/>
    <s v="Pesos"/>
    <d v="2026-09-01T00:00:00"/>
    <s v="14/05/2026"/>
    <n v="0.89724680000000001"/>
    <m/>
    <n v="5450000"/>
    <n v="4889995.08"/>
    <n v="5450000"/>
    <n v="4889995.08"/>
    <n v="28518"/>
    <s v="AMOMPY"/>
    <s v="Momentum Capital Investment S.A."/>
    <s v="08/04/2026"/>
    <s v="08/04/2026"/>
    <n v="38"/>
    <s v="No"/>
    <s v=""/>
    <m/>
    <m/>
    <s v="*MAV280801000"/>
    <s v="*MAV280801000"/>
    <n v="1.2888092087008662E-4"/>
  </r>
  <r>
    <x v="33"/>
    <s v="Pesos"/>
    <d v="2026-09-01T00:00:00"/>
    <s v="14/05/2026"/>
    <n v="0.80967177999999995"/>
    <m/>
    <n v="10000000"/>
    <n v="8096717.7999999998"/>
    <n v="10000000"/>
    <n v="8096717.7999999998"/>
    <n v="3937"/>
    <s v="AMOMPY"/>
    <s v="Momentum Capital Investment S.A."/>
    <s v="03/09/2025"/>
    <s v="03/09/2025"/>
    <n v="78"/>
    <s v="No"/>
    <s v=""/>
    <m/>
    <m/>
    <s v="*MAV280800986"/>
    <s v="*MAV280800986"/>
    <n v="2.1339744294573436E-4"/>
  </r>
  <r>
    <x v="137"/>
    <s v="Pesos"/>
    <d v="2026-09-01T00:00:00"/>
    <s v="14/05/2026"/>
    <n v="0.90954407000000004"/>
    <m/>
    <n v="50000000"/>
    <n v="45477203.719999999"/>
    <n v="50000000"/>
    <n v="45477203.719999999"/>
    <n v="29030847"/>
    <s v="AMOMPY"/>
    <s v="Momentum Capital Investment S.A."/>
    <s v="06/04/2026"/>
    <s v="06/04/2026"/>
    <n v="33"/>
    <s v="No"/>
    <s v=""/>
    <m/>
    <m/>
    <s v="*MAV280800998"/>
    <s v="*MAV280800998"/>
    <n v="1.1985991392920029E-3"/>
  </r>
  <r>
    <x v="47"/>
    <s v="Pesos"/>
    <d v="2026-09-01T00:00:00"/>
    <s v="14/05/2026"/>
    <n v="0.91962728000000005"/>
    <m/>
    <n v="10000000"/>
    <n v="9196272.8100000005"/>
    <n v="10000000"/>
    <n v="9196272.8100000005"/>
    <n v="66412510"/>
    <s v="AMOMPY"/>
    <s v="Momentum Capital Investment S.A."/>
    <s v="22/04/2026"/>
    <s v="22/04/2026"/>
    <n v="29"/>
    <s v="No"/>
    <s v=""/>
    <m/>
    <m/>
    <s v="*MIL280800029"/>
    <s v="*MIL280800029"/>
    <n v="2.4237736213128034E-4"/>
  </r>
  <r>
    <x v="47"/>
    <s v="Pesos"/>
    <d v="2026-09-01T00:00:00"/>
    <s v="14/05/2026"/>
    <n v="0.91962714999999995"/>
    <m/>
    <n v="10000000"/>
    <n v="9196271.5299999993"/>
    <n v="10000000"/>
    <n v="9196271.5299999993"/>
    <n v="2158"/>
    <s v="AMOMPY"/>
    <s v="Momentum Capital Investment S.A."/>
    <s v="27/04/2026"/>
    <s v="27/04/2026"/>
    <n v="29"/>
    <s v="No"/>
    <s v=""/>
    <m/>
    <m/>
    <s v="*MIL280800030"/>
    <s v="*MIL280800030"/>
    <n v="2.4237732839554519E-4"/>
  </r>
  <r>
    <x v="48"/>
    <s v="Pesos"/>
    <d v="2026-09-01T00:00:00"/>
    <s v="14/05/2026"/>
    <n v="0.91708551999999999"/>
    <m/>
    <n v="25000000"/>
    <n v="22927138.02"/>
    <n v="25000000"/>
    <n v="22927138.02"/>
    <n v="718978"/>
    <s v="AMOMPY"/>
    <s v="Momentum Capital Investment S.A."/>
    <s v="17/04/2026"/>
    <s v="17/04/2026"/>
    <n v="30"/>
    <s v="No"/>
    <s v=""/>
    <m/>
    <m/>
    <s v="*CVA280800007"/>
    <s v="*CVA280800007"/>
    <n v="6.0426863679649643E-4"/>
  </r>
  <r>
    <x v="9"/>
    <s v="Pesos"/>
    <d v="2026-09-01T00:00:00"/>
    <s v="14/05/2026"/>
    <n v="0.91962719999999998"/>
    <m/>
    <n v="2500000"/>
    <n v="2299067.9900000002"/>
    <n v="2500000"/>
    <n v="2299067.9900000002"/>
    <n v="367"/>
    <s v="AMOMPY"/>
    <s v="Momentum Capital Investment S.A."/>
    <s v="17/04/2026"/>
    <s v="17/04/2026"/>
    <n v="29"/>
    <s v="No"/>
    <s v=""/>
    <m/>
    <m/>
    <s v="*MOV280800055"/>
    <s v="*MOV280800055"/>
    <n v="6.0594334932160934E-5"/>
  </r>
  <r>
    <x v="9"/>
    <s v="Pesos"/>
    <d v="2026-09-01T00:00:00"/>
    <s v="14/05/2026"/>
    <n v="0.92218303000000001"/>
    <m/>
    <n v="10000000"/>
    <n v="9221830.3100000005"/>
    <n v="10000000"/>
    <n v="9221830.3100000005"/>
    <n v="360560"/>
    <s v="AMOMPY"/>
    <s v="Momentum Capital Investment S.A."/>
    <s v="21/04/2026"/>
    <s v="21/04/2026"/>
    <n v="28"/>
    <s v="No"/>
    <s v=""/>
    <m/>
    <m/>
    <s v="*MOV280800056"/>
    <s v="*MOV280800056"/>
    <n v="2.430509567016735E-4"/>
  </r>
  <r>
    <x v="65"/>
    <s v="Pesos"/>
    <d v="2026-09-01T00:00:00"/>
    <s v="14/05/2026"/>
    <n v="0.90954405000000005"/>
    <m/>
    <n v="21395750"/>
    <n v="19460377.039999999"/>
    <n v="21395750"/>
    <n v="19460377.039999999"/>
    <n v="3233102"/>
    <s v="AMOMPY"/>
    <s v="Momentum Capital Investment S.A."/>
    <s v="20/04/2026"/>
    <s v="20/04/2026"/>
    <n v="33"/>
    <s v="No"/>
    <s v=""/>
    <m/>
    <m/>
    <s v="*NEU280800014"/>
    <s v="*NEU280800014"/>
    <n v="5.1289853514418875E-4"/>
  </r>
  <r>
    <x v="65"/>
    <s v="Pesos"/>
    <d v="2026-09-01T00:00:00"/>
    <s v="14/05/2026"/>
    <n v="0.90954405000000005"/>
    <m/>
    <n v="21395750"/>
    <n v="19460377.039999999"/>
    <n v="21395750"/>
    <n v="19460377.039999999"/>
    <n v="3233103"/>
    <s v="AMOMPY"/>
    <s v="Momentum Capital Investment S.A."/>
    <s v="20/04/2026"/>
    <s v="20/04/2026"/>
    <n v="33"/>
    <s v="No"/>
    <s v=""/>
    <m/>
    <m/>
    <s v="*NEU280800013"/>
    <s v="*NEU280800013"/>
    <n v="5.1289853514418875E-4"/>
  </r>
  <r>
    <x v="122"/>
    <s v="Pesos"/>
    <d v="2026-09-02T00:00:00"/>
    <s v="14/05/2026"/>
    <n v="0.91639472"/>
    <m/>
    <n v="10000000"/>
    <n v="9163947.1600000001"/>
    <n v="10000000"/>
    <n v="9163947.1600000001"/>
    <n v="3463103"/>
    <s v="AMOMPY"/>
    <s v="Momentum Capital Investment S.A."/>
    <s v="17/04/2026"/>
    <s v="17/04/2026"/>
    <n v="30"/>
    <s v="No"/>
    <s v=""/>
    <m/>
    <m/>
    <s v="*MAV300801320"/>
    <s v="*MAV300801320"/>
    <n v="2.415253859080805E-4"/>
  </r>
  <r>
    <x v="148"/>
    <s v="Pesos"/>
    <d v="2026-09-02T00:00:00"/>
    <s v="14/05/2026"/>
    <n v="0.90380092000000001"/>
    <m/>
    <n v="19999999"/>
    <n v="18076017.469999999"/>
    <n v="19999999"/>
    <n v="18076017.469999999"/>
    <n v="43"/>
    <s v="AMOMPY"/>
    <s v="Momentum Capital Investment S.A."/>
    <s v="20/04/2026"/>
    <s v="20/04/2026"/>
    <n v="35"/>
    <s v="No"/>
    <s v=""/>
    <m/>
    <m/>
    <s v="*MAV310801103"/>
    <s v="*MAV310801103"/>
    <n v="4.7641229471285542E-4"/>
  </r>
  <r>
    <x v="149"/>
    <s v="Pesos"/>
    <d v="2026-09-02T00:00:00"/>
    <s v="14/05/2026"/>
    <n v="0.91639486999999997"/>
    <m/>
    <n v="50000000"/>
    <n v="45819743.700000003"/>
    <n v="50000000"/>
    <n v="45819743.700000003"/>
    <n v="5491"/>
    <s v="AMOMPY"/>
    <s v="Momentum Capital Investment S.A."/>
    <s v="04/05/2026"/>
    <s v="04/05/2026"/>
    <n v="30"/>
    <s v="No"/>
    <s v=""/>
    <m/>
    <m/>
    <s v="*MAV310801112"/>
    <s v="*MAV310801112"/>
    <n v="1.2076271377531426E-3"/>
  </r>
  <r>
    <x v="149"/>
    <s v="Pesos"/>
    <d v="2026-09-02T00:00:00"/>
    <s v="14/05/2026"/>
    <n v="0.91639486999999997"/>
    <m/>
    <n v="50000000"/>
    <n v="45819743.700000003"/>
    <n v="50000000"/>
    <n v="45819743.700000003"/>
    <n v="5490"/>
    <s v="AMOMPY"/>
    <s v="Momentum Capital Investment S.A."/>
    <s v="04/05/2026"/>
    <s v="04/05/2026"/>
    <n v="30"/>
    <s v="No"/>
    <s v=""/>
    <m/>
    <m/>
    <s v="*MAV310801113"/>
    <s v="*MAV310801113"/>
    <n v="1.2076271377531426E-3"/>
  </r>
  <r>
    <x v="36"/>
    <s v="Pesos"/>
    <d v="2026-09-02T00:00:00"/>
    <s v="14/05/2026"/>
    <n v="0.91639482999999999"/>
    <m/>
    <n v="10000000"/>
    <n v="9163948.2599999998"/>
    <n v="10000000"/>
    <n v="9163948.2599999998"/>
    <n v="503"/>
    <s v="AMOMPY"/>
    <s v="Momentum Capital Investment S.A."/>
    <s v="14/05/2026"/>
    <s v="14/05/2026"/>
    <n v="30"/>
    <s v="No"/>
    <s v=""/>
    <m/>
    <m/>
    <s v="*MAV290801184"/>
    <s v="*MAV290801184"/>
    <n v="2.4152541489972786E-4"/>
  </r>
  <r>
    <x v="36"/>
    <s v="Pesos"/>
    <d v="2026-09-02T00:00:00"/>
    <s v="14/05/2026"/>
    <n v="0.91639475999999997"/>
    <m/>
    <n v="10000000"/>
    <n v="9163947.5700000003"/>
    <n v="10000000"/>
    <n v="9163947.5700000003"/>
    <n v="493"/>
    <s v="AMOMPY"/>
    <s v="Momentum Capital Investment S.A."/>
    <s v="13/05/2026"/>
    <s v="13/05/2026"/>
    <n v="30"/>
    <s v="No"/>
    <s v=""/>
    <m/>
    <m/>
    <s v="*MAV310801141"/>
    <s v="*MAV310801141"/>
    <n v="2.4152539671405817E-4"/>
  </r>
  <r>
    <x v="62"/>
    <s v="Pesos"/>
    <d v="2026-09-02T00:00:00"/>
    <s v="14/05/2026"/>
    <n v="0.89154865999999999"/>
    <m/>
    <n v="2000000"/>
    <n v="1783097.33"/>
    <n v="2000000"/>
    <n v="1783097.33"/>
    <n v="39"/>
    <s v="AMOMPY"/>
    <s v="Momentum Capital Investment S.A."/>
    <s v="30/03/2026"/>
    <s v="30/03/2026"/>
    <n v="40"/>
    <s v="No"/>
    <s v=""/>
    <m/>
    <m/>
    <s v="*MAV300801312"/>
    <s v="*MAV300801312"/>
    <n v="4.69953900017815E-5"/>
  </r>
  <r>
    <x v="147"/>
    <s v="Pesos"/>
    <d v="2026-09-02T00:00:00"/>
    <s v="14/05/2026"/>
    <n v="0.89154884000000001"/>
    <m/>
    <n v="9972570.8200000003"/>
    <n v="8891033.9399999995"/>
    <n v="9972570.8200000003"/>
    <n v="8891033.9399999995"/>
    <n v="1179207"/>
    <s v="AMOMPY"/>
    <s v="Momentum Capital Investment S.A."/>
    <s v="16/04/2026"/>
    <s v="16/04/2026"/>
    <n v="40"/>
    <s v="No"/>
    <s v=""/>
    <m/>
    <m/>
    <s v="*MAV310801101"/>
    <s v="*MAV310801101"/>
    <n v="2.3433247333132172E-4"/>
  </r>
  <r>
    <x v="147"/>
    <s v="Pesos"/>
    <d v="2026-09-02T00:00:00"/>
    <s v="14/05/2026"/>
    <n v="0.89154884000000001"/>
    <m/>
    <n v="9972350.7799999993"/>
    <n v="8890837.7699999996"/>
    <n v="9972350.7799999993"/>
    <n v="8890837.7699999996"/>
    <n v="1179206"/>
    <s v="AMOMPY"/>
    <s v="Momentum Capital Investment S.A."/>
    <s v="16/04/2026"/>
    <s v="16/04/2026"/>
    <n v="40"/>
    <s v="No"/>
    <s v=""/>
    <m/>
    <m/>
    <s v="*MAV300801317"/>
    <s v="*MAV300801317"/>
    <n v="2.3432730306635551E-4"/>
  </r>
  <r>
    <x v="147"/>
    <s v="Pesos"/>
    <d v="2026-09-02T00:00:00"/>
    <s v="14/05/2026"/>
    <n v="0.89154884000000001"/>
    <m/>
    <n v="9973200"/>
    <n v="8891594.8900000006"/>
    <n v="9973200"/>
    <n v="8891594.8900000006"/>
    <n v="1179205"/>
    <s v="AMOMPY"/>
    <s v="Momentum Capital Investment S.A."/>
    <s v="16/04/2026"/>
    <s v="16/04/2026"/>
    <n v="40"/>
    <s v="No"/>
    <s v=""/>
    <m/>
    <m/>
    <s v="*MAV290801169"/>
    <s v="*MAV290801169"/>
    <n v="2.3434725775367378E-4"/>
  </r>
  <r>
    <x v="4"/>
    <s v="Pesos"/>
    <d v="2026-09-02T00:00:00"/>
    <s v="14/05/2026"/>
    <n v="0.90380112000000001"/>
    <m/>
    <n v="10000000"/>
    <n v="9038011.1699999999"/>
    <n v="10000000"/>
    <n v="9038011.1699999999"/>
    <n v="162"/>
    <s v="AMOMPY"/>
    <s v="Momentum Capital Investment S.A."/>
    <s v="23/04/2026"/>
    <s v="23/04/2026"/>
    <n v="35"/>
    <s v="No"/>
    <s v=""/>
    <m/>
    <m/>
    <s v="*MAV310801104"/>
    <s v="*MAV310801104"/>
    <n v="2.3820621153339258E-4"/>
  </r>
  <r>
    <x v="48"/>
    <s v="Pesos"/>
    <d v="2026-09-02T00:00:00"/>
    <s v="14/05/2026"/>
    <n v="0.91639472"/>
    <m/>
    <n v="25000000"/>
    <n v="22909867.890000001"/>
    <n v="25000000"/>
    <n v="22909867.890000001"/>
    <n v="718979"/>
    <s v="AMOMPY"/>
    <s v="Momentum Capital Investment S.A."/>
    <s v="17/04/2026"/>
    <s v="17/04/2026"/>
    <n v="30"/>
    <s v="No"/>
    <s v=""/>
    <m/>
    <m/>
    <s v="*CVA310800024"/>
    <s v="*CVA310800024"/>
    <n v="6.0381346450664086E-4"/>
  </r>
  <r>
    <x v="9"/>
    <s v="Pesos"/>
    <d v="2026-09-02T00:00:00"/>
    <s v="14/05/2026"/>
    <n v="0.92153105999999996"/>
    <m/>
    <n v="10000000"/>
    <n v="9215310.6099999994"/>
    <n v="10000000"/>
    <n v="9215310.6099999994"/>
    <n v="360561"/>
    <s v="AMOMPY"/>
    <s v="Momentum Capital Investment S.A."/>
    <s v="21/04/2026"/>
    <s v="21/04/2026"/>
    <n v="28"/>
    <s v="No"/>
    <s v=""/>
    <m/>
    <m/>
    <s v="*MOV310800090"/>
    <s v="*MOV310800090"/>
    <n v="2.4287912320776394E-4"/>
  </r>
  <r>
    <x v="65"/>
    <s v="Pesos"/>
    <d v="2026-09-02T00:00:00"/>
    <s v="14/05/2026"/>
    <n v="0.91131532999999998"/>
    <m/>
    <n v="15000000"/>
    <n v="13669729.960000001"/>
    <n v="15000000"/>
    <n v="13669729.960000001"/>
    <n v="179"/>
    <s v="AMOMPY"/>
    <s v="Momentum Capital Investment S.A."/>
    <s v="17/04/2026"/>
    <s v="17/04/2026"/>
    <n v="32"/>
    <s v="No"/>
    <s v=""/>
    <m/>
    <m/>
    <s v="*NEU290800019"/>
    <s v="*NEU290800019"/>
    <n v="3.6027999138400204E-4"/>
  </r>
  <r>
    <x v="65"/>
    <s v="Pesos"/>
    <d v="2026-09-02T00:00:00"/>
    <s v="14/05/2026"/>
    <n v="0.91639468000000002"/>
    <m/>
    <n v="6000000"/>
    <n v="5498368.0800000001"/>
    <n v="6000000"/>
    <n v="5498368.0800000001"/>
    <n v="10926495"/>
    <s v="AMOMPY"/>
    <s v="Momentum Capital Investment S.A."/>
    <s v="20/04/2026"/>
    <s v="20/04/2026"/>
    <n v="30"/>
    <s v="No"/>
    <s v=""/>
    <m/>
    <m/>
    <s v="*NEU310800017"/>
    <s v="*NEU310800017"/>
    <n v="1.4491522585194301E-4"/>
  </r>
  <r>
    <x v="150"/>
    <s v="Pesos"/>
    <d v="2026-09-03T00:00:00"/>
    <s v="14/05/2026"/>
    <n v="0.89067861999999998"/>
    <m/>
    <n v="12166667"/>
    <n v="10836590.15"/>
    <n v="12166667"/>
    <n v="10836590.15"/>
    <n v="90020550"/>
    <s v="AMOMPY"/>
    <s v="Momentum Capital Investment S.A."/>
    <s v="12/05/2026"/>
    <s v="12/05/2026"/>
    <n v="40"/>
    <s v="No"/>
    <s v=""/>
    <m/>
    <m/>
    <s v="*MAV010901143"/>
    <s v="*MAV010901143"/>
    <n v="2.8560963656914563E-4"/>
  </r>
  <r>
    <x v="147"/>
    <s v="Pesos"/>
    <d v="2026-09-03T00:00:00"/>
    <s v="14/05/2026"/>
    <n v="0.89067854000000002"/>
    <m/>
    <n v="9972890.5500000007"/>
    <n v="8882639.6199999992"/>
    <n v="9972890.5500000007"/>
    <n v="8882639.6199999992"/>
    <n v="1179208"/>
    <s v="AMOMPY"/>
    <s v="Momentum Capital Investment S.A."/>
    <s v="16/04/2026"/>
    <s v="16/04/2026"/>
    <n v="40"/>
    <s v="No"/>
    <s v=""/>
    <m/>
    <m/>
    <s v="*MAV010901130"/>
    <s v="*MAV010901130"/>
    <n v="2.3411123227197933E-4"/>
  </r>
  <r>
    <x v="142"/>
    <s v="Dolar 3500"/>
    <d v="2026-09-03T00:00:00"/>
    <s v="14/05/2026"/>
    <n v="0.97897226999999998"/>
    <s v="1 US3 = 1393,2322905547 $"/>
    <n v="100000"/>
    <n v="97897.23"/>
    <n v="139323229.06"/>
    <n v="136393581.99000001"/>
    <n v="147170"/>
    <s v="AMOMPY"/>
    <s v="Momentum Capital Investment S.A."/>
    <s v="23/04/2026"/>
    <s v="23/04/2026"/>
    <n v="7"/>
    <s v="No"/>
    <s v=""/>
    <m/>
    <m/>
    <s v="#UMV010960009"/>
    <s v="#UMV010960009"/>
    <n v="3.5947951194341206E-3"/>
  </r>
  <r>
    <x v="150"/>
    <s v="Pesos"/>
    <d v="2026-09-04T00:00:00"/>
    <s v="14/05/2026"/>
    <n v="0.88980999999999999"/>
    <m/>
    <n v="15166667"/>
    <n v="13495452.01"/>
    <n v="15166667"/>
    <n v="13495452.01"/>
    <n v="90020551"/>
    <s v="AMOMPY"/>
    <s v="Momentum Capital Investment S.A."/>
    <s v="12/05/2026"/>
    <s v="12/05/2026"/>
    <n v="40"/>
    <s v="No"/>
    <s v=""/>
    <m/>
    <m/>
    <s v="*MAV020901153"/>
    <s v="*MAV020901153"/>
    <n v="3.5568671423016267E-4"/>
  </r>
  <r>
    <x v="78"/>
    <s v="Pesos"/>
    <d v="2026-09-04T00:00:00"/>
    <s v="14/05/2026"/>
    <n v="0.91501633999999998"/>
    <m/>
    <n v="5000000"/>
    <n v="4575081.71"/>
    <n v="5000000"/>
    <n v="4575081.71"/>
    <n v="58"/>
    <s v="AMOMPY"/>
    <s v="Momentum Capital Investment S.A."/>
    <s v="30/04/2026"/>
    <s v="30/04/2026"/>
    <n v="30"/>
    <s v="No"/>
    <s v=""/>
    <m/>
    <m/>
    <s v="*INP020900036"/>
    <s v="*INP020900036"/>
    <n v="1.2058105053158674E-4"/>
  </r>
  <r>
    <x v="47"/>
    <s v="Pesos"/>
    <d v="2026-09-04T00:00:00"/>
    <s v="14/05/2026"/>
    <n v="0.91761574999999995"/>
    <m/>
    <n v="10000000"/>
    <n v="9176157.5199999996"/>
    <n v="10000000"/>
    <n v="9176157.5199999996"/>
    <n v="66613066"/>
    <s v="AMOMPY"/>
    <s v="Momentum Capital Investment S.A."/>
    <s v="30/04/2026"/>
    <s v="30/04/2026"/>
    <n v="29"/>
    <s v="No"/>
    <s v=""/>
    <m/>
    <m/>
    <s v="*MIL020900026"/>
    <s v="*MIL020900026"/>
    <n v="2.4184720268196469E-4"/>
  </r>
  <r>
    <x v="52"/>
    <s v="Pesos"/>
    <d v="2026-09-04T00:00:00"/>
    <s v="14/05/2026"/>
    <n v="0.90223724000000005"/>
    <m/>
    <n v="16600000"/>
    <n v="14977138.140000001"/>
    <n v="16600000"/>
    <n v="14977138.140000001"/>
    <n v="29088027"/>
    <s v="AMOMPY"/>
    <s v="Momentum Capital Investment S.A."/>
    <s v="14/04/2026"/>
    <s v="14/04/2026"/>
    <n v="35"/>
    <s v="No"/>
    <s v=""/>
    <m/>
    <m/>
    <s v="*MAV020901140"/>
    <s v="*MAV020901140"/>
    <n v="3.9473809766730816E-4"/>
  </r>
  <r>
    <x v="105"/>
    <s v="Pesos"/>
    <d v="2026-09-07T00:00:00"/>
    <s v="14/05/2026"/>
    <n v="0.89224621000000004"/>
    <m/>
    <n v="4957711.8099999996"/>
    <n v="4423499.55"/>
    <n v="4957711.8099999996"/>
    <n v="4423499.55"/>
    <n v="598"/>
    <s v="AMOMPY"/>
    <s v="Momentum Capital Investment S.A."/>
    <s v="24/04/2026"/>
    <s v="24/04/2026"/>
    <n v="38"/>
    <s v="No"/>
    <s v=""/>
    <m/>
    <m/>
    <s v="*MAV030900796"/>
    <s v="*MAV030900796"/>
    <n v="1.1658594459616792E-4"/>
  </r>
  <r>
    <x v="61"/>
    <s v="Pesos"/>
    <d v="2026-09-08T00:00:00"/>
    <s v="14/05/2026"/>
    <n v="0.89141820000000005"/>
    <m/>
    <n v="7162509.1500000004"/>
    <n v="6384791.0099999998"/>
    <n v="7162509.1500000004"/>
    <n v="6384791.0099999998"/>
    <n v="65964541"/>
    <s v="AMOMPY"/>
    <s v="Momentum Capital Investment S.A."/>
    <s v="22/04/2026"/>
    <s v="22/04/2026"/>
    <n v="38"/>
    <s v="No"/>
    <s v=""/>
    <m/>
    <m/>
    <s v="*MAV040900869"/>
    <s v="*MAV040900869"/>
    <n v="1.6827782676048222E-4"/>
  </r>
  <r>
    <x v="150"/>
    <s v="Pesos"/>
    <d v="2026-09-08T00:00:00"/>
    <s v="14/05/2026"/>
    <n v="0.88635271999999998"/>
    <m/>
    <n v="12166667"/>
    <n v="10783958.41"/>
    <n v="12166667"/>
    <n v="10783958.41"/>
    <n v="90020552"/>
    <s v="AMOMPY"/>
    <s v="Momentum Capital Investment S.A."/>
    <s v="12/05/2026"/>
    <s v="12/05/2026"/>
    <n v="40"/>
    <s v="No"/>
    <s v=""/>
    <m/>
    <m/>
    <s v="*MAV040900876"/>
    <s v="*MAV040900876"/>
    <n v="2.8422247216361516E-4"/>
  </r>
  <r>
    <x v="78"/>
    <s v="Pesos"/>
    <d v="2026-09-08T00:00:00"/>
    <s v="14/05/2026"/>
    <n v="0.91494750999999996"/>
    <m/>
    <n v="11923076.92"/>
    <n v="10908989.52"/>
    <n v="11923076.92"/>
    <n v="10908989.52"/>
    <n v="90021986"/>
    <s v="AMOMPY"/>
    <s v="Momentum Capital Investment S.A."/>
    <s v="30/04/2026"/>
    <s v="30/04/2026"/>
    <n v="29"/>
    <s v="No"/>
    <s v=""/>
    <m/>
    <m/>
    <s v="*NEU040900012"/>
    <s v="*NEU040900012"/>
    <n v="2.8751779748206291E-4"/>
  </r>
  <r>
    <x v="47"/>
    <s v="Pesos"/>
    <d v="2026-09-08T00:00:00"/>
    <s v="14/05/2026"/>
    <n v="0.91227203999999995"/>
    <m/>
    <n v="60000000"/>
    <n v="54736322.649999999"/>
    <n v="60000000"/>
    <n v="54736322.649999999"/>
    <n v="61"/>
    <s v="AMOMPY"/>
    <s v="Momentum Capital Investment S.A."/>
    <s v="05/05/2026"/>
    <s v="05/05/2026"/>
    <n v="30"/>
    <s v="No"/>
    <s v=""/>
    <m/>
    <m/>
    <s v="*MIL040900020"/>
    <s v="*MIL040900020"/>
    <n v="1.4426328764678797E-3"/>
  </r>
  <r>
    <x v="47"/>
    <s v="Pesos"/>
    <d v="2026-09-08T00:00:00"/>
    <s v="14/05/2026"/>
    <n v="0.91494750999999996"/>
    <m/>
    <n v="10000000"/>
    <n v="9149475.0899999999"/>
    <n v="10000000"/>
    <n v="9149475.0899999999"/>
    <n v="66613291"/>
    <s v="AMOMPY"/>
    <s v="Momentum Capital Investment S.A."/>
    <s v="30/04/2026"/>
    <s v="30/04/2026"/>
    <n v="29"/>
    <s v="No"/>
    <s v=""/>
    <m/>
    <m/>
    <s v="*MIL040900019"/>
    <s v="*MIL040900019"/>
    <n v="2.4114395940805702E-4"/>
  </r>
  <r>
    <x v="48"/>
    <s v="Pesos"/>
    <d v="2026-09-08T00:00:00"/>
    <s v="14/05/2026"/>
    <n v="0.91227203999999995"/>
    <m/>
    <n v="24000000"/>
    <n v="21894529.059999999"/>
    <n v="24000000"/>
    <n v="21894529.059999999"/>
    <n v="718980"/>
    <s v="AMOMPY"/>
    <s v="Momentum Capital Investment S.A."/>
    <s v="17/04/2026"/>
    <s v="17/04/2026"/>
    <n v="30"/>
    <s v="No"/>
    <s v=""/>
    <m/>
    <m/>
    <s v="*CVA040900007"/>
    <s v="*CVA040900007"/>
    <n v="5.7705315058715191E-4"/>
  </r>
  <r>
    <x v="9"/>
    <s v="Pesos"/>
    <d v="2026-09-08T00:00:00"/>
    <s v="14/05/2026"/>
    <n v="0.91763890000000004"/>
    <m/>
    <n v="10000000"/>
    <n v="9176389.0399999991"/>
    <n v="10000000"/>
    <n v="9176389.0399999991"/>
    <n v="360562"/>
    <s v="AMOMPY"/>
    <s v="Momentum Capital Investment S.A."/>
    <s v="21/04/2026"/>
    <s v="21/04/2026"/>
    <n v="28"/>
    <s v="No"/>
    <s v=""/>
    <m/>
    <m/>
    <s v="*MOV040900048"/>
    <s v="*MOV040900048"/>
    <n v="2.418533046330529E-4"/>
  </r>
  <r>
    <x v="106"/>
    <s v="Pesos"/>
    <d v="2026-09-09T00:00:00"/>
    <s v="14/05/2026"/>
    <n v="0.89059160999999998"/>
    <m/>
    <n v="7133529.1399999997"/>
    <n v="6353061.2300000004"/>
    <n v="7133529.1399999997"/>
    <n v="6353061.2300000004"/>
    <n v="90000168"/>
    <s v="AMOMPY"/>
    <s v="Momentum Capital Investment S.A."/>
    <s v="22/04/2026"/>
    <s v="22/04/2026"/>
    <n v="38"/>
    <s v="No"/>
    <s v=""/>
    <m/>
    <m/>
    <s v="*MAV050901228"/>
    <s v="*MAV050901228"/>
    <n v="1.6744155531265794E-4"/>
  </r>
  <r>
    <x v="150"/>
    <s v="Pesos"/>
    <d v="2026-09-09T00:00:00"/>
    <s v="14/05/2026"/>
    <n v="0.88549252000000001"/>
    <m/>
    <n v="15166667"/>
    <n v="13429970.140000001"/>
    <n v="15166667"/>
    <n v="13429970.140000001"/>
    <n v="90020553"/>
    <s v="AMOMPY"/>
    <s v="Momentum Capital Investment S.A."/>
    <s v="12/05/2026"/>
    <s v="11/05/2026"/>
    <n v="40"/>
    <s v="No"/>
    <s v=""/>
    <m/>
    <m/>
    <s v="*MAV070900746"/>
    <s v="*MAV070900746"/>
    <n v="3.5396087124508232E-4"/>
  </r>
  <r>
    <x v="47"/>
    <s v="Pesos"/>
    <d v="2026-09-09T00:00:00"/>
    <s v="14/05/2026"/>
    <n v="0.91428303"/>
    <m/>
    <n v="10000000"/>
    <n v="9142830.3300000001"/>
    <n v="10000000"/>
    <n v="9142830.3300000001"/>
    <n v="66613416"/>
    <s v="AMOMPY"/>
    <s v="Momentum Capital Investment S.A."/>
    <s v="30/04/2026"/>
    <s v="30/04/2026"/>
    <n v="29"/>
    <s v="No"/>
    <s v=""/>
    <m/>
    <m/>
    <s v="*MIL070900021"/>
    <s v="*MIL070900021"/>
    <n v="2.4096882982740299E-4"/>
  </r>
  <r>
    <x v="28"/>
    <s v="Pesos"/>
    <d v="2026-09-09T00:00:00"/>
    <s v="14/05/2026"/>
    <n v="0.90624689999999997"/>
    <m/>
    <n v="25000000"/>
    <n v="22656172.609999999"/>
    <n v="25000000"/>
    <n v="22656172.609999999"/>
    <n v="475878"/>
    <s v="AMOMPY"/>
    <s v="Momentum Capital Investment S.A."/>
    <s v="08/05/2026"/>
    <s v="08/05/2026"/>
    <n v="32"/>
    <s v="No"/>
    <s v=""/>
    <m/>
    <m/>
    <s v="*MAV050901234"/>
    <s v="*MAV050901234"/>
    <n v="5.9712706078396166E-4"/>
  </r>
  <r>
    <x v="4"/>
    <s v="Pesos"/>
    <d v="2026-09-10T00:00:00"/>
    <s v="14/05/2026"/>
    <n v="0.90286206000000002"/>
    <m/>
    <n v="10000000"/>
    <n v="9028620.5500000007"/>
    <n v="10000000"/>
    <n v="9028620.5500000007"/>
    <n v="326"/>
    <s v="AMOMPY"/>
    <s v="Momentum Capital Investment S.A."/>
    <s v="14/05/2026"/>
    <s v="14/05/2026"/>
    <n v="33"/>
    <s v="No"/>
    <s v=""/>
    <m/>
    <m/>
    <s v="*MAV080901141"/>
    <s v="*MAV080901141"/>
    <n v="2.3795871194835395E-4"/>
  </r>
  <r>
    <x v="47"/>
    <s v="Pesos"/>
    <d v="2026-09-10T00:00:00"/>
    <s v="14/05/2026"/>
    <n v="0.91361919000000003"/>
    <m/>
    <n v="5500000"/>
    <n v="5024905.5199999996"/>
    <n v="5500000"/>
    <n v="5024905.5199999996"/>
    <n v="66554093"/>
    <s v="AMOMPY"/>
    <s v="Momentum Capital Investment S.A."/>
    <s v="28/04/2026"/>
    <s v="28/04/2026"/>
    <n v="29"/>
    <s v="No"/>
    <s v=""/>
    <m/>
    <m/>
    <s v="*MIL080900027"/>
    <s v="*MIL080900027"/>
    <n v="1.3243662623537474E-4"/>
  </r>
  <r>
    <x v="80"/>
    <s v="Pesos"/>
    <d v="2026-09-10T00:00:00"/>
    <s v="14/05/2026"/>
    <n v="0.89757796000000001"/>
    <m/>
    <n v="4250000"/>
    <n v="3814706.34"/>
    <n v="4250000"/>
    <n v="3814706.34"/>
    <n v="6839"/>
    <s v="AMOMPY"/>
    <s v="Momentum Capital Investment S.A."/>
    <s v="20/04/2026"/>
    <s v="20/04/2026"/>
    <n v="35"/>
    <s v="No"/>
    <s v=""/>
    <m/>
    <m/>
    <s v="*MAV080901113"/>
    <s v="*MAV080901113"/>
    <n v="1.0054056454145915E-4"/>
  </r>
  <r>
    <x v="65"/>
    <s v="Pesos"/>
    <d v="2026-09-10T00:00:00"/>
    <s v="14/05/2026"/>
    <n v="0.91090605000000002"/>
    <m/>
    <n v="10000000"/>
    <n v="9109060.5299999993"/>
    <n v="10000000"/>
    <n v="9109060.5299999993"/>
    <n v="3435967"/>
    <s v="AMOMPY"/>
    <s v="Momentum Capital Investment S.A."/>
    <s v="11/05/2026"/>
    <s v="11/05/2026"/>
    <n v="30"/>
    <s v="No"/>
    <s v=""/>
    <m/>
    <m/>
    <s v="*NEU080900027"/>
    <s v="*NEU080900027"/>
    <n v="2.4007879152462442E-4"/>
  </r>
  <r>
    <x v="105"/>
    <s v="Pesos"/>
    <d v="2026-09-11T00:00:00"/>
    <s v="14/05/2026"/>
    <n v="0.88894318000000005"/>
    <m/>
    <n v="4957711.8099999996"/>
    <n v="4407124.08"/>
    <n v="4957711.8099999996"/>
    <n v="4407124.08"/>
    <n v="600"/>
    <s v="AMOMPY"/>
    <s v="Momentum Capital Investment S.A."/>
    <s v="24/04/2026"/>
    <s v="24/04/2026"/>
    <n v="38"/>
    <s v="No"/>
    <s v=""/>
    <m/>
    <m/>
    <s v="*MAV090901126"/>
    <s v="*MAV090901126"/>
    <n v="1.1615435200379246E-4"/>
  </r>
  <r>
    <x v="36"/>
    <s v="Pesos"/>
    <d v="2026-09-11T00:00:00"/>
    <s v="14/05/2026"/>
    <n v="0.91022446999999995"/>
    <m/>
    <n v="10000000"/>
    <n v="9102244.6899999995"/>
    <n v="10000000"/>
    <n v="9102244.6899999995"/>
    <n v="504"/>
    <s v="AMOMPY"/>
    <s v="Momentum Capital Investment S.A."/>
    <s v="14/05/2026"/>
    <s v="14/05/2026"/>
    <n v="30"/>
    <s v="No"/>
    <s v=""/>
    <m/>
    <m/>
    <s v="*MAV090901138"/>
    <s v="*MAV090901138"/>
    <n v="2.3989915295212445E-4"/>
  </r>
  <r>
    <x v="91"/>
    <s v="Pesos"/>
    <d v="2026-09-11T00:00:00"/>
    <s v="14/05/2026"/>
    <n v="0.92125201999999995"/>
    <m/>
    <n v="100046704.59999999"/>
    <n v="92168228.290000007"/>
    <n v="100046704.59999999"/>
    <n v="92168228.290000007"/>
    <n v="568280"/>
    <s v="AMOMPY"/>
    <s v="Momentum Capital Investment S.A."/>
    <s v="24/04/2026"/>
    <s v="24/04/2026"/>
    <n v="26"/>
    <s v="No"/>
    <s v=""/>
    <m/>
    <m/>
    <s v="*MAV090901127"/>
    <s v="*MAV090901127"/>
    <n v="2.4291897931683747E-3"/>
  </r>
  <r>
    <x v="9"/>
    <s v="Pesos"/>
    <d v="2026-09-14T00:00:00"/>
    <s v="14/05/2026"/>
    <n v="0.91377929000000002"/>
    <m/>
    <n v="10000000"/>
    <n v="9137792.9100000001"/>
    <n v="10000000"/>
    <n v="9137792.9100000001"/>
    <n v="360563"/>
    <s v="AMOMPY"/>
    <s v="Momentum Capital Investment S.A."/>
    <s v="21/04/2026"/>
    <s v="21/04/2026"/>
    <n v="28"/>
    <s v="No"/>
    <s v=""/>
    <m/>
    <m/>
    <s v="*MOV100900072"/>
    <s v="*MOV100900072"/>
    <n v="2.4083606336899394E-4"/>
  </r>
  <r>
    <x v="147"/>
    <s v="Pesos"/>
    <d v="2026-09-15T00:00:00"/>
    <s v="14/05/2026"/>
    <n v="0.88036671"/>
    <m/>
    <n v="9975100.8000000007"/>
    <n v="8781746.6500000004"/>
    <n v="9975100.8000000007"/>
    <n v="8781746.6500000004"/>
    <n v="1179209"/>
    <s v="AMOMPY"/>
    <s v="Momentum Capital Investment S.A."/>
    <s v="16/04/2026"/>
    <s v="16/04/2026"/>
    <n v="40"/>
    <s v="No"/>
    <s v=""/>
    <m/>
    <m/>
    <s v="*MAV110900971"/>
    <s v="*MAV110900971"/>
    <n v="2.3145209281065336E-4"/>
  </r>
  <r>
    <x v="134"/>
    <s v="Pesos"/>
    <d v="2026-09-15T00:00:00"/>
    <s v="14/05/2026"/>
    <n v="0.91598082999999997"/>
    <m/>
    <n v="150000000"/>
    <n v="137397124.83000001"/>
    <n v="150000000"/>
    <n v="137397124.83000001"/>
    <n v="67980"/>
    <s v="AMOMPY"/>
    <s v="Momentum Capital Investment S.A."/>
    <s v="12/05/2026"/>
    <s v="12/05/2026"/>
    <n v="27"/>
    <s v="No"/>
    <s v=""/>
    <m/>
    <m/>
    <s v="*MAV110900982"/>
    <s v="*MAV110900982"/>
    <n v="3.6212445377332863E-3"/>
  </r>
  <r>
    <x v="77"/>
    <s v="Pesos"/>
    <d v="2026-09-15T00:00:00"/>
    <s v="14/05/2026"/>
    <n v="0.91031532999999998"/>
    <m/>
    <n v="42000000"/>
    <n v="38233244.009999998"/>
    <n v="42000000"/>
    <n v="38233244.009999998"/>
    <n v="7579"/>
    <s v="AMOMPY"/>
    <s v="Momentum Capital Investment S.A."/>
    <s v="20/04/2026"/>
    <s v="20/04/2026"/>
    <n v="29"/>
    <s v="No"/>
    <s v=""/>
    <m/>
    <m/>
    <s v="*ACI110900205"/>
    <s v="*ACI110900205"/>
    <n v="1.0076770252823082E-3"/>
  </r>
  <r>
    <x v="147"/>
    <s v="Pesos"/>
    <d v="2026-09-16T00:00:00"/>
    <s v="14/05/2026"/>
    <n v="0.87951809000000003"/>
    <m/>
    <n v="9974100"/>
    <n v="8772401.4199999999"/>
    <n v="9974100"/>
    <n v="8772401.4199999999"/>
    <n v="1179211"/>
    <s v="AMOMPY"/>
    <s v="Momentum Capital Investment S.A."/>
    <s v="16/04/2026"/>
    <s v="16/04/2026"/>
    <n v="40"/>
    <s v="No"/>
    <s v=""/>
    <m/>
    <m/>
    <s v="*MAV130901052"/>
    <s v="*MAV130901052"/>
    <n v="2.3120578952640899E-4"/>
  </r>
  <r>
    <x v="147"/>
    <s v="Pesos"/>
    <d v="2026-09-16T00:00:00"/>
    <s v="14/05/2026"/>
    <n v="0.87951809000000003"/>
    <m/>
    <n v="9973400"/>
    <n v="8771785.75"/>
    <n v="9973400"/>
    <n v="8771785.75"/>
    <n v="1179210"/>
    <s v="AMOMPY"/>
    <s v="Momentum Capital Investment S.A."/>
    <s v="16/04/2026"/>
    <s v="16/04/2026"/>
    <n v="40"/>
    <s v="No"/>
    <s v=""/>
    <m/>
    <m/>
    <s v="*MAV120901447"/>
    <s v="*MAV120901447"/>
    <n v="2.3118956290138094E-4"/>
  </r>
  <r>
    <x v="147"/>
    <s v="Pesos"/>
    <d v="2026-09-16T00:00:00"/>
    <s v="14/05/2026"/>
    <n v="0.87951809000000003"/>
    <m/>
    <n v="9973360.4700000007"/>
    <n v="8771750.9900000002"/>
    <n v="9973360.4700000007"/>
    <n v="8771750.9900000002"/>
    <n v="1179212"/>
    <s v="AMOMPY"/>
    <s v="Momentum Capital Investment S.A."/>
    <s v="16/04/2026"/>
    <s v="16/04/2026"/>
    <n v="40"/>
    <s v="No"/>
    <s v=""/>
    <m/>
    <m/>
    <s v="*MAV140900802"/>
    <s v="*MAV140900802"/>
    <n v="2.3118864676532436E-4"/>
  </r>
  <r>
    <x v="9"/>
    <s v="Pesos"/>
    <d v="2026-09-16T00:00:00"/>
    <s v="14/05/2026"/>
    <n v="0.91250008999999999"/>
    <m/>
    <n v="10000000"/>
    <n v="9125000.8800000008"/>
    <n v="10000000"/>
    <n v="9125000.8800000008"/>
    <n v="360564"/>
    <s v="AMOMPY"/>
    <s v="Momentum Capital Investment S.A."/>
    <s v="21/04/2026"/>
    <s v="21/04/2026"/>
    <n v="28"/>
    <s v="No"/>
    <s v=""/>
    <m/>
    <m/>
    <s v="*MOV130900059"/>
    <s v="*MOV130900059"/>
    <n v="2.4049891607554559E-4"/>
  </r>
  <r>
    <x v="65"/>
    <s v="Pesos"/>
    <d v="2026-09-16T00:00:00"/>
    <s v="14/05/2026"/>
    <n v="0.91250005999999995"/>
    <m/>
    <n v="10000000"/>
    <n v="9125000.6300000008"/>
    <n v="10000000"/>
    <n v="9125000.6300000008"/>
    <n v="3487822"/>
    <s v="AMOMPY"/>
    <s v="Momentum Capital Investment S.A."/>
    <s v="05/05/2026"/>
    <s v="05/05/2026"/>
    <n v="28"/>
    <s v="No"/>
    <s v=""/>
    <m/>
    <m/>
    <s v="*NEU120900015"/>
    <s v="*NEU120900015"/>
    <n v="2.4049890948653482E-4"/>
  </r>
  <r>
    <x v="62"/>
    <s v="Pesos"/>
    <d v="2026-09-17T00:00:00"/>
    <s v="14/05/2026"/>
    <n v="0.89220255999999998"/>
    <m/>
    <n v="1500000"/>
    <n v="1338303.8400000001"/>
    <n v="1500000"/>
    <n v="1338303.8400000001"/>
    <n v="3"/>
    <s v="AMOMPY"/>
    <s v="Momentum Capital Investment S.A."/>
    <s v="23/04/2026"/>
    <s v="23/04/2026"/>
    <n v="35"/>
    <s v="No"/>
    <s v=""/>
    <m/>
    <m/>
    <s v="*MAV150901465"/>
    <s v="*MAV150901465"/>
    <n v="3.5272393628496874E-5"/>
  </r>
  <r>
    <x v="147"/>
    <s v="Pesos"/>
    <d v="2026-09-17T00:00:00"/>
    <s v="14/05/2026"/>
    <n v="0.87867136000000001"/>
    <m/>
    <n v="9972899.9900000002"/>
    <n v="8762901.6300000008"/>
    <n v="9972899.9900000002"/>
    <n v="8762901.6300000008"/>
    <n v="1179213"/>
    <s v="AMOMPY"/>
    <s v="Momentum Capital Investment S.A."/>
    <s v="16/04/2026"/>
    <s v="16/04/2026"/>
    <n v="40"/>
    <s v="No"/>
    <s v=""/>
    <m/>
    <m/>
    <s v="*MAV150901457"/>
    <s v="*MAV150901457"/>
    <n v="2.3095541265214997E-4"/>
  </r>
  <r>
    <x v="32"/>
    <s v="Pesos"/>
    <d v="2026-09-17T00:00:00"/>
    <s v="14/05/2026"/>
    <n v="0.90333136999999997"/>
    <m/>
    <n v="16500000"/>
    <n v="14904967.630000001"/>
    <n v="16500000"/>
    <n v="14904967.630000001"/>
    <n v="28674"/>
    <s v="AMOMPY"/>
    <s v="Momentum Capital Investment S.A."/>
    <s v="27/04/2026"/>
    <s v="27/04/2026"/>
    <n v="31"/>
    <s v="No"/>
    <s v=""/>
    <m/>
    <m/>
    <s v="*MAV150901468"/>
    <s v="*MAV150901468"/>
    <n v="3.9283596859840451E-4"/>
  </r>
  <r>
    <x v="4"/>
    <s v="Pesos"/>
    <d v="2026-09-17T00:00:00"/>
    <s v="14/05/2026"/>
    <n v="0.89773243000000003"/>
    <m/>
    <n v="10000000"/>
    <n v="8977324.3200000003"/>
    <n v="10000000"/>
    <n v="8977324.3200000003"/>
    <n v="327"/>
    <s v="AMOMPY"/>
    <s v="Momentum Capital Investment S.A."/>
    <s v="14/05/2026"/>
    <s v="14/05/2026"/>
    <n v="33"/>
    <s v="No"/>
    <s v=""/>
    <m/>
    <m/>
    <s v="*MAV150901500"/>
    <s v="*MAV150901500"/>
    <n v="2.3660674630188465E-4"/>
  </r>
  <r>
    <x v="72"/>
    <s v="Pesos"/>
    <d v="2026-09-17T00:00:00"/>
    <s v="14/05/2026"/>
    <n v="0.90052306000000004"/>
    <m/>
    <n v="3243208.42"/>
    <n v="2920583.98"/>
    <n v="3243208.42"/>
    <n v="2920583.98"/>
    <n v="143911"/>
    <s v="AMOMPY"/>
    <s v="Momentum Capital Investment S.A."/>
    <s v="17/04/2026"/>
    <s v="17/04/2026"/>
    <n v="32"/>
    <s v="No"/>
    <s v=""/>
    <m/>
    <m/>
    <s v="*AFB150900012"/>
    <s v="*AFB150900012"/>
    <n v="7.6975037124336456E-5"/>
  </r>
  <r>
    <x v="78"/>
    <s v="Pesos"/>
    <d v="2026-09-18T00:00:00"/>
    <s v="14/05/2026"/>
    <n v="0.90263870999999996"/>
    <m/>
    <n v="3000000"/>
    <n v="2707916.14"/>
    <n v="3000000"/>
    <n v="2707916.14"/>
    <n v="90003467"/>
    <s v="AMOMPY"/>
    <s v="Momentum Capital Investment S.A."/>
    <s v="22/04/2026"/>
    <s v="22/04/2026"/>
    <n v="31"/>
    <s v="No"/>
    <s v=""/>
    <m/>
    <m/>
    <s v="*INP160900050"/>
    <s v="*INP160900050"/>
    <n v="7.1369954376757867E-5"/>
  </r>
  <r>
    <x v="91"/>
    <s v="Pesos"/>
    <d v="2026-09-18T00:00:00"/>
    <s v="14/05/2026"/>
    <n v="0.91703948000000002"/>
    <m/>
    <n v="92806889.260000005"/>
    <n v="85107581.680000007"/>
    <n v="92806889.260000005"/>
    <n v="85107581.680000007"/>
    <n v="568306"/>
    <s v="AMOMPY"/>
    <s v="Momentum Capital Investment S.A."/>
    <s v="24/04/2026"/>
    <s v="24/04/2026"/>
    <n v="26"/>
    <s v="No"/>
    <s v=""/>
    <m/>
    <m/>
    <s v="*MAV160901237"/>
    <s v="*MAV160901237"/>
    <n v="2.243099087114933E-3"/>
  </r>
  <r>
    <x v="91"/>
    <s v="Pesos"/>
    <d v="2026-09-18T00:00:00"/>
    <s v="14/05/2026"/>
    <n v="0.91703948000000002"/>
    <m/>
    <n v="20411147.440000001"/>
    <n v="18717828.079999998"/>
    <n v="20411147.440000001"/>
    <n v="18717828.079999998"/>
    <n v="568296"/>
    <s v="AMOMPY"/>
    <s v="Momentum Capital Investment S.A."/>
    <s v="24/04/2026"/>
    <s v="24/04/2026"/>
    <n v="26"/>
    <s v="No"/>
    <s v=""/>
    <m/>
    <m/>
    <s v="*MAV160901238"/>
    <s v="*MAV160901238"/>
    <n v="4.9332788278354776E-4"/>
  </r>
  <r>
    <x v="91"/>
    <s v="Pesos"/>
    <d v="2026-09-18T00:00:00"/>
    <s v="14/05/2026"/>
    <n v="0.91703948000000002"/>
    <m/>
    <n v="68728608.280000001"/>
    <n v="63026847.359999999"/>
    <n v="68728608.280000001"/>
    <n v="63026847.359999999"/>
    <n v="568281"/>
    <s v="AMOMPY"/>
    <s v="Momentum Capital Investment S.A."/>
    <s v="24/04/2026"/>
    <s v="24/04/2026"/>
    <n v="26"/>
    <s v="No"/>
    <s v=""/>
    <m/>
    <m/>
    <s v="*MAV160901239"/>
    <s v="*MAV160901239"/>
    <n v="1.6611383026780442E-3"/>
  </r>
  <r>
    <x v="91"/>
    <s v="Pesos"/>
    <d v="2026-09-18T00:00:00"/>
    <s v="14/05/2026"/>
    <n v="0.91703948000000002"/>
    <m/>
    <n v="6875275.0899999999"/>
    <n v="6304898.71"/>
    <n v="6875275.0899999999"/>
    <n v="6304898.71"/>
    <n v="568310"/>
    <s v="AMOMPY"/>
    <s v="Momentum Capital Investment S.A."/>
    <s v="24/04/2026"/>
    <s v="24/04/2026"/>
    <n v="26"/>
    <s v="No"/>
    <s v=""/>
    <m/>
    <m/>
    <s v="*MAV160901240"/>
    <s v="*MAV160901240"/>
    <n v="1.6617218186187237E-4"/>
  </r>
  <r>
    <x v="91"/>
    <s v="Pesos"/>
    <d v="2026-09-18T00:00:00"/>
    <s v="14/05/2026"/>
    <n v="0.91703948000000002"/>
    <m/>
    <n v="6937722.3200000003"/>
    <n v="6362165.2800000003"/>
    <n v="6937722.3200000003"/>
    <n v="6362165.2800000003"/>
    <n v="568313"/>
    <s v="AMOMPY"/>
    <s v="Momentum Capital Investment S.A."/>
    <s v="24/04/2026"/>
    <s v="24/04/2026"/>
    <n v="26"/>
    <s v="No"/>
    <s v=""/>
    <m/>
    <m/>
    <s v="*MAV160901241"/>
    <s v="*MAV160901241"/>
    <n v="1.6768150204643815E-4"/>
  </r>
  <r>
    <x v="91"/>
    <s v="Pesos"/>
    <d v="2026-09-18T00:00:00"/>
    <s v="14/05/2026"/>
    <n v="0.91703948000000002"/>
    <m/>
    <n v="3090146.07"/>
    <n v="2833785.95"/>
    <n v="3090146.07"/>
    <n v="2833785.95"/>
    <n v="568383"/>
    <s v="AMOMPY"/>
    <s v="Momentum Capital Investment S.A."/>
    <s v="24/04/2026"/>
    <s v="24/04/2026"/>
    <n v="26"/>
    <s v="No"/>
    <s v=""/>
    <m/>
    <m/>
    <s v="*MAV160901242"/>
    <s v="*MAV160901242"/>
    <n v="7.4687384508516361E-5"/>
  </r>
  <r>
    <x v="91"/>
    <s v="Pesos"/>
    <d v="2026-09-18T00:00:00"/>
    <s v="14/05/2026"/>
    <n v="0.91703948000000002"/>
    <m/>
    <n v="7075968.3200000003"/>
    <n v="6488942.3200000003"/>
    <n v="7075968.3200000003"/>
    <n v="6488942.3200000003"/>
    <n v="568319"/>
    <s v="AMOMPY"/>
    <s v="Momentum Capital Investment S.A."/>
    <s v="24/04/2026"/>
    <s v="24/04/2026"/>
    <n v="26"/>
    <s v="No"/>
    <s v=""/>
    <m/>
    <m/>
    <s v="*MAV160901244"/>
    <s v="*MAV160901244"/>
    <n v="1.7102284317113798E-4"/>
  </r>
  <r>
    <x v="91"/>
    <s v="Pesos"/>
    <d v="2026-09-18T00:00:00"/>
    <s v="14/05/2026"/>
    <n v="0.91703948000000002"/>
    <m/>
    <n v="11809132.970000001"/>
    <n v="10829441.189999999"/>
    <n v="11809132.970000001"/>
    <n v="10829441.189999999"/>
    <n v="568322"/>
    <s v="AMOMPY"/>
    <s v="Momentum Capital Investment S.A."/>
    <s v="24/04/2026"/>
    <s v="24/04/2026"/>
    <n v="26"/>
    <s v="No"/>
    <s v=""/>
    <m/>
    <m/>
    <s v="*MAV160901245"/>
    <s v="*MAV160901245"/>
    <n v="2.8542121827158294E-4"/>
  </r>
  <r>
    <x v="91"/>
    <s v="Pesos"/>
    <d v="2026-09-18T00:00:00"/>
    <s v="14/05/2026"/>
    <n v="0.91703948000000002"/>
    <m/>
    <n v="31694713.280000001"/>
    <n v="29065303.460000001"/>
    <n v="31694713.280000001"/>
    <n v="29065303.460000001"/>
    <n v="568350"/>
    <s v="AMOMPY"/>
    <s v="Momentum Capital Investment S.A."/>
    <s v="24/04/2026"/>
    <s v="24/04/2026"/>
    <n v="26"/>
    <s v="No"/>
    <s v=""/>
    <m/>
    <m/>
    <s v="*MAV160901243"/>
    <s v="*MAV160901243"/>
    <n v="7.6604638941545002E-4"/>
  </r>
  <r>
    <x v="91"/>
    <s v="Pesos"/>
    <d v="2026-09-18T00:00:00"/>
    <s v="14/05/2026"/>
    <n v="0.91703948000000002"/>
    <m/>
    <n v="20011620.16"/>
    <n v="18351445.789999999"/>
    <n v="20011620.16"/>
    <n v="18351445.789999999"/>
    <n v="568324"/>
    <s v="AMOMPY"/>
    <s v="Momentum Capital Investment S.A."/>
    <s v="24/04/2026"/>
    <s v="24/04/2026"/>
    <n v="26"/>
    <s v="No"/>
    <s v=""/>
    <m/>
    <m/>
    <s v="*MAV160901246"/>
    <s v="*MAV160901246"/>
    <n v="4.8367149537350331E-4"/>
  </r>
  <r>
    <x v="91"/>
    <s v="Pesos"/>
    <d v="2026-09-18T00:00:00"/>
    <s v="14/05/2026"/>
    <n v="0.91703948000000002"/>
    <m/>
    <n v="34118781"/>
    <n v="31288269.260000002"/>
    <n v="34118781"/>
    <n v="31288269.260000002"/>
    <n v="568355"/>
    <s v="AMOMPY"/>
    <s v="Momentum Capital Investment S.A."/>
    <s v="24/04/2026"/>
    <s v="24/04/2026"/>
    <n v="26"/>
    <s v="No"/>
    <s v=""/>
    <m/>
    <m/>
    <s v="*MAV160901247"/>
    <s v="*MAV160901247"/>
    <n v="8.2463497175134658E-4"/>
  </r>
  <r>
    <x v="9"/>
    <s v="Pesos"/>
    <d v="2026-09-18T00:00:00"/>
    <s v="14/05/2026"/>
    <n v="0.91122446000000001"/>
    <m/>
    <n v="10000000"/>
    <n v="9112244.6199999992"/>
    <n v="10000000"/>
    <n v="9112244.6199999992"/>
    <n v="360565"/>
    <s v="AMOMPY"/>
    <s v="Momentum Capital Investment S.A."/>
    <s v="21/04/2026"/>
    <s v="21/04/2026"/>
    <n v="28"/>
    <s v="No"/>
    <s v=""/>
    <m/>
    <m/>
    <s v="*MOV160900067"/>
    <s v="*MOV160900067"/>
    <n v="2.401627115377573E-4"/>
  </r>
  <r>
    <x v="91"/>
    <s v="Pesos"/>
    <d v="2026-09-18T00:00:00"/>
    <s v="14/05/2026"/>
    <n v="0.91703948000000002"/>
    <m/>
    <n v="215007207.40000001"/>
    <n v="197170098.16"/>
    <n v="215007207.40000001"/>
    <n v="197170098.16"/>
    <n v="568286"/>
    <s v="AMOMPY"/>
    <s v="Momentum Capital Investment S.A."/>
    <s v="24/04/2026"/>
    <s v="24/04/2026"/>
    <n v="26"/>
    <s v="No"/>
    <s v=""/>
    <m/>
    <m/>
    <s v="*MAV160901235"/>
    <s v="*MAV160901235"/>
    <n v="5.1966235963791952E-3"/>
  </r>
  <r>
    <x v="91"/>
    <s v="Pesos"/>
    <d v="2026-09-18T00:00:00"/>
    <s v="14/05/2026"/>
    <n v="0.91703948000000002"/>
    <m/>
    <n v="29857329.09"/>
    <n v="27380349.609999999"/>
    <n v="29857329.09"/>
    <n v="27380349.609999999"/>
    <n v="568285"/>
    <s v="AMOMPY"/>
    <s v="Momentum Capital Investment S.A."/>
    <s v="24/04/2026"/>
    <s v="24/04/2026"/>
    <n v="26"/>
    <s v="No"/>
    <s v=""/>
    <m/>
    <m/>
    <s v="*MAV160901236"/>
    <s v="*MAV160901236"/>
    <n v="7.2163767319817365E-4"/>
  </r>
  <r>
    <x v="105"/>
    <s v="Pesos"/>
    <d v="2026-09-21T00:00:00"/>
    <s v="14/05/2026"/>
    <n v="0.88079174999999998"/>
    <m/>
    <n v="4463318.82"/>
    <n v="3931254.38"/>
    <n v="4463318.82"/>
    <n v="3931254.38"/>
    <n v="347"/>
    <s v="AMOMPY"/>
    <s v="Momentum Capital Investment S.A."/>
    <s v="17/04/2026"/>
    <s v="17/04/2026"/>
    <n v="38"/>
    <s v="No"/>
    <s v=""/>
    <m/>
    <m/>
    <s v="*MAV170901008"/>
    <s v="*MAV170901008"/>
    <n v="1.0361230970174339E-4"/>
  </r>
  <r>
    <x v="105"/>
    <s v="Pesos"/>
    <d v="2026-09-21T00:00:00"/>
    <s v="14/05/2026"/>
    <n v="0.88079160000000001"/>
    <m/>
    <n v="4500000"/>
    <n v="3963562.19"/>
    <n v="4500000"/>
    <n v="3963562.19"/>
    <n v="559"/>
    <s v="AMOMPY"/>
    <s v="Momentum Capital Investment S.A."/>
    <s v="22/04/2026"/>
    <s v="22/04/2026"/>
    <n v="38"/>
    <s v="No"/>
    <s v=""/>
    <m/>
    <m/>
    <s v="*MAV170901010"/>
    <s v="*MAV170901010"/>
    <n v="1.044638157331351E-4"/>
  </r>
  <r>
    <x v="94"/>
    <s v="Pesos"/>
    <d v="2026-09-22T00:00:00"/>
    <s v="14/05/2026"/>
    <n v="0.90572969000000003"/>
    <m/>
    <n v="25000000"/>
    <n v="22643242.210000001"/>
    <n v="25000000"/>
    <n v="22643242.210000001"/>
    <n v="66410159"/>
    <s v="AMOMPY"/>
    <s v="Momentum Capital Investment S.A."/>
    <s v="22/04/2026"/>
    <s v="22/04/2026"/>
    <n v="29"/>
    <s v="No"/>
    <s v=""/>
    <m/>
    <m/>
    <s v="*FID180900021"/>
    <s v="*FID180900021"/>
    <n v="5.9678626660483584E-4"/>
  </r>
  <r>
    <x v="78"/>
    <s v="Pesos"/>
    <d v="2026-09-23T00:00:00"/>
    <s v="14/05/2026"/>
    <n v="0.89919214000000003"/>
    <m/>
    <n v="3000000"/>
    <n v="2697576.43"/>
    <n v="3000000"/>
    <n v="2697576.43"/>
    <n v="90003468"/>
    <s v="AMOMPY"/>
    <s v="Momentum Capital Investment S.A."/>
    <s v="22/04/2026"/>
    <s v="22/04/2026"/>
    <n v="31"/>
    <s v="No"/>
    <s v=""/>
    <m/>
    <m/>
    <s v="*INP210900041"/>
    <s v="*INP210900041"/>
    <n v="7.1097440534815577E-5"/>
  </r>
  <r>
    <x v="9"/>
    <s v="Pesos"/>
    <d v="2026-09-23T00:00:00"/>
    <s v="14/05/2026"/>
    <n v="0.90805066000000001"/>
    <m/>
    <n v="10000000"/>
    <n v="9080506.5700000003"/>
    <n v="10000000"/>
    <n v="9080506.5700000003"/>
    <n v="360566"/>
    <s v="AMOMPY"/>
    <s v="Momentum Capital Investment S.A."/>
    <s v="21/04/2026"/>
    <s v="21/04/2026"/>
    <n v="28"/>
    <s v="No"/>
    <s v=""/>
    <m/>
    <m/>
    <s v="*MOV210900051"/>
    <s v="*MOV210900051"/>
    <n v="2.3932622212545696E-4"/>
  </r>
  <r>
    <x v="65"/>
    <s v="Pesos"/>
    <d v="2026-09-23T00:00:00"/>
    <s v="14/05/2026"/>
    <n v="0.90212561000000002"/>
    <m/>
    <n v="6000000"/>
    <n v="5412753.6500000004"/>
    <n v="6000000"/>
    <n v="5412753.6500000004"/>
    <n v="10926497"/>
    <s v="AMOMPY"/>
    <s v="Momentum Capital Investment S.A."/>
    <s v="20/04/2026"/>
    <s v="20/04/2026"/>
    <n v="30"/>
    <s v="No"/>
    <s v=""/>
    <m/>
    <m/>
    <s v="*NEU210900016"/>
    <s v="*NEU210900016"/>
    <n v="1.4265876824868352E-4"/>
  </r>
  <r>
    <x v="65"/>
    <s v="Pesos"/>
    <d v="2026-09-23T00:00:00"/>
    <s v="14/05/2026"/>
    <n v="0.90805062999999997"/>
    <m/>
    <n v="10000000"/>
    <n v="9080506.3300000001"/>
    <n v="10000000"/>
    <n v="9080506.3300000001"/>
    <n v="3487823"/>
    <s v="AMOMPY"/>
    <s v="Momentum Capital Investment S.A."/>
    <s v="05/05/2026"/>
    <s v="05/05/2026"/>
    <n v="28"/>
    <s v="No"/>
    <s v=""/>
    <m/>
    <m/>
    <s v="*NEU190900025"/>
    <s v="*NEU190900025"/>
    <n v="2.3932621580000663E-4"/>
  </r>
  <r>
    <x v="78"/>
    <s v="Pesos"/>
    <d v="2026-09-25T00:00:00"/>
    <s v="14/05/2026"/>
    <n v="0.89782068999999998"/>
    <m/>
    <n v="3000000"/>
    <n v="2693462.08"/>
    <n v="3000000"/>
    <n v="2693462.08"/>
    <n v="90003469"/>
    <s v="AMOMPY"/>
    <s v="Momentum Capital Investment S.A."/>
    <s v="22/04/2026"/>
    <s v="22/04/2026"/>
    <n v="31"/>
    <s v="No"/>
    <s v=""/>
    <m/>
    <m/>
    <s v="*INP230900060"/>
    <s v="*INP230900060"/>
    <n v="7.0989002549069822E-5"/>
  </r>
  <r>
    <x v="61"/>
    <s v="Pesos"/>
    <d v="2026-09-29T00:00:00"/>
    <s v="14/05/2026"/>
    <n v="0.87437719999999997"/>
    <m/>
    <n v="6899161.7699999996"/>
    <n v="6032469.7300000004"/>
    <n v="6899161.7699999996"/>
    <n v="6032469.7300000004"/>
    <n v="65964605"/>
    <s v="AMOMPY"/>
    <s v="Momentum Capital Investment S.A."/>
    <s v="22/04/2026"/>
    <s v="22/04/2026"/>
    <n v="38"/>
    <s v="No"/>
    <s v=""/>
    <m/>
    <m/>
    <s v="*MAV250901124"/>
    <s v="*MAV250901124"/>
    <n v="1.5899203193540286E-4"/>
  </r>
  <r>
    <x v="9"/>
    <s v="Pesos"/>
    <d v="2026-09-29T00:00:00"/>
    <s v="14/05/2026"/>
    <n v="0.90427131000000005"/>
    <m/>
    <n v="10000000"/>
    <n v="9042713.0899999999"/>
    <n v="10000000"/>
    <n v="9042713.0899999999"/>
    <n v="360567"/>
    <s v="AMOMPY"/>
    <s v="Momentum Capital Investment S.A."/>
    <s v="21/04/2026"/>
    <s v="21/04/2026"/>
    <n v="28"/>
    <s v="No"/>
    <s v=""/>
    <m/>
    <m/>
    <s v="*MOV250900071"/>
    <s v="*MOV250900071"/>
    <n v="2.3833013553935649E-4"/>
  </r>
  <r>
    <x v="106"/>
    <s v="Pesos"/>
    <d v="2026-09-30T00:00:00"/>
    <s v="14/05/2026"/>
    <n v="0.87358214999999995"/>
    <m/>
    <n v="4500591.28"/>
    <n v="3931636.2"/>
    <n v="4500591.28"/>
    <n v="3931636.2"/>
    <n v="90000179"/>
    <s v="AMOMPY"/>
    <s v="Momentum Capital Investment S.A."/>
    <s v="22/04/2026"/>
    <s v="22/04/2026"/>
    <n v="38"/>
    <s v="No"/>
    <s v=""/>
    <m/>
    <m/>
    <s v="*MAV260901222"/>
    <s v="*MAV260901222"/>
    <n v="1.0362237296610287E-4"/>
  </r>
  <r>
    <x v="72"/>
    <s v="Pesos"/>
    <d v="2026-09-30T00:00:00"/>
    <s v="14/05/2026"/>
    <n v="0.89746760999999997"/>
    <m/>
    <n v="50000000"/>
    <n v="44873380.390000001"/>
    <n v="50000000"/>
    <n v="44873380.390000001"/>
    <n v="787"/>
    <s v="AMOMPY"/>
    <s v="Momentum Capital Investment S.A."/>
    <s v="22/04/2026"/>
    <s v="22/04/2026"/>
    <n v="30"/>
    <s v="No"/>
    <s v=""/>
    <m/>
    <m/>
    <s v="*AFB280900003"/>
    <s v="*AFB280900003"/>
    <n v="1.1826847456085552E-3"/>
  </r>
  <r>
    <x v="94"/>
    <s v="Pesos"/>
    <d v="2026-09-30T00:00:00"/>
    <s v="14/05/2026"/>
    <n v="0.90364429999999996"/>
    <m/>
    <n v="35000000"/>
    <n v="31627550.550000001"/>
    <n v="35000000"/>
    <n v="31627550.550000001"/>
    <n v="3329633"/>
    <s v="AMOMPY"/>
    <s v="Momentum Capital Investment S.A."/>
    <s v="30/04/2026"/>
    <s v="30/04/2026"/>
    <n v="28"/>
    <s v="No"/>
    <s v=""/>
    <m/>
    <m/>
    <s v="*FID260900031"/>
    <s v="*FID260900031"/>
    <n v="8.3357708403854148E-4"/>
  </r>
  <r>
    <x v="65"/>
    <s v="Pesos"/>
    <d v="2026-09-30T00:00:00"/>
    <s v="14/05/2026"/>
    <n v="0.90054535999999996"/>
    <m/>
    <n v="10000000"/>
    <n v="9005453.6099999994"/>
    <n v="10000000"/>
    <n v="9005453.6099999994"/>
    <n v="3487824"/>
    <s v="AMOMPY"/>
    <s v="Momentum Capital Investment S.A."/>
    <s v="05/05/2026"/>
    <s v="05/05/2026"/>
    <n v="29"/>
    <s v="No"/>
    <s v=""/>
    <m/>
    <m/>
    <s v="*NEU260900020"/>
    <s v="*NEU260900020"/>
    <n v="2.3734812308024773E-4"/>
  </r>
  <r>
    <x v="32"/>
    <s v="Pesos"/>
    <d v="2026-10-02T00:00:00"/>
    <s v="14/05/2026"/>
    <n v="0.89305391000000001"/>
    <m/>
    <n v="16500000"/>
    <n v="14735389.539999999"/>
    <n v="16500000"/>
    <n v="14735389.539999999"/>
    <n v="28675"/>
    <s v="AMOMPY"/>
    <s v="Momentum Capital Investment S.A."/>
    <s v="27/04/2026"/>
    <s v="27/04/2026"/>
    <n v="31"/>
    <s v="No"/>
    <s v=""/>
    <m/>
    <m/>
    <s v="*MAV300901858"/>
    <s v="*MAV300901858"/>
    <n v="3.8836656115708035E-4"/>
  </r>
  <r>
    <x v="9"/>
    <s v="Pesos"/>
    <d v="2026-10-02T00:00:00"/>
    <s v="14/05/2026"/>
    <n v="0.90239320999999995"/>
    <m/>
    <n v="15000000"/>
    <n v="13535898.130000001"/>
    <n v="15000000"/>
    <n v="13535898.130000001"/>
    <n v="360568"/>
    <s v="AMOMPY"/>
    <s v="Momentum Capital Investment S.A."/>
    <s v="21/04/2026"/>
    <s v="21/04/2026"/>
    <n v="28"/>
    <s v="No"/>
    <s v=""/>
    <m/>
    <m/>
    <s v="*MOV300900114"/>
    <s v="*MOV300900114"/>
    <n v="3.5675271391031411E-4"/>
  </r>
  <r>
    <x v="65"/>
    <s v="Pesos"/>
    <d v="2026-10-02T00:00:00"/>
    <s v="14/05/2026"/>
    <n v="0.88693429999999995"/>
    <m/>
    <n v="21387500"/>
    <n v="18969307.34"/>
    <n v="21387500"/>
    <n v="18969307.34"/>
    <n v="3233105"/>
    <s v="AMOMPY"/>
    <s v="Momentum Capital Investment S.A."/>
    <s v="20/04/2026"/>
    <s v="20/04/2026"/>
    <n v="33"/>
    <s v="No"/>
    <s v=""/>
    <m/>
    <m/>
    <s v="*NEU300900058"/>
    <s v="*NEU300900058"/>
    <n v="4.9995588098769486E-4"/>
  </r>
  <r>
    <x v="65"/>
    <s v="Pesos"/>
    <d v="2026-10-02T00:00:00"/>
    <s v="14/05/2026"/>
    <n v="0.89925862000000001"/>
    <m/>
    <n v="10000000"/>
    <n v="8992586.1999999993"/>
    <n v="10000000"/>
    <n v="8992586.1999999993"/>
    <n v="3487825"/>
    <s v="AMOMPY"/>
    <s v="Momentum Capital Investment S.A."/>
    <s v="05/05/2026"/>
    <s v="05/05/2026"/>
    <n v="29"/>
    <s v="No"/>
    <s v=""/>
    <m/>
    <m/>
    <s v="*NEU300900061"/>
    <s v="*NEU300900061"/>
    <n v="2.3700898906827382E-4"/>
  </r>
  <r>
    <x v="146"/>
    <s v="Pesos"/>
    <d v="2026-10-05T00:00:00"/>
    <s v="14/05/2026"/>
    <n v="0.86962739"/>
    <m/>
    <n v="6500236.5700000003"/>
    <n v="5652783.75"/>
    <n v="6500236.5700000003"/>
    <n v="5652783.75"/>
    <n v="90000580"/>
    <s v="AMOMPY"/>
    <s v="Momentum Capital Investment S.A."/>
    <s v="24/04/2026"/>
    <s v="24/04/2026"/>
    <n v="38"/>
    <s v="No"/>
    <s v=""/>
    <m/>
    <m/>
    <s v="*MAV011001000"/>
    <s v="*MAV011001000"/>
    <n v="1.4898501189892024E-4"/>
  </r>
  <r>
    <x v="151"/>
    <s v="Pesos"/>
    <d v="2026-10-05T00:00:00"/>
    <s v="14/05/2026"/>
    <n v="0.86370093999999997"/>
    <m/>
    <n v="7203888"/>
    <n v="6222004.8200000003"/>
    <n v="7203888"/>
    <n v="6222004.8200000003"/>
    <n v="66329827"/>
    <s v="AMOMPY"/>
    <s v="Momentum Capital Investment S.A."/>
    <s v="17/04/2026"/>
    <s v="17/04/2026"/>
    <n v="40"/>
    <s v="No"/>
    <s v=""/>
    <m/>
    <m/>
    <s v="*MAV011000998"/>
    <s v="*MAV011000998"/>
    <n v="1.6398742692798733E-4"/>
  </r>
  <r>
    <x v="9"/>
    <s v="Pesos"/>
    <d v="2026-10-06T00:00:00"/>
    <s v="14/05/2026"/>
    <n v="0.89990143"/>
    <m/>
    <n v="2500000"/>
    <n v="2249753.56"/>
    <n v="2500000"/>
    <n v="2249753.56"/>
    <n v="90031811"/>
    <s v="AMOMPY"/>
    <s v="Momentum Capital Investment S.A."/>
    <s v="22/04/2026"/>
    <s v="22/04/2026"/>
    <n v="28"/>
    <s v="No"/>
    <s v=""/>
    <m/>
    <m/>
    <s v="*MOV021000044"/>
    <s v="*MOV021000044"/>
    <n v="5.9294601691819224E-5"/>
  </r>
  <r>
    <x v="9"/>
    <s v="Pesos"/>
    <d v="2026-10-06T00:00:00"/>
    <s v="14/05/2026"/>
    <n v="0.89990157000000004"/>
    <m/>
    <n v="25000000"/>
    <n v="22497539.260000002"/>
    <n v="25000000"/>
    <n v="22497539.260000002"/>
    <n v="360569"/>
    <s v="AMOMPY"/>
    <s v="Momentum Capital Investment S.A."/>
    <s v="21/04/2026"/>
    <s v="21/04/2026"/>
    <n v="28"/>
    <s v="No"/>
    <s v=""/>
    <m/>
    <m/>
    <s v="*MOV021000043"/>
    <s v="*MOV021000043"/>
    <n v="5.9294611338130978E-4"/>
  </r>
  <r>
    <x v="151"/>
    <s v="Pesos"/>
    <d v="2026-10-07T00:00:00"/>
    <s v="14/05/2026"/>
    <n v="0.86206912000000002"/>
    <m/>
    <n v="7900000"/>
    <n v="6810346.0300000003"/>
    <n v="7900000"/>
    <n v="6810346.0300000003"/>
    <n v="877"/>
    <s v="AMOMPY"/>
    <s v="Momentum Capital Investment S.A."/>
    <s v="17/04/2026"/>
    <s v="17/04/2026"/>
    <n v="40"/>
    <s v="No"/>
    <s v=""/>
    <m/>
    <m/>
    <s v="*MAV051000898"/>
    <s v="*MAV051000898"/>
    <n v="1.7949377319012325E-4"/>
  </r>
  <r>
    <x v="151"/>
    <s v="Pesos"/>
    <d v="2026-10-07T00:00:00"/>
    <s v="14/05/2026"/>
    <n v="0.86206912000000002"/>
    <m/>
    <n v="7203888"/>
    <n v="6210249.3700000001"/>
    <n v="7203888"/>
    <n v="6210249.3700000001"/>
    <n v="66329877"/>
    <s v="AMOMPY"/>
    <s v="Momentum Capital Investment S.A."/>
    <s v="17/04/2026"/>
    <s v="17/04/2026"/>
    <n v="40"/>
    <s v="No"/>
    <s v=""/>
    <m/>
    <m/>
    <s v="*MAV051000897"/>
    <s v="*MAV051000897"/>
    <n v="1.6367759978164954E-4"/>
  </r>
  <r>
    <x v="9"/>
    <s v="Pesos"/>
    <d v="2026-10-07T00:00:00"/>
    <s v="14/05/2026"/>
    <n v="0.89928076999999995"/>
    <m/>
    <n v="2500000"/>
    <n v="2248201.92"/>
    <n v="2500000"/>
    <n v="2248201.92"/>
    <n v="90031812"/>
    <s v="AMOMPY"/>
    <s v="Momentum Capital Investment S.A."/>
    <s v="22/04/2026"/>
    <s v="22/04/2026"/>
    <n v="28"/>
    <s v="No"/>
    <s v=""/>
    <m/>
    <m/>
    <s v="*MOV051000047"/>
    <s v="*MOV051000047"/>
    <n v="5.9253706601172447E-5"/>
  </r>
  <r>
    <x v="152"/>
    <s v="Pesos"/>
    <d v="2026-10-08T00:00:00"/>
    <s v="14/05/2026"/>
    <n v="0.86425320000000005"/>
    <m/>
    <n v="3750000"/>
    <n v="3240949.52"/>
    <n v="3750000"/>
    <n v="3240949.52"/>
    <n v="66919994"/>
    <s v="AMOMPY"/>
    <s v="Momentum Capital Investment S.A."/>
    <s v="13/05/2026"/>
    <s v="13/05/2026"/>
    <n v="39"/>
    <s v="No"/>
    <s v=""/>
    <m/>
    <m/>
    <s v="*MAV061001207"/>
    <s v="*MAV061001207"/>
    <n v="8.5418605090102712E-5"/>
  </r>
  <r>
    <x v="151"/>
    <s v="Pesos"/>
    <d v="2026-10-08T00:00:00"/>
    <s v="14/05/2026"/>
    <n v="0.86125538999999995"/>
    <m/>
    <n v="7900000"/>
    <n v="6803917.5800000001"/>
    <n v="7900000"/>
    <n v="6803917.5800000001"/>
    <n v="15"/>
    <s v="AMOMPY"/>
    <s v="Momentum Capital Investment S.A."/>
    <s v="17/04/2026"/>
    <s v="17/04/2026"/>
    <n v="40"/>
    <s v="No"/>
    <s v=""/>
    <m/>
    <m/>
    <s v="*MAV061001203"/>
    <s v="*MAV061001203"/>
    <n v="1.7932434468514256E-4"/>
  </r>
  <r>
    <x v="151"/>
    <s v="Pesos"/>
    <d v="2026-10-08T00:00:00"/>
    <s v="14/05/2026"/>
    <n v="0.86125538999999995"/>
    <m/>
    <n v="7203888"/>
    <n v="6204387.3899999997"/>
    <n v="7203888"/>
    <n v="6204387.3899999997"/>
    <n v="876"/>
    <s v="AMOMPY"/>
    <s v="Momentum Capital Investment S.A."/>
    <s v="17/04/2026"/>
    <s v="17/04/2026"/>
    <n v="40"/>
    <s v="No"/>
    <s v=""/>
    <m/>
    <m/>
    <s v="*MAV061001204"/>
    <s v="*MAV061001204"/>
    <n v="1.6352310118437853E-4"/>
  </r>
  <r>
    <x v="9"/>
    <s v="Pesos"/>
    <d v="2026-10-09T00:00:00"/>
    <s v="14/05/2026"/>
    <n v="0.89804161000000005"/>
    <m/>
    <n v="2500000"/>
    <n v="2245104.0299999998"/>
    <n v="2500000"/>
    <n v="2245104.0299999998"/>
    <n v="90031813"/>
    <s v="AMOMPY"/>
    <s v="Momentum Capital Investment S.A."/>
    <s v="22/04/2026"/>
    <s v="22/04/2026"/>
    <n v="28"/>
    <s v="No"/>
    <s v=""/>
    <m/>
    <m/>
    <s v="*MOV071000055"/>
    <s v="*MOV071000055"/>
    <n v="5.9172058478950972E-5"/>
  </r>
  <r>
    <x v="152"/>
    <s v="Pesos"/>
    <d v="2026-10-13T00:00:00"/>
    <s v="14/05/2026"/>
    <n v="0.86028097000000003"/>
    <m/>
    <n v="3750000"/>
    <n v="3226053.64"/>
    <n v="3750000"/>
    <n v="3226053.64"/>
    <n v="66920072"/>
    <s v="AMOMPY"/>
    <s v="Momentum Capital Investment S.A."/>
    <s v="13/05/2026"/>
    <s v="13/05/2026"/>
    <n v="39"/>
    <s v="No"/>
    <s v=""/>
    <m/>
    <m/>
    <s v="*MAV081001027"/>
    <s v="*MAV081001027"/>
    <n v="8.5026008635471863E-5"/>
  </r>
  <r>
    <x v="9"/>
    <s v="Pesos"/>
    <d v="2026-10-14T00:00:00"/>
    <s v="14/05/2026"/>
    <n v="0.89495880999999999"/>
    <m/>
    <n v="2500000"/>
    <n v="2237397.0299999998"/>
    <n v="2500000"/>
    <n v="2237397.0299999998"/>
    <n v="90031814"/>
    <s v="AMOMPY"/>
    <s v="Momentum Capital Investment S.A."/>
    <s v="22/04/2026"/>
    <s v="22/04/2026"/>
    <n v="28"/>
    <s v="No"/>
    <s v=""/>
    <m/>
    <m/>
    <s v="*MOV091000055"/>
    <s v="*MOV091000055"/>
    <n v="5.8968932455121568E-5"/>
  </r>
  <r>
    <x v="9"/>
    <s v="Pesos"/>
    <d v="2026-10-14T00:00:00"/>
    <s v="14/05/2026"/>
    <n v="0.89495895999999997"/>
    <m/>
    <n v="25000000"/>
    <n v="22373973.960000001"/>
    <n v="25000000"/>
    <n v="22373973.960000001"/>
    <n v="360570"/>
    <s v="AMOMPY"/>
    <s v="Momentum Capital Investment S.A."/>
    <s v="21/04/2026"/>
    <s v="21/04/2026"/>
    <n v="28"/>
    <s v="No"/>
    <s v=""/>
    <m/>
    <m/>
    <s v="*MOV091000054"/>
    <s v="*MOV091000054"/>
    <n v="5.8968942101433333E-4"/>
  </r>
  <r>
    <x v="9"/>
    <s v="Pesos"/>
    <d v="2026-10-15T00:00:00"/>
    <s v="14/05/2026"/>
    <n v="0.89434495000000003"/>
    <m/>
    <n v="2500000"/>
    <n v="2235862.37"/>
    <n v="2500000"/>
    <n v="2235862.37"/>
    <n v="90031815"/>
    <s v="AMOMPY"/>
    <s v="Momentum Capital Investment S.A."/>
    <s v="22/04/2026"/>
    <s v="22/04/2026"/>
    <n v="28"/>
    <s v="No"/>
    <s v=""/>
    <m/>
    <m/>
    <s v="*MOV131000083"/>
    <s v="*MOV131000083"/>
    <n v="5.892848489008589E-5"/>
  </r>
  <r>
    <x v="9"/>
    <s v="Pesos"/>
    <d v="2026-10-15T00:00:00"/>
    <s v="14/05/2026"/>
    <n v="0.8943449"/>
    <m/>
    <n v="25000000"/>
    <n v="22358622.460000001"/>
    <n v="25000000"/>
    <n v="22358622.460000001"/>
    <n v="360571"/>
    <s v="AMOMPY"/>
    <s v="Momentum Capital Investment S.A."/>
    <s v="21/04/2026"/>
    <s v="21/04/2026"/>
    <n v="28"/>
    <s v="No"/>
    <s v=""/>
    <m/>
    <m/>
    <s v="*MOV131000082"/>
    <s v="*MOV131000082"/>
    <n v="5.8928481621936546E-4"/>
  </r>
  <r>
    <x v="132"/>
    <s v="Dolar 3500"/>
    <d v="2026-10-16T00:00:00"/>
    <s v="14/05/2026"/>
    <n v="0.96714244000000005"/>
    <s v="1 US3 = 1393,2322905547 $"/>
    <n v="18230"/>
    <n v="17631.009999999998"/>
    <n v="25398624.66"/>
    <n v="24564092.449999999"/>
    <n v="146445"/>
    <s v="AMOMPY"/>
    <s v="Momentum Capital Investment S.A."/>
    <s v="17/04/2026"/>
    <s v="17/04/2026"/>
    <n v="8"/>
    <s v="No"/>
    <s v=""/>
    <m/>
    <m/>
    <s v="#UMV141060033"/>
    <s v="#UMV141060033"/>
    <n v="6.4741227823360964E-4"/>
  </r>
  <r>
    <x v="152"/>
    <s v="Pesos"/>
    <d v="2026-10-16T00:00:00"/>
    <s v="14/05/2026"/>
    <n v="0.85791521999999998"/>
    <m/>
    <n v="3750000"/>
    <n v="3217182.08"/>
    <n v="3750000"/>
    <n v="3217182.08"/>
    <n v="66920206"/>
    <s v="AMOMPY"/>
    <s v="Momentum Capital Investment S.A."/>
    <s v="13/05/2026"/>
    <s v="13/05/2026"/>
    <n v="39"/>
    <s v="No"/>
    <s v=""/>
    <m/>
    <m/>
    <s v="*MAV141001310"/>
    <s v="*MAV141001310"/>
    <n v="8.4792189418141637E-5"/>
  </r>
  <r>
    <x v="152"/>
    <s v="Pesos"/>
    <d v="2026-10-19T00:00:00"/>
    <s v="14/05/2026"/>
    <n v="0.85556244999999997"/>
    <m/>
    <n v="3750000"/>
    <n v="3208359.19"/>
    <n v="3750000"/>
    <n v="3208359.19"/>
    <n v="66917997"/>
    <s v="AMOMPY"/>
    <s v="Momentum Capital Investment S.A."/>
    <s v="13/05/2026"/>
    <s v="13/05/2026"/>
    <n v="39"/>
    <s v="No"/>
    <s v=""/>
    <m/>
    <m/>
    <s v="*MAV151001351"/>
    <s v="*MAV151001351"/>
    <n v="8.4559652949426937E-5"/>
  </r>
  <r>
    <x v="62"/>
    <s v="Pesos"/>
    <d v="2026-10-19T00:00:00"/>
    <s v="14/05/2026"/>
    <n v="0.86842754"/>
    <m/>
    <n v="1500000"/>
    <n v="1302641.31"/>
    <n v="1500000"/>
    <n v="1302641.31"/>
    <n v="4"/>
    <s v="AMOMPY"/>
    <s v="Momentum Capital Investment S.A."/>
    <s v="23/04/2026"/>
    <s v="23/04/2026"/>
    <n v="35"/>
    <s v="No"/>
    <s v=""/>
    <m/>
    <m/>
    <s v="*MAV151001338"/>
    <s v="*MAV151001338"/>
    <n v="3.433247045234573E-5"/>
  </r>
  <r>
    <x v="32"/>
    <s v="Pesos"/>
    <d v="2026-10-19T00:00:00"/>
    <s v="14/05/2026"/>
    <n v="0.88168511999999999"/>
    <m/>
    <n v="16500000"/>
    <n v="14547804.460000001"/>
    <n v="16500000"/>
    <n v="14547804.460000001"/>
    <n v="28676"/>
    <s v="AMOMPY"/>
    <s v="Momentum Capital Investment S.A."/>
    <s v="27/04/2026"/>
    <s v="27/04/2026"/>
    <n v="31"/>
    <s v="No"/>
    <s v=""/>
    <m/>
    <m/>
    <s v="*MAV151001343"/>
    <s v="*MAV151001343"/>
    <n v="3.834225607120147E-4"/>
  </r>
  <r>
    <x v="9"/>
    <s v="Pesos"/>
    <d v="2026-10-19T00:00:00"/>
    <s v="14/05/2026"/>
    <n v="0.89189731000000005"/>
    <m/>
    <n v="2500000"/>
    <n v="2229743.27"/>
    <n v="2500000"/>
    <n v="2229743.27"/>
    <n v="90031816"/>
    <s v="AMOMPY"/>
    <s v="Momentum Capital Investment S.A."/>
    <s v="22/04/2026"/>
    <s v="22/04/2026"/>
    <n v="28"/>
    <s v="No"/>
    <s v=""/>
    <m/>
    <m/>
    <s v="*MOV151000067"/>
    <s v="*MOV151000067"/>
    <n v="5.8767209627024447E-5"/>
  </r>
  <r>
    <x v="61"/>
    <s v="Pesos"/>
    <d v="2026-10-20T00:00:00"/>
    <s v="14/05/2026"/>
    <n v="0.85797575000000004"/>
    <m/>
    <n v="6899161.7699999996"/>
    <n v="5919313.5"/>
    <n v="6899161.7699999996"/>
    <n v="5919313.5"/>
    <n v="65964607"/>
    <s v="AMOMPY"/>
    <s v="Momentum Capital Investment S.A."/>
    <s v="22/04/2026"/>
    <s v="22/04/2026"/>
    <n v="38"/>
    <s v="No"/>
    <s v=""/>
    <m/>
    <m/>
    <s v="*MAV161001047"/>
    <s v="*MAV161001047"/>
    <n v="1.5600968146551499E-4"/>
  </r>
  <r>
    <x v="9"/>
    <s v="Pesos"/>
    <d v="2026-10-20T00:00:00"/>
    <s v="14/05/2026"/>
    <n v="0.89128744000000004"/>
    <m/>
    <n v="2500000"/>
    <n v="2228218.6"/>
    <n v="2500000"/>
    <n v="2228218.6"/>
    <n v="90031817"/>
    <s v="AMOMPY"/>
    <s v="Momentum Capital Investment S.A."/>
    <s v="22/04/2026"/>
    <s v="22/04/2026"/>
    <n v="28"/>
    <s v="No"/>
    <s v=""/>
    <m/>
    <m/>
    <s v="*MOV161000058"/>
    <s v="*MOV161000058"/>
    <n v="5.8727025358858888E-5"/>
  </r>
  <r>
    <x v="9"/>
    <s v="Pesos"/>
    <d v="2026-10-20T00:00:00"/>
    <s v="14/05/2026"/>
    <n v="0.89128739000000001"/>
    <m/>
    <n v="25000000"/>
    <n v="22282184.710000001"/>
    <n v="25000000"/>
    <n v="22282184.710000001"/>
    <n v="360572"/>
    <s v="AMOMPY"/>
    <s v="Momentum Capital Investment S.A."/>
    <s v="21/04/2026"/>
    <s v="21/04/2026"/>
    <n v="28"/>
    <s v="No"/>
    <s v=""/>
    <m/>
    <m/>
    <s v="*MOV161000057"/>
    <s v="*MOV161000057"/>
    <n v="5.8727021958929334E-4"/>
  </r>
  <r>
    <x v="106"/>
    <s v="Pesos"/>
    <d v="2026-10-21T00:00:00"/>
    <s v="14/05/2026"/>
    <n v="0.85720998999999998"/>
    <m/>
    <n v="7133529.1399999997"/>
    <n v="6114932.4699999997"/>
    <n v="7133529.1399999997"/>
    <n v="6114932.4699999997"/>
    <n v="90000170"/>
    <s v="AMOMPY"/>
    <s v="Momentum Capital Investment S.A."/>
    <s v="22/04/2026"/>
    <s v="22/04/2026"/>
    <n v="38"/>
    <s v="No"/>
    <s v=""/>
    <m/>
    <m/>
    <s v="*MAV171001314"/>
    <s v="*MAV171001314"/>
    <n v="1.6116542346132447E-4"/>
  </r>
  <r>
    <x v="9"/>
    <s v="Pesos"/>
    <d v="2026-10-21T00:00:00"/>
    <s v="14/05/2026"/>
    <n v="0.89067854999999996"/>
    <m/>
    <n v="25000000"/>
    <n v="22266963.670000002"/>
    <n v="25000000"/>
    <n v="22266963.670000002"/>
    <n v="360573"/>
    <s v="AMOMPY"/>
    <s v="Momentum Capital Investment S.A."/>
    <s v="21/04/2026"/>
    <s v="21/04/2026"/>
    <n v="28"/>
    <s v="No"/>
    <s v=""/>
    <m/>
    <m/>
    <s v="*MOV181000045"/>
    <s v="*MOV181000045"/>
    <n v="5.8686905320370257E-4"/>
  </r>
  <r>
    <x v="65"/>
    <s v="Pesos"/>
    <d v="2026-10-21T00:00:00"/>
    <s v="14/05/2026"/>
    <n v="0.88377731999999998"/>
    <m/>
    <n v="11923076.92"/>
    <n v="10537344.949999999"/>
    <n v="11923076.92"/>
    <n v="10537344.949999999"/>
    <n v="90021989"/>
    <s v="AMOMPY"/>
    <s v="Momentum Capital Investment S.A."/>
    <s v="11/05/2026"/>
    <s v="11/05/2026"/>
    <n v="30"/>
    <s v="No"/>
    <s v=""/>
    <m/>
    <m/>
    <s v="*NEU191000011"/>
    <s v="*NEU191000011"/>
    <n v="2.7772271719376796E-4"/>
  </r>
  <r>
    <x v="152"/>
    <s v="Pesos"/>
    <d v="2026-10-22T00:00:00"/>
    <s v="14/05/2026"/>
    <n v="0.85322255000000002"/>
    <m/>
    <n v="3750000"/>
    <n v="3199584.56"/>
    <n v="3750000"/>
    <n v="3199584.56"/>
    <n v="66918105"/>
    <s v="AMOMPY"/>
    <s v="Momentum Capital Investment S.A."/>
    <s v="13/05/2026"/>
    <s v="13/05/2026"/>
    <n v="39"/>
    <s v="No"/>
    <s v=""/>
    <m/>
    <m/>
    <s v="*MAV201001458"/>
    <s v="*MAV201001458"/>
    <n v="8.4328388423350094E-5"/>
  </r>
  <r>
    <x v="9"/>
    <s v="Pesos"/>
    <d v="2026-10-22T00:00:00"/>
    <s v="14/05/2026"/>
    <n v="0.89007040000000004"/>
    <m/>
    <n v="2500000"/>
    <n v="2225175.9900000002"/>
    <n v="2500000"/>
    <n v="2225175.9900000002"/>
    <n v="90031818"/>
    <s v="AMOMPY"/>
    <s v="Momentum Capital Investment S.A."/>
    <s v="22/04/2026"/>
    <s v="22/04/2026"/>
    <n v="28"/>
    <s v="No"/>
    <s v=""/>
    <m/>
    <m/>
    <s v="*MOV201000066"/>
    <s v="*MOV201000066"/>
    <n v="5.8646834198697533E-5"/>
  </r>
  <r>
    <x v="9"/>
    <s v="Pesos"/>
    <d v="2026-10-23T00:00:00"/>
    <s v="14/05/2026"/>
    <n v="0.88946303000000004"/>
    <m/>
    <n v="2500000"/>
    <n v="2223657.5699999998"/>
    <n v="2500000"/>
    <n v="2223657.5699999998"/>
    <n v="90031819"/>
    <s v="AMOMPY"/>
    <s v="Momentum Capital Investment S.A."/>
    <s v="22/04/2026"/>
    <s v="22/04/2026"/>
    <n v="28"/>
    <s v="No"/>
    <s v=""/>
    <m/>
    <m/>
    <s v="*MOV211000064"/>
    <s v="*MOV211000064"/>
    <n v="5.8606814655801057E-5"/>
  </r>
  <r>
    <x v="152"/>
    <s v="Pesos"/>
    <d v="2026-10-26T00:00:00"/>
    <s v="14/05/2026"/>
    <n v="0.85012242000000005"/>
    <m/>
    <n v="3750000"/>
    <n v="3187959.09"/>
    <n v="3750000"/>
    <n v="3187959.09"/>
    <n v="66918134"/>
    <s v="AMOMPY"/>
    <s v="Momentum Capital Investment S.A."/>
    <s v="13/05/2026"/>
    <s v="13/05/2026"/>
    <n v="39"/>
    <s v="No"/>
    <s v=""/>
    <m/>
    <m/>
    <s v="*MAV221000981"/>
    <s v="*MAV221000981"/>
    <n v="8.4021987035488662E-5"/>
  </r>
  <r>
    <x v="9"/>
    <s v="Pesos"/>
    <d v="2026-10-26T00:00:00"/>
    <s v="14/05/2026"/>
    <n v="0.88764606000000001"/>
    <m/>
    <n v="2500000"/>
    <n v="2219115.15"/>
    <n v="2500000"/>
    <n v="2219115.15"/>
    <n v="90031820"/>
    <s v="AMOMPY"/>
    <s v="Momentum Capital Investment S.A."/>
    <s v="22/04/2026"/>
    <s v="22/04/2026"/>
    <n v="28"/>
    <s v="No"/>
    <s v=""/>
    <m/>
    <m/>
    <s v="*MOV221000057"/>
    <s v="*MOV221000057"/>
    <n v="5.8487094438704501E-5"/>
  </r>
  <r>
    <x v="9"/>
    <s v="Pesos"/>
    <d v="2026-10-27T00:00:00"/>
    <s v="14/05/2026"/>
    <n v="0.88704198999999995"/>
    <m/>
    <n v="2500000"/>
    <n v="2217604.9900000002"/>
    <n v="2500000"/>
    <n v="2217604.9900000002"/>
    <n v="90031821"/>
    <s v="AMOMPY"/>
    <s v="Momentum Capital Investment S.A."/>
    <s v="22/04/2026"/>
    <s v="22/04/2026"/>
    <n v="28"/>
    <s v="No"/>
    <s v=""/>
    <m/>
    <m/>
    <s v="*MOV231000049"/>
    <s v="*MOV231000049"/>
    <n v="5.8447292596723683E-5"/>
  </r>
  <r>
    <x v="115"/>
    <s v="Pesos"/>
    <d v="2026-10-28T00:00:00"/>
    <s v="14/05/2026"/>
    <n v="0.85188834999999996"/>
    <m/>
    <n v="3511491.25"/>
    <n v="2991398.48"/>
    <n v="3511491.25"/>
    <n v="2991398.48"/>
    <n v="13270638"/>
    <s v="AMOMPY"/>
    <s v="Momentum Capital Investment S.A."/>
    <s v="24/04/2026"/>
    <s v="24/04/2026"/>
    <n v="38"/>
    <s v="No"/>
    <s v=""/>
    <m/>
    <m/>
    <s v="*MAV261000813"/>
    <s v="*MAV261000813"/>
    <n v="7.8841427135296289E-5"/>
  </r>
  <r>
    <x v="37"/>
    <s v="Pesos"/>
    <d v="2026-10-28T00:00:00"/>
    <s v="14/05/2026"/>
    <n v="0.88643881000000002"/>
    <m/>
    <n v="100000000"/>
    <n v="88643880.640000001"/>
    <n v="100000000"/>
    <n v="88643880.640000001"/>
    <n v="40627526"/>
    <s v="AMOMPY"/>
    <s v="Momentum Capital Investment S.A."/>
    <s v="04/05/2026"/>
    <s v="04/05/2026"/>
    <n v="28"/>
    <s v="No"/>
    <s v=""/>
    <m/>
    <m/>
    <s v="*AAR241000023"/>
    <s v="*AAR241000023"/>
    <n v="2.3363019347621191E-3"/>
  </r>
  <r>
    <x v="94"/>
    <s v="Pesos"/>
    <d v="2026-10-28T00:00:00"/>
    <s v="14/05/2026"/>
    <n v="0.88643877999999998"/>
    <m/>
    <n v="30000000"/>
    <n v="26593163.539999999"/>
    <n v="30000000"/>
    <n v="26593163.539999999"/>
    <n v="3329634"/>
    <s v="AMOMPY"/>
    <s v="Momentum Capital Investment S.A."/>
    <s v="30/04/2026"/>
    <s v="30/04/2026"/>
    <n v="28"/>
    <s v="No"/>
    <s v=""/>
    <m/>
    <m/>
    <s v="*FID261000025"/>
    <s v="*FID261000025"/>
    <n v="7.0089056324449566E-4"/>
  </r>
  <r>
    <x v="9"/>
    <s v="Pesos"/>
    <d v="2026-10-28T00:00:00"/>
    <s v="14/05/2026"/>
    <n v="0.88643875000000005"/>
    <m/>
    <n v="2500000"/>
    <n v="2216096.87"/>
    <n v="2500000"/>
    <n v="2216096.87"/>
    <n v="90031822"/>
    <s v="AMOMPY"/>
    <s v="Momentum Capital Investment S.A."/>
    <s v="22/04/2026"/>
    <s v="22/04/2026"/>
    <n v="28"/>
    <s v="No"/>
    <s v=""/>
    <m/>
    <m/>
    <s v="*MOV261000050"/>
    <s v="*MOV261000050"/>
    <n v="5.8407544521070695E-5"/>
  </r>
  <r>
    <x v="152"/>
    <s v="Pesos"/>
    <d v="2026-10-29T00:00:00"/>
    <s v="14/05/2026"/>
    <n v="0.84781214000000005"/>
    <m/>
    <n v="3750000"/>
    <n v="3179295.54"/>
    <n v="3750000"/>
    <n v="3179295.54"/>
    <n v="66918205"/>
    <s v="AMOMPY"/>
    <s v="Momentum Capital Investment S.A."/>
    <s v="13/05/2026"/>
    <s v="13/05/2026"/>
    <n v="39"/>
    <s v="No"/>
    <s v=""/>
    <m/>
    <m/>
    <s v="*MAV271001267"/>
    <s v="*MAV271001267"/>
    <n v="8.3793650138674439E-5"/>
  </r>
  <r>
    <x v="9"/>
    <s v="Pesos"/>
    <d v="2026-10-29T00:00:00"/>
    <s v="14/05/2026"/>
    <n v="0.88583650999999997"/>
    <m/>
    <n v="2500000"/>
    <n v="2214591.29"/>
    <n v="2500000"/>
    <n v="2214591.29"/>
    <n v="90031823"/>
    <s v="AMOMPY"/>
    <s v="Momentum Capital Investment S.A."/>
    <s v="22/04/2026"/>
    <s v="22/04/2026"/>
    <n v="28"/>
    <s v="No"/>
    <s v=""/>
    <m/>
    <m/>
    <s v="*MOV271000069"/>
    <s v="*MOV271000069"/>
    <n v="5.8367863389767062E-5"/>
  </r>
  <r>
    <x v="152"/>
    <s v="Pesos"/>
    <d v="2026-11-02T00:00:00"/>
    <s v="14/05/2026"/>
    <n v="0.84475113999999996"/>
    <m/>
    <n v="3750000"/>
    <n v="3167816.78"/>
    <n v="3750000"/>
    <n v="3167816.78"/>
    <n v="66918247"/>
    <s v="AMOMPY"/>
    <s v="Momentum Capital Investment S.A."/>
    <s v="13/05/2026"/>
    <s v="13/05/2026"/>
    <n v="39"/>
    <s v="No"/>
    <s v=""/>
    <m/>
    <m/>
    <s v="*MAV291001079"/>
    <s v="*MAV291001079"/>
    <n v="8.3491115445889682E-5"/>
  </r>
  <r>
    <x v="9"/>
    <s v="Pesos"/>
    <d v="2026-11-02T00:00:00"/>
    <s v="14/05/2026"/>
    <n v="0.88343514999999995"/>
    <m/>
    <n v="2500000"/>
    <n v="2208587.87"/>
    <n v="2500000"/>
    <n v="2208587.87"/>
    <n v="90031824"/>
    <s v="AMOMPY"/>
    <s v="Momentum Capital Investment S.A."/>
    <s v="22/04/2026"/>
    <s v="22/04/2026"/>
    <n v="28"/>
    <s v="No"/>
    <s v=""/>
    <m/>
    <m/>
    <s v="*MOV291000063"/>
    <s v="*MOV291000063"/>
    <n v="5.8209636993766292E-5"/>
  </r>
  <r>
    <x v="152"/>
    <s v="Pesos"/>
    <d v="2026-11-05T00:00:00"/>
    <s v="14/05/2026"/>
    <n v="0.84246991999999998"/>
    <m/>
    <n v="3750000"/>
    <n v="3159262.2"/>
    <n v="3750000"/>
    <n v="3159262.2"/>
    <n v="66918287"/>
    <s v="AMOMPY"/>
    <s v="Momentum Capital Investment S.A."/>
    <s v="13/05/2026"/>
    <s v="13/05/2026"/>
    <n v="39"/>
    <s v="No"/>
    <s v=""/>
    <m/>
    <m/>
    <s v="*MAV031101211"/>
    <s v="*MAV031101211"/>
    <n v="8.3265650567087231E-5"/>
  </r>
  <r>
    <x v="65"/>
    <s v="Pesos"/>
    <d v="2026-11-05T00:00:00"/>
    <s v="14/05/2026"/>
    <n v="0.87425154999999999"/>
    <m/>
    <n v="11923076.92"/>
    <n v="10423768.460000001"/>
    <n v="11923076.92"/>
    <n v="10423768.460000001"/>
    <n v="90021990"/>
    <s v="AMOMPY"/>
    <s v="Momentum Capital Investment S.A."/>
    <s v="11/05/2026"/>
    <s v="11/05/2026"/>
    <n v="30"/>
    <s v="No"/>
    <s v=""/>
    <m/>
    <m/>
    <s v="*NEU031100019"/>
    <s v="*NEU031100019"/>
    <n v="2.7472929033322559E-4"/>
  </r>
  <r>
    <x v="152"/>
    <s v="Pesos"/>
    <d v="2026-11-10T00:00:00"/>
    <s v="14/05/2026"/>
    <n v="0.83869495999999999"/>
    <m/>
    <n v="3750000"/>
    <n v="3145106.11"/>
    <n v="3750000"/>
    <n v="3145106.11"/>
    <n v="66918815"/>
    <s v="AMOMPY"/>
    <s v="Momentum Capital Investment S.A."/>
    <s v="13/05/2026"/>
    <s v="13/05/2026"/>
    <n v="39"/>
    <s v="No"/>
    <s v=""/>
    <m/>
    <m/>
    <s v="*MAV051100975"/>
    <s v="*MAV051100975"/>
    <n v="8.2892552049548468E-5"/>
  </r>
  <r>
    <x v="37"/>
    <s v="Pesos"/>
    <d v="2026-11-11T00:00:00"/>
    <s v="14/05/2026"/>
    <n v="0.84852156999999995"/>
    <m/>
    <n v="8560000"/>
    <n v="7263344.6399999997"/>
    <n v="8560000"/>
    <n v="7263344.6399999997"/>
    <n v="13054211"/>
    <s v="AMOMPY"/>
    <s v="Momentum Capital Investment S.A."/>
    <s v="22/04/2026"/>
    <s v="22/04/2026"/>
    <n v="36"/>
    <s v="No"/>
    <s v=""/>
    <m/>
    <m/>
    <s v="*AAR091100027"/>
    <s v="*AAR091100027"/>
    <n v="1.9143302405940409E-4"/>
  </r>
  <r>
    <x v="152"/>
    <s v="Pesos"/>
    <d v="2026-11-12T00:00:00"/>
    <s v="14/05/2026"/>
    <n v="0.83719460000000001"/>
    <m/>
    <n v="3750000"/>
    <n v="3139479.75"/>
    <n v="3750000"/>
    <n v="3139479.75"/>
    <n v="66918856"/>
    <s v="AMOMPY"/>
    <s v="Momentum Capital Investment S.A."/>
    <s v="13/05/2026"/>
    <s v="13/05/2026"/>
    <n v="39"/>
    <s v="No"/>
    <s v=""/>
    <m/>
    <m/>
    <s v="*MAV101101561"/>
    <s v="*MAV101101561"/>
    <n v="8.2744263463142246E-5"/>
  </r>
  <r>
    <x v="37"/>
    <s v="Pesos"/>
    <d v="2026-11-12T00:00:00"/>
    <s v="14/05/2026"/>
    <n v="0.84781196999999997"/>
    <m/>
    <n v="8560000"/>
    <n v="7257270.4900000002"/>
    <n v="8560000"/>
    <n v="7257270.4900000002"/>
    <n v="13054212"/>
    <s v="AMOMPY"/>
    <s v="Momentum Capital Investment S.A."/>
    <s v="22/04/2026"/>
    <s v="22/04/2026"/>
    <n v="36"/>
    <s v="No"/>
    <s v=""/>
    <m/>
    <m/>
    <s v="*AAR101100035"/>
    <s v="*AAR101100035"/>
    <n v="1.9127293350047804E-4"/>
  </r>
  <r>
    <x v="65"/>
    <s v="Pesos"/>
    <d v="2026-11-12T00:00:00"/>
    <s v="14/05/2026"/>
    <n v="0.87366562999999997"/>
    <m/>
    <n v="17118303"/>
    <n v="14955672.92"/>
    <n v="17118303"/>
    <n v="14955672.92"/>
    <n v="27672"/>
    <s v="AMOMPY"/>
    <s v="Momentum Capital Investment S.A."/>
    <s v="30/04/2026"/>
    <s v="30/04/2026"/>
    <n v="29"/>
    <s v="No"/>
    <s v=""/>
    <m/>
    <m/>
    <s v="*NEU101100035"/>
    <s v="*NEU101100035"/>
    <n v="3.9417235940479047E-4"/>
  </r>
  <r>
    <x v="152"/>
    <s v="Pesos"/>
    <d v="2026-11-16T00:00:00"/>
    <s v="14/05/2026"/>
    <n v="0.83420965000000002"/>
    <m/>
    <n v="3750000"/>
    <n v="3128286.2"/>
    <n v="3750000"/>
    <n v="3128286.2"/>
    <n v="66918897"/>
    <s v="AMOMPY"/>
    <s v="Momentum Capital Investment S.A."/>
    <s v="13/05/2026"/>
    <s v="13/05/2026"/>
    <n v="39"/>
    <s v="No"/>
    <s v=""/>
    <m/>
    <m/>
    <s v="*MAV121101139"/>
    <s v="*MAV121101139"/>
    <n v="8.2449245777397386E-5"/>
  </r>
  <r>
    <x v="132"/>
    <s v="Dolar 3500"/>
    <d v="2026-11-17T00:00:00"/>
    <s v="14/05/2026"/>
    <n v="0.96062625000000001"/>
    <s v="1 US3 = 1393,2322905547 $"/>
    <n v="18230"/>
    <n v="17512.22"/>
    <n v="25398624.66"/>
    <n v="24398590.379999999"/>
    <n v="146446"/>
    <s v="AMOMPY"/>
    <s v="Momentum Capital Investment S.A."/>
    <s v="17/04/2026"/>
    <s v="17/04/2026"/>
    <n v="8"/>
    <s v="No"/>
    <s v=""/>
    <m/>
    <m/>
    <s v="#UMV131160016"/>
    <s v="#UMV131160016"/>
    <n v="6.4305029855090084E-4"/>
  </r>
  <r>
    <x v="37"/>
    <s v="Pesos"/>
    <d v="2026-11-17T00:00:00"/>
    <s v="14/05/2026"/>
    <n v="0.84428219000000004"/>
    <m/>
    <n v="9450000"/>
    <n v="7978466.6500000004"/>
    <n v="9450000"/>
    <n v="7978466.6500000004"/>
    <n v="66335143"/>
    <s v="AMOMPY"/>
    <s v="Momentum Capital Investment S.A."/>
    <s v="22/04/2026"/>
    <s v="22/04/2026"/>
    <n v="36"/>
    <s v="No"/>
    <s v=""/>
    <m/>
    <m/>
    <s v="*AAR131100017"/>
    <s v="*AAR131100017"/>
    <n v="2.1028081054496174E-4"/>
  </r>
  <r>
    <x v="62"/>
    <s v="Pesos"/>
    <d v="2026-11-18T00:00:00"/>
    <s v="14/05/2026"/>
    <n v="0.84726106999999995"/>
    <m/>
    <n v="1500000"/>
    <n v="1270891.6000000001"/>
    <n v="1500000"/>
    <n v="1270891.6000000001"/>
    <n v="5"/>
    <s v="AMOMPY"/>
    <s v="Momentum Capital Investment S.A."/>
    <s v="23/04/2026"/>
    <s v="23/04/2026"/>
    <n v="35"/>
    <s v="No"/>
    <s v=""/>
    <m/>
    <m/>
    <s v="*MAV151101538"/>
    <s v="*MAV151101538"/>
    <n v="3.3495673728583336E-5"/>
  </r>
  <r>
    <x v="37"/>
    <s v="Pesos"/>
    <d v="2026-11-18T00:00:00"/>
    <s v="14/05/2026"/>
    <n v="0.84357965999999995"/>
    <m/>
    <n v="9450000"/>
    <n v="7971827.7599999998"/>
    <n v="9450000"/>
    <n v="7971827.7599999998"/>
    <n v="66335193"/>
    <s v="AMOMPY"/>
    <s v="Momentum Capital Investment S.A."/>
    <s v="22/04/2026"/>
    <s v="22/04/2026"/>
    <n v="36"/>
    <s v="No"/>
    <s v=""/>
    <m/>
    <m/>
    <s v="*AAR161100027"/>
    <s v="*AAR161100027"/>
    <n v="2.1010583567428043E-4"/>
  </r>
  <r>
    <x v="152"/>
    <s v="Pesos"/>
    <d v="2026-11-19T00:00:00"/>
    <s v="14/05/2026"/>
    <n v="0.83198494000000001"/>
    <m/>
    <n v="3750000"/>
    <n v="3119943.51"/>
    <n v="3750000"/>
    <n v="3119943.51"/>
    <n v="66918963"/>
    <s v="AMOMPY"/>
    <s v="Momentum Capital Investment S.A."/>
    <s v="13/05/2026"/>
    <s v="13/05/2026"/>
    <n v="39"/>
    <s v="No"/>
    <s v=""/>
    <m/>
    <m/>
    <s v="*MAV171101249"/>
    <s v="*MAV171101249"/>
    <n v="8.2229365480557956E-5"/>
  </r>
  <r>
    <x v="37"/>
    <s v="Pesos"/>
    <d v="2026-11-25T00:00:00"/>
    <s v="14/05/2026"/>
    <n v="0.83869497999999998"/>
    <m/>
    <n v="9450000"/>
    <n v="7925667.5300000003"/>
    <n v="9450000"/>
    <n v="7925667.5300000003"/>
    <n v="66335232"/>
    <s v="AMOMPY"/>
    <s v="Momentum Capital Investment S.A."/>
    <s v="22/04/2026"/>
    <s v="22/04/2026"/>
    <n v="36"/>
    <s v="No"/>
    <s v=""/>
    <m/>
    <m/>
    <s v="*AAR201100017"/>
    <s v="*AAR201100017"/>
    <n v="2.0888923466494467E-4"/>
  </r>
  <r>
    <x v="132"/>
    <s v="Dolar 3500"/>
    <d v="2026-12-16T00:00:00"/>
    <s v="14/05/2026"/>
    <n v="0.95479767999999998"/>
    <s v="1 US3 = 1393,2322905547 $"/>
    <n v="18230"/>
    <n v="17405.96"/>
    <n v="25398624.66"/>
    <n v="24250545.52"/>
    <n v="146447"/>
    <s v="AMOMPY"/>
    <s v="Momentum Capital Investment S.A."/>
    <s v="17/04/2026"/>
    <s v="17/04/2026"/>
    <n v="8"/>
    <s v="No"/>
    <s v=""/>
    <m/>
    <m/>
    <s v="#UMV131260004"/>
    <s v="#UMV131260004"/>
    <n v="6.391484218465826E-4"/>
  </r>
  <r>
    <x v="132"/>
    <s v="Dolar 3500"/>
    <d v="2027-01-14T00:00:00"/>
    <s v="14/05/2026"/>
    <n v="0.94903828999999995"/>
    <s v="1 US3 = 1393,2322905547 $"/>
    <n v="18230"/>
    <n v="17300.97"/>
    <n v="25398624.66"/>
    <n v="24104270.059999999"/>
    <n v="146448"/>
    <s v="AMOMPY"/>
    <s v="Momentum Capital Investment S.A."/>
    <s v="17/04/2026"/>
    <s v="17/04/2026"/>
    <n v="8"/>
    <s v="No"/>
    <s v=""/>
    <m/>
    <m/>
    <s v="#UMV120170009"/>
    <s v="#UMV120170009"/>
    <n v="6.352931795248468E-4"/>
  </r>
  <r>
    <x v="153"/>
    <s v="Dolar 3500"/>
    <d v="2027-01-27T00:00:00"/>
    <s v="14/05/2026"/>
    <n v="0.93398316999999997"/>
    <s v="1 US3 = 1393,2322905547 $"/>
    <n v="13904"/>
    <n v="12986.1"/>
    <n v="19371501.77"/>
    <n v="18092653.850000001"/>
    <n v="134916"/>
    <s v="AMOMPY"/>
    <s v="Momentum Capital Investment S.A."/>
    <s v="30/12/2025"/>
    <s v="30/12/2025"/>
    <n v="10"/>
    <s v="No"/>
    <s v=""/>
    <m/>
    <m/>
    <s v="#UMV250170065"/>
    <s v="#UMV250170065"/>
    <n v="4.7685076386042464E-4"/>
  </r>
  <r>
    <x v="132"/>
    <s v="Dolar 3500"/>
    <d v="2027-02-15T00:00:00"/>
    <s v="14/05/2026"/>
    <n v="0.94276305999999999"/>
    <s v="1 US3 = 1393,2322905547 $"/>
    <n v="18230"/>
    <n v="17186.57"/>
    <n v="25398624.66"/>
    <n v="23944884.289999999"/>
    <n v="146450"/>
    <s v="AMOMPY"/>
    <s v="Momentum Capital Investment S.A."/>
    <s v="17/04/2026"/>
    <s v="17/04/2026"/>
    <n v="8"/>
    <s v="No"/>
    <s v=""/>
    <m/>
    <m/>
    <s v="#UMV110270012"/>
    <s v="#UMV110270012"/>
    <n v="6.3109240130827902E-4"/>
  </r>
  <r>
    <x v="132"/>
    <s v="Dolar 3500"/>
    <d v="2027-03-17T00:00:00"/>
    <s v="14/05/2026"/>
    <n v="0.93695485000000001"/>
    <s v="1 US3 = 1393,2322905547 $"/>
    <n v="18230"/>
    <n v="17080.689999999999"/>
    <n v="25398624.66"/>
    <n v="23797368.850000001"/>
    <n v="146451"/>
    <s v="AMOMPY"/>
    <s v="Momentum Capital Investment S.A."/>
    <s v="17/04/2026"/>
    <s v="17/04/2026"/>
    <n v="8"/>
    <s v="No"/>
    <s v=""/>
    <m/>
    <m/>
    <s v="#UMV130370002"/>
    <s v="#UMV130370002"/>
    <n v="6.2720447802027529E-4"/>
  </r>
  <r>
    <x v="132"/>
    <s v="Dolar 3500"/>
    <d v="2027-04-14T00:00:00"/>
    <s v="14/05/2026"/>
    <n v="0.93159775"/>
    <s v="1 US3 = 1393,2322905547 $"/>
    <n v="18230"/>
    <n v="16983.03"/>
    <n v="25398624.66"/>
    <n v="23661305.789999999"/>
    <n v="146452"/>
    <s v="AMOMPY"/>
    <s v="Momentum Capital Investment S.A."/>
    <s v="17/04/2026"/>
    <s v="17/04/2026"/>
    <n v="8"/>
    <s v="No"/>
    <s v=""/>
    <m/>
    <m/>
    <s v="#UMV120470004"/>
    <s v="#UMV120470004"/>
    <n v="6.2361839415264037E-4"/>
  </r>
  <r>
    <x v="132"/>
    <s v="Dolar 3500"/>
    <d v="2027-05-14T00:00:00"/>
    <s v="14/05/2026"/>
    <n v="0.92592567000000003"/>
    <s v="1 US3 = 1393,2322905547 $"/>
    <n v="18230"/>
    <n v="16879.62"/>
    <n v="25398624.66"/>
    <n v="23517231.640000001"/>
    <n v="146453"/>
    <s v="AMOMPY"/>
    <s v="Momentum Capital Investment S.A."/>
    <s v="17/04/2026"/>
    <s v="17/04/2026"/>
    <n v="8"/>
    <s v="No"/>
    <s v=""/>
    <m/>
    <m/>
    <s v="#UMV120570002"/>
    <s v="#UMV120570002"/>
    <n v="6.1982116965204339E-4"/>
  </r>
  <r>
    <x v="132"/>
    <s v="Dolar 3500"/>
    <d v="2027-06-15T00:00:00"/>
    <s v="14/05/2026"/>
    <n v="0.91995123000000001"/>
    <s v="1 US3 = 1393,2322905547 $"/>
    <n v="18230"/>
    <n v="16770.71"/>
    <n v="25398624.66"/>
    <n v="23365494.710000001"/>
    <n v="146455"/>
    <s v="AMOMPY"/>
    <s v="Momentum Capital Investment S.A."/>
    <s v="17/04/2026"/>
    <s v="17/04/2026"/>
    <n v="8"/>
    <s v="No"/>
    <s v=""/>
    <m/>
    <m/>
    <s v="#UMV110670002"/>
    <s v="#UMV110670002"/>
    <n v="6.158219845918408E-4"/>
  </r>
  <r>
    <x v="153"/>
    <s v="Dolar 3500"/>
    <d v="2027-07-28T00:00:00"/>
    <s v="14/05/2026"/>
    <n v="0.89242038000000001"/>
    <s v="1 US3 = 1393,2322905547 $"/>
    <n v="20856"/>
    <n v="18612.32"/>
    <n v="29057252.649999999"/>
    <n v="25931285.23"/>
    <n v="134917"/>
    <s v="AMOMPY"/>
    <s v="Momentum Capital Investment S.A."/>
    <s v="30/12/2025"/>
    <s v="30/12/2025"/>
    <n v="10"/>
    <s v="No"/>
    <s v=""/>
    <m/>
    <m/>
    <s v="#UMV250770007"/>
    <s v="#UMV250770007"/>
    <n v="6.8344607000857672E-4"/>
  </r>
  <r>
    <x v="153"/>
    <s v="Dolar 3500"/>
    <d v="2028-01-27T00:00:00"/>
    <s v="14/05/2026"/>
    <n v="0.85419919"/>
    <s v="1 US3 = 1393,2322905547 $"/>
    <n v="20856"/>
    <n v="17815.18"/>
    <n v="29057252.649999999"/>
    <n v="24820684.039999999"/>
    <n v="134918"/>
    <s v="AMOMPY"/>
    <s v="Momentum Capital Investment S.A."/>
    <s v="30/12/2025"/>
    <s v="30/12/2025"/>
    <n v="10"/>
    <s v="No"/>
    <s v=""/>
    <m/>
    <m/>
    <s v="#UMV250180006"/>
    <s v="#UMV250180006"/>
    <n v="6.5417501722735106E-4"/>
  </r>
  <r>
    <x v="153"/>
    <s v="Dolar 3500"/>
    <d v="2028-07-27T00:00:00"/>
    <s v="14/05/2026"/>
    <n v="0.81930546000000004"/>
    <s v="1 US3 = 1393,2322905547 $"/>
    <n v="20856"/>
    <n v="17087.43"/>
    <n v="29057252.649999999"/>
    <n v="23806759.239999998"/>
    <n v="134919"/>
    <s v="AMOMPY"/>
    <s v="Momentum Capital Investment S.A."/>
    <s v="30/12/2025"/>
    <s v="30/12/2025"/>
    <n v="10"/>
    <s v="No"/>
    <s v=""/>
    <m/>
    <m/>
    <s v="#UMV250780006"/>
    <s v="#UMV250780006"/>
    <n v="6.2745197154342395E-4"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0" firstHeaderRow="2" firstDataRow="2" firstDataCol="1"/>
  <pivotFields count="23">
    <pivotField axis="axisRow" compact="0" outline="0" showAll="0" includeNewItemsInFilter="1" sortType="descending">
      <items count="454">
        <item m="1" x="156"/>
        <item m="1" x="419"/>
        <item m="1" x="307"/>
        <item m="1" x="437"/>
        <item x="118"/>
        <item x="22"/>
        <item m="1" x="452"/>
        <item m="1" x="445"/>
        <item m="1" x="446"/>
        <item x="39"/>
        <item x="104"/>
        <item m="1" x="441"/>
        <item m="1" x="427"/>
        <item m="1" x="407"/>
        <item m="1" x="392"/>
        <item m="1" x="157"/>
        <item m="1" x="314"/>
        <item m="1" x="439"/>
        <item h="1" x="154"/>
        <item m="1" x="357"/>
        <item m="1" x="414"/>
        <item x="23"/>
        <item x="27"/>
        <item m="1" x="451"/>
        <item m="1" x="401"/>
        <item m="1" x="340"/>
        <item x="26"/>
        <item m="1" x="447"/>
        <item m="1" x="411"/>
        <item m="1" x="320"/>
        <item m="1" x="440"/>
        <item m="1" x="422"/>
        <item m="1" x="410"/>
        <item m="1" x="442"/>
        <item m="1" x="195"/>
        <item x="142"/>
        <item m="1" x="308"/>
        <item m="1" x="443"/>
        <item m="1" x="332"/>
        <item m="1" x="331"/>
        <item m="1" x="448"/>
        <item m="1" x="235"/>
        <item x="25"/>
        <item x="65"/>
        <item x="57"/>
        <item m="1" x="287"/>
        <item m="1" x="449"/>
        <item m="1" x="450"/>
        <item m="1" x="315"/>
        <item x="77"/>
        <item m="1" x="343"/>
        <item m="1" x="364"/>
        <item x="50"/>
        <item m="1" x="435"/>
        <item m="1" x="433"/>
        <item m="1" x="429"/>
        <item m="1" x="351"/>
        <item m="1" x="347"/>
        <item m="1" x="444"/>
        <item m="1" x="425"/>
        <item m="1" x="391"/>
        <item m="1" x="432"/>
        <item x="33"/>
        <item x="52"/>
        <item m="1" x="387"/>
        <item m="1" x="359"/>
        <item m="1" x="339"/>
        <item m="1" x="421"/>
        <item m="1" x="412"/>
        <item m="1" x="424"/>
        <item m="1" x="420"/>
        <item m="1" x="381"/>
        <item x="124"/>
        <item m="1" x="430"/>
        <item m="1" x="318"/>
        <item m="1" x="191"/>
        <item x="86"/>
        <item x="96"/>
        <item m="1" x="350"/>
        <item m="1" x="406"/>
        <item m="1" x="436"/>
        <item m="1" x="438"/>
        <item m="1" x="428"/>
        <item m="1" x="431"/>
        <item m="1" x="416"/>
        <item x="81"/>
        <item m="1" x="329"/>
        <item m="1" x="341"/>
        <item m="1" x="434"/>
        <item m="1" x="426"/>
        <item m="1" x="361"/>
        <item m="1" x="326"/>
        <item x="108"/>
        <item m="1" x="319"/>
        <item m="1" x="388"/>
        <item m="1" x="423"/>
        <item m="1" x="267"/>
        <item m="1" x="360"/>
        <item m="1" x="330"/>
        <item x="133"/>
        <item x="125"/>
        <item m="1" x="384"/>
        <item x="32"/>
        <item m="1" x="342"/>
        <item m="1" x="408"/>
        <item m="1" x="298"/>
        <item m="1" x="396"/>
        <item m="1" x="206"/>
        <item m="1" x="255"/>
        <item m="1" x="323"/>
        <item m="1" x="317"/>
        <item m="1" x="378"/>
        <item m="1" x="379"/>
        <item m="1" x="327"/>
        <item m="1" x="400"/>
        <item m="1" x="321"/>
        <item m="1" x="348"/>
        <item x="99"/>
        <item m="1" x="328"/>
        <item m="1" x="335"/>
        <item m="1" x="366"/>
        <item m="1" x="404"/>
        <item m="1" x="234"/>
        <item m="1" x="356"/>
        <item m="1" x="415"/>
        <item m="1" x="403"/>
        <item m="1" x="375"/>
        <item m="1" x="417"/>
        <item m="1" x="301"/>
        <item m="1" x="306"/>
        <item m="1" x="349"/>
        <item m="1" x="418"/>
        <item m="1" x="370"/>
        <item x="51"/>
        <item m="1" x="305"/>
        <item m="1" x="413"/>
        <item x="134"/>
        <item x="28"/>
        <item m="1" x="374"/>
        <item m="1" x="269"/>
        <item m="1" x="409"/>
        <item x="135"/>
        <item m="1" x="311"/>
        <item m="1" x="345"/>
        <item m="1" x="367"/>
        <item m="1" x="371"/>
        <item m="1" x="292"/>
        <item m="1" x="336"/>
        <item m="1" x="372"/>
        <item m="1" x="365"/>
        <item m="1" x="380"/>
        <item m="1" x="353"/>
        <item m="1" x="376"/>
        <item m="1" x="402"/>
        <item m="1" x="358"/>
        <item m="1" x="397"/>
        <item m="1" x="346"/>
        <item m="1" x="352"/>
        <item m="1" x="333"/>
        <item x="34"/>
        <item m="1" x="266"/>
        <item m="1" x="334"/>
        <item m="1" x="389"/>
        <item m="1" x="385"/>
        <item m="1" x="405"/>
        <item m="1" x="316"/>
        <item x="7"/>
        <item m="1" x="398"/>
        <item m="1" x="304"/>
        <item m="1" x="399"/>
        <item m="1" x="395"/>
        <item m="1" x="394"/>
        <item m="1" x="393"/>
        <item m="1" x="390"/>
        <item m="1" x="383"/>
        <item m="1" x="386"/>
        <item m="1" x="382"/>
        <item m="1" x="362"/>
        <item m="1" x="373"/>
        <item m="1" x="368"/>
        <item m="1" x="369"/>
        <item m="1" x="363"/>
        <item x="94"/>
        <item m="1" x="377"/>
        <item x="87"/>
        <item x="58"/>
        <item m="1" x="236"/>
        <item m="1" x="354"/>
        <item m="1" x="284"/>
        <item x="91"/>
        <item m="1" x="278"/>
        <item m="1" x="355"/>
        <item m="1" x="337"/>
        <item m="1" x="281"/>
        <item x="75"/>
        <item m="1" x="313"/>
        <item m="1" x="344"/>
        <item m="1" x="309"/>
        <item m="1" x="283"/>
        <item m="1" x="324"/>
        <item m="1" x="295"/>
        <item m="1" x="299"/>
        <item m="1" x="338"/>
        <item m="1" x="312"/>
        <item m="1" x="291"/>
        <item m="1" x="293"/>
        <item m="1" x="290"/>
        <item m="1" x="296"/>
        <item m="1" x="264"/>
        <item x="117"/>
        <item m="1" x="325"/>
        <item m="1" x="322"/>
        <item m="1" x="289"/>
        <item m="1" x="310"/>
        <item m="1" x="302"/>
        <item m="1" x="285"/>
        <item m="1" x="294"/>
        <item m="1" x="288"/>
        <item m="1" x="300"/>
        <item m="1" x="297"/>
        <item x="137"/>
        <item m="1" x="286"/>
        <item x="70"/>
        <item m="1" x="303"/>
        <item m="1" x="200"/>
        <item m="1" x="276"/>
        <item x="46"/>
        <item x="5"/>
        <item m="1" x="233"/>
        <item m="1" x="188"/>
        <item x="47"/>
        <item x="153"/>
        <item x="49"/>
        <item m="1" x="226"/>
        <item x="4"/>
        <item m="1" x="215"/>
        <item x="71"/>
        <item x="56"/>
        <item x="11"/>
        <item x="123"/>
        <item m="1" x="254"/>
        <item x="92"/>
        <item m="1" x="274"/>
        <item m="1" x="275"/>
        <item m="1" x="263"/>
        <item m="1" x="270"/>
        <item m="1" x="271"/>
        <item m="1" x="257"/>
        <item m="1" x="253"/>
        <item m="1" x="245"/>
        <item m="1" x="249"/>
        <item m="1" x="258"/>
        <item x="54"/>
        <item m="1" x="265"/>
        <item x="38"/>
        <item m="1" x="184"/>
        <item m="1" x="259"/>
        <item m="1" x="260"/>
        <item m="1" x="201"/>
        <item m="1" x="261"/>
        <item m="1" x="262"/>
        <item x="6"/>
        <item m="1" x="242"/>
        <item x="44"/>
        <item m="1" x="248"/>
        <item m="1" x="250"/>
        <item m="1" x="251"/>
        <item m="1" x="252"/>
        <item m="1" x="244"/>
        <item m="1" x="246"/>
        <item m="1" x="247"/>
        <item m="1" x="241"/>
        <item m="1" x="237"/>
        <item m="1" x="238"/>
        <item m="1" x="239"/>
        <item m="1" x="240"/>
        <item x="109"/>
        <item m="1" x="232"/>
        <item m="1" x="194"/>
        <item x="21"/>
        <item m="1" x="273"/>
        <item m="1" x="282"/>
        <item m="1" x="277"/>
        <item m="1" x="279"/>
        <item m="1" x="280"/>
        <item m="1" x="268"/>
        <item m="1" x="272"/>
        <item x="88"/>
        <item m="1" x="256"/>
        <item m="1" x="243"/>
        <item m="1" x="202"/>
        <item x="100"/>
        <item m="1" x="229"/>
        <item m="1" x="227"/>
        <item m="1" x="228"/>
        <item m="1" x="185"/>
        <item m="1" x="230"/>
        <item m="1" x="223"/>
        <item m="1" x="224"/>
        <item m="1" x="225"/>
        <item m="1" x="196"/>
        <item m="1" x="218"/>
        <item m="1" x="213"/>
        <item x="20"/>
        <item m="1" x="207"/>
        <item m="1" x="204"/>
        <item m="1" x="205"/>
        <item x="41"/>
        <item x="24"/>
        <item x="97"/>
        <item x="79"/>
        <item m="1" x="155"/>
        <item m="1" x="212"/>
        <item m="1" x="208"/>
        <item m="1" x="199"/>
        <item x="45"/>
        <item m="1" x="209"/>
        <item m="1" x="210"/>
        <item x="8"/>
        <item m="1" x="190"/>
        <item m="1" x="203"/>
        <item x="40"/>
        <item m="1" x="197"/>
        <item m="1" x="175"/>
        <item m="1" x="176"/>
        <item x="35"/>
        <item x="103"/>
        <item x="64"/>
        <item m="1" x="217"/>
        <item m="1" x="219"/>
        <item m="1" x="220"/>
        <item m="1" x="216"/>
        <item m="1" x="170"/>
        <item m="1" x="214"/>
        <item m="1" x="166"/>
        <item x="53"/>
        <item m="1" x="231"/>
        <item x="114"/>
        <item m="1" x="192"/>
        <item m="1" x="173"/>
        <item x="98"/>
        <item x="36"/>
        <item m="1" x="211"/>
        <item m="1" x="165"/>
        <item m="1" x="177"/>
        <item m="1" x="178"/>
        <item m="1" x="179"/>
        <item m="1" x="167"/>
        <item m="1" x="168"/>
        <item x="60"/>
        <item m="1" x="164"/>
        <item m="1" x="158"/>
        <item m="1" x="159"/>
        <item x="1"/>
        <item x="10"/>
        <item x="30"/>
        <item x="59"/>
        <item m="1" x="221"/>
        <item m="1" x="182"/>
        <item m="1" x="160"/>
        <item x="110"/>
        <item x="76"/>
        <item m="1" x="198"/>
        <item m="1" x="180"/>
        <item m="1" x="181"/>
        <item m="1" x="183"/>
        <item m="1" x="169"/>
        <item m="1" x="162"/>
        <item m="1" x="161"/>
        <item x="2"/>
        <item x="31"/>
        <item x="42"/>
        <item x="68"/>
        <item x="82"/>
        <item x="101"/>
        <item x="62"/>
        <item m="1" x="222"/>
        <item m="1" x="193"/>
        <item x="37"/>
        <item x="3"/>
        <item x="83"/>
        <item x="84"/>
        <item x="55"/>
        <item x="72"/>
        <item x="63"/>
        <item x="43"/>
        <item x="69"/>
        <item x="112"/>
        <item x="129"/>
        <item x="131"/>
        <item m="1" x="186"/>
        <item m="1" x="174"/>
        <item m="1" x="163"/>
        <item x="9"/>
        <item x="48"/>
        <item x="85"/>
        <item x="144"/>
        <item x="147"/>
        <item m="1" x="189"/>
        <item m="1" x="187"/>
        <item x="0"/>
        <item m="1" x="171"/>
        <item m="1" x="172"/>
        <item x="115"/>
        <item x="12"/>
        <item x="13"/>
        <item x="14"/>
        <item x="15"/>
        <item x="16"/>
        <item x="17"/>
        <item x="18"/>
        <item x="19"/>
        <item x="61"/>
        <item x="66"/>
        <item x="74"/>
        <item x="106"/>
        <item x="122"/>
        <item x="132"/>
        <item x="138"/>
        <item x="140"/>
        <item x="105"/>
        <item x="151"/>
        <item x="29"/>
        <item x="80"/>
        <item x="78"/>
        <item x="148"/>
        <item x="93"/>
        <item x="111"/>
        <item x="113"/>
        <item x="73"/>
        <item x="67"/>
        <item x="102"/>
        <item x="146"/>
        <item x="107"/>
        <item x="143"/>
        <item x="119"/>
        <item x="121"/>
        <item x="139"/>
        <item x="89"/>
        <item x="149"/>
        <item x="120"/>
        <item x="126"/>
        <item x="130"/>
        <item x="145"/>
        <item x="95"/>
        <item x="116"/>
        <item x="150"/>
        <item x="90"/>
        <item x="128"/>
        <item x="127"/>
        <item x="136"/>
        <item x="141"/>
        <item x="1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55">
    <i>
      <x v="239"/>
    </i>
    <i>
      <x v="230"/>
    </i>
    <i>
      <x v="222"/>
    </i>
    <i>
      <x v="361"/>
    </i>
    <i>
      <x v="185"/>
    </i>
    <i>
      <x v="209"/>
    </i>
    <i>
      <x v="337"/>
    </i>
    <i>
      <x v="100"/>
    </i>
    <i>
      <x v="189"/>
    </i>
    <i>
      <x v="424"/>
    </i>
    <i>
      <x v="326"/>
    </i>
    <i>
      <x v="318"/>
    </i>
    <i>
      <x v="226"/>
    </i>
    <i>
      <x v="166"/>
    </i>
    <i>
      <x v="52"/>
    </i>
    <i>
      <x v="117"/>
    </i>
    <i>
      <x v="238"/>
    </i>
    <i>
      <x v="42"/>
    </i>
    <i>
      <x v="232"/>
    </i>
    <i>
      <x v="21"/>
    </i>
    <i>
      <x v="382"/>
    </i>
    <i>
      <x v="182"/>
    </i>
    <i>
      <x v="340"/>
    </i>
    <i>
      <x v="429"/>
    </i>
    <i>
      <x v="137"/>
    </i>
    <i>
      <x v="378"/>
    </i>
    <i>
      <x v="393"/>
    </i>
    <i>
      <x v="9"/>
    </i>
    <i>
      <x v="220"/>
    </i>
    <i>
      <x v="360"/>
    </i>
    <i>
      <x v="63"/>
    </i>
    <i>
      <x v="136"/>
    </i>
    <i>
      <x v="43"/>
    </i>
    <i>
      <x v="22"/>
    </i>
    <i>
      <x v="72"/>
    </i>
    <i>
      <x v="35"/>
    </i>
    <i>
      <x v="159"/>
    </i>
    <i>
      <x v="341"/>
    </i>
    <i>
      <x v="417"/>
    </i>
    <i>
      <x v="426"/>
    </i>
    <i>
      <x v="394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427"/>
    </i>
    <i>
      <x v="291"/>
    </i>
    <i>
      <x v="234"/>
    </i>
    <i>
      <x v="431"/>
    </i>
    <i>
      <x v="49"/>
    </i>
    <i>
      <x v="448"/>
    </i>
    <i>
      <x v="231"/>
    </i>
    <i>
      <x v="439"/>
    </i>
    <i>
      <x v="447"/>
    </i>
    <i>
      <x v="379"/>
    </i>
    <i>
      <x v="397"/>
    </i>
    <i>
      <x v="354"/>
    </i>
    <i>
      <x v="102"/>
    </i>
    <i>
      <x v="184"/>
    </i>
    <i>
      <x v="308"/>
    </i>
    <i>
      <x v="428"/>
    </i>
    <i>
      <x v="62"/>
    </i>
    <i>
      <x v="420"/>
    </i>
    <i>
      <x v="396"/>
    </i>
    <i>
      <x v="5"/>
    </i>
    <i>
      <x v="422"/>
    </i>
    <i>
      <x v="4"/>
    </i>
    <i>
      <x v="430"/>
    </i>
    <i>
      <x v="446"/>
    </i>
    <i>
      <x v="412"/>
    </i>
    <i>
      <x v="307"/>
    </i>
    <i>
      <x v="92"/>
    </i>
    <i>
      <x v="452"/>
    </i>
    <i>
      <x v="423"/>
    </i>
    <i>
      <x v="77"/>
    </i>
    <i>
      <x v="309"/>
    </i>
    <i>
      <x v="421"/>
    </i>
    <i>
      <x v="325"/>
    </i>
    <i>
      <x v="133"/>
    </i>
    <i>
      <x v="416"/>
    </i>
    <i>
      <x v="237"/>
    </i>
    <i>
      <x v="449"/>
    </i>
    <i>
      <x v="85"/>
    </i>
    <i>
      <x v="254"/>
    </i>
    <i>
      <x v="385"/>
    </i>
    <i>
      <x v="415"/>
    </i>
    <i>
      <x v="435"/>
    </i>
    <i>
      <x v="194"/>
    </i>
    <i>
      <x v="400"/>
    </i>
    <i>
      <x v="241"/>
    </i>
    <i>
      <x v="444"/>
    </i>
    <i>
      <x v="425"/>
    </i>
    <i>
      <x v="437"/>
    </i>
    <i>
      <x v="443"/>
    </i>
    <i>
      <x v="26"/>
    </i>
    <i>
      <x v="380"/>
    </i>
    <i>
      <x v="375"/>
    </i>
    <i>
      <x v="356"/>
    </i>
    <i>
      <x v="141"/>
    </i>
    <i>
      <x v="236"/>
    </i>
    <i>
      <x v="432"/>
    </i>
    <i>
      <x v="395"/>
    </i>
    <i>
      <x v="387"/>
    </i>
    <i>
      <x v="403"/>
    </i>
    <i>
      <x v="450"/>
    </i>
    <i>
      <x v="349"/>
    </i>
    <i>
      <x v="419"/>
    </i>
    <i>
      <x v="279"/>
    </i>
    <i>
      <x v="227"/>
    </i>
    <i>
      <x v="384"/>
    </i>
    <i>
      <x v="374"/>
    </i>
    <i>
      <x v="433"/>
    </i>
    <i>
      <x v="335"/>
    </i>
    <i>
      <x v="287"/>
    </i>
    <i>
      <x v="451"/>
    </i>
    <i>
      <x v="252"/>
    </i>
    <i>
      <x v="373"/>
    </i>
    <i>
      <x v="418"/>
    </i>
    <i>
      <x v="261"/>
    </i>
    <i>
      <x v="321"/>
    </i>
    <i>
      <x v="434"/>
    </i>
    <i>
      <x v="388"/>
    </i>
    <i>
      <x v="404"/>
    </i>
    <i>
      <x v="389"/>
    </i>
    <i>
      <x v="303"/>
    </i>
    <i>
      <x v="445"/>
    </i>
    <i>
      <x v="386"/>
    </i>
    <i>
      <x v="369"/>
    </i>
    <i>
      <x v="372"/>
    </i>
    <i>
      <x v="353"/>
    </i>
    <i>
      <x v="408"/>
    </i>
    <i>
      <x v="409"/>
    </i>
    <i>
      <x v="371"/>
    </i>
    <i>
      <x v="315"/>
    </i>
    <i>
      <x v="406"/>
    </i>
    <i>
      <x v="414"/>
    </i>
    <i>
      <x v="440"/>
    </i>
    <i>
      <x v="441"/>
    </i>
    <i>
      <x v="370"/>
    </i>
    <i>
      <x v="407"/>
    </i>
    <i>
      <x v="411"/>
    </i>
    <i>
      <x v="381"/>
    </i>
    <i>
      <x v="276"/>
    </i>
    <i>
      <x v="263"/>
    </i>
    <i>
      <x v="413"/>
    </i>
    <i>
      <x v="442"/>
    </i>
    <i>
      <x v="405"/>
    </i>
    <i>
      <x v="355"/>
    </i>
    <i>
      <x v="310"/>
    </i>
    <i>
      <x v="410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25"/>
  <sheetViews>
    <sheetView tabSelected="1" zoomScale="80" zoomScaleNormal="80" workbookViewId="0">
      <selection activeCell="N17" sqref="N17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1900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1901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1902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663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46157</v>
      </c>
      <c r="M7" s="2">
        <f>WORKDAY(L7,1,$R:$R)</f>
        <v>46160</v>
      </c>
      <c r="N7" s="2">
        <f>WORKDAY(M7,1,$R:$R)</f>
        <v>46161</v>
      </c>
      <c r="R7" s="53">
        <v>45719</v>
      </c>
      <c r="S7" s="4" t="s">
        <v>126</v>
      </c>
    </row>
    <row r="8" spans="1:20">
      <c r="A8" s="13" t="s">
        <v>27</v>
      </c>
      <c r="B8" s="18">
        <v>38267482101.279999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251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36016155646.129997</v>
      </c>
      <c r="C9" s="18">
        <v>94.12</v>
      </c>
      <c r="D9" s="18">
        <v>94.92</v>
      </c>
      <c r="E9" s="13"/>
      <c r="F9" s="13"/>
      <c r="G9" s="13"/>
      <c r="H9" s="13"/>
      <c r="I9" s="13"/>
      <c r="K9" t="s">
        <v>270</v>
      </c>
      <c r="L9" s="40"/>
      <c r="M9" s="42"/>
      <c r="N9" s="7"/>
      <c r="P9" s="3"/>
      <c r="R9" s="53">
        <v>45740</v>
      </c>
    </row>
    <row r="10" spans="1:20">
      <c r="A10" s="13" t="s">
        <v>268</v>
      </c>
      <c r="B10" s="18">
        <v>569384069.03999996</v>
      </c>
      <c r="C10" s="18">
        <v>1.49</v>
      </c>
      <c r="D10" s="94">
        <v>1.5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252</v>
      </c>
      <c r="B11" s="15">
        <v>-1054249000</v>
      </c>
      <c r="C11" s="18">
        <v>-2.75</v>
      </c>
      <c r="D11" s="18">
        <v>-2.78</v>
      </c>
      <c r="E11" s="13"/>
      <c r="F11" s="13"/>
      <c r="G11" s="13"/>
      <c r="H11" s="13"/>
      <c r="I11" s="13"/>
      <c r="K11" s="10" t="s">
        <v>99</v>
      </c>
      <c r="L11" s="38">
        <f>SUMIF($B$91:$B$1225,L7,$D$91:$D$1225)</f>
        <v>283182987.86999995</v>
      </c>
      <c r="M11" s="38">
        <f>SUMIF($B$91:$B$1225,M7,$D$91:$D$1225)</f>
        <v>220106093.56999999</v>
      </c>
      <c r="N11" s="38">
        <f>SUMIF($B$91:$B$1225,N7,$D$91:$D$1225)</f>
        <v>274835512.06999999</v>
      </c>
      <c r="O11" s="80"/>
      <c r="P11" s="9"/>
      <c r="R11" s="53">
        <v>45765</v>
      </c>
    </row>
    <row r="12" spans="1:20">
      <c r="A12" s="13" t="s">
        <v>14</v>
      </c>
      <c r="B12" s="18">
        <v>1973761.49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+SUMIF($B$1230:$B$1250,L7,$F$1230:$F$1250)</f>
        <v>0</v>
      </c>
      <c r="M12" s="52">
        <f t="shared" ref="M12:N12" si="0">+SUMIF($B$1230:$B$1250,M7,$F$1230:$F$1250)</f>
        <v>0</v>
      </c>
      <c r="N12" s="52">
        <f t="shared" si="0"/>
        <v>0</v>
      </c>
      <c r="O12" s="69"/>
      <c r="P12" s="17"/>
      <c r="R12" s="53">
        <v>45778</v>
      </c>
    </row>
    <row r="13" spans="1:20">
      <c r="A13" s="13" t="s">
        <v>26</v>
      </c>
      <c r="B13" s="18">
        <v>1973719.69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271</v>
      </c>
      <c r="L13" s="39">
        <f>SUMIF($A:$A,K13,$E:$E)</f>
        <v>1670000000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426</v>
      </c>
      <c r="B14" s="94">
        <v>41.8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1973719.69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2249352693.6599998</v>
      </c>
      <c r="C15" s="18">
        <v>5.88</v>
      </c>
      <c r="D15" s="18">
        <v>5.93</v>
      </c>
      <c r="E15" s="13"/>
      <c r="F15" s="13"/>
      <c r="G15" s="13"/>
      <c r="H15" s="13"/>
      <c r="I15" s="13"/>
      <c r="K15" t="s">
        <v>124</v>
      </c>
      <c r="L15" s="7">
        <v>2626000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-325519497.44999999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-41621109.950000003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575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-2415090.77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1957782707.5599999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-35641835.619999997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-32380754.09</f>
        <v>-32380754.09</v>
      </c>
      <c r="M19" s="33"/>
      <c r="N19" s="33"/>
      <c r="R19" s="53">
        <v>45886</v>
      </c>
    </row>
    <row r="20" spans="1:20">
      <c r="A20" s="13" t="s">
        <v>125</v>
      </c>
      <c r="B20" s="18">
        <v>-3564183.56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392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-271855791.74000001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404</v>
      </c>
      <c r="L21" s="33"/>
      <c r="M21" s="33"/>
      <c r="N21" s="7"/>
      <c r="R21" s="53">
        <v>45982</v>
      </c>
    </row>
    <row r="22" spans="1:20">
      <c r="A22" s="13" t="s">
        <v>1903</v>
      </c>
      <c r="B22" s="15">
        <v>-50000000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288</v>
      </c>
      <c r="L22" s="33"/>
      <c r="M22" s="33"/>
      <c r="N22"/>
      <c r="R22" s="53">
        <v>45985</v>
      </c>
    </row>
    <row r="23" spans="1:20">
      <c r="A23" s="13" t="s">
        <v>156</v>
      </c>
      <c r="B23" s="18">
        <v>-169002716.27000001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289</v>
      </c>
      <c r="L23" s="150">
        <f>SUMIF(A:A,K23,B:B)</f>
        <v>-50000000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37941962603.830002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796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1967428067.6500001</v>
      </c>
      <c r="C25" s="13" t="s">
        <v>28</v>
      </c>
      <c r="D25" s="18">
        <v>5.19</v>
      </c>
      <c r="E25" s="13"/>
      <c r="F25" s="13"/>
      <c r="G25" s="13"/>
      <c r="H25" s="13"/>
      <c r="I25" s="13"/>
      <c r="K25" s="10" t="s">
        <v>484</v>
      </c>
      <c r="L25" s="100"/>
      <c r="M25" s="100"/>
      <c r="N25" s="7"/>
      <c r="R25" s="53"/>
    </row>
    <row r="26" spans="1:20">
      <c r="A26" s="13" t="s">
        <v>24</v>
      </c>
      <c r="B26" s="94">
        <v>1925806957.7</v>
      </c>
      <c r="C26" s="13" t="s">
        <v>28</v>
      </c>
      <c r="D26" s="18">
        <v>5.08</v>
      </c>
      <c r="E26" s="13"/>
      <c r="F26" s="13"/>
      <c r="G26" s="13"/>
      <c r="H26" s="13"/>
      <c r="I26" s="13"/>
      <c r="K26" s="8" t="s">
        <v>1763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1875401953.47</v>
      </c>
      <c r="M27" s="6">
        <f>SUM(M8:M26)</f>
        <v>220106093.56999999</v>
      </c>
      <c r="N27" s="6">
        <f>SUM(N8:N26)</f>
        <v>274835512.06999999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26702326404.919998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0.70376766441239824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1105</v>
      </c>
      <c r="L40" s="153">
        <f>VLOOKUP("Valor Patrimonial del Fondo",A:B,2,0)+L22+L23</f>
        <v>37891962603.830002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1106</v>
      </c>
      <c r="L41" s="151">
        <f>+L40*0.05</f>
        <v>1894598130.1915002</v>
      </c>
      <c r="N41" s="89"/>
      <c r="O41" s="83"/>
    </row>
    <row r="42" spans="1:17">
      <c r="A42" s="13" t="s">
        <v>664</v>
      </c>
      <c r="B42" s="13"/>
      <c r="C42" s="13"/>
      <c r="D42" s="13"/>
      <c r="E42" s="13"/>
      <c r="F42" s="13"/>
      <c r="G42" s="13"/>
      <c r="H42" s="13"/>
      <c r="I42" s="13"/>
      <c r="K42" s="152" t="s">
        <v>1107</v>
      </c>
      <c r="L42" s="151">
        <f>+L40*0.2</f>
        <v>7578392520.7660007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1795</v>
      </c>
      <c r="B44" s="13" t="s">
        <v>1796</v>
      </c>
      <c r="C44" s="15">
        <v>200000000</v>
      </c>
      <c r="D44" s="98">
        <v>1.1517999999999999</v>
      </c>
      <c r="E44" s="15">
        <v>230366940</v>
      </c>
      <c r="F44" s="18">
        <v>0.61</v>
      </c>
      <c r="G44" s="15">
        <v>0</v>
      </c>
      <c r="H44" s="13" t="s">
        <v>28</v>
      </c>
      <c r="I44" s="145" t="s">
        <v>1797</v>
      </c>
      <c r="J44" s="101"/>
      <c r="K44" s="135"/>
      <c r="N44" s="89"/>
      <c r="O44" s="83"/>
    </row>
    <row r="45" spans="1:17">
      <c r="A45" s="13" t="s">
        <v>576</v>
      </c>
      <c r="B45" s="13" t="s">
        <v>577</v>
      </c>
      <c r="C45" s="15">
        <v>197919126</v>
      </c>
      <c r="D45" s="98">
        <v>1.3098000000000001</v>
      </c>
      <c r="E45" s="18">
        <v>259238675.03999999</v>
      </c>
      <c r="F45" s="18">
        <v>0.68</v>
      </c>
      <c r="G45" s="15">
        <v>0</v>
      </c>
      <c r="H45" s="13" t="s">
        <v>28</v>
      </c>
      <c r="I45" s="145" t="s">
        <v>402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489605615.04000002</v>
      </c>
      <c r="F46" s="18">
        <v>1.29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665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396</v>
      </c>
      <c r="B50" s="13" t="s">
        <v>397</v>
      </c>
      <c r="C50" s="15">
        <v>300000000</v>
      </c>
      <c r="D50" s="98">
        <v>1.0731999999999999</v>
      </c>
      <c r="E50" s="15">
        <v>321969276</v>
      </c>
      <c r="F50" s="18">
        <v>0.85</v>
      </c>
      <c r="G50" s="15">
        <v>1</v>
      </c>
      <c r="H50" s="18">
        <v>7.32</v>
      </c>
      <c r="I50" s="145" t="s">
        <v>398</v>
      </c>
      <c r="N50" s="83"/>
    </row>
    <row r="51" spans="1:18">
      <c r="A51" s="13" t="s">
        <v>1530</v>
      </c>
      <c r="B51" s="13" t="s">
        <v>1531</v>
      </c>
      <c r="C51" s="15">
        <v>300000000</v>
      </c>
      <c r="D51" s="97">
        <v>1.0129999999999999</v>
      </c>
      <c r="E51" s="15">
        <v>303895314</v>
      </c>
      <c r="F51" s="94">
        <v>0.8</v>
      </c>
      <c r="G51" s="15">
        <v>1</v>
      </c>
      <c r="H51" s="94">
        <v>1.3</v>
      </c>
      <c r="I51" s="145" t="s">
        <v>1532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625864590</v>
      </c>
      <c r="F52" s="18">
        <v>1.65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666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220</v>
      </c>
      <c r="B56" s="13" t="s">
        <v>221</v>
      </c>
      <c r="C56" s="15">
        <v>100000000</v>
      </c>
      <c r="D56" s="98">
        <v>0.4052</v>
      </c>
      <c r="E56" s="15">
        <v>40524917</v>
      </c>
      <c r="F56" s="18">
        <v>0.11</v>
      </c>
      <c r="G56" s="98">
        <v>0.98460000000000003</v>
      </c>
      <c r="H56" s="18">
        <v>-58.84</v>
      </c>
      <c r="I56" s="145" t="s">
        <v>222</v>
      </c>
    </row>
    <row r="57" spans="1:18">
      <c r="A57" s="13" t="s">
        <v>370</v>
      </c>
      <c r="B57" s="13" t="s">
        <v>371</v>
      </c>
      <c r="C57" s="15">
        <v>101962042</v>
      </c>
      <c r="D57" s="98">
        <v>1.3170999999999999</v>
      </c>
      <c r="E57" s="18">
        <v>134293840.49000001</v>
      </c>
      <c r="F57" s="18">
        <v>0.35</v>
      </c>
      <c r="G57" s="97">
        <v>0.92400000000000004</v>
      </c>
      <c r="H57" s="18">
        <v>42.54</v>
      </c>
      <c r="I57" s="145" t="s">
        <v>372</v>
      </c>
    </row>
    <row r="58" spans="1:18">
      <c r="A58" s="13" t="s">
        <v>373</v>
      </c>
      <c r="B58" s="13" t="s">
        <v>374</v>
      </c>
      <c r="C58" s="15">
        <v>382357659</v>
      </c>
      <c r="D58" s="98">
        <v>1.0846</v>
      </c>
      <c r="E58" s="18">
        <v>414697106.56</v>
      </c>
      <c r="F58" s="18">
        <v>1.0900000000000001</v>
      </c>
      <c r="G58" s="18">
        <v>0.85</v>
      </c>
      <c r="H58" s="94">
        <v>27.6</v>
      </c>
      <c r="I58" s="145" t="s">
        <v>375</v>
      </c>
    </row>
    <row r="59" spans="1:18">
      <c r="A59" s="13" t="s">
        <v>599</v>
      </c>
      <c r="B59" s="13" t="s">
        <v>600</v>
      </c>
      <c r="C59" s="15">
        <v>75584213</v>
      </c>
      <c r="D59" s="98">
        <v>1.0518000000000001</v>
      </c>
      <c r="E59" s="18">
        <v>79498954.459999993</v>
      </c>
      <c r="F59" s="18">
        <v>0.21</v>
      </c>
      <c r="G59" s="98">
        <v>0.87180000000000002</v>
      </c>
      <c r="H59" s="18">
        <v>20.65</v>
      </c>
      <c r="I59" s="145" t="s">
        <v>601</v>
      </c>
    </row>
    <row r="60" spans="1:18">
      <c r="A60" s="13" t="s">
        <v>602</v>
      </c>
      <c r="B60" s="13" t="s">
        <v>603</v>
      </c>
      <c r="C60" s="15">
        <v>176363163</v>
      </c>
      <c r="D60" s="98">
        <v>0.96440000000000003</v>
      </c>
      <c r="E60" s="94">
        <v>170084362.80000001</v>
      </c>
      <c r="F60" s="18">
        <v>0.45</v>
      </c>
      <c r="G60" s="98">
        <v>0.84460000000000002</v>
      </c>
      <c r="H60" s="18">
        <v>14.18</v>
      </c>
      <c r="I60" s="145" t="s">
        <v>604</v>
      </c>
      <c r="R60" s="9"/>
    </row>
    <row r="61" spans="1:18">
      <c r="A61" s="13" t="s">
        <v>578</v>
      </c>
      <c r="B61" s="13" t="s">
        <v>579</v>
      </c>
      <c r="C61" s="15">
        <v>306275000</v>
      </c>
      <c r="D61" s="98">
        <v>0.44540000000000002</v>
      </c>
      <c r="E61" s="18">
        <v>136403748.84</v>
      </c>
      <c r="F61" s="18">
        <v>0.36</v>
      </c>
      <c r="G61" s="98">
        <v>1.0324</v>
      </c>
      <c r="H61" s="18">
        <v>-56.86</v>
      </c>
      <c r="I61" s="145" t="s">
        <v>580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975502930.14999998</v>
      </c>
      <c r="F62" s="18">
        <v>2.57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667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451</v>
      </c>
      <c r="B66" s="13" t="s">
        <v>28</v>
      </c>
      <c r="C66" s="15">
        <v>-40000</v>
      </c>
      <c r="D66" s="94">
        <v>1401.5</v>
      </c>
      <c r="E66" s="15">
        <v>-56060000</v>
      </c>
      <c r="F66" s="18">
        <v>-0.15</v>
      </c>
      <c r="G66" s="15">
        <v>0</v>
      </c>
      <c r="H66" s="13" t="s">
        <v>28</v>
      </c>
      <c r="I66" s="145" t="s">
        <v>452</v>
      </c>
    </row>
    <row r="67" spans="1:18">
      <c r="A67" s="13" t="s">
        <v>594</v>
      </c>
      <c r="B67" s="13" t="s">
        <v>28</v>
      </c>
      <c r="C67" s="15">
        <v>-314000</v>
      </c>
      <c r="D67" s="94">
        <v>1426.5</v>
      </c>
      <c r="E67" s="15">
        <v>-447921000</v>
      </c>
      <c r="F67" s="18">
        <v>-1.18</v>
      </c>
      <c r="G67" s="15">
        <v>0</v>
      </c>
      <c r="H67" s="13" t="s">
        <v>28</v>
      </c>
      <c r="I67" s="145" t="s">
        <v>228</v>
      </c>
    </row>
    <row r="68" spans="1:18" s="9" customFormat="1">
      <c r="A68" s="13" t="s">
        <v>412</v>
      </c>
      <c r="B68" s="13" t="s">
        <v>28</v>
      </c>
      <c r="C68" s="15">
        <v>-276000</v>
      </c>
      <c r="D68" s="94">
        <v>1455.5</v>
      </c>
      <c r="E68" s="15">
        <v>-401718000</v>
      </c>
      <c r="F68" s="18">
        <v>-1.06</v>
      </c>
      <c r="G68" s="15">
        <v>0</v>
      </c>
      <c r="H68" s="13" t="s">
        <v>28</v>
      </c>
      <c r="I68" s="145" t="s">
        <v>509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1513</v>
      </c>
      <c r="B69" s="13" t="s">
        <v>28</v>
      </c>
      <c r="C69" s="15">
        <v>-100000</v>
      </c>
      <c r="D69" s="94">
        <v>1485.5</v>
      </c>
      <c r="E69" s="15">
        <v>-148550000</v>
      </c>
      <c r="F69" s="18">
        <v>-0.39</v>
      </c>
      <c r="G69" s="15">
        <v>0</v>
      </c>
      <c r="H69" s="13" t="s">
        <v>28</v>
      </c>
      <c r="I69" s="145" t="s">
        <v>1204</v>
      </c>
      <c r="J69" s="70"/>
    </row>
    <row r="70" spans="1:18">
      <c r="A70" s="13"/>
      <c r="B70" s="13" t="s">
        <v>28</v>
      </c>
      <c r="C70" s="15">
        <v>-730000</v>
      </c>
      <c r="D70" s="13" t="s">
        <v>28</v>
      </c>
      <c r="E70" s="15">
        <v>-1054249000</v>
      </c>
      <c r="F70" s="18">
        <v>-2.78</v>
      </c>
      <c r="G70" s="13" t="s">
        <v>28</v>
      </c>
      <c r="H70" s="13" t="s">
        <v>28</v>
      </c>
      <c r="I70" s="13" t="s">
        <v>28</v>
      </c>
    </row>
    <row r="71" spans="1:18">
      <c r="A71" s="13" t="s">
        <v>28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3" t="s">
        <v>1585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4" t="s">
        <v>8</v>
      </c>
      <c r="B73" s="14" t="s">
        <v>108</v>
      </c>
      <c r="C73" s="14" t="s">
        <v>109</v>
      </c>
      <c r="D73" s="14" t="s">
        <v>110</v>
      </c>
      <c r="E73" s="14" t="s">
        <v>2</v>
      </c>
      <c r="F73" s="14" t="s">
        <v>4</v>
      </c>
      <c r="G73" s="14" t="s">
        <v>111</v>
      </c>
      <c r="H73" s="14" t="s">
        <v>112</v>
      </c>
      <c r="I73" s="14" t="s">
        <v>113</v>
      </c>
    </row>
    <row r="74" spans="1:18">
      <c r="A74" s="13" t="s">
        <v>271</v>
      </c>
      <c r="B74" s="13" t="s">
        <v>28</v>
      </c>
      <c r="C74" s="99">
        <v>137341004.14366901</v>
      </c>
      <c r="D74" s="98">
        <v>12.1595</v>
      </c>
      <c r="E74" s="15">
        <v>1670000000</v>
      </c>
      <c r="F74" s="94">
        <v>4.4000000000000004</v>
      </c>
      <c r="G74" s="98">
        <v>12.1595</v>
      </c>
      <c r="H74" s="15">
        <v>0</v>
      </c>
      <c r="I74" s="13" t="s">
        <v>28</v>
      </c>
    </row>
    <row r="75" spans="1:18">
      <c r="A75" s="13"/>
      <c r="B75" s="13" t="s">
        <v>28</v>
      </c>
      <c r="C75" s="99">
        <v>137341004.14366901</v>
      </c>
      <c r="D75" s="13" t="s">
        <v>28</v>
      </c>
      <c r="E75" s="15">
        <v>1670000000</v>
      </c>
      <c r="F75" s="94">
        <v>4.4000000000000004</v>
      </c>
      <c r="G75" s="13" t="s">
        <v>28</v>
      </c>
      <c r="H75" s="13" t="s">
        <v>28</v>
      </c>
      <c r="I75" s="13" t="s">
        <v>28</v>
      </c>
    </row>
    <row r="76" spans="1:18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3" t="s">
        <v>668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4" t="s">
        <v>8</v>
      </c>
      <c r="B78" s="14" t="s">
        <v>108</v>
      </c>
      <c r="C78" s="14" t="s">
        <v>109</v>
      </c>
      <c r="D78" s="14" t="s">
        <v>110</v>
      </c>
      <c r="E78" s="14" t="s">
        <v>2</v>
      </c>
      <c r="F78" s="14" t="s">
        <v>4</v>
      </c>
      <c r="G78" s="14" t="s">
        <v>111</v>
      </c>
      <c r="H78" s="14" t="s">
        <v>112</v>
      </c>
      <c r="I78" s="14" t="s">
        <v>113</v>
      </c>
    </row>
    <row r="79" spans="1:18">
      <c r="A79" s="13" t="s">
        <v>393</v>
      </c>
      <c r="B79" s="13" t="s">
        <v>394</v>
      </c>
      <c r="C79" s="15">
        <v>300000000</v>
      </c>
      <c r="D79" s="98">
        <v>1.0338000000000001</v>
      </c>
      <c r="E79" s="15">
        <v>310145394</v>
      </c>
      <c r="F79" s="18">
        <v>0.82</v>
      </c>
      <c r="G79" s="15">
        <v>0</v>
      </c>
      <c r="H79" s="13" t="s">
        <v>28</v>
      </c>
      <c r="I79" s="145" t="s">
        <v>395</v>
      </c>
    </row>
    <row r="80" spans="1:18">
      <c r="A80" s="13"/>
      <c r="B80" s="13" t="s">
        <v>28</v>
      </c>
      <c r="C80" s="15">
        <v>300000000</v>
      </c>
      <c r="D80" s="13" t="s">
        <v>28</v>
      </c>
      <c r="E80" s="15">
        <v>310145394</v>
      </c>
      <c r="F80" s="18">
        <v>0.82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669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238</v>
      </c>
      <c r="B84" s="14" t="s">
        <v>113</v>
      </c>
      <c r="C84" s="14" t="s">
        <v>239</v>
      </c>
      <c r="D84" s="14" t="s">
        <v>240</v>
      </c>
      <c r="E84" s="14" t="s">
        <v>47</v>
      </c>
      <c r="F84" s="14" t="s">
        <v>2</v>
      </c>
      <c r="G84" s="14" t="s">
        <v>4</v>
      </c>
      <c r="H84" s="14"/>
      <c r="I84" s="14"/>
    </row>
    <row r="85" spans="1:9">
      <c r="A85" s="13" t="s">
        <v>241</v>
      </c>
      <c r="B85" s="145" t="s">
        <v>450</v>
      </c>
      <c r="C85" s="145" t="s">
        <v>462</v>
      </c>
      <c r="D85" s="15">
        <v>30</v>
      </c>
      <c r="E85" s="28">
        <v>37.876424360000001</v>
      </c>
      <c r="F85" s="18">
        <v>586269767.96000004</v>
      </c>
      <c r="G85" s="18">
        <v>1.55</v>
      </c>
      <c r="H85" s="13"/>
      <c r="I85" s="13"/>
    </row>
    <row r="86" spans="1:9">
      <c r="A86" s="13"/>
      <c r="B86" s="13"/>
      <c r="C86" s="13" t="s">
        <v>28</v>
      </c>
      <c r="D86" s="15">
        <v>20</v>
      </c>
      <c r="E86" s="28">
        <v>37.876424360000001</v>
      </c>
      <c r="F86" s="18">
        <v>586269767.96000004</v>
      </c>
      <c r="G86" s="18">
        <v>1.55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670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217</v>
      </c>
      <c r="B91" s="145" t="s">
        <v>218</v>
      </c>
      <c r="C91" s="145" t="s">
        <v>143</v>
      </c>
      <c r="D91" s="15">
        <v>10000000</v>
      </c>
      <c r="E91" s="95">
        <v>0.99373809580000005</v>
      </c>
      <c r="F91" s="18">
        <v>9937380.9600000009</v>
      </c>
      <c r="G91" s="18">
        <v>0.03</v>
      </c>
      <c r="H91" s="13"/>
      <c r="I91" s="13"/>
    </row>
    <row r="92" spans="1:9">
      <c r="A92" s="13" t="s">
        <v>223</v>
      </c>
      <c r="B92" s="145" t="s">
        <v>224</v>
      </c>
      <c r="C92" s="145" t="s">
        <v>144</v>
      </c>
      <c r="D92" s="15">
        <v>10000000</v>
      </c>
      <c r="E92" s="95">
        <v>0.92106597150000002</v>
      </c>
      <c r="F92" s="18">
        <v>9210659.7200000007</v>
      </c>
      <c r="G92" s="18">
        <v>0.02</v>
      </c>
      <c r="H92" s="13"/>
      <c r="I92" s="13"/>
    </row>
    <row r="93" spans="1:9">
      <c r="A93" s="13" t="s">
        <v>225</v>
      </c>
      <c r="B93" s="145" t="s">
        <v>226</v>
      </c>
      <c r="C93" s="145" t="s">
        <v>144</v>
      </c>
      <c r="D93" s="15">
        <v>10000000</v>
      </c>
      <c r="E93" s="95">
        <v>0.95891131159999998</v>
      </c>
      <c r="F93" s="18">
        <v>9589113.1199999992</v>
      </c>
      <c r="G93" s="18">
        <v>0.03</v>
      </c>
      <c r="H93" s="13"/>
      <c r="I93" s="13"/>
    </row>
    <row r="94" spans="1:9">
      <c r="A94" s="13" t="s">
        <v>227</v>
      </c>
      <c r="B94" s="145" t="s">
        <v>228</v>
      </c>
      <c r="C94" s="145" t="s">
        <v>144</v>
      </c>
      <c r="D94" s="15">
        <v>10000000</v>
      </c>
      <c r="E94" s="95">
        <v>0.94407948770000005</v>
      </c>
      <c r="F94" s="18">
        <v>9440794.8800000008</v>
      </c>
      <c r="G94" s="18">
        <v>0.02</v>
      </c>
      <c r="H94" s="13"/>
      <c r="I94" s="13"/>
    </row>
    <row r="95" spans="1:9">
      <c r="A95" s="13" t="s">
        <v>229</v>
      </c>
      <c r="B95" s="145" t="s">
        <v>230</v>
      </c>
      <c r="C95" s="145" t="s">
        <v>144</v>
      </c>
      <c r="D95" s="15">
        <v>10000000</v>
      </c>
      <c r="E95" s="95">
        <v>0.97661476540000003</v>
      </c>
      <c r="F95" s="18">
        <v>9766147.6500000004</v>
      </c>
      <c r="G95" s="18">
        <v>0.03</v>
      </c>
      <c r="H95" s="13"/>
      <c r="I95" s="13"/>
    </row>
    <row r="96" spans="1:9">
      <c r="A96" s="13" t="s">
        <v>243</v>
      </c>
      <c r="B96" s="145" t="s">
        <v>244</v>
      </c>
      <c r="C96" s="145" t="s">
        <v>159</v>
      </c>
      <c r="D96" s="15">
        <v>10000000</v>
      </c>
      <c r="E96" s="95">
        <v>0.82830301650000004</v>
      </c>
      <c r="F96" s="18">
        <v>8283030.1699999999</v>
      </c>
      <c r="G96" s="18">
        <v>0.02</v>
      </c>
      <c r="H96" s="13"/>
      <c r="I96" s="13"/>
    </row>
    <row r="97" spans="1:9">
      <c r="A97" s="13" t="s">
        <v>245</v>
      </c>
      <c r="B97" s="145" t="s">
        <v>246</v>
      </c>
      <c r="C97" s="145" t="s">
        <v>159</v>
      </c>
      <c r="D97" s="15">
        <v>10000000</v>
      </c>
      <c r="E97" s="95">
        <v>0.80967177970000004</v>
      </c>
      <c r="F97" s="94">
        <v>8096717.7999999998</v>
      </c>
      <c r="G97" s="18">
        <v>0.02</v>
      </c>
      <c r="H97" s="13"/>
      <c r="I97" s="13"/>
    </row>
    <row r="98" spans="1:9">
      <c r="A98" s="13" t="s">
        <v>247</v>
      </c>
      <c r="B98" s="145" t="s">
        <v>248</v>
      </c>
      <c r="C98" s="145" t="s">
        <v>159</v>
      </c>
      <c r="D98" s="15">
        <v>10000000</v>
      </c>
      <c r="E98" s="95">
        <v>0.85089521759999998</v>
      </c>
      <c r="F98" s="18">
        <v>8508952.1799999997</v>
      </c>
      <c r="G98" s="18">
        <v>0.02</v>
      </c>
      <c r="H98" s="13"/>
      <c r="I98" s="13"/>
    </row>
    <row r="99" spans="1:9">
      <c r="A99" s="13" t="s">
        <v>401</v>
      </c>
      <c r="B99" s="145" t="s">
        <v>402</v>
      </c>
      <c r="C99" s="145" t="s">
        <v>197</v>
      </c>
      <c r="D99" s="15">
        <v>9000000</v>
      </c>
      <c r="E99" s="95">
        <v>0.98382752790000005</v>
      </c>
      <c r="F99" s="18">
        <v>8854447.75</v>
      </c>
      <c r="G99" s="18">
        <v>0.02</v>
      </c>
      <c r="H99" s="13"/>
      <c r="I99" s="13"/>
    </row>
    <row r="100" spans="1:9">
      <c r="A100" s="13" t="s">
        <v>431</v>
      </c>
      <c r="B100" s="145" t="s">
        <v>430</v>
      </c>
      <c r="C100" s="145" t="s">
        <v>308</v>
      </c>
      <c r="D100" s="18">
        <v>34135700.630000003</v>
      </c>
      <c r="E100" s="95">
        <v>0.97876223849999999</v>
      </c>
      <c r="F100" s="18">
        <v>33410734.760000002</v>
      </c>
      <c r="G100" s="18">
        <v>0.09</v>
      </c>
      <c r="H100" s="13"/>
      <c r="I100" s="13"/>
    </row>
    <row r="101" spans="1:9">
      <c r="A101" s="13" t="s">
        <v>432</v>
      </c>
      <c r="B101" s="145" t="s">
        <v>430</v>
      </c>
      <c r="C101" s="145" t="s">
        <v>308</v>
      </c>
      <c r="D101" s="18">
        <v>40810395.880000003</v>
      </c>
      <c r="E101" s="95">
        <v>0.97876223849999999</v>
      </c>
      <c r="F101" s="18">
        <v>39943674.43</v>
      </c>
      <c r="G101" s="18">
        <v>0.11</v>
      </c>
      <c r="H101" s="13"/>
      <c r="I101" s="13"/>
    </row>
    <row r="102" spans="1:9">
      <c r="A102" s="13" t="s">
        <v>433</v>
      </c>
      <c r="B102" s="145" t="s">
        <v>430</v>
      </c>
      <c r="C102" s="145" t="s">
        <v>308</v>
      </c>
      <c r="D102" s="18">
        <v>41096650.579999998</v>
      </c>
      <c r="E102" s="95">
        <v>0.97876223849999999</v>
      </c>
      <c r="F102" s="18">
        <v>40223849.719999999</v>
      </c>
      <c r="G102" s="18">
        <v>0.11</v>
      </c>
      <c r="H102" s="13"/>
      <c r="I102" s="13"/>
    </row>
    <row r="103" spans="1:9">
      <c r="A103" s="13" t="s">
        <v>434</v>
      </c>
      <c r="B103" s="145" t="s">
        <v>430</v>
      </c>
      <c r="C103" s="145" t="s">
        <v>308</v>
      </c>
      <c r="D103" s="18">
        <v>23922046.510000002</v>
      </c>
      <c r="E103" s="95">
        <v>0.97876223849999999</v>
      </c>
      <c r="F103" s="18">
        <v>23413995.789999999</v>
      </c>
      <c r="G103" s="18">
        <v>0.06</v>
      </c>
      <c r="H103" s="13"/>
      <c r="I103" s="13"/>
    </row>
    <row r="104" spans="1:9">
      <c r="A104" s="13" t="s">
        <v>435</v>
      </c>
      <c r="B104" s="145" t="s">
        <v>430</v>
      </c>
      <c r="C104" s="145" t="s">
        <v>308</v>
      </c>
      <c r="D104" s="18">
        <v>12430325.390000001</v>
      </c>
      <c r="E104" s="95">
        <v>0.97876223849999999</v>
      </c>
      <c r="F104" s="94">
        <v>12166333.1</v>
      </c>
      <c r="G104" s="18">
        <v>0.03</v>
      </c>
      <c r="H104" s="13"/>
      <c r="I104" s="13"/>
    </row>
    <row r="105" spans="1:9">
      <c r="A105" s="13" t="s">
        <v>436</v>
      </c>
      <c r="B105" s="145" t="s">
        <v>430</v>
      </c>
      <c r="C105" s="145" t="s">
        <v>308</v>
      </c>
      <c r="D105" s="18">
        <v>15602439.939999999</v>
      </c>
      <c r="E105" s="95">
        <v>0.97876223849999999</v>
      </c>
      <c r="F105" s="18">
        <v>15271079.039999999</v>
      </c>
      <c r="G105" s="18">
        <v>0.04</v>
      </c>
      <c r="H105" s="13"/>
      <c r="I105" s="13"/>
    </row>
    <row r="106" spans="1:9">
      <c r="A106" s="13" t="s">
        <v>437</v>
      </c>
      <c r="B106" s="145" t="s">
        <v>430</v>
      </c>
      <c r="C106" s="145" t="s">
        <v>308</v>
      </c>
      <c r="D106" s="18">
        <v>13748562.060000001</v>
      </c>
      <c r="E106" s="95">
        <v>0.97876223910000004</v>
      </c>
      <c r="F106" s="18">
        <v>13456573.390000001</v>
      </c>
      <c r="G106" s="18">
        <v>0.04</v>
      </c>
      <c r="H106" s="13"/>
      <c r="I106" s="13"/>
    </row>
    <row r="107" spans="1:9">
      <c r="A107" s="13" t="s">
        <v>438</v>
      </c>
      <c r="B107" s="145" t="s">
        <v>430</v>
      </c>
      <c r="C107" s="145" t="s">
        <v>308</v>
      </c>
      <c r="D107" s="18">
        <v>36521375.57</v>
      </c>
      <c r="E107" s="95">
        <v>0.97876223849999999</v>
      </c>
      <c r="F107" s="18">
        <v>35745743.310000002</v>
      </c>
      <c r="G107" s="18">
        <v>0.09</v>
      </c>
      <c r="H107" s="13"/>
      <c r="I107" s="13"/>
    </row>
    <row r="108" spans="1:9">
      <c r="A108" s="13" t="s">
        <v>439</v>
      </c>
      <c r="B108" s="145" t="s">
        <v>430</v>
      </c>
      <c r="C108" s="145" t="s">
        <v>308</v>
      </c>
      <c r="D108" s="18">
        <v>18406614.07</v>
      </c>
      <c r="E108" s="95">
        <v>0.97876223849999999</v>
      </c>
      <c r="F108" s="18">
        <v>18015698.789999999</v>
      </c>
      <c r="G108" s="18">
        <v>0.05</v>
      </c>
      <c r="H108" s="13"/>
      <c r="I108" s="13"/>
    </row>
    <row r="109" spans="1:9">
      <c r="A109" s="13" t="s">
        <v>440</v>
      </c>
      <c r="B109" s="145" t="s">
        <v>430</v>
      </c>
      <c r="C109" s="145" t="s">
        <v>308</v>
      </c>
      <c r="D109" s="18">
        <v>2726842.54</v>
      </c>
      <c r="E109" s="95">
        <v>0.97876223330000001</v>
      </c>
      <c r="F109" s="18">
        <v>2668930.4900000002</v>
      </c>
      <c r="G109" s="18">
        <v>0.01</v>
      </c>
      <c r="H109" s="13"/>
      <c r="I109" s="13"/>
    </row>
    <row r="110" spans="1:9">
      <c r="A110" s="13" t="s">
        <v>453</v>
      </c>
      <c r="B110" s="145" t="s">
        <v>454</v>
      </c>
      <c r="C110" s="145" t="s">
        <v>269</v>
      </c>
      <c r="D110" s="15">
        <v>14350000</v>
      </c>
      <c r="E110" s="95">
        <v>0.99087851230000001</v>
      </c>
      <c r="F110" s="18">
        <v>14219106.65</v>
      </c>
      <c r="G110" s="18">
        <v>0.04</v>
      </c>
      <c r="H110" s="13"/>
      <c r="I110" s="13"/>
    </row>
    <row r="111" spans="1:9">
      <c r="A111" s="13" t="s">
        <v>455</v>
      </c>
      <c r="B111" s="145" t="s">
        <v>456</v>
      </c>
      <c r="C111" s="145" t="s">
        <v>269</v>
      </c>
      <c r="D111" s="15">
        <v>14350000</v>
      </c>
      <c r="E111" s="95">
        <v>0.95599791270000001</v>
      </c>
      <c r="F111" s="18">
        <v>13718570.050000001</v>
      </c>
      <c r="G111" s="18">
        <v>0.04</v>
      </c>
      <c r="H111" s="13"/>
      <c r="I111" s="13"/>
    </row>
    <row r="112" spans="1:9">
      <c r="A112" s="13" t="s">
        <v>465</v>
      </c>
      <c r="B112" s="145" t="s">
        <v>466</v>
      </c>
      <c r="C112" s="145" t="s">
        <v>277</v>
      </c>
      <c r="D112" s="15">
        <v>10000000</v>
      </c>
      <c r="E112" s="95">
        <v>0.99395458410000004</v>
      </c>
      <c r="F112" s="18">
        <v>9939545.8399999999</v>
      </c>
      <c r="G112" s="18">
        <v>0.03</v>
      </c>
      <c r="H112" s="13"/>
      <c r="I112" s="13"/>
    </row>
    <row r="113" spans="1:9">
      <c r="A113" s="13" t="s">
        <v>467</v>
      </c>
      <c r="B113" s="145" t="s">
        <v>218</v>
      </c>
      <c r="C113" s="145" t="s">
        <v>277</v>
      </c>
      <c r="D113" s="15">
        <v>10000000</v>
      </c>
      <c r="E113" s="95">
        <v>0.99495707720000004</v>
      </c>
      <c r="F113" s="18">
        <v>9949570.7699999996</v>
      </c>
      <c r="G113" s="18">
        <v>0.03</v>
      </c>
      <c r="H113" s="13"/>
      <c r="I113" s="13"/>
    </row>
    <row r="114" spans="1:9">
      <c r="A114" s="13" t="s">
        <v>472</v>
      </c>
      <c r="B114" s="145" t="s">
        <v>413</v>
      </c>
      <c r="C114" s="145" t="s">
        <v>318</v>
      </c>
      <c r="D114" s="15">
        <v>6530318</v>
      </c>
      <c r="E114" s="95">
        <v>0.94234891639999996</v>
      </c>
      <c r="F114" s="18">
        <v>6153838.0899999999</v>
      </c>
      <c r="G114" s="18">
        <v>0.02</v>
      </c>
      <c r="H114" s="13"/>
      <c r="I114" s="13"/>
    </row>
    <row r="115" spans="1:9">
      <c r="A115" s="13" t="s">
        <v>473</v>
      </c>
      <c r="B115" s="145" t="s">
        <v>474</v>
      </c>
      <c r="C115" s="145" t="s">
        <v>318</v>
      </c>
      <c r="D115" s="15">
        <v>6530318</v>
      </c>
      <c r="E115" s="95">
        <v>0.96326402079999995</v>
      </c>
      <c r="F115" s="18">
        <v>6290420.3700000001</v>
      </c>
      <c r="G115" s="18">
        <v>0.02</v>
      </c>
      <c r="H115" s="13"/>
      <c r="I115" s="13"/>
    </row>
    <row r="116" spans="1:9">
      <c r="A116" s="13" t="s">
        <v>475</v>
      </c>
      <c r="B116" s="145" t="s">
        <v>476</v>
      </c>
      <c r="C116" s="145" t="s">
        <v>318</v>
      </c>
      <c r="D116" s="15">
        <v>6530318</v>
      </c>
      <c r="E116" s="95">
        <v>0.98590028559999998</v>
      </c>
      <c r="F116" s="18">
        <v>6438242.3799999999</v>
      </c>
      <c r="G116" s="18">
        <v>0.02</v>
      </c>
      <c r="H116" s="13"/>
      <c r="I116" s="13"/>
    </row>
    <row r="117" spans="1:9">
      <c r="A117" s="13" t="s">
        <v>477</v>
      </c>
      <c r="B117" s="145" t="s">
        <v>430</v>
      </c>
      <c r="C117" s="145" t="s">
        <v>283</v>
      </c>
      <c r="D117" s="15">
        <v>20000000</v>
      </c>
      <c r="E117" s="95">
        <v>0.97302200279999995</v>
      </c>
      <c r="F117" s="18">
        <v>19460440.059999999</v>
      </c>
      <c r="G117" s="18">
        <v>0.05</v>
      </c>
      <c r="H117" s="13"/>
      <c r="I117" s="13"/>
    </row>
    <row r="118" spans="1:9">
      <c r="A118" s="13" t="s">
        <v>478</v>
      </c>
      <c r="B118" s="145" t="s">
        <v>479</v>
      </c>
      <c r="C118" s="145" t="s">
        <v>283</v>
      </c>
      <c r="D118" s="15">
        <v>25000000</v>
      </c>
      <c r="E118" s="95">
        <v>0.99563557629999999</v>
      </c>
      <c r="F118" s="18">
        <v>24890889.41</v>
      </c>
      <c r="G118" s="18">
        <v>7.0000000000000007E-2</v>
      </c>
      <c r="H118" s="13"/>
      <c r="I118" s="13"/>
    </row>
    <row r="119" spans="1:9">
      <c r="A119" s="13" t="s">
        <v>480</v>
      </c>
      <c r="B119" s="145" t="s">
        <v>481</v>
      </c>
      <c r="C119" s="145" t="s">
        <v>283</v>
      </c>
      <c r="D119" s="15">
        <v>25000000</v>
      </c>
      <c r="E119" s="95">
        <v>0.98702001979999998</v>
      </c>
      <c r="F119" s="94">
        <v>24675500.5</v>
      </c>
      <c r="G119" s="18">
        <v>7.0000000000000007E-2</v>
      </c>
      <c r="H119" s="13"/>
      <c r="I119" s="13"/>
    </row>
    <row r="120" spans="1:9">
      <c r="A120" s="13" t="s">
        <v>482</v>
      </c>
      <c r="B120" s="145" t="s">
        <v>476</v>
      </c>
      <c r="C120" s="145" t="s">
        <v>283</v>
      </c>
      <c r="D120" s="15">
        <v>25000000</v>
      </c>
      <c r="E120" s="95">
        <v>0.98065559420000004</v>
      </c>
      <c r="F120" s="18">
        <v>24516389.859999999</v>
      </c>
      <c r="G120" s="18">
        <v>0.06</v>
      </c>
      <c r="H120" s="13"/>
      <c r="I120" s="13"/>
    </row>
    <row r="121" spans="1:9">
      <c r="A121" s="13" t="s">
        <v>485</v>
      </c>
      <c r="B121" s="145" t="s">
        <v>481</v>
      </c>
      <c r="C121" s="145" t="s">
        <v>365</v>
      </c>
      <c r="D121" s="15">
        <v>15000000</v>
      </c>
      <c r="E121" s="95">
        <v>0.98510202010000003</v>
      </c>
      <c r="F121" s="94">
        <v>14776530.300000001</v>
      </c>
      <c r="G121" s="18">
        <v>0.04</v>
      </c>
      <c r="H121" s="13"/>
      <c r="I121" s="13"/>
    </row>
    <row r="122" spans="1:9">
      <c r="A122" s="13" t="s">
        <v>486</v>
      </c>
      <c r="B122" s="145" t="s">
        <v>218</v>
      </c>
      <c r="C122" s="145" t="s">
        <v>365</v>
      </c>
      <c r="D122" s="15">
        <v>15000000</v>
      </c>
      <c r="E122" s="95">
        <v>0.9937381086</v>
      </c>
      <c r="F122" s="18">
        <v>14906071.630000001</v>
      </c>
      <c r="G122" s="18">
        <v>0.04</v>
      </c>
      <c r="H122" s="13"/>
      <c r="I122" s="13"/>
    </row>
    <row r="123" spans="1:9">
      <c r="A123" s="13" t="s">
        <v>487</v>
      </c>
      <c r="B123" s="145" t="s">
        <v>488</v>
      </c>
      <c r="C123" s="145" t="s">
        <v>210</v>
      </c>
      <c r="D123" s="15">
        <v>7500000</v>
      </c>
      <c r="E123" s="95">
        <v>0.97750407429999997</v>
      </c>
      <c r="F123" s="18">
        <v>7331280.5599999996</v>
      </c>
      <c r="G123" s="18">
        <v>0.02</v>
      </c>
      <c r="H123" s="13"/>
      <c r="I123" s="13"/>
    </row>
    <row r="124" spans="1:9">
      <c r="A124" s="13" t="s">
        <v>489</v>
      </c>
      <c r="B124" s="145" t="s">
        <v>476</v>
      </c>
      <c r="C124" s="145" t="s">
        <v>210</v>
      </c>
      <c r="D124" s="15">
        <v>5000000</v>
      </c>
      <c r="E124" s="95">
        <v>0.98065560039999999</v>
      </c>
      <c r="F124" s="15">
        <v>4903278</v>
      </c>
      <c r="G124" s="18">
        <v>0.01</v>
      </c>
      <c r="H124" s="13"/>
      <c r="I124" s="13"/>
    </row>
    <row r="125" spans="1:9">
      <c r="A125" s="13" t="s">
        <v>502</v>
      </c>
      <c r="B125" s="145" t="s">
        <v>501</v>
      </c>
      <c r="C125" s="145" t="s">
        <v>334</v>
      </c>
      <c r="D125" s="15">
        <v>25000000</v>
      </c>
      <c r="E125" s="95">
        <v>0.96919809940000001</v>
      </c>
      <c r="F125" s="18">
        <v>24229952.489999998</v>
      </c>
      <c r="G125" s="18">
        <v>0.06</v>
      </c>
      <c r="H125" s="13"/>
      <c r="I125" s="13"/>
    </row>
    <row r="126" spans="1:9">
      <c r="A126" s="13" t="s">
        <v>503</v>
      </c>
      <c r="B126" s="145" t="s">
        <v>504</v>
      </c>
      <c r="C126" s="145" t="s">
        <v>290</v>
      </c>
      <c r="D126" s="15">
        <v>45000000</v>
      </c>
      <c r="E126" s="95">
        <v>0.93293131370000004</v>
      </c>
      <c r="F126" s="18">
        <v>41981909.119999997</v>
      </c>
      <c r="G126" s="18">
        <v>0.11</v>
      </c>
      <c r="H126" s="13"/>
      <c r="I126" s="13"/>
    </row>
    <row r="127" spans="1:9">
      <c r="A127" s="13" t="s">
        <v>505</v>
      </c>
      <c r="B127" s="145" t="s">
        <v>226</v>
      </c>
      <c r="C127" s="145" t="s">
        <v>290</v>
      </c>
      <c r="D127" s="15">
        <v>45000000</v>
      </c>
      <c r="E127" s="95">
        <v>0.96321317620000002</v>
      </c>
      <c r="F127" s="18">
        <v>43344592.93</v>
      </c>
      <c r="G127" s="18">
        <v>0.11</v>
      </c>
      <c r="H127" s="13"/>
      <c r="I127" s="13"/>
    </row>
    <row r="128" spans="1:9">
      <c r="A128" s="13" t="s">
        <v>506</v>
      </c>
      <c r="B128" s="145" t="s">
        <v>507</v>
      </c>
      <c r="C128" s="145" t="s">
        <v>290</v>
      </c>
      <c r="D128" s="15">
        <v>45000000</v>
      </c>
      <c r="E128" s="96">
        <v>0.958030469</v>
      </c>
      <c r="F128" s="18">
        <v>43111371.109999999</v>
      </c>
      <c r="G128" s="18">
        <v>0.11</v>
      </c>
      <c r="H128" s="13"/>
      <c r="I128" s="13"/>
    </row>
    <row r="129" spans="1:16">
      <c r="A129" s="13" t="s">
        <v>508</v>
      </c>
      <c r="B129" s="145" t="s">
        <v>509</v>
      </c>
      <c r="C129" s="145" t="s">
        <v>290</v>
      </c>
      <c r="D129" s="15">
        <v>40000000</v>
      </c>
      <c r="E129" s="95">
        <v>0.91944194270000001</v>
      </c>
      <c r="F129" s="18">
        <v>36777677.710000001</v>
      </c>
      <c r="G129" s="94">
        <v>0.1</v>
      </c>
      <c r="H129" s="13"/>
      <c r="I129" s="13"/>
    </row>
    <row r="130" spans="1:16">
      <c r="A130" s="13" t="s">
        <v>510</v>
      </c>
      <c r="B130" s="145" t="s">
        <v>511</v>
      </c>
      <c r="C130" s="145" t="s">
        <v>290</v>
      </c>
      <c r="D130" s="15">
        <v>3000000</v>
      </c>
      <c r="E130" s="95">
        <v>0.90221477640000003</v>
      </c>
      <c r="F130" s="18">
        <v>2706644.33</v>
      </c>
      <c r="G130" s="18">
        <v>0.01</v>
      </c>
      <c r="H130" s="13"/>
      <c r="I130" s="13"/>
    </row>
    <row r="131" spans="1:16">
      <c r="A131" s="13" t="s">
        <v>512</v>
      </c>
      <c r="B131" s="145" t="s">
        <v>513</v>
      </c>
      <c r="C131" s="145" t="s">
        <v>290</v>
      </c>
      <c r="D131" s="15">
        <v>3000000</v>
      </c>
      <c r="E131" s="95">
        <v>0.93193080939999995</v>
      </c>
      <c r="F131" s="18">
        <v>2795792.43</v>
      </c>
      <c r="G131" s="18">
        <v>0.01</v>
      </c>
      <c r="H131" s="13"/>
      <c r="I131" s="13"/>
    </row>
    <row r="132" spans="1:16">
      <c r="A132" s="13" t="s">
        <v>514</v>
      </c>
      <c r="B132" s="145" t="s">
        <v>515</v>
      </c>
      <c r="C132" s="145" t="s">
        <v>290</v>
      </c>
      <c r="D132" s="15">
        <v>3000000</v>
      </c>
      <c r="E132" s="95">
        <v>0.96257816220000003</v>
      </c>
      <c r="F132" s="18">
        <v>2887734.49</v>
      </c>
      <c r="G132" s="18">
        <v>0.01</v>
      </c>
      <c r="H132" s="13"/>
      <c r="I132" s="13"/>
    </row>
    <row r="133" spans="1:16">
      <c r="A133" s="13" t="s">
        <v>516</v>
      </c>
      <c r="B133" s="145" t="s">
        <v>226</v>
      </c>
      <c r="C133" s="145" t="s">
        <v>290</v>
      </c>
      <c r="D133" s="15">
        <v>3500000</v>
      </c>
      <c r="E133" s="95">
        <v>0.96148780450000004</v>
      </c>
      <c r="F133" s="18">
        <v>3365207.32</v>
      </c>
      <c r="G133" s="18">
        <v>0.01</v>
      </c>
      <c r="H133" s="13"/>
      <c r="I133" s="13"/>
    </row>
    <row r="134" spans="1:16">
      <c r="A134" s="13" t="s">
        <v>517</v>
      </c>
      <c r="B134" s="145" t="s">
        <v>518</v>
      </c>
      <c r="C134" s="145" t="s">
        <v>290</v>
      </c>
      <c r="D134" s="15">
        <v>3500000</v>
      </c>
      <c r="E134" s="95">
        <v>0.89839520179999999</v>
      </c>
      <c r="F134" s="18">
        <v>3144383.21</v>
      </c>
      <c r="G134" s="18">
        <v>0.01</v>
      </c>
      <c r="H134" s="13"/>
      <c r="I134" s="13"/>
    </row>
    <row r="135" spans="1:16">
      <c r="A135" s="13" t="s">
        <v>519</v>
      </c>
      <c r="B135" s="145" t="s">
        <v>520</v>
      </c>
      <c r="C135" s="145" t="s">
        <v>290</v>
      </c>
      <c r="D135" s="15">
        <v>3500000</v>
      </c>
      <c r="E135" s="95">
        <v>0.93090872589999996</v>
      </c>
      <c r="F135" s="18">
        <v>3258180.54</v>
      </c>
      <c r="G135" s="18">
        <v>0.01</v>
      </c>
      <c r="H135" s="13"/>
      <c r="I135" s="13"/>
    </row>
    <row r="136" spans="1:16">
      <c r="A136" s="13" t="s">
        <v>521</v>
      </c>
      <c r="B136" s="145" t="s">
        <v>244</v>
      </c>
      <c r="C136" s="145" t="s">
        <v>290</v>
      </c>
      <c r="D136" s="15">
        <v>3500000</v>
      </c>
      <c r="E136" s="95">
        <v>0.89744549969999998</v>
      </c>
      <c r="F136" s="18">
        <v>3141059.25</v>
      </c>
      <c r="G136" s="18">
        <v>0.01</v>
      </c>
      <c r="H136" s="13"/>
      <c r="I136" s="13"/>
    </row>
    <row r="137" spans="1:16">
      <c r="A137" s="13" t="s">
        <v>522</v>
      </c>
      <c r="B137" s="145" t="s">
        <v>504</v>
      </c>
      <c r="C137" s="145" t="s">
        <v>290</v>
      </c>
      <c r="D137" s="15">
        <v>3500000</v>
      </c>
      <c r="E137" s="95">
        <v>0.9298890487</v>
      </c>
      <c r="F137" s="18">
        <v>3254611.67</v>
      </c>
      <c r="G137" s="18">
        <v>0.01</v>
      </c>
      <c r="H137" s="13"/>
      <c r="I137" s="13"/>
    </row>
    <row r="138" spans="1:16">
      <c r="A138" s="13" t="s">
        <v>523</v>
      </c>
      <c r="B138" s="145" t="s">
        <v>524</v>
      </c>
      <c r="C138" s="145" t="s">
        <v>290</v>
      </c>
      <c r="D138" s="15">
        <v>3500000</v>
      </c>
      <c r="E138" s="95">
        <v>0.96040003490000003</v>
      </c>
      <c r="F138" s="18">
        <v>3361400.12</v>
      </c>
      <c r="G138" s="18">
        <v>0.01</v>
      </c>
      <c r="H138" s="13"/>
      <c r="I138" s="13"/>
    </row>
    <row r="139" spans="1:16">
      <c r="A139" s="13" t="s">
        <v>529</v>
      </c>
      <c r="B139" s="145" t="s">
        <v>530</v>
      </c>
      <c r="C139" s="145" t="s">
        <v>321</v>
      </c>
      <c r="D139" s="15">
        <v>25000000</v>
      </c>
      <c r="E139" s="95">
        <v>0.9826621271</v>
      </c>
      <c r="F139" s="18">
        <v>24566553.18</v>
      </c>
      <c r="G139" s="18">
        <v>0.06</v>
      </c>
      <c r="H139" s="13"/>
      <c r="I139" s="13"/>
    </row>
    <row r="140" spans="1:16">
      <c r="A140" s="13" t="s">
        <v>531</v>
      </c>
      <c r="B140" s="145" t="s">
        <v>230</v>
      </c>
      <c r="C140" s="145" t="s">
        <v>321</v>
      </c>
      <c r="D140" s="15">
        <v>25000000</v>
      </c>
      <c r="E140" s="95">
        <v>0.97661479959999997</v>
      </c>
      <c r="F140" s="18">
        <v>24415369.989999998</v>
      </c>
      <c r="G140" s="18">
        <v>0.06</v>
      </c>
      <c r="H140" s="13"/>
      <c r="I140" s="13"/>
    </row>
    <row r="141" spans="1:16">
      <c r="A141" s="13" t="s">
        <v>534</v>
      </c>
      <c r="B141" s="145" t="s">
        <v>535</v>
      </c>
      <c r="C141" s="145" t="s">
        <v>305</v>
      </c>
      <c r="D141" s="15">
        <v>18208333</v>
      </c>
      <c r="E141" s="95">
        <v>0.96950705339999999</v>
      </c>
      <c r="F141" s="18">
        <v>17653107.27</v>
      </c>
      <c r="G141" s="18">
        <v>0.05</v>
      </c>
      <c r="H141" s="13"/>
      <c r="I141" s="13"/>
    </row>
    <row r="142" spans="1:16">
      <c r="A142" s="13" t="s">
        <v>536</v>
      </c>
      <c r="B142" s="145" t="s">
        <v>515</v>
      </c>
      <c r="C142" s="145" t="s">
        <v>305</v>
      </c>
      <c r="D142" s="15">
        <v>18208333</v>
      </c>
      <c r="E142" s="95">
        <v>0.96425647079999999</v>
      </c>
      <c r="F142" s="18">
        <v>17557502.920000002</v>
      </c>
      <c r="G142" s="18">
        <v>0.05</v>
      </c>
      <c r="H142" s="13"/>
      <c r="I142" s="13"/>
    </row>
    <row r="143" spans="1:16">
      <c r="A143" s="13" t="s">
        <v>537</v>
      </c>
      <c r="B143" s="145" t="s">
        <v>218</v>
      </c>
      <c r="C143" s="145" t="s">
        <v>305</v>
      </c>
      <c r="D143" s="15">
        <v>50000000</v>
      </c>
      <c r="E143" s="95">
        <v>0.99468594079999995</v>
      </c>
      <c r="F143" s="18">
        <v>49734297.039999999</v>
      </c>
      <c r="G143" s="18">
        <v>0.13</v>
      </c>
      <c r="H143" s="13"/>
      <c r="I143" s="13"/>
    </row>
    <row r="144" spans="1:16">
      <c r="A144" s="13" t="s">
        <v>539</v>
      </c>
      <c r="B144" s="145" t="s">
        <v>218</v>
      </c>
      <c r="C144" s="145" t="s">
        <v>368</v>
      </c>
      <c r="D144" s="18">
        <v>13254473.130000001</v>
      </c>
      <c r="E144" s="96">
        <v>0.99414410799999997</v>
      </c>
      <c r="F144" s="18">
        <v>13176856.369999999</v>
      </c>
      <c r="G144" s="18">
        <v>0.03</v>
      </c>
      <c r="H144" s="13"/>
      <c r="I144" s="13"/>
      <c r="O144" s="69"/>
      <c r="P144" s="9"/>
    </row>
    <row r="145" spans="1:14">
      <c r="A145" s="13" t="s">
        <v>540</v>
      </c>
      <c r="B145" s="145" t="s">
        <v>456</v>
      </c>
      <c r="C145" s="145" t="s">
        <v>368</v>
      </c>
      <c r="D145" s="15">
        <v>10000000</v>
      </c>
      <c r="E145" s="95">
        <v>0.95800529860000005</v>
      </c>
      <c r="F145" s="18">
        <v>9580052.9900000002</v>
      </c>
      <c r="G145" s="18">
        <v>0.03</v>
      </c>
      <c r="H145" s="13"/>
      <c r="I145" s="13"/>
      <c r="N145" s="69"/>
    </row>
    <row r="146" spans="1:14">
      <c r="A146" s="13" t="s">
        <v>541</v>
      </c>
      <c r="B146" s="145" t="s">
        <v>228</v>
      </c>
      <c r="C146" s="145" t="s">
        <v>368</v>
      </c>
      <c r="D146" s="15">
        <v>10000000</v>
      </c>
      <c r="E146" s="95">
        <v>0.95101621830000005</v>
      </c>
      <c r="F146" s="18">
        <v>9510162.1799999997</v>
      </c>
      <c r="G146" s="18">
        <v>0.03</v>
      </c>
      <c r="H146" s="13"/>
      <c r="I146" s="13"/>
    </row>
    <row r="147" spans="1:14">
      <c r="A147" s="13" t="s">
        <v>542</v>
      </c>
      <c r="B147" s="145" t="s">
        <v>543</v>
      </c>
      <c r="C147" s="145" t="s">
        <v>368</v>
      </c>
      <c r="D147" s="15">
        <v>10000000</v>
      </c>
      <c r="E147" s="95">
        <v>0.97126139990000004</v>
      </c>
      <c r="F147" s="15">
        <v>9712614</v>
      </c>
      <c r="G147" s="18">
        <v>0.03</v>
      </c>
      <c r="H147" s="13"/>
      <c r="I147" s="13"/>
    </row>
    <row r="148" spans="1:14">
      <c r="A148" s="13" t="s">
        <v>544</v>
      </c>
      <c r="B148" s="145" t="s">
        <v>226</v>
      </c>
      <c r="C148" s="145" t="s">
        <v>368</v>
      </c>
      <c r="D148" s="15">
        <v>10000000</v>
      </c>
      <c r="E148" s="96">
        <v>0.964078188</v>
      </c>
      <c r="F148" s="18">
        <v>9640781.8800000008</v>
      </c>
      <c r="G148" s="18">
        <v>0.03</v>
      </c>
      <c r="H148" s="13"/>
      <c r="I148" s="13"/>
    </row>
    <row r="149" spans="1:14">
      <c r="A149" s="13" t="s">
        <v>545</v>
      </c>
      <c r="B149" s="145" t="s">
        <v>479</v>
      </c>
      <c r="C149" s="145" t="s">
        <v>368</v>
      </c>
      <c r="D149" s="15">
        <v>10000000</v>
      </c>
      <c r="E149" s="96">
        <v>0.99563557599999997</v>
      </c>
      <c r="F149" s="18">
        <v>9956355.7599999998</v>
      </c>
      <c r="G149" s="18">
        <v>0.03</v>
      </c>
      <c r="H149" s="13"/>
      <c r="I149" s="13"/>
    </row>
    <row r="150" spans="1:14">
      <c r="A150" s="13" t="s">
        <v>546</v>
      </c>
      <c r="B150" s="145" t="s">
        <v>476</v>
      </c>
      <c r="C150" s="145" t="s">
        <v>368</v>
      </c>
      <c r="D150" s="15">
        <v>10000000</v>
      </c>
      <c r="E150" s="95">
        <v>0.98065559189999996</v>
      </c>
      <c r="F150" s="18">
        <v>9806555.9199999999</v>
      </c>
      <c r="G150" s="18">
        <v>0.03</v>
      </c>
      <c r="H150" s="13"/>
      <c r="I150" s="13"/>
    </row>
    <row r="151" spans="1:14">
      <c r="A151" s="13" t="s">
        <v>547</v>
      </c>
      <c r="B151" s="145" t="s">
        <v>481</v>
      </c>
      <c r="C151" s="145" t="s">
        <v>368</v>
      </c>
      <c r="D151" s="15">
        <v>10000000</v>
      </c>
      <c r="E151" s="96">
        <v>0.98702001500000003</v>
      </c>
      <c r="F151" s="18">
        <v>9870200.1500000004</v>
      </c>
      <c r="G151" s="18">
        <v>0.03</v>
      </c>
      <c r="H151" s="13"/>
      <c r="I151" s="13"/>
    </row>
    <row r="152" spans="1:14">
      <c r="A152" s="13" t="s">
        <v>548</v>
      </c>
      <c r="B152" s="145" t="s">
        <v>549</v>
      </c>
      <c r="C152" s="145" t="s">
        <v>368</v>
      </c>
      <c r="D152" s="15">
        <v>10000000</v>
      </c>
      <c r="E152" s="95">
        <v>0.94903808970000003</v>
      </c>
      <c r="F152" s="94">
        <v>9490380.9000000004</v>
      </c>
      <c r="G152" s="18">
        <v>0.03</v>
      </c>
      <c r="H152" s="13"/>
      <c r="I152" s="13"/>
    </row>
    <row r="153" spans="1:14">
      <c r="A153" s="13" t="s">
        <v>555</v>
      </c>
      <c r="B153" s="145" t="s">
        <v>226</v>
      </c>
      <c r="C153" s="145" t="s">
        <v>324</v>
      </c>
      <c r="D153" s="15">
        <v>300000000</v>
      </c>
      <c r="E153" s="95">
        <v>0.9614878415</v>
      </c>
      <c r="F153" s="18">
        <v>288446352.44999999</v>
      </c>
      <c r="G153" s="18">
        <v>0.76</v>
      </c>
      <c r="H153" s="13"/>
      <c r="I153" s="13"/>
    </row>
    <row r="154" spans="1:14">
      <c r="A154" s="13" t="s">
        <v>571</v>
      </c>
      <c r="B154" s="145" t="s">
        <v>524</v>
      </c>
      <c r="C154" s="145" t="s">
        <v>322</v>
      </c>
      <c r="D154" s="15">
        <v>300000000</v>
      </c>
      <c r="E154" s="95">
        <v>0.96039998630000001</v>
      </c>
      <c r="F154" s="18">
        <v>288119995.88999999</v>
      </c>
      <c r="G154" s="18">
        <v>0.76</v>
      </c>
      <c r="H154" s="13"/>
      <c r="I154" s="13"/>
    </row>
    <row r="155" spans="1:14">
      <c r="A155" s="13" t="s">
        <v>572</v>
      </c>
      <c r="B155" s="145" t="s">
        <v>524</v>
      </c>
      <c r="C155" s="145" t="s">
        <v>322</v>
      </c>
      <c r="D155" s="15">
        <v>300000000</v>
      </c>
      <c r="E155" s="95">
        <v>0.96039998630000001</v>
      </c>
      <c r="F155" s="18">
        <v>288119995.88999999</v>
      </c>
      <c r="G155" s="18">
        <v>0.76</v>
      </c>
      <c r="H155" s="13"/>
      <c r="I155" s="13"/>
    </row>
    <row r="156" spans="1:14">
      <c r="A156" s="13" t="s">
        <v>581</v>
      </c>
      <c r="B156" s="145" t="s">
        <v>582</v>
      </c>
      <c r="C156" s="145" t="s">
        <v>208</v>
      </c>
      <c r="D156" s="15">
        <v>50000000</v>
      </c>
      <c r="E156" s="95">
        <v>0.91284249829999997</v>
      </c>
      <c r="F156" s="18">
        <v>45642124.920000002</v>
      </c>
      <c r="G156" s="18">
        <v>0.12</v>
      </c>
      <c r="H156" s="13"/>
      <c r="I156" s="13"/>
    </row>
    <row r="157" spans="1:14">
      <c r="A157" s="13" t="s">
        <v>583</v>
      </c>
      <c r="B157" s="145" t="s">
        <v>218</v>
      </c>
      <c r="C157" s="145" t="s">
        <v>208</v>
      </c>
      <c r="D157" s="15">
        <v>20000000</v>
      </c>
      <c r="E157" s="95">
        <v>0.99414410760000005</v>
      </c>
      <c r="F157" s="18">
        <v>19882882.149999999</v>
      </c>
      <c r="G157" s="18">
        <v>0.05</v>
      </c>
      <c r="H157" s="13"/>
      <c r="I157" s="13"/>
    </row>
    <row r="158" spans="1:14">
      <c r="A158" s="13" t="s">
        <v>584</v>
      </c>
      <c r="B158" s="145" t="s">
        <v>479</v>
      </c>
      <c r="C158" s="145" t="s">
        <v>208</v>
      </c>
      <c r="D158" s="15">
        <v>20000000</v>
      </c>
      <c r="E158" s="95">
        <v>0.99530977720000002</v>
      </c>
      <c r="F158" s="18">
        <v>19906195.539999999</v>
      </c>
      <c r="G158" s="18">
        <v>0.05</v>
      </c>
      <c r="H158" s="13"/>
      <c r="I158" s="13"/>
    </row>
    <row r="159" spans="1:14">
      <c r="A159" s="13" t="s">
        <v>586</v>
      </c>
      <c r="B159" s="145" t="s">
        <v>587</v>
      </c>
      <c r="C159" s="145" t="s">
        <v>208</v>
      </c>
      <c r="D159" s="15">
        <v>20000000</v>
      </c>
      <c r="E159" s="96">
        <v>0.99882330399999997</v>
      </c>
      <c r="F159" s="18">
        <v>19976466.079999998</v>
      </c>
      <c r="G159" s="18">
        <v>0.05</v>
      </c>
      <c r="H159" s="13"/>
      <c r="I159" s="13"/>
    </row>
    <row r="160" spans="1:14">
      <c r="A160" s="13" t="s">
        <v>588</v>
      </c>
      <c r="B160" s="145" t="s">
        <v>530</v>
      </c>
      <c r="C160" s="145" t="s">
        <v>208</v>
      </c>
      <c r="D160" s="15">
        <v>13126885</v>
      </c>
      <c r="E160" s="95">
        <v>0.98488939610000004</v>
      </c>
      <c r="F160" s="18">
        <v>12928529.84</v>
      </c>
      <c r="G160" s="18">
        <v>0.03</v>
      </c>
      <c r="H160" s="13"/>
      <c r="I160" s="13"/>
    </row>
    <row r="161" spans="1:9">
      <c r="A161" s="13" t="s">
        <v>589</v>
      </c>
      <c r="B161" s="145" t="s">
        <v>590</v>
      </c>
      <c r="C161" s="145" t="s">
        <v>208</v>
      </c>
      <c r="D161" s="18">
        <v>7421535.6900000004</v>
      </c>
      <c r="E161" s="95">
        <v>0.99238717860000003</v>
      </c>
      <c r="F161" s="18">
        <v>7365036.8600000003</v>
      </c>
      <c r="G161" s="18">
        <v>0.02</v>
      </c>
      <c r="H161" s="13"/>
      <c r="I161" s="13"/>
    </row>
    <row r="162" spans="1:9">
      <c r="A162" s="13" t="s">
        <v>605</v>
      </c>
      <c r="B162" s="145" t="s">
        <v>226</v>
      </c>
      <c r="C162" s="145" t="s">
        <v>303</v>
      </c>
      <c r="D162" s="15">
        <v>3000000</v>
      </c>
      <c r="E162" s="95">
        <v>0.96407827710000005</v>
      </c>
      <c r="F162" s="18">
        <v>2892234.83</v>
      </c>
      <c r="G162" s="18">
        <v>0.01</v>
      </c>
      <c r="H162" s="13"/>
      <c r="I162" s="13"/>
    </row>
    <row r="163" spans="1:9">
      <c r="A163" s="13" t="s">
        <v>606</v>
      </c>
      <c r="B163" s="145" t="s">
        <v>607</v>
      </c>
      <c r="C163" s="145" t="s">
        <v>303</v>
      </c>
      <c r="D163" s="15">
        <v>3500000</v>
      </c>
      <c r="E163" s="95">
        <v>0.9549974255</v>
      </c>
      <c r="F163" s="18">
        <v>3342490.99</v>
      </c>
      <c r="G163" s="18">
        <v>0.01</v>
      </c>
      <c r="H163" s="13"/>
      <c r="I163" s="13"/>
    </row>
    <row r="164" spans="1:9">
      <c r="A164" s="13" t="s">
        <v>608</v>
      </c>
      <c r="B164" s="145" t="s">
        <v>609</v>
      </c>
      <c r="C164" s="145" t="s">
        <v>303</v>
      </c>
      <c r="D164" s="15">
        <v>3500000</v>
      </c>
      <c r="E164" s="95">
        <v>0.93159787819999995</v>
      </c>
      <c r="F164" s="18">
        <v>3260592.57</v>
      </c>
      <c r="G164" s="18">
        <v>0.01</v>
      </c>
      <c r="H164" s="13"/>
      <c r="I164" s="13"/>
    </row>
    <row r="165" spans="1:9">
      <c r="A165" s="13" t="s">
        <v>610</v>
      </c>
      <c r="B165" s="145" t="s">
        <v>611</v>
      </c>
      <c r="C165" s="145" t="s">
        <v>303</v>
      </c>
      <c r="D165" s="15">
        <v>3500000</v>
      </c>
      <c r="E165" s="95">
        <v>0.92780895809999997</v>
      </c>
      <c r="F165" s="18">
        <v>3247331.35</v>
      </c>
      <c r="G165" s="18">
        <v>0.01</v>
      </c>
      <c r="H165" s="13"/>
      <c r="I165" s="13"/>
    </row>
    <row r="166" spans="1:9">
      <c r="A166" s="13" t="s">
        <v>612</v>
      </c>
      <c r="B166" s="145" t="s">
        <v>530</v>
      </c>
      <c r="C166" s="145" t="s">
        <v>303</v>
      </c>
      <c r="D166" s="15">
        <v>3000000</v>
      </c>
      <c r="E166" s="95">
        <v>0.98488938120000002</v>
      </c>
      <c r="F166" s="18">
        <v>2954668.14</v>
      </c>
      <c r="G166" s="18">
        <v>0.01</v>
      </c>
      <c r="H166" s="13"/>
      <c r="I166" s="13"/>
    </row>
    <row r="167" spans="1:9">
      <c r="A167" s="13" t="s">
        <v>613</v>
      </c>
      <c r="B167" s="145" t="s">
        <v>614</v>
      </c>
      <c r="C167" s="145" t="s">
        <v>303</v>
      </c>
      <c r="D167" s="15">
        <v>3500000</v>
      </c>
      <c r="E167" s="28">
        <v>0.92311588</v>
      </c>
      <c r="F167" s="18">
        <v>3230905.58</v>
      </c>
      <c r="G167" s="18">
        <v>0.01</v>
      </c>
      <c r="H167" s="13"/>
      <c r="I167" s="13"/>
    </row>
    <row r="168" spans="1:9">
      <c r="A168" s="13" t="s">
        <v>615</v>
      </c>
      <c r="B168" s="145" t="s">
        <v>520</v>
      </c>
      <c r="C168" s="145" t="s">
        <v>328</v>
      </c>
      <c r="D168" s="15">
        <v>4100000</v>
      </c>
      <c r="E168" s="95">
        <v>0.93541784930000005</v>
      </c>
      <c r="F168" s="18">
        <v>3835213.18</v>
      </c>
      <c r="G168" s="18">
        <v>0.01</v>
      </c>
      <c r="H168" s="13"/>
      <c r="I168" s="13"/>
    </row>
    <row r="169" spans="1:9">
      <c r="A169" s="13" t="s">
        <v>616</v>
      </c>
      <c r="B169" s="145" t="s">
        <v>504</v>
      </c>
      <c r="C169" s="145" t="s">
        <v>328</v>
      </c>
      <c r="D169" s="15">
        <v>4100000</v>
      </c>
      <c r="E169" s="95">
        <v>0.93445986820000004</v>
      </c>
      <c r="F169" s="18">
        <v>3831285.46</v>
      </c>
      <c r="G169" s="18">
        <v>0.01</v>
      </c>
      <c r="H169" s="13"/>
      <c r="I169" s="13"/>
    </row>
    <row r="170" spans="1:9">
      <c r="A170" s="13" t="s">
        <v>617</v>
      </c>
      <c r="B170" s="145" t="s">
        <v>609</v>
      </c>
      <c r="C170" s="145" t="s">
        <v>328</v>
      </c>
      <c r="D170" s="15">
        <v>4100000</v>
      </c>
      <c r="E170" s="95">
        <v>0.93159785269999995</v>
      </c>
      <c r="F170" s="94">
        <v>3819551.2</v>
      </c>
      <c r="G170" s="18">
        <v>0.01</v>
      </c>
      <c r="H170" s="13"/>
      <c r="I170" s="13"/>
    </row>
    <row r="171" spans="1:9">
      <c r="A171" s="13" t="s">
        <v>618</v>
      </c>
      <c r="B171" s="145" t="s">
        <v>224</v>
      </c>
      <c r="C171" s="145" t="s">
        <v>328</v>
      </c>
      <c r="D171" s="15">
        <v>4100000</v>
      </c>
      <c r="E171" s="95">
        <v>0.93064768040000001</v>
      </c>
      <c r="F171" s="18">
        <v>3815655.49</v>
      </c>
      <c r="G171" s="18">
        <v>0.01</v>
      </c>
      <c r="H171" s="13"/>
      <c r="I171" s="13"/>
    </row>
    <row r="172" spans="1:9">
      <c r="A172" s="13" t="s">
        <v>619</v>
      </c>
      <c r="B172" s="145" t="s">
        <v>620</v>
      </c>
      <c r="C172" s="145" t="s">
        <v>328</v>
      </c>
      <c r="D172" s="15">
        <v>4100000</v>
      </c>
      <c r="E172" s="95">
        <v>0.92498744519999998</v>
      </c>
      <c r="F172" s="18">
        <v>3792448.53</v>
      </c>
      <c r="G172" s="18">
        <v>0.01</v>
      </c>
      <c r="H172" s="13"/>
      <c r="I172" s="13"/>
    </row>
    <row r="173" spans="1:9">
      <c r="A173" s="13" t="s">
        <v>621</v>
      </c>
      <c r="B173" s="145" t="s">
        <v>509</v>
      </c>
      <c r="C173" s="145" t="s">
        <v>328</v>
      </c>
      <c r="D173" s="15">
        <v>4600000</v>
      </c>
      <c r="E173" s="95">
        <v>0.92125199449999995</v>
      </c>
      <c r="F173" s="18">
        <v>4237759.17</v>
      </c>
      <c r="G173" s="18">
        <v>0.01</v>
      </c>
      <c r="H173" s="13"/>
      <c r="I173" s="13"/>
    </row>
    <row r="174" spans="1:9">
      <c r="A174" s="13" t="s">
        <v>622</v>
      </c>
      <c r="B174" s="145" t="s">
        <v>524</v>
      </c>
      <c r="C174" s="145" t="s">
        <v>328</v>
      </c>
      <c r="D174" s="15">
        <v>3800000</v>
      </c>
      <c r="E174" s="95">
        <v>0.96306073140000004</v>
      </c>
      <c r="F174" s="18">
        <v>3659630.78</v>
      </c>
      <c r="G174" s="18">
        <v>0.01</v>
      </c>
      <c r="H174" s="13"/>
      <c r="I174" s="13"/>
    </row>
    <row r="175" spans="1:9">
      <c r="A175" s="13" t="s">
        <v>623</v>
      </c>
      <c r="B175" s="145" t="s">
        <v>624</v>
      </c>
      <c r="C175" s="145" t="s">
        <v>328</v>
      </c>
      <c r="D175" s="15">
        <v>4100000</v>
      </c>
      <c r="E175" s="95">
        <v>0.92969943470000005</v>
      </c>
      <c r="F175" s="18">
        <v>3811767.68</v>
      </c>
      <c r="G175" s="18">
        <v>0.01</v>
      </c>
      <c r="H175" s="13"/>
      <c r="I175" s="13"/>
    </row>
    <row r="176" spans="1:9">
      <c r="A176" s="13" t="s">
        <v>625</v>
      </c>
      <c r="B176" s="145" t="s">
        <v>626</v>
      </c>
      <c r="C176" s="145" t="s">
        <v>328</v>
      </c>
      <c r="D176" s="15">
        <v>4100000</v>
      </c>
      <c r="E176" s="95">
        <v>0.92405069610000001</v>
      </c>
      <c r="F176" s="18">
        <v>3788607.85</v>
      </c>
      <c r="G176" s="18">
        <v>0.01</v>
      </c>
      <c r="H176" s="13"/>
      <c r="I176" s="13"/>
    </row>
    <row r="177" spans="1:14">
      <c r="A177" s="13" t="s">
        <v>627</v>
      </c>
      <c r="B177" s="145" t="s">
        <v>614</v>
      </c>
      <c r="C177" s="145" t="s">
        <v>328</v>
      </c>
      <c r="D177" s="15">
        <v>4100000</v>
      </c>
      <c r="E177" s="95">
        <v>0.92311585340000002</v>
      </c>
      <c r="F177" s="15">
        <v>3784775</v>
      </c>
      <c r="G177" s="18">
        <v>0.01</v>
      </c>
      <c r="H177" s="13"/>
      <c r="I177" s="13"/>
    </row>
    <row r="178" spans="1:14">
      <c r="A178" s="13" t="s">
        <v>628</v>
      </c>
      <c r="B178" s="145" t="s">
        <v>549</v>
      </c>
      <c r="C178" s="145" t="s">
        <v>328</v>
      </c>
      <c r="D178" s="15">
        <v>3800000</v>
      </c>
      <c r="E178" s="95">
        <v>0.94903803289999999</v>
      </c>
      <c r="F178" s="18">
        <v>3606344.53</v>
      </c>
      <c r="G178" s="18">
        <v>0.01</v>
      </c>
      <c r="H178" s="13"/>
      <c r="I178" s="13"/>
    </row>
    <row r="179" spans="1:14">
      <c r="A179" s="13" t="s">
        <v>630</v>
      </c>
      <c r="B179" s="145" t="s">
        <v>535</v>
      </c>
      <c r="C179" s="145" t="s">
        <v>302</v>
      </c>
      <c r="D179" s="15">
        <v>20000000</v>
      </c>
      <c r="E179" s="95">
        <v>0.96591517260000004</v>
      </c>
      <c r="F179" s="18">
        <v>19318303.449999999</v>
      </c>
      <c r="G179" s="18">
        <v>0.05</v>
      </c>
      <c r="H179" s="13"/>
      <c r="I179" s="13"/>
    </row>
    <row r="180" spans="1:14">
      <c r="A180" s="13" t="s">
        <v>631</v>
      </c>
      <c r="B180" s="145" t="s">
        <v>226</v>
      </c>
      <c r="C180" s="145" t="s">
        <v>302</v>
      </c>
      <c r="D180" s="15">
        <v>20000000</v>
      </c>
      <c r="E180" s="95">
        <v>0.95891143489999997</v>
      </c>
      <c r="F180" s="94">
        <v>19178228.699999999</v>
      </c>
      <c r="G180" s="18">
        <v>0.05</v>
      </c>
      <c r="H180" s="13"/>
      <c r="I180" s="13"/>
    </row>
    <row r="181" spans="1:14">
      <c r="A181" s="13" t="s">
        <v>632</v>
      </c>
      <c r="B181" s="145" t="s">
        <v>524</v>
      </c>
      <c r="C181" s="145" t="s">
        <v>302</v>
      </c>
      <c r="D181" s="15">
        <v>20000000</v>
      </c>
      <c r="E181" s="95">
        <v>0.95775395919999995</v>
      </c>
      <c r="F181" s="18">
        <v>19155079.18</v>
      </c>
      <c r="G181" s="18">
        <v>0.05</v>
      </c>
      <c r="H181" s="13"/>
      <c r="I181" s="13"/>
      <c r="N181" s="69"/>
    </row>
    <row r="182" spans="1:14">
      <c r="A182" s="13" t="s">
        <v>633</v>
      </c>
      <c r="B182" s="145" t="s">
        <v>634</v>
      </c>
      <c r="C182" s="145" t="s">
        <v>302</v>
      </c>
      <c r="D182" s="15">
        <v>20000000</v>
      </c>
      <c r="E182" s="95">
        <v>0.94972950430000003</v>
      </c>
      <c r="F182" s="18">
        <v>18994590.09</v>
      </c>
      <c r="G182" s="18">
        <v>0.05</v>
      </c>
      <c r="H182" s="13"/>
      <c r="I182" s="13"/>
    </row>
    <row r="183" spans="1:14">
      <c r="A183" s="13" t="s">
        <v>636</v>
      </c>
      <c r="B183" s="145" t="s">
        <v>466</v>
      </c>
      <c r="C183" s="145" t="s">
        <v>304</v>
      </c>
      <c r="D183" s="15">
        <v>20000000</v>
      </c>
      <c r="E183" s="95">
        <v>0.99298114940000004</v>
      </c>
      <c r="F183" s="18">
        <v>19859622.989999998</v>
      </c>
      <c r="G183" s="18">
        <v>0.05</v>
      </c>
      <c r="H183" s="13"/>
      <c r="I183" s="13"/>
    </row>
    <row r="184" spans="1:14">
      <c r="A184" s="13" t="s">
        <v>637</v>
      </c>
      <c r="B184" s="145" t="s">
        <v>590</v>
      </c>
      <c r="C184" s="145" t="s">
        <v>304</v>
      </c>
      <c r="D184" s="15">
        <v>20000000</v>
      </c>
      <c r="E184" s="95">
        <v>0.99182089689999997</v>
      </c>
      <c r="F184" s="18">
        <v>19836417.940000001</v>
      </c>
      <c r="G184" s="18">
        <v>0.05</v>
      </c>
      <c r="H184" s="13"/>
      <c r="I184" s="13"/>
    </row>
    <row r="185" spans="1:14">
      <c r="A185" s="13" t="s">
        <v>638</v>
      </c>
      <c r="B185" s="145" t="s">
        <v>476</v>
      </c>
      <c r="C185" s="145" t="s">
        <v>304</v>
      </c>
      <c r="D185" s="15">
        <v>20000000</v>
      </c>
      <c r="E185" s="95">
        <v>0.97923490359999998</v>
      </c>
      <c r="F185" s="18">
        <v>19584698.07</v>
      </c>
      <c r="G185" s="18">
        <v>0.05</v>
      </c>
      <c r="H185" s="13"/>
      <c r="I185" s="13"/>
    </row>
    <row r="186" spans="1:14">
      <c r="A186" s="13" t="s">
        <v>639</v>
      </c>
      <c r="B186" s="145" t="s">
        <v>587</v>
      </c>
      <c r="C186" s="145" t="s">
        <v>304</v>
      </c>
      <c r="D186" s="15">
        <v>15000000</v>
      </c>
      <c r="E186" s="95">
        <v>0.99882330529999996</v>
      </c>
      <c r="F186" s="18">
        <v>14982349.58</v>
      </c>
      <c r="G186" s="18">
        <v>0.04</v>
      </c>
      <c r="H186" s="13"/>
      <c r="I186" s="13"/>
    </row>
    <row r="187" spans="1:14">
      <c r="A187" s="13" t="s">
        <v>640</v>
      </c>
      <c r="B187" s="145" t="s">
        <v>479</v>
      </c>
      <c r="C187" s="145" t="s">
        <v>304</v>
      </c>
      <c r="D187" s="15">
        <v>15000000</v>
      </c>
      <c r="E187" s="95">
        <v>0.99530978260000003</v>
      </c>
      <c r="F187" s="18">
        <v>14929646.74</v>
      </c>
      <c r="G187" s="18">
        <v>0.04</v>
      </c>
      <c r="H187" s="13"/>
      <c r="I187" s="13"/>
    </row>
    <row r="188" spans="1:14">
      <c r="A188" s="13" t="s">
        <v>641</v>
      </c>
      <c r="B188" s="145" t="s">
        <v>402</v>
      </c>
      <c r="C188" s="145" t="s">
        <v>304</v>
      </c>
      <c r="D188" s="15">
        <v>20000000</v>
      </c>
      <c r="E188" s="95">
        <v>0.98263564530000003</v>
      </c>
      <c r="F188" s="18">
        <v>19652712.91</v>
      </c>
      <c r="G188" s="18">
        <v>0.05</v>
      </c>
      <c r="H188" s="13"/>
      <c r="I188" s="13"/>
    </row>
    <row r="189" spans="1:14">
      <c r="A189" s="13" t="s">
        <v>642</v>
      </c>
      <c r="B189" s="145" t="s">
        <v>230</v>
      </c>
      <c r="C189" s="145" t="s">
        <v>304</v>
      </c>
      <c r="D189" s="15">
        <v>20000000</v>
      </c>
      <c r="E189" s="95">
        <v>0.97810651739999999</v>
      </c>
      <c r="F189" s="18">
        <v>19562130.350000001</v>
      </c>
      <c r="G189" s="18">
        <v>0.05</v>
      </c>
      <c r="H189" s="13"/>
      <c r="I189" s="13"/>
    </row>
    <row r="190" spans="1:14">
      <c r="A190" s="13" t="s">
        <v>643</v>
      </c>
      <c r="B190" s="145" t="s">
        <v>218</v>
      </c>
      <c r="C190" s="145" t="s">
        <v>304</v>
      </c>
      <c r="D190" s="15">
        <v>12000000</v>
      </c>
      <c r="E190" s="95">
        <v>0.99414408649999997</v>
      </c>
      <c r="F190" s="18">
        <v>11929729.039999999</v>
      </c>
      <c r="G190" s="18">
        <v>0.03</v>
      </c>
      <c r="H190" s="13"/>
      <c r="I190" s="13"/>
    </row>
    <row r="191" spans="1:14">
      <c r="A191" s="13" t="s">
        <v>644</v>
      </c>
      <c r="B191" s="145" t="s">
        <v>645</v>
      </c>
      <c r="C191" s="145" t="s">
        <v>304</v>
      </c>
      <c r="D191" s="15">
        <v>12000000</v>
      </c>
      <c r="E191" s="95">
        <v>0.98491600879999996</v>
      </c>
      <c r="F191" s="18">
        <v>11818992.109999999</v>
      </c>
      <c r="G191" s="18">
        <v>0.03</v>
      </c>
      <c r="H191" s="13"/>
      <c r="I191" s="13"/>
    </row>
    <row r="192" spans="1:14">
      <c r="A192" s="13" t="s">
        <v>646</v>
      </c>
      <c r="B192" s="145" t="s">
        <v>230</v>
      </c>
      <c r="C192" s="145" t="s">
        <v>304</v>
      </c>
      <c r="D192" s="18">
        <v>92108211.489999995</v>
      </c>
      <c r="E192" s="95">
        <v>0.97810651739999999</v>
      </c>
      <c r="F192" s="18">
        <v>90091641.959999993</v>
      </c>
      <c r="G192" s="18">
        <v>0.24</v>
      </c>
      <c r="H192" s="13"/>
      <c r="I192" s="13"/>
    </row>
    <row r="193" spans="1:14">
      <c r="A193" s="13" t="s">
        <v>647</v>
      </c>
      <c r="B193" s="145" t="s">
        <v>488</v>
      </c>
      <c r="C193" s="145" t="s">
        <v>304</v>
      </c>
      <c r="D193" s="15">
        <v>5000000</v>
      </c>
      <c r="E193" s="95">
        <v>0.98026056510000004</v>
      </c>
      <c r="F193" s="18">
        <v>4901302.83</v>
      </c>
      <c r="G193" s="18">
        <v>0.01</v>
      </c>
      <c r="H193" s="13"/>
      <c r="I193" s="13"/>
    </row>
    <row r="194" spans="1:14">
      <c r="A194" s="13" t="s">
        <v>648</v>
      </c>
      <c r="B194" s="145" t="s">
        <v>649</v>
      </c>
      <c r="C194" s="145" t="s">
        <v>304</v>
      </c>
      <c r="D194" s="15">
        <v>5000000</v>
      </c>
      <c r="E194" s="95">
        <v>0.97658868759999995</v>
      </c>
      <c r="F194" s="18">
        <v>4882943.4400000004</v>
      </c>
      <c r="G194" s="18">
        <v>0.01</v>
      </c>
      <c r="H194" s="13"/>
      <c r="I194" s="13"/>
    </row>
    <row r="195" spans="1:14">
      <c r="A195" s="13" t="s">
        <v>650</v>
      </c>
      <c r="B195" s="145" t="s">
        <v>535</v>
      </c>
      <c r="C195" s="145" t="s">
        <v>304</v>
      </c>
      <c r="D195" s="15">
        <v>5000000</v>
      </c>
      <c r="E195" s="95">
        <v>0.97385280080000003</v>
      </c>
      <c r="F195" s="15">
        <v>4869264</v>
      </c>
      <c r="G195" s="18">
        <v>0.01</v>
      </c>
      <c r="H195" s="13"/>
      <c r="I195" s="13"/>
    </row>
    <row r="196" spans="1:14">
      <c r="A196" s="13" t="s">
        <v>651</v>
      </c>
      <c r="B196" s="145" t="s">
        <v>515</v>
      </c>
      <c r="C196" s="145" t="s">
        <v>304</v>
      </c>
      <c r="D196" s="15">
        <v>5000000</v>
      </c>
      <c r="E196" s="95">
        <v>0.96932683279999998</v>
      </c>
      <c r="F196" s="18">
        <v>4846634.16</v>
      </c>
      <c r="G196" s="18">
        <v>0.01</v>
      </c>
      <c r="H196" s="13"/>
      <c r="I196" s="13"/>
    </row>
    <row r="197" spans="1:14">
      <c r="A197" s="13" t="s">
        <v>652</v>
      </c>
      <c r="B197" s="145" t="s">
        <v>524</v>
      </c>
      <c r="C197" s="145" t="s">
        <v>304</v>
      </c>
      <c r="D197" s="15">
        <v>5000000</v>
      </c>
      <c r="E197" s="95">
        <v>0.96752826759999999</v>
      </c>
      <c r="F197" s="18">
        <v>4837641.34</v>
      </c>
      <c r="G197" s="18">
        <v>0.01</v>
      </c>
      <c r="H197" s="13"/>
      <c r="I197" s="13"/>
      <c r="N197" s="69"/>
    </row>
    <row r="198" spans="1:14">
      <c r="A198" s="13" t="s">
        <v>653</v>
      </c>
      <c r="B198" s="145" t="s">
        <v>507</v>
      </c>
      <c r="C198" s="145" t="s">
        <v>304</v>
      </c>
      <c r="D198" s="15">
        <v>5000000</v>
      </c>
      <c r="E198" s="95">
        <v>0.96395097740000002</v>
      </c>
      <c r="F198" s="18">
        <v>4819754.8899999997</v>
      </c>
      <c r="G198" s="18">
        <v>0.01</v>
      </c>
      <c r="H198" s="13"/>
      <c r="I198" s="13"/>
    </row>
    <row r="199" spans="1:14">
      <c r="A199" s="13" t="s">
        <v>654</v>
      </c>
      <c r="B199" s="145" t="s">
        <v>634</v>
      </c>
      <c r="C199" s="145" t="s">
        <v>304</v>
      </c>
      <c r="D199" s="15">
        <v>5000000</v>
      </c>
      <c r="E199" s="95">
        <v>0.96128535059999998</v>
      </c>
      <c r="F199" s="18">
        <v>4806426.75</v>
      </c>
      <c r="G199" s="18">
        <v>0.01</v>
      </c>
      <c r="H199" s="13"/>
      <c r="I199" s="13"/>
    </row>
    <row r="200" spans="1:14">
      <c r="A200" s="13" t="s">
        <v>655</v>
      </c>
      <c r="B200" s="145" t="s">
        <v>656</v>
      </c>
      <c r="C200" s="145" t="s">
        <v>304</v>
      </c>
      <c r="D200" s="15">
        <v>5000000</v>
      </c>
      <c r="E200" s="95">
        <v>0.95775399059999999</v>
      </c>
      <c r="F200" s="18">
        <v>4788769.95</v>
      </c>
      <c r="G200" s="18">
        <v>0.01</v>
      </c>
      <c r="H200" s="13"/>
      <c r="I200" s="13"/>
    </row>
    <row r="201" spans="1:14">
      <c r="A201" s="13" t="s">
        <v>657</v>
      </c>
      <c r="B201" s="145" t="s">
        <v>228</v>
      </c>
      <c r="C201" s="145" t="s">
        <v>304</v>
      </c>
      <c r="D201" s="15">
        <v>5000000</v>
      </c>
      <c r="E201" s="95">
        <v>0.95687516210000001</v>
      </c>
      <c r="F201" s="18">
        <v>4784375.8099999996</v>
      </c>
      <c r="G201" s="18">
        <v>0.01</v>
      </c>
      <c r="H201" s="13"/>
      <c r="I201" s="13"/>
    </row>
    <row r="202" spans="1:14">
      <c r="A202" s="13" t="s">
        <v>658</v>
      </c>
      <c r="B202" s="145" t="s">
        <v>549</v>
      </c>
      <c r="C202" s="145" t="s">
        <v>304</v>
      </c>
      <c r="D202" s="15">
        <v>5000000</v>
      </c>
      <c r="E202" s="95">
        <v>0.95512234029999998</v>
      </c>
      <c r="F202" s="94">
        <v>4775611.7</v>
      </c>
      <c r="G202" s="18">
        <v>0.01</v>
      </c>
      <c r="H202" s="13"/>
      <c r="I202" s="13"/>
    </row>
    <row r="203" spans="1:14">
      <c r="A203" s="13" t="s">
        <v>659</v>
      </c>
      <c r="B203" s="145" t="s">
        <v>450</v>
      </c>
      <c r="C203" s="145" t="s">
        <v>304</v>
      </c>
      <c r="D203" s="15">
        <v>50000000</v>
      </c>
      <c r="E203" s="95">
        <v>0.98065564270000005</v>
      </c>
      <c r="F203" s="18">
        <v>49032782.140000001</v>
      </c>
      <c r="G203" s="18">
        <v>0.13</v>
      </c>
      <c r="H203" s="13"/>
      <c r="I203" s="13"/>
    </row>
    <row r="204" spans="1:14">
      <c r="A204" s="13" t="s">
        <v>660</v>
      </c>
      <c r="B204" s="145" t="s">
        <v>402</v>
      </c>
      <c r="C204" s="145" t="s">
        <v>304</v>
      </c>
      <c r="D204" s="15">
        <v>50000000</v>
      </c>
      <c r="E204" s="95">
        <v>0.98542118990000005</v>
      </c>
      <c r="F204" s="94">
        <v>49271059.5</v>
      </c>
      <c r="G204" s="18">
        <v>0.13</v>
      </c>
      <c r="H204" s="13"/>
      <c r="I204" s="13"/>
    </row>
    <row r="205" spans="1:14">
      <c r="A205" s="13" t="s">
        <v>661</v>
      </c>
      <c r="B205" s="145" t="s">
        <v>535</v>
      </c>
      <c r="C205" s="145" t="s">
        <v>304</v>
      </c>
      <c r="D205" s="15">
        <v>438000000</v>
      </c>
      <c r="E205" s="95">
        <v>0.97167509490000004</v>
      </c>
      <c r="F205" s="18">
        <v>425593691.56999999</v>
      </c>
      <c r="G205" s="18">
        <v>1.1200000000000001</v>
      </c>
      <c r="H205" s="13"/>
      <c r="I205" s="13"/>
    </row>
    <row r="206" spans="1:14">
      <c r="A206" s="13" t="s">
        <v>671</v>
      </c>
      <c r="B206" s="145" t="s">
        <v>466</v>
      </c>
      <c r="C206" s="145" t="s">
        <v>377</v>
      </c>
      <c r="D206" s="15">
        <v>45844820</v>
      </c>
      <c r="E206" s="95">
        <v>0.99346761350000001</v>
      </c>
      <c r="F206" s="18">
        <v>45545343.920000002</v>
      </c>
      <c r="G206" s="18">
        <v>0.12</v>
      </c>
      <c r="H206" s="13"/>
      <c r="I206" s="13"/>
    </row>
    <row r="207" spans="1:14">
      <c r="A207" s="13" t="s">
        <v>672</v>
      </c>
      <c r="B207" s="145" t="s">
        <v>466</v>
      </c>
      <c r="C207" s="145" t="s">
        <v>377</v>
      </c>
      <c r="D207" s="15">
        <v>50000000</v>
      </c>
      <c r="E207" s="95">
        <v>0.99314323370000002</v>
      </c>
      <c r="F207" s="18">
        <v>49657161.689999998</v>
      </c>
      <c r="G207" s="18">
        <v>0.13</v>
      </c>
      <c r="H207" s="13"/>
      <c r="I207" s="13"/>
    </row>
    <row r="208" spans="1:14">
      <c r="A208" s="13" t="s">
        <v>678</v>
      </c>
      <c r="B208" s="145" t="s">
        <v>501</v>
      </c>
      <c r="C208" s="145" t="s">
        <v>367</v>
      </c>
      <c r="D208" s="15">
        <v>115000000</v>
      </c>
      <c r="E208" s="95">
        <v>0.96994509979999999</v>
      </c>
      <c r="F208" s="18">
        <v>111543686.48</v>
      </c>
      <c r="G208" s="18">
        <v>0.28999999999999998</v>
      </c>
      <c r="H208" s="13"/>
      <c r="I208" s="13"/>
    </row>
    <row r="209" spans="1:17">
      <c r="A209" s="13" t="s">
        <v>679</v>
      </c>
      <c r="B209" s="145" t="s">
        <v>515</v>
      </c>
      <c r="C209" s="145" t="s">
        <v>367</v>
      </c>
      <c r="D209" s="15">
        <v>115000000</v>
      </c>
      <c r="E209" s="95">
        <v>0.96594077119999999</v>
      </c>
      <c r="F209" s="18">
        <v>111083188.69</v>
      </c>
      <c r="G209" s="18">
        <v>0.28999999999999998</v>
      </c>
      <c r="H209" s="13"/>
      <c r="I209" s="13"/>
    </row>
    <row r="210" spans="1:17">
      <c r="A210" s="13" t="s">
        <v>680</v>
      </c>
      <c r="B210" s="145" t="s">
        <v>248</v>
      </c>
      <c r="C210" s="145" t="s">
        <v>206</v>
      </c>
      <c r="D210" s="15">
        <v>50000000</v>
      </c>
      <c r="E210" s="95">
        <v>0.91754663250000001</v>
      </c>
      <c r="F210" s="18">
        <v>45877331.630000003</v>
      </c>
      <c r="G210" s="18">
        <v>0.12</v>
      </c>
      <c r="H210" s="13"/>
      <c r="I210" s="13"/>
      <c r="Q210" s="9"/>
    </row>
    <row r="211" spans="1:17">
      <c r="A211" s="13" t="s">
        <v>681</v>
      </c>
      <c r="B211" s="145" t="s">
        <v>587</v>
      </c>
      <c r="C211" s="145" t="s">
        <v>206</v>
      </c>
      <c r="D211" s="18">
        <v>3751833.44</v>
      </c>
      <c r="E211" s="95">
        <v>0.99882331030000004</v>
      </c>
      <c r="F211" s="94">
        <v>3747418.7</v>
      </c>
      <c r="G211" s="18">
        <v>0.01</v>
      </c>
      <c r="H211" s="13"/>
      <c r="I211" s="13"/>
    </row>
    <row r="212" spans="1:17">
      <c r="A212" s="13" t="s">
        <v>682</v>
      </c>
      <c r="B212" s="145" t="s">
        <v>454</v>
      </c>
      <c r="C212" s="145" t="s">
        <v>206</v>
      </c>
      <c r="D212" s="18">
        <v>14328116.460000001</v>
      </c>
      <c r="E212" s="95">
        <v>0.99066338440000001</v>
      </c>
      <c r="F212" s="18">
        <v>14194340.34</v>
      </c>
      <c r="G212" s="18">
        <v>0.04</v>
      </c>
      <c r="H212" s="13"/>
      <c r="I212" s="13"/>
    </row>
    <row r="213" spans="1:17">
      <c r="A213" s="13" t="s">
        <v>683</v>
      </c>
      <c r="B213" s="145" t="s">
        <v>476</v>
      </c>
      <c r="C213" s="145" t="s">
        <v>206</v>
      </c>
      <c r="D213" s="15">
        <v>15000000</v>
      </c>
      <c r="E213" s="95">
        <v>0.9792348729</v>
      </c>
      <c r="F213" s="18">
        <v>14688523.09</v>
      </c>
      <c r="G213" s="18">
        <v>0.04</v>
      </c>
      <c r="H213" s="13"/>
      <c r="I213" s="13"/>
    </row>
    <row r="214" spans="1:17">
      <c r="A214" s="13" t="s">
        <v>684</v>
      </c>
      <c r="B214" s="145" t="s">
        <v>230</v>
      </c>
      <c r="C214" s="145" t="s">
        <v>206</v>
      </c>
      <c r="D214" s="15">
        <v>15000000</v>
      </c>
      <c r="E214" s="95">
        <v>0.97810658419999996</v>
      </c>
      <c r="F214" s="18">
        <v>14671598.76</v>
      </c>
      <c r="G214" s="18">
        <v>0.04</v>
      </c>
      <c r="H214" s="13"/>
      <c r="I214" s="13"/>
    </row>
    <row r="215" spans="1:17">
      <c r="A215" s="13" t="s">
        <v>685</v>
      </c>
      <c r="B215" s="145" t="s">
        <v>402</v>
      </c>
      <c r="C215" s="145" t="s">
        <v>206</v>
      </c>
      <c r="D215" s="15">
        <v>15000000</v>
      </c>
      <c r="E215" s="95">
        <v>0.98263561759999996</v>
      </c>
      <c r="F215" s="18">
        <v>14739534.26</v>
      </c>
      <c r="G215" s="18">
        <v>0.04</v>
      </c>
      <c r="H215" s="13"/>
      <c r="I215" s="13"/>
    </row>
    <row r="216" spans="1:17">
      <c r="A216" s="13" t="s">
        <v>686</v>
      </c>
      <c r="B216" s="145" t="s">
        <v>466</v>
      </c>
      <c r="C216" s="145" t="s">
        <v>206</v>
      </c>
      <c r="D216" s="15">
        <v>15000000</v>
      </c>
      <c r="E216" s="95">
        <v>0.99298113769999996</v>
      </c>
      <c r="F216" s="18">
        <v>14894717.07</v>
      </c>
      <c r="G216" s="18">
        <v>0.04</v>
      </c>
      <c r="H216" s="13"/>
      <c r="I216" s="13"/>
    </row>
    <row r="217" spans="1:17">
      <c r="A217" s="13" t="s">
        <v>687</v>
      </c>
      <c r="B217" s="145" t="s">
        <v>590</v>
      </c>
      <c r="C217" s="145" t="s">
        <v>206</v>
      </c>
      <c r="D217" s="15">
        <v>15000000</v>
      </c>
      <c r="E217" s="95">
        <v>0.9918208825</v>
      </c>
      <c r="F217" s="18">
        <v>14877313.24</v>
      </c>
      <c r="G217" s="18">
        <v>0.04</v>
      </c>
      <c r="H217" s="13"/>
      <c r="I217" s="13"/>
    </row>
    <row r="218" spans="1:17">
      <c r="A218" s="13" t="s">
        <v>688</v>
      </c>
      <c r="B218" s="145" t="s">
        <v>481</v>
      </c>
      <c r="C218" s="145" t="s">
        <v>206</v>
      </c>
      <c r="D218" s="15">
        <v>15000000</v>
      </c>
      <c r="E218" s="95">
        <v>0.98606014060000002</v>
      </c>
      <c r="F218" s="18">
        <v>14790902.109999999</v>
      </c>
      <c r="G218" s="18">
        <v>0.04</v>
      </c>
      <c r="H218" s="13"/>
      <c r="I218" s="13"/>
    </row>
    <row r="219" spans="1:17">
      <c r="A219" s="13" t="s">
        <v>689</v>
      </c>
      <c r="B219" s="145" t="s">
        <v>645</v>
      </c>
      <c r="C219" s="145" t="s">
        <v>206</v>
      </c>
      <c r="D219" s="15">
        <v>15000000</v>
      </c>
      <c r="E219" s="95">
        <v>0.98491598670000002</v>
      </c>
      <c r="F219" s="94">
        <v>14773739.800000001</v>
      </c>
      <c r="G219" s="18">
        <v>0.04</v>
      </c>
      <c r="H219" s="13"/>
      <c r="I219" s="13"/>
    </row>
    <row r="220" spans="1:17">
      <c r="A220" s="13" t="s">
        <v>690</v>
      </c>
      <c r="B220" s="145" t="s">
        <v>530</v>
      </c>
      <c r="C220" s="145" t="s">
        <v>206</v>
      </c>
      <c r="D220" s="15">
        <v>15000000</v>
      </c>
      <c r="E220" s="95">
        <v>0.98377448219999997</v>
      </c>
      <c r="F220" s="18">
        <v>14756617.23</v>
      </c>
      <c r="G220" s="18">
        <v>0.04</v>
      </c>
      <c r="H220" s="13"/>
      <c r="I220" s="13"/>
    </row>
    <row r="221" spans="1:17">
      <c r="A221" s="13" t="s">
        <v>691</v>
      </c>
      <c r="B221" s="145" t="s">
        <v>530</v>
      </c>
      <c r="C221" s="145" t="s">
        <v>206</v>
      </c>
      <c r="D221" s="15">
        <v>15000000</v>
      </c>
      <c r="E221" s="95">
        <v>0.98377448219999997</v>
      </c>
      <c r="F221" s="18">
        <v>14756617.23</v>
      </c>
      <c r="G221" s="18">
        <v>0.04</v>
      </c>
      <c r="H221" s="13"/>
      <c r="I221" s="13"/>
    </row>
    <row r="222" spans="1:17">
      <c r="A222" s="13" t="s">
        <v>692</v>
      </c>
      <c r="B222" s="145" t="s">
        <v>218</v>
      </c>
      <c r="C222" s="145" t="s">
        <v>206</v>
      </c>
      <c r="D222" s="15">
        <v>15000000</v>
      </c>
      <c r="E222" s="96">
        <v>0.99414410799999997</v>
      </c>
      <c r="F222" s="18">
        <v>14912161.619999999</v>
      </c>
      <c r="G222" s="18">
        <v>0.04</v>
      </c>
      <c r="H222" s="13"/>
      <c r="I222" s="13"/>
    </row>
    <row r="223" spans="1:17">
      <c r="A223" s="13" t="s">
        <v>693</v>
      </c>
      <c r="B223" s="145" t="s">
        <v>454</v>
      </c>
      <c r="C223" s="145" t="s">
        <v>206</v>
      </c>
      <c r="D223" s="15">
        <v>15000000</v>
      </c>
      <c r="E223" s="96">
        <v>0.99066338399999998</v>
      </c>
      <c r="F223" s="18">
        <v>14859950.76</v>
      </c>
      <c r="G223" s="18">
        <v>0.04</v>
      </c>
      <c r="H223" s="13"/>
      <c r="I223" s="13"/>
    </row>
    <row r="224" spans="1:17">
      <c r="A224" s="13" t="s">
        <v>694</v>
      </c>
      <c r="B224" s="145" t="s">
        <v>218</v>
      </c>
      <c r="C224" s="145" t="s">
        <v>206</v>
      </c>
      <c r="D224" s="18">
        <v>5340010.59</v>
      </c>
      <c r="E224" s="95">
        <v>0.99414410870000003</v>
      </c>
      <c r="F224" s="18">
        <v>5308740.07</v>
      </c>
      <c r="G224" s="18">
        <v>0.01</v>
      </c>
      <c r="H224" s="13"/>
      <c r="I224" s="13"/>
    </row>
    <row r="225" spans="1:9">
      <c r="A225" s="13" t="s">
        <v>695</v>
      </c>
      <c r="B225" s="145" t="s">
        <v>218</v>
      </c>
      <c r="C225" s="145" t="s">
        <v>206</v>
      </c>
      <c r="D225" s="18">
        <v>1031378.83</v>
      </c>
      <c r="E225" s="95">
        <v>0.99414410259999997</v>
      </c>
      <c r="F225" s="18">
        <v>1025339.18</v>
      </c>
      <c r="G225" s="15">
        <v>0</v>
      </c>
      <c r="H225" s="13"/>
      <c r="I225" s="13"/>
    </row>
    <row r="226" spans="1:9">
      <c r="A226" s="13" t="s">
        <v>697</v>
      </c>
      <c r="B226" s="145" t="s">
        <v>218</v>
      </c>
      <c r="C226" s="145" t="s">
        <v>206</v>
      </c>
      <c r="D226" s="15">
        <v>2000000</v>
      </c>
      <c r="E226" s="95">
        <v>0.99414410389999996</v>
      </c>
      <c r="F226" s="18">
        <v>1988288.21</v>
      </c>
      <c r="G226" s="18">
        <v>0.01</v>
      </c>
      <c r="H226" s="13"/>
      <c r="I226" s="13"/>
    </row>
    <row r="227" spans="1:9">
      <c r="A227" s="13" t="s">
        <v>698</v>
      </c>
      <c r="B227" s="145" t="s">
        <v>488</v>
      </c>
      <c r="C227" s="145" t="s">
        <v>206</v>
      </c>
      <c r="D227" s="15">
        <v>3000000</v>
      </c>
      <c r="E227" s="95">
        <v>0.9758575921</v>
      </c>
      <c r="F227" s="18">
        <v>2927572.78</v>
      </c>
      <c r="G227" s="18">
        <v>0.01</v>
      </c>
      <c r="H227" s="13"/>
      <c r="I227" s="13"/>
    </row>
    <row r="228" spans="1:9">
      <c r="A228" s="13" t="s">
        <v>699</v>
      </c>
      <c r="B228" s="145" t="s">
        <v>430</v>
      </c>
      <c r="C228" s="145" t="s">
        <v>206</v>
      </c>
      <c r="D228" s="15">
        <v>3000000</v>
      </c>
      <c r="E228" s="96">
        <v>0.97473696600000004</v>
      </c>
      <c r="F228" s="94">
        <v>2924210.9</v>
      </c>
      <c r="G228" s="18">
        <v>0.01</v>
      </c>
      <c r="H228" s="13"/>
      <c r="I228" s="13"/>
    </row>
    <row r="229" spans="1:9">
      <c r="A229" s="13" t="s">
        <v>700</v>
      </c>
      <c r="B229" s="145" t="s">
        <v>649</v>
      </c>
      <c r="C229" s="145" t="s">
        <v>206</v>
      </c>
      <c r="D229" s="15">
        <v>3000000</v>
      </c>
      <c r="E229" s="95">
        <v>0.97139058909999998</v>
      </c>
      <c r="F229" s="18">
        <v>2914171.77</v>
      </c>
      <c r="G229" s="18">
        <v>0.01</v>
      </c>
      <c r="H229" s="13"/>
      <c r="I229" s="13"/>
    </row>
    <row r="230" spans="1:9">
      <c r="A230" s="13" t="s">
        <v>701</v>
      </c>
      <c r="B230" s="145" t="s">
        <v>450</v>
      </c>
      <c r="C230" s="145" t="s">
        <v>206</v>
      </c>
      <c r="D230" s="15">
        <v>3500000</v>
      </c>
      <c r="E230" s="96">
        <v>0.97698079599999998</v>
      </c>
      <c r="F230" s="18">
        <v>3419432.79</v>
      </c>
      <c r="G230" s="18">
        <v>0.01</v>
      </c>
      <c r="H230" s="13"/>
      <c r="I230" s="13"/>
    </row>
    <row r="231" spans="1:9">
      <c r="A231" s="13" t="s">
        <v>702</v>
      </c>
      <c r="B231" s="145" t="s">
        <v>466</v>
      </c>
      <c r="C231" s="145" t="s">
        <v>206</v>
      </c>
      <c r="D231" s="18">
        <v>2714317.54</v>
      </c>
      <c r="E231" s="95">
        <v>0.9929811368</v>
      </c>
      <c r="F231" s="18">
        <v>2695266.12</v>
      </c>
      <c r="G231" s="18">
        <v>0.01</v>
      </c>
      <c r="H231" s="13"/>
      <c r="I231" s="13"/>
    </row>
    <row r="232" spans="1:9">
      <c r="A232" s="13" t="s">
        <v>704</v>
      </c>
      <c r="B232" s="145" t="s">
        <v>450</v>
      </c>
      <c r="C232" s="145" t="s">
        <v>206</v>
      </c>
      <c r="D232" s="15">
        <v>4896000</v>
      </c>
      <c r="E232" s="95">
        <v>0.97698079760000001</v>
      </c>
      <c r="F232" s="18">
        <v>4783297.99</v>
      </c>
      <c r="G232" s="18">
        <v>0.01</v>
      </c>
      <c r="H232" s="13"/>
      <c r="I232" s="13"/>
    </row>
    <row r="233" spans="1:9">
      <c r="A233" s="13" t="s">
        <v>705</v>
      </c>
      <c r="B233" s="145" t="s">
        <v>481</v>
      </c>
      <c r="C233" s="145" t="s">
        <v>206</v>
      </c>
      <c r="D233" s="15">
        <v>4896000</v>
      </c>
      <c r="E233" s="95">
        <v>0.98606013770000001</v>
      </c>
      <c r="F233" s="18">
        <v>4827750.43</v>
      </c>
      <c r="G233" s="18">
        <v>0.01</v>
      </c>
      <c r="H233" s="13"/>
      <c r="I233" s="13"/>
    </row>
    <row r="234" spans="1:9">
      <c r="A234" s="13" t="s">
        <v>707</v>
      </c>
      <c r="B234" s="145" t="s">
        <v>454</v>
      </c>
      <c r="C234" s="145" t="s">
        <v>206</v>
      </c>
      <c r="D234" s="15">
        <v>2000000</v>
      </c>
      <c r="E234" s="95">
        <v>0.99066339169999995</v>
      </c>
      <c r="F234" s="18">
        <v>1981326.78</v>
      </c>
      <c r="G234" s="18">
        <v>0.01</v>
      </c>
      <c r="H234" s="13"/>
      <c r="I234" s="13"/>
    </row>
    <row r="235" spans="1:9">
      <c r="A235" s="13" t="s">
        <v>708</v>
      </c>
      <c r="B235" s="145" t="s">
        <v>466</v>
      </c>
      <c r="C235" s="145" t="s">
        <v>206</v>
      </c>
      <c r="D235" s="15">
        <v>2000000</v>
      </c>
      <c r="E235" s="95">
        <v>0.99298114159999995</v>
      </c>
      <c r="F235" s="18">
        <v>1985962.28</v>
      </c>
      <c r="G235" s="18">
        <v>0.01</v>
      </c>
      <c r="H235" s="13"/>
      <c r="I235" s="13"/>
    </row>
    <row r="236" spans="1:9">
      <c r="A236" s="13" t="s">
        <v>709</v>
      </c>
      <c r="B236" s="145" t="s">
        <v>587</v>
      </c>
      <c r="C236" s="145" t="s">
        <v>206</v>
      </c>
      <c r="D236" s="15">
        <v>2000000</v>
      </c>
      <c r="E236" s="95">
        <v>0.99882330949999998</v>
      </c>
      <c r="F236" s="18">
        <v>1997646.62</v>
      </c>
      <c r="G236" s="18">
        <v>0.01</v>
      </c>
      <c r="H236" s="13"/>
      <c r="I236" s="13"/>
    </row>
    <row r="237" spans="1:9">
      <c r="A237" s="13" t="s">
        <v>710</v>
      </c>
      <c r="B237" s="145" t="s">
        <v>530</v>
      </c>
      <c r="C237" s="145" t="s">
        <v>206</v>
      </c>
      <c r="D237" s="94">
        <v>2730168.3</v>
      </c>
      <c r="E237" s="95">
        <v>0.9837744826</v>
      </c>
      <c r="F237" s="18">
        <v>2685869.91</v>
      </c>
      <c r="G237" s="18">
        <v>0.01</v>
      </c>
      <c r="H237" s="13"/>
      <c r="I237" s="13"/>
    </row>
    <row r="238" spans="1:9">
      <c r="A238" s="13" t="s">
        <v>711</v>
      </c>
      <c r="B238" s="145" t="s">
        <v>466</v>
      </c>
      <c r="C238" s="145" t="s">
        <v>206</v>
      </c>
      <c r="D238" s="18">
        <v>1097446.05</v>
      </c>
      <c r="E238" s="95">
        <v>0.99298114240000002</v>
      </c>
      <c r="F238" s="18">
        <v>1089743.23</v>
      </c>
      <c r="G238" s="15">
        <v>0</v>
      </c>
      <c r="H238" s="13"/>
      <c r="I238" s="13"/>
    </row>
    <row r="239" spans="1:9">
      <c r="A239" s="13" t="s">
        <v>718</v>
      </c>
      <c r="B239" s="145" t="s">
        <v>549</v>
      </c>
      <c r="C239" s="145" t="s">
        <v>403</v>
      </c>
      <c r="D239" s="15">
        <v>50000000</v>
      </c>
      <c r="E239" s="95">
        <v>0.94903812109999997</v>
      </c>
      <c r="F239" s="18">
        <v>47451906.060000002</v>
      </c>
      <c r="G239" s="18">
        <v>0.13</v>
      </c>
      <c r="H239" s="13"/>
      <c r="I239" s="13"/>
    </row>
    <row r="240" spans="1:9">
      <c r="A240" s="13" t="s">
        <v>719</v>
      </c>
      <c r="B240" s="145" t="s">
        <v>224</v>
      </c>
      <c r="C240" s="145" t="s">
        <v>403</v>
      </c>
      <c r="D240" s="15">
        <v>100000000</v>
      </c>
      <c r="E240" s="95">
        <v>0.93064777080000005</v>
      </c>
      <c r="F240" s="18">
        <v>93064777.079999998</v>
      </c>
      <c r="G240" s="18">
        <v>0.25</v>
      </c>
      <c r="H240" s="13"/>
      <c r="I240" s="13"/>
    </row>
    <row r="241" spans="1:18">
      <c r="A241" s="13" t="s">
        <v>721</v>
      </c>
      <c r="B241" s="145" t="s">
        <v>720</v>
      </c>
      <c r="C241" s="145" t="s">
        <v>403</v>
      </c>
      <c r="D241" s="15">
        <v>100000000</v>
      </c>
      <c r="E241" s="95">
        <v>0.96204540959999996</v>
      </c>
      <c r="F241" s="18">
        <v>96204540.959999993</v>
      </c>
      <c r="G241" s="18">
        <v>0.25</v>
      </c>
      <c r="H241" s="13"/>
      <c r="I241" s="13"/>
    </row>
    <row r="242" spans="1:18">
      <c r="A242" s="13" t="s">
        <v>723</v>
      </c>
      <c r="B242" s="145" t="s">
        <v>524</v>
      </c>
      <c r="C242" s="145" t="s">
        <v>403</v>
      </c>
      <c r="D242" s="15">
        <v>40000000</v>
      </c>
      <c r="E242" s="95">
        <v>0.9630607981</v>
      </c>
      <c r="F242" s="18">
        <v>38522431.920000002</v>
      </c>
      <c r="G242" s="94">
        <v>0.1</v>
      </c>
      <c r="H242" s="13"/>
      <c r="I242" s="13"/>
    </row>
    <row r="243" spans="1:18">
      <c r="A243" s="13" t="s">
        <v>724</v>
      </c>
      <c r="B243" s="145" t="s">
        <v>504</v>
      </c>
      <c r="C243" s="145" t="s">
        <v>403</v>
      </c>
      <c r="D243" s="15">
        <v>40000000</v>
      </c>
      <c r="E243" s="95">
        <v>0.93445996310000001</v>
      </c>
      <c r="F243" s="18">
        <v>37378398.520000003</v>
      </c>
      <c r="G243" s="94">
        <v>0.1</v>
      </c>
      <c r="H243" s="13"/>
      <c r="I243" s="13"/>
    </row>
    <row r="244" spans="1:18">
      <c r="A244" s="13" t="s">
        <v>725</v>
      </c>
      <c r="B244" s="145" t="s">
        <v>466</v>
      </c>
      <c r="C244" s="145" t="s">
        <v>403</v>
      </c>
      <c r="D244" s="15">
        <v>40000000</v>
      </c>
      <c r="E244" s="96">
        <v>0.99346763800000004</v>
      </c>
      <c r="F244" s="18">
        <v>39738705.520000003</v>
      </c>
      <c r="G244" s="94">
        <v>0.1</v>
      </c>
      <c r="H244" s="13"/>
      <c r="I244" s="13"/>
    </row>
    <row r="245" spans="1:18">
      <c r="A245" s="13" t="s">
        <v>726</v>
      </c>
      <c r="B245" s="145" t="s">
        <v>244</v>
      </c>
      <c r="C245" s="145" t="s">
        <v>403</v>
      </c>
      <c r="D245" s="15">
        <v>40000000</v>
      </c>
      <c r="E245" s="95">
        <v>0.90391299530000002</v>
      </c>
      <c r="F245" s="18">
        <v>36156519.810000002</v>
      </c>
      <c r="G245" s="94">
        <v>0.1</v>
      </c>
      <c r="H245" s="13"/>
      <c r="I245" s="13"/>
    </row>
    <row r="246" spans="1:18">
      <c r="A246" s="13" t="s">
        <v>728</v>
      </c>
      <c r="B246" s="145" t="s">
        <v>609</v>
      </c>
      <c r="C246" s="145" t="s">
        <v>378</v>
      </c>
      <c r="D246" s="15">
        <v>8000000</v>
      </c>
      <c r="E246" s="95">
        <v>0.93479491189999997</v>
      </c>
      <c r="F246" s="94">
        <v>7478359.2999999998</v>
      </c>
      <c r="G246" s="18">
        <v>0.02</v>
      </c>
      <c r="H246" s="13"/>
      <c r="I246" s="13"/>
    </row>
    <row r="247" spans="1:18">
      <c r="A247" s="13" t="s">
        <v>729</v>
      </c>
      <c r="B247" s="145" t="s">
        <v>720</v>
      </c>
      <c r="C247" s="145" t="s">
        <v>378</v>
      </c>
      <c r="D247" s="15">
        <v>7000000</v>
      </c>
      <c r="E247" s="95">
        <v>0.96387462140000002</v>
      </c>
      <c r="F247" s="18">
        <v>6747122.3499999996</v>
      </c>
      <c r="G247" s="18">
        <v>0.02</v>
      </c>
      <c r="H247" s="13"/>
      <c r="I247" s="13"/>
    </row>
    <row r="248" spans="1:18">
      <c r="A248" s="13" t="s">
        <v>731</v>
      </c>
      <c r="B248" s="145" t="s">
        <v>543</v>
      </c>
      <c r="C248" s="145" t="s">
        <v>388</v>
      </c>
      <c r="D248" s="15">
        <v>100000000</v>
      </c>
      <c r="E248" s="95">
        <v>0.9726590705</v>
      </c>
      <c r="F248" s="18">
        <v>97265907.049999997</v>
      </c>
      <c r="G248" s="18">
        <v>0.26</v>
      </c>
      <c r="H248" s="13"/>
      <c r="I248" s="13"/>
    </row>
    <row r="249" spans="1:18">
      <c r="A249" s="13" t="s">
        <v>732</v>
      </c>
      <c r="B249" s="145" t="s">
        <v>645</v>
      </c>
      <c r="C249" s="145" t="s">
        <v>388</v>
      </c>
      <c r="D249" s="15">
        <v>100000000</v>
      </c>
      <c r="E249" s="95">
        <v>0.98664653970000005</v>
      </c>
      <c r="F249" s="18">
        <v>98664653.969999999</v>
      </c>
      <c r="G249" s="18">
        <v>0.26</v>
      </c>
      <c r="H249" s="13"/>
      <c r="I249" s="13"/>
    </row>
    <row r="250" spans="1:18">
      <c r="A250" s="13" t="s">
        <v>733</v>
      </c>
      <c r="B250" s="145" t="s">
        <v>476</v>
      </c>
      <c r="C250" s="145" t="s">
        <v>388</v>
      </c>
      <c r="D250" s="15">
        <v>1082000000</v>
      </c>
      <c r="E250" s="96">
        <v>0.98160502699999996</v>
      </c>
      <c r="F250" s="18">
        <v>1062096639.21</v>
      </c>
      <c r="G250" s="94">
        <v>2.8</v>
      </c>
      <c r="H250" s="13"/>
      <c r="I250" s="13"/>
    </row>
    <row r="251" spans="1:18">
      <c r="A251" s="13" t="s">
        <v>735</v>
      </c>
      <c r="B251" s="145" t="s">
        <v>228</v>
      </c>
      <c r="C251" s="145" t="s">
        <v>306</v>
      </c>
      <c r="D251" s="15">
        <v>10000000</v>
      </c>
      <c r="E251" s="95">
        <v>0.94869275220000004</v>
      </c>
      <c r="F251" s="18">
        <v>9486927.5199999996</v>
      </c>
      <c r="G251" s="18">
        <v>0.03</v>
      </c>
      <c r="H251" s="13"/>
      <c r="I251" s="13"/>
    </row>
    <row r="252" spans="1:18">
      <c r="A252" s="13" t="s">
        <v>736</v>
      </c>
      <c r="B252" s="145" t="s">
        <v>224</v>
      </c>
      <c r="C252" s="145" t="s">
        <v>306</v>
      </c>
      <c r="D252" s="15">
        <v>20000000</v>
      </c>
      <c r="E252" s="95">
        <v>0.92743184830000003</v>
      </c>
      <c r="F252" s="18">
        <v>18548636.969999999</v>
      </c>
      <c r="G252" s="18">
        <v>0.05</v>
      </c>
      <c r="H252" s="13"/>
      <c r="I252" s="13"/>
    </row>
    <row r="253" spans="1:18">
      <c r="A253" s="13" t="s">
        <v>737</v>
      </c>
      <c r="B253" s="145" t="s">
        <v>513</v>
      </c>
      <c r="C253" s="145" t="s">
        <v>306</v>
      </c>
      <c r="D253" s="15">
        <v>20000000</v>
      </c>
      <c r="E253" s="95">
        <v>0.9334084668</v>
      </c>
      <c r="F253" s="18">
        <v>18668169.34</v>
      </c>
      <c r="G253" s="18">
        <v>0.05</v>
      </c>
      <c r="H253" s="13"/>
      <c r="I253" s="13"/>
    </row>
    <row r="254" spans="1:18">
      <c r="A254" s="13" t="s">
        <v>738</v>
      </c>
      <c r="B254" s="145" t="s">
        <v>520</v>
      </c>
      <c r="C254" s="145" t="s">
        <v>306</v>
      </c>
      <c r="D254" s="15">
        <v>20000000</v>
      </c>
      <c r="E254" s="95">
        <v>0.93240695159999998</v>
      </c>
      <c r="F254" s="18">
        <v>18648139.030000001</v>
      </c>
      <c r="G254" s="18">
        <v>0.05</v>
      </c>
      <c r="H254" s="13"/>
      <c r="I254" s="13"/>
    </row>
    <row r="255" spans="1:18">
      <c r="A255" s="13" t="s">
        <v>739</v>
      </c>
      <c r="B255" s="145" t="s">
        <v>597</v>
      </c>
      <c r="C255" s="145" t="s">
        <v>306</v>
      </c>
      <c r="D255" s="15">
        <v>22500000</v>
      </c>
      <c r="E255" s="95">
        <v>0.95052098559999998</v>
      </c>
      <c r="F255" s="18">
        <v>21386722.18</v>
      </c>
      <c r="G255" s="18">
        <v>0.06</v>
      </c>
      <c r="H255" s="13"/>
      <c r="I255" s="13"/>
      <c r="R255" s="9"/>
    </row>
    <row r="256" spans="1:18">
      <c r="A256" s="13" t="s">
        <v>740</v>
      </c>
      <c r="B256" s="145" t="s">
        <v>626</v>
      </c>
      <c r="C256" s="145" t="s">
        <v>306</v>
      </c>
      <c r="D256" s="15">
        <v>20000000</v>
      </c>
      <c r="E256" s="95">
        <v>0.92757306760000002</v>
      </c>
      <c r="F256" s="18">
        <v>18551461.350000001</v>
      </c>
      <c r="G256" s="18">
        <v>0.05</v>
      </c>
      <c r="H256" s="13"/>
      <c r="I256" s="13"/>
    </row>
    <row r="257" spans="1:9">
      <c r="A257" s="13" t="s">
        <v>741</v>
      </c>
      <c r="B257" s="145" t="s">
        <v>504</v>
      </c>
      <c r="C257" s="145" t="s">
        <v>306</v>
      </c>
      <c r="D257" s="15">
        <v>20000000</v>
      </c>
      <c r="E257" s="96">
        <v>0.937532115</v>
      </c>
      <c r="F257" s="94">
        <v>18750642.300000001</v>
      </c>
      <c r="G257" s="18">
        <v>0.05</v>
      </c>
      <c r="H257" s="13"/>
      <c r="I257" s="13"/>
    </row>
    <row r="258" spans="1:9">
      <c r="A258" s="13" t="s">
        <v>742</v>
      </c>
      <c r="B258" s="145" t="s">
        <v>656</v>
      </c>
      <c r="C258" s="145" t="s">
        <v>387</v>
      </c>
      <c r="D258" s="15">
        <v>20000000</v>
      </c>
      <c r="E258" s="95">
        <v>0.95086754819999997</v>
      </c>
      <c r="F258" s="18">
        <v>19017350.960000001</v>
      </c>
      <c r="G258" s="18">
        <v>0.05</v>
      </c>
      <c r="H258" s="13"/>
      <c r="I258" s="13"/>
    </row>
    <row r="259" spans="1:9">
      <c r="A259" s="13" t="s">
        <v>743</v>
      </c>
      <c r="B259" s="145" t="s">
        <v>456</v>
      </c>
      <c r="C259" s="145" t="s">
        <v>387</v>
      </c>
      <c r="D259" s="15">
        <v>20000000</v>
      </c>
      <c r="E259" s="95">
        <v>0.95700067590000004</v>
      </c>
      <c r="F259" s="18">
        <v>19140013.52</v>
      </c>
      <c r="G259" s="18">
        <v>0.05</v>
      </c>
      <c r="H259" s="13"/>
      <c r="I259" s="13"/>
    </row>
    <row r="260" spans="1:9">
      <c r="A260" s="13" t="s">
        <v>744</v>
      </c>
      <c r="B260" s="145" t="s">
        <v>745</v>
      </c>
      <c r="C260" s="145" t="s">
        <v>387</v>
      </c>
      <c r="D260" s="15">
        <v>20000000</v>
      </c>
      <c r="E260" s="95">
        <v>0.95597297280000004</v>
      </c>
      <c r="F260" s="18">
        <v>19119459.460000001</v>
      </c>
      <c r="G260" s="18">
        <v>0.05</v>
      </c>
      <c r="H260" s="13"/>
      <c r="I260" s="13"/>
    </row>
    <row r="261" spans="1:9">
      <c r="A261" s="13" t="s">
        <v>746</v>
      </c>
      <c r="B261" s="145" t="s">
        <v>634</v>
      </c>
      <c r="C261" s="145" t="s">
        <v>387</v>
      </c>
      <c r="D261" s="15">
        <v>20000000</v>
      </c>
      <c r="E261" s="95">
        <v>0.95494747229999999</v>
      </c>
      <c r="F261" s="18">
        <v>19098949.449999999</v>
      </c>
      <c r="G261" s="18">
        <v>0.05</v>
      </c>
      <c r="H261" s="13"/>
      <c r="I261" s="13"/>
    </row>
    <row r="262" spans="1:9">
      <c r="A262" s="13" t="s">
        <v>747</v>
      </c>
      <c r="B262" s="145" t="s">
        <v>474</v>
      </c>
      <c r="C262" s="145" t="s">
        <v>387</v>
      </c>
      <c r="D262" s="15">
        <v>20000000</v>
      </c>
      <c r="E262" s="95">
        <v>0.94884072379999995</v>
      </c>
      <c r="F262" s="18">
        <v>18976814.48</v>
      </c>
      <c r="G262" s="18">
        <v>0.05</v>
      </c>
      <c r="H262" s="13"/>
      <c r="I262" s="13"/>
    </row>
    <row r="263" spans="1:9">
      <c r="A263" s="13" t="s">
        <v>748</v>
      </c>
      <c r="B263" s="145" t="s">
        <v>607</v>
      </c>
      <c r="C263" s="145" t="s">
        <v>387</v>
      </c>
      <c r="D263" s="15">
        <v>20000000</v>
      </c>
      <c r="E263" s="95">
        <v>0.95392416830000004</v>
      </c>
      <c r="F263" s="18">
        <v>19078483.370000001</v>
      </c>
      <c r="G263" s="18">
        <v>0.05</v>
      </c>
      <c r="H263" s="13"/>
      <c r="I263" s="13"/>
    </row>
    <row r="264" spans="1:9">
      <c r="A264" s="13" t="s">
        <v>749</v>
      </c>
      <c r="B264" s="145" t="s">
        <v>228</v>
      </c>
      <c r="C264" s="145" t="s">
        <v>387</v>
      </c>
      <c r="D264" s="15">
        <v>20000000</v>
      </c>
      <c r="E264" s="95">
        <v>0.94985314570000001</v>
      </c>
      <c r="F264" s="18">
        <v>18997062.91</v>
      </c>
      <c r="G264" s="18">
        <v>0.05</v>
      </c>
      <c r="H264" s="13"/>
      <c r="I264" s="13"/>
    </row>
    <row r="265" spans="1:9">
      <c r="A265" s="13" t="s">
        <v>750</v>
      </c>
      <c r="B265" s="145" t="s">
        <v>549</v>
      </c>
      <c r="C265" s="145" t="s">
        <v>387</v>
      </c>
      <c r="D265" s="15">
        <v>20000000</v>
      </c>
      <c r="E265" s="95">
        <v>0.94783045690000001</v>
      </c>
      <c r="F265" s="18">
        <v>18956609.140000001</v>
      </c>
      <c r="G265" s="18">
        <v>0.05</v>
      </c>
      <c r="H265" s="13"/>
      <c r="I265" s="13"/>
    </row>
    <row r="266" spans="1:9">
      <c r="A266" s="13" t="s">
        <v>751</v>
      </c>
      <c r="B266" s="145" t="s">
        <v>590</v>
      </c>
      <c r="C266" s="145" t="s">
        <v>387</v>
      </c>
      <c r="D266" s="94">
        <v>13296076.9</v>
      </c>
      <c r="E266" s="95">
        <v>0.99219837909999997</v>
      </c>
      <c r="F266" s="18">
        <v>13192345.949999999</v>
      </c>
      <c r="G266" s="18">
        <v>0.03</v>
      </c>
      <c r="H266" s="13"/>
      <c r="I266" s="13"/>
    </row>
    <row r="267" spans="1:9">
      <c r="A267" s="13" t="s">
        <v>752</v>
      </c>
      <c r="B267" s="145" t="s">
        <v>481</v>
      </c>
      <c r="C267" s="145" t="s">
        <v>387</v>
      </c>
      <c r="D267" s="94">
        <v>13296076.9</v>
      </c>
      <c r="E267" s="95">
        <v>0.98669987150000005</v>
      </c>
      <c r="F267" s="18">
        <v>13119237.369999999</v>
      </c>
      <c r="G267" s="18">
        <v>0.03</v>
      </c>
      <c r="H267" s="13"/>
      <c r="I267" s="13"/>
    </row>
    <row r="268" spans="1:9">
      <c r="A268" s="13" t="s">
        <v>753</v>
      </c>
      <c r="B268" s="145" t="s">
        <v>645</v>
      </c>
      <c r="C268" s="145" t="s">
        <v>387</v>
      </c>
      <c r="D268" s="94">
        <v>13296076.9</v>
      </c>
      <c r="E268" s="95">
        <v>0.98560745439999997</v>
      </c>
      <c r="F268" s="18">
        <v>13104712.51</v>
      </c>
      <c r="G268" s="18">
        <v>0.03</v>
      </c>
      <c r="H268" s="13"/>
      <c r="I268" s="13"/>
    </row>
    <row r="269" spans="1:9">
      <c r="A269" s="13" t="s">
        <v>754</v>
      </c>
      <c r="B269" s="145" t="s">
        <v>656</v>
      </c>
      <c r="C269" s="145" t="s">
        <v>387</v>
      </c>
      <c r="D269" s="18">
        <v>15909586.57</v>
      </c>
      <c r="E269" s="95">
        <v>0.95086754819999997</v>
      </c>
      <c r="F269" s="18">
        <v>15127909.57</v>
      </c>
      <c r="G269" s="18">
        <v>0.04</v>
      </c>
      <c r="H269" s="13"/>
      <c r="I269" s="13"/>
    </row>
    <row r="270" spans="1:9">
      <c r="A270" s="13" t="s">
        <v>755</v>
      </c>
      <c r="B270" s="145" t="s">
        <v>228</v>
      </c>
      <c r="C270" s="145" t="s">
        <v>387</v>
      </c>
      <c r="D270" s="18">
        <v>15909586.57</v>
      </c>
      <c r="E270" s="95">
        <v>0.94985314570000001</v>
      </c>
      <c r="F270" s="18">
        <v>15111770.85</v>
      </c>
      <c r="G270" s="18">
        <v>0.04</v>
      </c>
      <c r="H270" s="13"/>
      <c r="I270" s="13"/>
    </row>
    <row r="271" spans="1:9">
      <c r="A271" s="13" t="s">
        <v>756</v>
      </c>
      <c r="B271" s="145" t="s">
        <v>474</v>
      </c>
      <c r="C271" s="145" t="s">
        <v>387</v>
      </c>
      <c r="D271" s="18">
        <v>15389210.15</v>
      </c>
      <c r="E271" s="95">
        <v>0.94884072379999995</v>
      </c>
      <c r="F271" s="94">
        <v>14601909.300000001</v>
      </c>
      <c r="G271" s="18">
        <v>0.04</v>
      </c>
      <c r="H271" s="13"/>
      <c r="I271" s="13"/>
    </row>
    <row r="272" spans="1:9">
      <c r="A272" s="13" t="s">
        <v>757</v>
      </c>
      <c r="B272" s="145" t="s">
        <v>474</v>
      </c>
      <c r="C272" s="145" t="s">
        <v>387</v>
      </c>
      <c r="D272" s="18">
        <v>14664256.84</v>
      </c>
      <c r="E272" s="95">
        <v>0.94884072379999995</v>
      </c>
      <c r="F272" s="18">
        <v>13914044.07</v>
      </c>
      <c r="G272" s="18">
        <v>0.04</v>
      </c>
      <c r="H272" s="13"/>
      <c r="I272" s="13"/>
    </row>
    <row r="273" spans="1:18">
      <c r="A273" s="13" t="s">
        <v>758</v>
      </c>
      <c r="B273" s="145" t="s">
        <v>549</v>
      </c>
      <c r="C273" s="145" t="s">
        <v>387</v>
      </c>
      <c r="D273" s="18">
        <v>15909586.57</v>
      </c>
      <c r="E273" s="95">
        <v>0.94783045690000001</v>
      </c>
      <c r="F273" s="18">
        <v>15079590.710000001</v>
      </c>
      <c r="G273" s="18">
        <v>0.04</v>
      </c>
      <c r="H273" s="13"/>
      <c r="I273" s="13"/>
    </row>
    <row r="274" spans="1:18">
      <c r="A274" s="13" t="s">
        <v>759</v>
      </c>
      <c r="B274" s="145" t="s">
        <v>466</v>
      </c>
      <c r="C274" s="145" t="s">
        <v>387</v>
      </c>
      <c r="D274" s="94">
        <v>13296076.9</v>
      </c>
      <c r="E274" s="95">
        <v>0.99330540219999996</v>
      </c>
      <c r="F274" s="18">
        <v>13207065.01</v>
      </c>
      <c r="G274" s="18">
        <v>0.03</v>
      </c>
      <c r="H274" s="13"/>
      <c r="I274" s="13"/>
    </row>
    <row r="275" spans="1:18">
      <c r="A275" s="13" t="s">
        <v>760</v>
      </c>
      <c r="B275" s="145" t="s">
        <v>454</v>
      </c>
      <c r="C275" s="145" t="s">
        <v>387</v>
      </c>
      <c r="D275" s="94">
        <v>13296076.9</v>
      </c>
      <c r="E275" s="95">
        <v>0.99109377009999999</v>
      </c>
      <c r="F275" s="18">
        <v>13177658.98</v>
      </c>
      <c r="G275" s="18">
        <v>0.03</v>
      </c>
      <c r="H275" s="13"/>
      <c r="I275" s="13"/>
      <c r="O275" s="69"/>
      <c r="P275" s="9"/>
      <c r="Q275" s="9"/>
      <c r="R275" s="9"/>
    </row>
    <row r="276" spans="1:18">
      <c r="A276" s="13" t="s">
        <v>761</v>
      </c>
      <c r="B276" s="145" t="s">
        <v>656</v>
      </c>
      <c r="C276" s="145" t="s">
        <v>387</v>
      </c>
      <c r="D276" s="18">
        <v>15389210.15</v>
      </c>
      <c r="E276" s="95">
        <v>0.95086754819999997</v>
      </c>
      <c r="F276" s="18">
        <v>14633100.52</v>
      </c>
      <c r="G276" s="18">
        <v>0.04</v>
      </c>
      <c r="H276" s="13"/>
      <c r="I276" s="13"/>
      <c r="N276" s="69"/>
    </row>
    <row r="277" spans="1:18">
      <c r="A277" s="13" t="s">
        <v>762</v>
      </c>
      <c r="B277" s="145" t="s">
        <v>228</v>
      </c>
      <c r="C277" s="145" t="s">
        <v>387</v>
      </c>
      <c r="D277" s="18">
        <v>14664256.84</v>
      </c>
      <c r="E277" s="95">
        <v>0.94985314570000001</v>
      </c>
      <c r="F277" s="18">
        <v>13928890.49</v>
      </c>
      <c r="G277" s="18">
        <v>0.04</v>
      </c>
      <c r="H277" s="13"/>
      <c r="I277" s="13"/>
    </row>
    <row r="278" spans="1:18">
      <c r="A278" s="13" t="s">
        <v>763</v>
      </c>
      <c r="B278" s="145" t="s">
        <v>474</v>
      </c>
      <c r="C278" s="145" t="s">
        <v>387</v>
      </c>
      <c r="D278" s="18">
        <v>15909586.57</v>
      </c>
      <c r="E278" s="95">
        <v>0.94884072379999995</v>
      </c>
      <c r="F278" s="18">
        <v>15095663.640000001</v>
      </c>
      <c r="G278" s="18">
        <v>0.04</v>
      </c>
      <c r="H278" s="13"/>
      <c r="I278" s="13"/>
    </row>
    <row r="279" spans="1:18">
      <c r="A279" s="13" t="s">
        <v>764</v>
      </c>
      <c r="B279" s="145" t="s">
        <v>549</v>
      </c>
      <c r="C279" s="145" t="s">
        <v>387</v>
      </c>
      <c r="D279" s="18">
        <v>14664256.859999999</v>
      </c>
      <c r="E279" s="95">
        <v>0.94783045570000002</v>
      </c>
      <c r="F279" s="18">
        <v>13899229.26</v>
      </c>
      <c r="G279" s="18">
        <v>0.04</v>
      </c>
      <c r="H279" s="13"/>
      <c r="I279" s="13"/>
    </row>
    <row r="280" spans="1:18">
      <c r="A280" s="13" t="s">
        <v>765</v>
      </c>
      <c r="B280" s="145" t="s">
        <v>515</v>
      </c>
      <c r="C280" s="145" t="s">
        <v>387</v>
      </c>
      <c r="D280" s="15">
        <v>2000000</v>
      </c>
      <c r="E280" s="95">
        <v>0.96425659360000004</v>
      </c>
      <c r="F280" s="18">
        <v>1928513.19</v>
      </c>
      <c r="G280" s="18">
        <v>0.01</v>
      </c>
      <c r="H280" s="13"/>
      <c r="I280" s="13"/>
    </row>
    <row r="281" spans="1:18">
      <c r="A281" s="13" t="s">
        <v>766</v>
      </c>
      <c r="B281" s="145" t="s">
        <v>549</v>
      </c>
      <c r="C281" s="145" t="s">
        <v>387</v>
      </c>
      <c r="D281" s="15">
        <v>2000000</v>
      </c>
      <c r="E281" s="95">
        <v>0.94783045690000001</v>
      </c>
      <c r="F281" s="18">
        <v>1895660.91</v>
      </c>
      <c r="G281" s="15">
        <v>0</v>
      </c>
      <c r="H281" s="13"/>
      <c r="I281" s="13"/>
    </row>
    <row r="282" spans="1:18">
      <c r="A282" s="13" t="s">
        <v>767</v>
      </c>
      <c r="B282" s="145" t="s">
        <v>507</v>
      </c>
      <c r="C282" s="145" t="s">
        <v>387</v>
      </c>
      <c r="D282" s="15">
        <v>2000000</v>
      </c>
      <c r="E282" s="96">
        <v>0.95803041899999997</v>
      </c>
      <c r="F282" s="18">
        <v>1916060.84</v>
      </c>
      <c r="G282" s="18">
        <v>0.01</v>
      </c>
      <c r="H282" s="13"/>
      <c r="I282" s="13"/>
    </row>
    <row r="283" spans="1:18">
      <c r="A283" s="13" t="s">
        <v>768</v>
      </c>
      <c r="B283" s="145" t="s">
        <v>656</v>
      </c>
      <c r="C283" s="145" t="s">
        <v>387</v>
      </c>
      <c r="D283" s="15">
        <v>2000000</v>
      </c>
      <c r="E283" s="95">
        <v>0.95086754939999996</v>
      </c>
      <c r="F283" s="94">
        <v>1901735.1</v>
      </c>
      <c r="G283" s="18">
        <v>0.01</v>
      </c>
      <c r="H283" s="13"/>
      <c r="I283" s="13"/>
      <c r="N283" s="69"/>
    </row>
    <row r="284" spans="1:18">
      <c r="A284" s="13" t="s">
        <v>769</v>
      </c>
      <c r="B284" s="145" t="s">
        <v>770</v>
      </c>
      <c r="C284" s="145" t="s">
        <v>387</v>
      </c>
      <c r="D284" s="18">
        <v>2164521.13</v>
      </c>
      <c r="E284" s="95">
        <v>0.97162337190000003</v>
      </c>
      <c r="F284" s="18">
        <v>2103099.3199999998</v>
      </c>
      <c r="G284" s="18">
        <v>0.01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771</v>
      </c>
      <c r="B285" s="145" t="s">
        <v>450</v>
      </c>
      <c r="C285" s="145" t="s">
        <v>387</v>
      </c>
      <c r="D285" s="15">
        <v>2000000</v>
      </c>
      <c r="E285" s="95">
        <v>0.97802790220000002</v>
      </c>
      <c r="F285" s="94">
        <v>1956055.8</v>
      </c>
      <c r="G285" s="18">
        <v>0.01</v>
      </c>
      <c r="H285" s="13"/>
      <c r="I285" s="13"/>
      <c r="N285" s="69"/>
    </row>
    <row r="286" spans="1:18">
      <c r="A286" s="13" t="s">
        <v>772</v>
      </c>
      <c r="B286" s="145" t="s">
        <v>450</v>
      </c>
      <c r="C286" s="145" t="s">
        <v>387</v>
      </c>
      <c r="D286" s="15">
        <v>2000000</v>
      </c>
      <c r="E286" s="95">
        <v>0.97802790220000002</v>
      </c>
      <c r="F286" s="94">
        <v>1956055.8</v>
      </c>
      <c r="G286" s="18">
        <v>0.01</v>
      </c>
      <c r="H286" s="13"/>
      <c r="I286" s="13"/>
    </row>
    <row r="287" spans="1:18">
      <c r="A287" s="13" t="s">
        <v>773</v>
      </c>
      <c r="B287" s="145" t="s">
        <v>218</v>
      </c>
      <c r="C287" s="145" t="s">
        <v>387</v>
      </c>
      <c r="D287" s="18">
        <v>1425697.14</v>
      </c>
      <c r="E287" s="95">
        <v>0.9944149538</v>
      </c>
      <c r="F287" s="18">
        <v>1417734.56</v>
      </c>
      <c r="G287" s="15">
        <v>0</v>
      </c>
      <c r="H287" s="13"/>
      <c r="I287" s="13"/>
    </row>
    <row r="288" spans="1:18">
      <c r="A288" s="13" t="s">
        <v>774</v>
      </c>
      <c r="B288" s="145" t="s">
        <v>466</v>
      </c>
      <c r="C288" s="145" t="s">
        <v>387</v>
      </c>
      <c r="D288" s="18">
        <v>2265209.19</v>
      </c>
      <c r="E288" s="95">
        <v>0.99330540609999995</v>
      </c>
      <c r="F288" s="18">
        <v>2250044.5299999998</v>
      </c>
      <c r="G288" s="18">
        <v>0.01</v>
      </c>
      <c r="H288" s="13"/>
      <c r="I288" s="13"/>
    </row>
    <row r="289" spans="1:9">
      <c r="A289" s="13" t="s">
        <v>775</v>
      </c>
      <c r="B289" s="145" t="s">
        <v>466</v>
      </c>
      <c r="C289" s="145" t="s">
        <v>387</v>
      </c>
      <c r="D289" s="15">
        <v>2432626</v>
      </c>
      <c r="E289" s="95">
        <v>0.99330540190000005</v>
      </c>
      <c r="F289" s="18">
        <v>2416340.5499999998</v>
      </c>
      <c r="G289" s="18">
        <v>0.01</v>
      </c>
      <c r="H289" s="13"/>
      <c r="I289" s="13"/>
    </row>
    <row r="290" spans="1:9">
      <c r="A290" s="13" t="s">
        <v>776</v>
      </c>
      <c r="B290" s="145" t="s">
        <v>530</v>
      </c>
      <c r="C290" s="145" t="s">
        <v>387</v>
      </c>
      <c r="D290" s="18">
        <v>3016360.47</v>
      </c>
      <c r="E290" s="96">
        <v>0.98451745599999996</v>
      </c>
      <c r="F290" s="18">
        <v>2969659.54</v>
      </c>
      <c r="G290" s="18">
        <v>0.01</v>
      </c>
      <c r="H290" s="13"/>
      <c r="I290" s="13"/>
    </row>
    <row r="291" spans="1:9">
      <c r="A291" s="13" t="s">
        <v>777</v>
      </c>
      <c r="B291" s="145" t="s">
        <v>454</v>
      </c>
      <c r="C291" s="145" t="s">
        <v>387</v>
      </c>
      <c r="D291" s="18">
        <v>3016360.47</v>
      </c>
      <c r="E291" s="95">
        <v>0.99109377050000003</v>
      </c>
      <c r="F291" s="18">
        <v>2989496.07</v>
      </c>
      <c r="G291" s="18">
        <v>0.01</v>
      </c>
      <c r="H291" s="13"/>
      <c r="I291" s="13"/>
    </row>
    <row r="292" spans="1:9">
      <c r="A292" s="13" t="s">
        <v>778</v>
      </c>
      <c r="B292" s="145" t="s">
        <v>530</v>
      </c>
      <c r="C292" s="145" t="s">
        <v>387</v>
      </c>
      <c r="D292" s="15">
        <v>2710644</v>
      </c>
      <c r="E292" s="95">
        <v>0.98451745010000002</v>
      </c>
      <c r="F292" s="18">
        <v>2668676.3199999998</v>
      </c>
      <c r="G292" s="18">
        <v>0.01</v>
      </c>
      <c r="H292" s="13"/>
      <c r="I292" s="13"/>
    </row>
    <row r="293" spans="1:9">
      <c r="A293" s="13" t="s">
        <v>788</v>
      </c>
      <c r="B293" s="145" t="s">
        <v>645</v>
      </c>
      <c r="C293" s="145" t="s">
        <v>447</v>
      </c>
      <c r="D293" s="15">
        <v>2000000</v>
      </c>
      <c r="E293" s="95">
        <v>0.98595354449999995</v>
      </c>
      <c r="F293" s="18">
        <v>1971907.09</v>
      </c>
      <c r="G293" s="18">
        <v>0.01</v>
      </c>
      <c r="H293" s="13"/>
      <c r="I293" s="13"/>
    </row>
    <row r="294" spans="1:9">
      <c r="A294" s="13" t="s">
        <v>789</v>
      </c>
      <c r="B294" s="145" t="s">
        <v>450</v>
      </c>
      <c r="C294" s="145" t="s">
        <v>447</v>
      </c>
      <c r="D294" s="15">
        <v>2000000</v>
      </c>
      <c r="E294" s="95">
        <v>0.97855229610000005</v>
      </c>
      <c r="F294" s="18">
        <v>1957104.59</v>
      </c>
      <c r="G294" s="18">
        <v>0.01</v>
      </c>
      <c r="H294" s="13"/>
      <c r="I294" s="13"/>
    </row>
    <row r="295" spans="1:9">
      <c r="A295" s="13" t="s">
        <v>790</v>
      </c>
      <c r="B295" s="145" t="s">
        <v>549</v>
      </c>
      <c r="C295" s="145" t="s">
        <v>447</v>
      </c>
      <c r="D295" s="15">
        <v>2000000</v>
      </c>
      <c r="E295" s="95">
        <v>0.94903800260000004</v>
      </c>
      <c r="F295" s="18">
        <v>1898076.01</v>
      </c>
      <c r="G295" s="18">
        <v>0.01</v>
      </c>
      <c r="H295" s="13"/>
      <c r="I295" s="13"/>
    </row>
    <row r="296" spans="1:9">
      <c r="A296" s="13" t="s">
        <v>791</v>
      </c>
      <c r="B296" s="145" t="s">
        <v>792</v>
      </c>
      <c r="C296" s="145" t="s">
        <v>447</v>
      </c>
      <c r="D296" s="15">
        <v>2000000</v>
      </c>
      <c r="E296" s="95">
        <v>0.89154866330000004</v>
      </c>
      <c r="F296" s="18">
        <v>1783097.33</v>
      </c>
      <c r="G296" s="15">
        <v>0</v>
      </c>
      <c r="H296" s="13"/>
      <c r="I296" s="13"/>
    </row>
    <row r="297" spans="1:9">
      <c r="A297" s="13" t="s">
        <v>797</v>
      </c>
      <c r="B297" s="145" t="s">
        <v>597</v>
      </c>
      <c r="C297" s="145" t="s">
        <v>209</v>
      </c>
      <c r="D297" s="15">
        <v>100000000</v>
      </c>
      <c r="E297" s="95">
        <v>0.95176014769999995</v>
      </c>
      <c r="F297" s="18">
        <v>95176014.769999996</v>
      </c>
      <c r="G297" s="18">
        <v>0.25</v>
      </c>
      <c r="H297" s="13"/>
      <c r="I297" s="13"/>
    </row>
    <row r="298" spans="1:9">
      <c r="A298" s="13" t="s">
        <v>798</v>
      </c>
      <c r="B298" s="145" t="s">
        <v>597</v>
      </c>
      <c r="C298" s="145" t="s">
        <v>209</v>
      </c>
      <c r="D298" s="15">
        <v>15000000</v>
      </c>
      <c r="E298" s="95">
        <v>0.96179186679999995</v>
      </c>
      <c r="F298" s="15">
        <v>14426878</v>
      </c>
      <c r="G298" s="18">
        <v>0.04</v>
      </c>
      <c r="H298" s="13"/>
      <c r="I298" s="13"/>
    </row>
    <row r="299" spans="1:9">
      <c r="A299" s="13" t="s">
        <v>799</v>
      </c>
      <c r="B299" s="145" t="s">
        <v>800</v>
      </c>
      <c r="C299" s="145" t="s">
        <v>209</v>
      </c>
      <c r="D299" s="15">
        <v>15000000</v>
      </c>
      <c r="E299" s="95">
        <v>0.95959203770000001</v>
      </c>
      <c r="F299" s="18">
        <v>14393880.57</v>
      </c>
      <c r="G299" s="18">
        <v>0.04</v>
      </c>
      <c r="H299" s="13"/>
      <c r="I299" s="13"/>
    </row>
    <row r="300" spans="1:9">
      <c r="A300" s="13" t="s">
        <v>801</v>
      </c>
      <c r="B300" s="145" t="s">
        <v>607</v>
      </c>
      <c r="C300" s="145" t="s">
        <v>209</v>
      </c>
      <c r="D300" s="15">
        <v>15000000</v>
      </c>
      <c r="E300" s="95">
        <v>0.96696428410000002</v>
      </c>
      <c r="F300" s="18">
        <v>14504464.26</v>
      </c>
      <c r="G300" s="18">
        <v>0.04</v>
      </c>
      <c r="H300" s="13"/>
      <c r="I300" s="13"/>
    </row>
    <row r="301" spans="1:9">
      <c r="A301" s="13" t="s">
        <v>802</v>
      </c>
      <c r="B301" s="145" t="s">
        <v>549</v>
      </c>
      <c r="C301" s="145" t="s">
        <v>209</v>
      </c>
      <c r="D301" s="15">
        <v>15000000</v>
      </c>
      <c r="E301" s="95">
        <v>0.96252743289999998</v>
      </c>
      <c r="F301" s="18">
        <v>14437911.49</v>
      </c>
      <c r="G301" s="18">
        <v>0.04</v>
      </c>
      <c r="H301" s="13"/>
      <c r="I301" s="13"/>
    </row>
    <row r="302" spans="1:9">
      <c r="A302" s="13" t="s">
        <v>803</v>
      </c>
      <c r="B302" s="145" t="s">
        <v>597</v>
      </c>
      <c r="C302" s="145" t="s">
        <v>209</v>
      </c>
      <c r="D302" s="15">
        <v>12500000</v>
      </c>
      <c r="E302" s="95">
        <v>0.96179186679999995</v>
      </c>
      <c r="F302" s="18">
        <v>12022398.34</v>
      </c>
      <c r="G302" s="18">
        <v>0.03</v>
      </c>
      <c r="H302" s="13"/>
      <c r="I302" s="13"/>
    </row>
    <row r="303" spans="1:9">
      <c r="A303" s="13" t="s">
        <v>804</v>
      </c>
      <c r="B303" s="145" t="s">
        <v>805</v>
      </c>
      <c r="C303" s="145" t="s">
        <v>209</v>
      </c>
      <c r="D303" s="15">
        <v>12500000</v>
      </c>
      <c r="E303" s="95">
        <v>0.95886094749999995</v>
      </c>
      <c r="F303" s="18">
        <v>11985761.84</v>
      </c>
      <c r="G303" s="18">
        <v>0.03</v>
      </c>
      <c r="H303" s="13"/>
      <c r="I303" s="13"/>
    </row>
    <row r="304" spans="1:9">
      <c r="A304" s="13" t="s">
        <v>806</v>
      </c>
      <c r="B304" s="145" t="s">
        <v>770</v>
      </c>
      <c r="C304" s="145" t="s">
        <v>209</v>
      </c>
      <c r="D304" s="15">
        <v>12500000</v>
      </c>
      <c r="E304" s="95">
        <v>0.97976064740000002</v>
      </c>
      <c r="F304" s="18">
        <v>12247008.09</v>
      </c>
      <c r="G304" s="18">
        <v>0.03</v>
      </c>
      <c r="H304" s="13"/>
      <c r="I304" s="13"/>
    </row>
    <row r="305" spans="1:9">
      <c r="A305" s="13" t="s">
        <v>807</v>
      </c>
      <c r="B305" s="145" t="s">
        <v>808</v>
      </c>
      <c r="C305" s="145" t="s">
        <v>209</v>
      </c>
      <c r="D305" s="15">
        <v>12500000</v>
      </c>
      <c r="E305" s="95">
        <v>0.95377463210000002</v>
      </c>
      <c r="F305" s="94">
        <v>11922182.9</v>
      </c>
      <c r="G305" s="18">
        <v>0.03</v>
      </c>
      <c r="H305" s="13"/>
      <c r="I305" s="13"/>
    </row>
    <row r="306" spans="1:9">
      <c r="A306" s="13" t="s">
        <v>809</v>
      </c>
      <c r="B306" s="145" t="s">
        <v>513</v>
      </c>
      <c r="C306" s="145" t="s">
        <v>209</v>
      </c>
      <c r="D306" s="15">
        <v>12500000</v>
      </c>
      <c r="E306" s="95">
        <v>0.95305252679999997</v>
      </c>
      <c r="F306" s="18">
        <v>11913156.59</v>
      </c>
      <c r="G306" s="18">
        <v>0.03</v>
      </c>
      <c r="H306" s="13"/>
      <c r="I306" s="13"/>
    </row>
    <row r="307" spans="1:9">
      <c r="A307" s="13" t="s">
        <v>810</v>
      </c>
      <c r="B307" s="145" t="s">
        <v>226</v>
      </c>
      <c r="C307" s="145" t="s">
        <v>209</v>
      </c>
      <c r="D307" s="15">
        <v>12500000</v>
      </c>
      <c r="E307" s="95">
        <v>0.97369692190000001</v>
      </c>
      <c r="F307" s="18">
        <v>12171211.52</v>
      </c>
      <c r="G307" s="18">
        <v>0.03</v>
      </c>
      <c r="H307" s="13"/>
      <c r="I307" s="13"/>
    </row>
    <row r="308" spans="1:9">
      <c r="A308" s="13" t="s">
        <v>811</v>
      </c>
      <c r="B308" s="145" t="s">
        <v>218</v>
      </c>
      <c r="C308" s="145" t="s">
        <v>209</v>
      </c>
      <c r="D308" s="15">
        <v>12500000</v>
      </c>
      <c r="E308" s="95">
        <v>0.99604313379999998</v>
      </c>
      <c r="F308" s="18">
        <v>12450539.17</v>
      </c>
      <c r="G308" s="18">
        <v>0.03</v>
      </c>
      <c r="H308" s="13"/>
      <c r="I308" s="13"/>
    </row>
    <row r="309" spans="1:9">
      <c r="A309" s="13" t="s">
        <v>812</v>
      </c>
      <c r="B309" s="145" t="s">
        <v>504</v>
      </c>
      <c r="C309" s="145" t="s">
        <v>209</v>
      </c>
      <c r="D309" s="15">
        <v>12500000</v>
      </c>
      <c r="E309" s="95">
        <v>0.9516112847</v>
      </c>
      <c r="F309" s="18">
        <v>11895141.060000001</v>
      </c>
      <c r="G309" s="18">
        <v>0.03</v>
      </c>
      <c r="H309" s="13"/>
      <c r="I309" s="13"/>
    </row>
    <row r="310" spans="1:9">
      <c r="A310" s="13" t="s">
        <v>813</v>
      </c>
      <c r="B310" s="145" t="s">
        <v>720</v>
      </c>
      <c r="C310" s="145" t="s">
        <v>209</v>
      </c>
      <c r="D310" s="15">
        <v>12500000</v>
      </c>
      <c r="E310" s="95">
        <v>0.97219263759999996</v>
      </c>
      <c r="F310" s="18">
        <v>12152407.970000001</v>
      </c>
      <c r="G310" s="18">
        <v>0.03</v>
      </c>
      <c r="H310" s="13"/>
      <c r="I310" s="13"/>
    </row>
    <row r="311" spans="1:9">
      <c r="A311" s="13" t="s">
        <v>814</v>
      </c>
      <c r="B311" s="145" t="s">
        <v>224</v>
      </c>
      <c r="C311" s="145" t="s">
        <v>209</v>
      </c>
      <c r="D311" s="15">
        <v>12500000</v>
      </c>
      <c r="E311" s="95">
        <v>0.94874199250000002</v>
      </c>
      <c r="F311" s="18">
        <v>11859274.91</v>
      </c>
      <c r="G311" s="18">
        <v>0.03</v>
      </c>
      <c r="H311" s="13"/>
      <c r="I311" s="13"/>
    </row>
    <row r="312" spans="1:9">
      <c r="A312" s="13" t="s">
        <v>815</v>
      </c>
      <c r="B312" s="145" t="s">
        <v>456</v>
      </c>
      <c r="C312" s="145" t="s">
        <v>209</v>
      </c>
      <c r="D312" s="15">
        <v>12500000</v>
      </c>
      <c r="E312" s="95">
        <v>0.96919821579999998</v>
      </c>
      <c r="F312" s="94">
        <v>12114977.699999999</v>
      </c>
      <c r="G312" s="18">
        <v>0.03</v>
      </c>
      <c r="H312" s="13"/>
      <c r="I312" s="13"/>
    </row>
    <row r="313" spans="1:9">
      <c r="A313" s="13" t="s">
        <v>816</v>
      </c>
      <c r="B313" s="145" t="s">
        <v>645</v>
      </c>
      <c r="C313" s="145" t="s">
        <v>209</v>
      </c>
      <c r="D313" s="15">
        <v>12500000</v>
      </c>
      <c r="E313" s="95">
        <v>0.9897768508</v>
      </c>
      <c r="F313" s="18">
        <v>12372210.640000001</v>
      </c>
      <c r="G313" s="18">
        <v>0.03</v>
      </c>
      <c r="H313" s="13"/>
      <c r="I313" s="13"/>
    </row>
    <row r="314" spans="1:9">
      <c r="A314" s="13" t="s">
        <v>817</v>
      </c>
      <c r="B314" s="145" t="s">
        <v>611</v>
      </c>
      <c r="C314" s="145" t="s">
        <v>209</v>
      </c>
      <c r="D314" s="15">
        <v>12500000</v>
      </c>
      <c r="E314" s="95">
        <v>0.94660139070000004</v>
      </c>
      <c r="F314" s="18">
        <v>11832517.380000001</v>
      </c>
      <c r="G314" s="18">
        <v>0.03</v>
      </c>
      <c r="H314" s="13"/>
      <c r="I314" s="13"/>
    </row>
    <row r="315" spans="1:9">
      <c r="A315" s="13" t="s">
        <v>818</v>
      </c>
      <c r="B315" s="145" t="s">
        <v>607</v>
      </c>
      <c r="C315" s="145" t="s">
        <v>209</v>
      </c>
      <c r="D315" s="15">
        <v>12500000</v>
      </c>
      <c r="E315" s="95">
        <v>0.96696428410000002</v>
      </c>
      <c r="F315" s="18">
        <v>12087053.550000001</v>
      </c>
      <c r="G315" s="18">
        <v>0.03</v>
      </c>
      <c r="H315" s="13"/>
      <c r="I315" s="13"/>
    </row>
    <row r="316" spans="1:9">
      <c r="A316" s="13" t="s">
        <v>819</v>
      </c>
      <c r="B316" s="145" t="s">
        <v>626</v>
      </c>
      <c r="C316" s="145" t="s">
        <v>209</v>
      </c>
      <c r="D316" s="15">
        <v>12500000</v>
      </c>
      <c r="E316" s="95">
        <v>0.94376218430000003</v>
      </c>
      <c r="F316" s="94">
        <v>11797027.300000001</v>
      </c>
      <c r="G316" s="18">
        <v>0.03</v>
      </c>
      <c r="H316" s="13"/>
      <c r="I316" s="13"/>
    </row>
    <row r="317" spans="1:9">
      <c r="A317" s="13" t="s">
        <v>820</v>
      </c>
      <c r="B317" s="145" t="s">
        <v>228</v>
      </c>
      <c r="C317" s="145" t="s">
        <v>209</v>
      </c>
      <c r="D317" s="15">
        <v>12500000</v>
      </c>
      <c r="E317" s="95">
        <v>0.96400180550000003</v>
      </c>
      <c r="F317" s="18">
        <v>12050022.57</v>
      </c>
      <c r="G317" s="18">
        <v>0.03</v>
      </c>
      <c r="H317" s="13"/>
      <c r="I317" s="13"/>
    </row>
    <row r="318" spans="1:9">
      <c r="A318" s="13" t="s">
        <v>821</v>
      </c>
      <c r="B318" s="145" t="s">
        <v>413</v>
      </c>
      <c r="C318" s="145" t="s">
        <v>209</v>
      </c>
      <c r="D318" s="15">
        <v>12500000</v>
      </c>
      <c r="E318" s="95">
        <v>0.94234904009999998</v>
      </c>
      <c r="F318" s="15">
        <v>11779363</v>
      </c>
      <c r="G318" s="18">
        <v>0.03</v>
      </c>
      <c r="H318" s="13"/>
      <c r="I318" s="13"/>
    </row>
    <row r="319" spans="1:9">
      <c r="A319" s="13" t="s">
        <v>822</v>
      </c>
      <c r="B319" s="145" t="s">
        <v>230</v>
      </c>
      <c r="C319" s="145" t="s">
        <v>209</v>
      </c>
      <c r="D319" s="15">
        <v>12500000</v>
      </c>
      <c r="E319" s="95">
        <v>0.98512866919999997</v>
      </c>
      <c r="F319" s="18">
        <v>12314108.369999999</v>
      </c>
      <c r="G319" s="18">
        <v>0.03</v>
      </c>
      <c r="H319" s="13"/>
      <c r="I319" s="13"/>
    </row>
    <row r="320" spans="1:9">
      <c r="A320" s="13" t="s">
        <v>823</v>
      </c>
      <c r="B320" s="145" t="s">
        <v>649</v>
      </c>
      <c r="C320" s="145" t="s">
        <v>209</v>
      </c>
      <c r="D320" s="18">
        <v>10608716.66</v>
      </c>
      <c r="E320" s="95">
        <v>0.98184264610000005</v>
      </c>
      <c r="F320" s="18">
        <v>10416090.439999999</v>
      </c>
      <c r="G320" s="18">
        <v>0.03</v>
      </c>
      <c r="H320" s="13"/>
      <c r="I320" s="13"/>
    </row>
    <row r="321" spans="1:9">
      <c r="A321" s="13" t="s">
        <v>824</v>
      </c>
      <c r="B321" s="145" t="s">
        <v>649</v>
      </c>
      <c r="C321" s="145" t="s">
        <v>209</v>
      </c>
      <c r="D321" s="94">
        <v>5795550.9000000004</v>
      </c>
      <c r="E321" s="95">
        <v>0.98184264669999999</v>
      </c>
      <c r="F321" s="18">
        <v>5690319.0300000003</v>
      </c>
      <c r="G321" s="18">
        <v>0.01</v>
      </c>
      <c r="H321" s="13"/>
      <c r="I321" s="13"/>
    </row>
    <row r="322" spans="1:9">
      <c r="A322" s="13" t="s">
        <v>825</v>
      </c>
      <c r="B322" s="145" t="s">
        <v>230</v>
      </c>
      <c r="C322" s="145" t="s">
        <v>209</v>
      </c>
      <c r="D322" s="18">
        <v>5984924.6299999999</v>
      </c>
      <c r="E322" s="95">
        <v>0.98614006359999995</v>
      </c>
      <c r="F322" s="18">
        <v>5901973.96</v>
      </c>
      <c r="G322" s="18">
        <v>0.02</v>
      </c>
      <c r="H322" s="13"/>
      <c r="I322" s="13"/>
    </row>
    <row r="323" spans="1:9">
      <c r="A323" s="13" t="s">
        <v>826</v>
      </c>
      <c r="B323" s="145" t="s">
        <v>230</v>
      </c>
      <c r="C323" s="145" t="s">
        <v>209</v>
      </c>
      <c r="D323" s="18">
        <v>15120125.32</v>
      </c>
      <c r="E323" s="95">
        <v>0.98614006359999995</v>
      </c>
      <c r="F323" s="18">
        <v>14910561.34</v>
      </c>
      <c r="G323" s="18">
        <v>0.04</v>
      </c>
      <c r="H323" s="13"/>
      <c r="I323" s="13"/>
    </row>
    <row r="324" spans="1:9">
      <c r="A324" s="13" t="s">
        <v>827</v>
      </c>
      <c r="B324" s="145" t="s">
        <v>230</v>
      </c>
      <c r="C324" s="145" t="s">
        <v>209</v>
      </c>
      <c r="D324" s="18">
        <v>8520366.0899999999</v>
      </c>
      <c r="E324" s="95">
        <v>0.98614006050000003</v>
      </c>
      <c r="F324" s="18">
        <v>8402274.3300000001</v>
      </c>
      <c r="G324" s="18">
        <v>0.02</v>
      </c>
      <c r="H324" s="13"/>
      <c r="I324" s="13"/>
    </row>
    <row r="325" spans="1:9">
      <c r="A325" s="13" t="s">
        <v>828</v>
      </c>
      <c r="B325" s="145" t="s">
        <v>230</v>
      </c>
      <c r="C325" s="145" t="s">
        <v>209</v>
      </c>
      <c r="D325" s="15">
        <v>7031430</v>
      </c>
      <c r="E325" s="95">
        <v>0.98614006259999998</v>
      </c>
      <c r="F325" s="18">
        <v>6933974.8200000003</v>
      </c>
      <c r="G325" s="18">
        <v>0.02</v>
      </c>
      <c r="H325" s="13"/>
      <c r="I325" s="13"/>
    </row>
    <row r="326" spans="1:9">
      <c r="A326" s="13" t="s">
        <v>829</v>
      </c>
      <c r="B326" s="145" t="s">
        <v>230</v>
      </c>
      <c r="C326" s="145" t="s">
        <v>209</v>
      </c>
      <c r="D326" s="18">
        <v>13259548.27</v>
      </c>
      <c r="E326" s="95">
        <v>0.98614006310000002</v>
      </c>
      <c r="F326" s="18">
        <v>13075771.77</v>
      </c>
      <c r="G326" s="18">
        <v>0.03</v>
      </c>
      <c r="H326" s="13"/>
      <c r="I326" s="13"/>
    </row>
    <row r="327" spans="1:9">
      <c r="A327" s="13" t="s">
        <v>830</v>
      </c>
      <c r="B327" s="145" t="s">
        <v>218</v>
      </c>
      <c r="C327" s="145" t="s">
        <v>209</v>
      </c>
      <c r="D327" s="18">
        <v>16593463.289999999</v>
      </c>
      <c r="E327" s="96">
        <v>0.99631501499999997</v>
      </c>
      <c r="F327" s="18">
        <v>16532316.630000001</v>
      </c>
      <c r="G327" s="18">
        <v>0.04</v>
      </c>
      <c r="H327" s="13"/>
      <c r="I327" s="13"/>
    </row>
    <row r="328" spans="1:9">
      <c r="A328" s="13" t="s">
        <v>831</v>
      </c>
      <c r="B328" s="145" t="s">
        <v>218</v>
      </c>
      <c r="C328" s="145" t="s">
        <v>209</v>
      </c>
      <c r="D328" s="18">
        <v>5094258.29</v>
      </c>
      <c r="E328" s="95">
        <v>0.99631501310000004</v>
      </c>
      <c r="F328" s="18">
        <v>5075486.01</v>
      </c>
      <c r="G328" s="18">
        <v>0.01</v>
      </c>
      <c r="H328" s="13"/>
      <c r="I328" s="13"/>
    </row>
    <row r="329" spans="1:9">
      <c r="A329" s="13" t="s">
        <v>832</v>
      </c>
      <c r="B329" s="145" t="s">
        <v>218</v>
      </c>
      <c r="C329" s="145" t="s">
        <v>209</v>
      </c>
      <c r="D329" s="18">
        <v>14341517.710000001</v>
      </c>
      <c r="E329" s="96">
        <v>0.99631501499999997</v>
      </c>
      <c r="F329" s="18">
        <v>14288669.43</v>
      </c>
      <c r="G329" s="18">
        <v>0.04</v>
      </c>
      <c r="H329" s="13"/>
      <c r="I329" s="13"/>
    </row>
    <row r="330" spans="1:9">
      <c r="A330" s="13" t="s">
        <v>833</v>
      </c>
      <c r="B330" s="145" t="s">
        <v>218</v>
      </c>
      <c r="C330" s="145" t="s">
        <v>209</v>
      </c>
      <c r="D330" s="18">
        <v>14341517.710000001</v>
      </c>
      <c r="E330" s="96">
        <v>0.99631501499999997</v>
      </c>
      <c r="F330" s="18">
        <v>14288669.43</v>
      </c>
      <c r="G330" s="18">
        <v>0.04</v>
      </c>
      <c r="H330" s="13"/>
      <c r="I330" s="13"/>
    </row>
    <row r="331" spans="1:9">
      <c r="A331" s="13" t="s">
        <v>834</v>
      </c>
      <c r="B331" s="145" t="s">
        <v>466</v>
      </c>
      <c r="C331" s="145" t="s">
        <v>209</v>
      </c>
      <c r="D331" s="18">
        <v>14341517.710000001</v>
      </c>
      <c r="E331" s="95">
        <v>0.99558126459999996</v>
      </c>
      <c r="F331" s="18">
        <v>14278146.34</v>
      </c>
      <c r="G331" s="18">
        <v>0.04</v>
      </c>
      <c r="H331" s="13"/>
      <c r="I331" s="13"/>
    </row>
    <row r="332" spans="1:9">
      <c r="A332" s="13" t="s">
        <v>835</v>
      </c>
      <c r="B332" s="145" t="s">
        <v>507</v>
      </c>
      <c r="C332" s="145" t="s">
        <v>209</v>
      </c>
      <c r="D332" s="18">
        <v>38020423.149999999</v>
      </c>
      <c r="E332" s="95">
        <v>0.97195966170000003</v>
      </c>
      <c r="F332" s="18">
        <v>36954317.619999997</v>
      </c>
      <c r="G332" s="94">
        <v>0.1</v>
      </c>
      <c r="H332" s="13"/>
      <c r="I332" s="13"/>
    </row>
    <row r="333" spans="1:9">
      <c r="A333" s="13" t="s">
        <v>836</v>
      </c>
      <c r="B333" s="145" t="s">
        <v>479</v>
      </c>
      <c r="C333" s="145" t="s">
        <v>209</v>
      </c>
      <c r="D333" s="94">
        <v>7484214.9000000004</v>
      </c>
      <c r="E333" s="95">
        <v>0.99704984510000005</v>
      </c>
      <c r="F333" s="18">
        <v>7462135.3099999996</v>
      </c>
      <c r="G333" s="18">
        <v>0.02</v>
      </c>
      <c r="H333" s="13"/>
      <c r="I333" s="13"/>
    </row>
    <row r="334" spans="1:9">
      <c r="A334" s="13" t="s">
        <v>837</v>
      </c>
      <c r="B334" s="145" t="s">
        <v>218</v>
      </c>
      <c r="C334" s="145" t="s">
        <v>209</v>
      </c>
      <c r="D334" s="18">
        <v>8981057.8800000008</v>
      </c>
      <c r="E334" s="95">
        <v>0.99631501580000004</v>
      </c>
      <c r="F334" s="18">
        <v>8947962.8200000003</v>
      </c>
      <c r="G334" s="18">
        <v>0.02</v>
      </c>
      <c r="H334" s="13"/>
      <c r="I334" s="13"/>
    </row>
    <row r="335" spans="1:9">
      <c r="A335" s="13" t="s">
        <v>838</v>
      </c>
      <c r="B335" s="145" t="s">
        <v>645</v>
      </c>
      <c r="C335" s="145" t="s">
        <v>209</v>
      </c>
      <c r="D335" s="18">
        <v>5914315.6600000001</v>
      </c>
      <c r="E335" s="95">
        <v>0.9904751812</v>
      </c>
      <c r="F335" s="18">
        <v>5857982.8799999999</v>
      </c>
      <c r="G335" s="18">
        <v>0.02</v>
      </c>
      <c r="H335" s="13"/>
      <c r="I335" s="13"/>
    </row>
    <row r="336" spans="1:9">
      <c r="A336" s="13" t="s">
        <v>839</v>
      </c>
      <c r="B336" s="145" t="s">
        <v>501</v>
      </c>
      <c r="C336" s="145" t="s">
        <v>209</v>
      </c>
      <c r="D336" s="15">
        <v>50000000</v>
      </c>
      <c r="E336" s="95">
        <v>0.97069304820000002</v>
      </c>
      <c r="F336" s="18">
        <v>48534652.409999996</v>
      </c>
      <c r="G336" s="18">
        <v>0.13</v>
      </c>
      <c r="H336" s="13"/>
      <c r="I336" s="13"/>
    </row>
    <row r="337" spans="1:9">
      <c r="A337" s="13" t="s">
        <v>840</v>
      </c>
      <c r="B337" s="145" t="s">
        <v>720</v>
      </c>
      <c r="C337" s="145" t="s">
        <v>209</v>
      </c>
      <c r="D337" s="15">
        <v>50000000</v>
      </c>
      <c r="E337" s="95">
        <v>0.96387452429999998</v>
      </c>
      <c r="F337" s="18">
        <v>48193726.219999999</v>
      </c>
      <c r="G337" s="18">
        <v>0.13</v>
      </c>
      <c r="H337" s="13"/>
      <c r="I337" s="13"/>
    </row>
    <row r="338" spans="1:9">
      <c r="A338" s="13" t="s">
        <v>842</v>
      </c>
      <c r="B338" s="145" t="s">
        <v>587</v>
      </c>
      <c r="C338" s="145" t="s">
        <v>209</v>
      </c>
      <c r="D338" s="15">
        <v>10000000</v>
      </c>
      <c r="E338" s="95">
        <v>0.9989599925</v>
      </c>
      <c r="F338" s="18">
        <v>9989599.9299999997</v>
      </c>
      <c r="G338" s="18">
        <v>0.03</v>
      </c>
      <c r="H338" s="13"/>
      <c r="I338" s="13"/>
    </row>
    <row r="339" spans="1:9">
      <c r="A339" s="13" t="s">
        <v>843</v>
      </c>
      <c r="B339" s="145" t="s">
        <v>479</v>
      </c>
      <c r="C339" s="145" t="s">
        <v>209</v>
      </c>
      <c r="D339" s="15">
        <v>10000000</v>
      </c>
      <c r="E339" s="95">
        <v>0.99585291369999995</v>
      </c>
      <c r="F339" s="18">
        <v>9958529.1400000006</v>
      </c>
      <c r="G339" s="18">
        <v>0.03</v>
      </c>
      <c r="H339" s="13"/>
      <c r="I339" s="13"/>
    </row>
    <row r="340" spans="1:9">
      <c r="A340" s="13" t="s">
        <v>844</v>
      </c>
      <c r="B340" s="145" t="s">
        <v>218</v>
      </c>
      <c r="C340" s="145" t="s">
        <v>209</v>
      </c>
      <c r="D340" s="15">
        <v>10000000</v>
      </c>
      <c r="E340" s="95">
        <v>0.9948214997</v>
      </c>
      <c r="F340" s="15">
        <v>9948215</v>
      </c>
      <c r="G340" s="18">
        <v>0.03</v>
      </c>
      <c r="H340" s="13"/>
      <c r="I340" s="13"/>
    </row>
    <row r="341" spans="1:9">
      <c r="A341" s="13" t="s">
        <v>845</v>
      </c>
      <c r="B341" s="145" t="s">
        <v>466</v>
      </c>
      <c r="C341" s="145" t="s">
        <v>209</v>
      </c>
      <c r="D341" s="15">
        <v>10000000</v>
      </c>
      <c r="E341" s="95">
        <v>0.99379221529999995</v>
      </c>
      <c r="F341" s="18">
        <v>9937922.1500000004</v>
      </c>
      <c r="G341" s="18">
        <v>0.03</v>
      </c>
      <c r="H341" s="13"/>
      <c r="I341" s="13"/>
    </row>
    <row r="342" spans="1:9">
      <c r="A342" s="13" t="s">
        <v>846</v>
      </c>
      <c r="B342" s="145" t="s">
        <v>590</v>
      </c>
      <c r="C342" s="145" t="s">
        <v>209</v>
      </c>
      <c r="D342" s="15">
        <v>10000000</v>
      </c>
      <c r="E342" s="95">
        <v>0.99276505709999996</v>
      </c>
      <c r="F342" s="18">
        <v>9927650.5700000003</v>
      </c>
      <c r="G342" s="18">
        <v>0.03</v>
      </c>
      <c r="H342" s="13"/>
      <c r="I342" s="13"/>
    </row>
    <row r="343" spans="1:9">
      <c r="A343" s="13" t="s">
        <v>847</v>
      </c>
      <c r="B343" s="145" t="s">
        <v>454</v>
      </c>
      <c r="C343" s="145" t="s">
        <v>209</v>
      </c>
      <c r="D343" s="15">
        <v>10000000</v>
      </c>
      <c r="E343" s="95">
        <v>0.99174007249999996</v>
      </c>
      <c r="F343" s="18">
        <v>9917400.7300000004</v>
      </c>
      <c r="G343" s="18">
        <v>0.03</v>
      </c>
      <c r="H343" s="13"/>
      <c r="I343" s="13"/>
    </row>
    <row r="344" spans="1:9">
      <c r="A344" s="13" t="s">
        <v>848</v>
      </c>
      <c r="B344" s="145" t="s">
        <v>481</v>
      </c>
      <c r="C344" s="145" t="s">
        <v>209</v>
      </c>
      <c r="D344" s="15">
        <v>10000000</v>
      </c>
      <c r="E344" s="95">
        <v>0.9876610549</v>
      </c>
      <c r="F344" s="18">
        <v>9876610.5500000007</v>
      </c>
      <c r="G344" s="18">
        <v>0.03</v>
      </c>
      <c r="H344" s="13"/>
      <c r="I344" s="13"/>
    </row>
    <row r="345" spans="1:9">
      <c r="A345" s="13" t="s">
        <v>849</v>
      </c>
      <c r="B345" s="145" t="s">
        <v>645</v>
      </c>
      <c r="C345" s="145" t="s">
        <v>209</v>
      </c>
      <c r="D345" s="15">
        <v>10000000</v>
      </c>
      <c r="E345" s="95">
        <v>0.98664651650000001</v>
      </c>
      <c r="F345" s="18">
        <v>9866465.1699999999</v>
      </c>
      <c r="G345" s="18">
        <v>0.03</v>
      </c>
      <c r="H345" s="13"/>
      <c r="I345" s="13"/>
    </row>
    <row r="346" spans="1:9">
      <c r="A346" s="13" t="s">
        <v>850</v>
      </c>
      <c r="B346" s="145" t="s">
        <v>454</v>
      </c>
      <c r="C346" s="145" t="s">
        <v>209</v>
      </c>
      <c r="D346" s="15">
        <v>200000000</v>
      </c>
      <c r="E346" s="95">
        <v>0.9913091168</v>
      </c>
      <c r="F346" s="18">
        <v>198261823.36000001</v>
      </c>
      <c r="G346" s="18">
        <v>0.52</v>
      </c>
      <c r="H346" s="13"/>
      <c r="I346" s="13"/>
    </row>
    <row r="347" spans="1:9">
      <c r="A347" s="13" t="s">
        <v>851</v>
      </c>
      <c r="B347" s="145" t="s">
        <v>852</v>
      </c>
      <c r="C347" s="145" t="s">
        <v>209</v>
      </c>
      <c r="D347" s="15">
        <v>50000000</v>
      </c>
      <c r="E347" s="95">
        <v>0.92552689610000005</v>
      </c>
      <c r="F347" s="18">
        <v>46276344.810000002</v>
      </c>
      <c r="G347" s="18">
        <v>0.12</v>
      </c>
      <c r="H347" s="13"/>
      <c r="I347" s="13"/>
    </row>
    <row r="348" spans="1:9">
      <c r="A348" s="13" t="s">
        <v>853</v>
      </c>
      <c r="B348" s="145" t="s">
        <v>244</v>
      </c>
      <c r="C348" s="145" t="s">
        <v>209</v>
      </c>
      <c r="D348" s="15">
        <v>50000000</v>
      </c>
      <c r="E348" s="95">
        <v>0.91937237989999998</v>
      </c>
      <c r="F348" s="15">
        <v>45968619</v>
      </c>
      <c r="G348" s="18">
        <v>0.12</v>
      </c>
      <c r="H348" s="13"/>
      <c r="I348" s="13"/>
    </row>
    <row r="349" spans="1:9">
      <c r="A349" s="13" t="s">
        <v>854</v>
      </c>
      <c r="B349" s="145" t="s">
        <v>224</v>
      </c>
      <c r="C349" s="145" t="s">
        <v>209</v>
      </c>
      <c r="D349" s="15">
        <v>50000000</v>
      </c>
      <c r="E349" s="95">
        <v>0.94208141069999995</v>
      </c>
      <c r="F349" s="18">
        <v>47104070.539999999</v>
      </c>
      <c r="G349" s="18">
        <v>0.12</v>
      </c>
      <c r="H349" s="13"/>
      <c r="I349" s="13"/>
    </row>
    <row r="350" spans="1:9">
      <c r="A350" s="13" t="s">
        <v>855</v>
      </c>
      <c r="B350" s="145" t="s">
        <v>856</v>
      </c>
      <c r="C350" s="145" t="s">
        <v>209</v>
      </c>
      <c r="D350" s="15">
        <v>50000000</v>
      </c>
      <c r="E350" s="95">
        <v>0.91481003429999996</v>
      </c>
      <c r="F350" s="18">
        <v>45740501.719999999</v>
      </c>
      <c r="G350" s="18">
        <v>0.12</v>
      </c>
      <c r="H350" s="13"/>
      <c r="I350" s="13"/>
    </row>
    <row r="351" spans="1:9">
      <c r="A351" s="13" t="s">
        <v>857</v>
      </c>
      <c r="B351" s="145" t="s">
        <v>626</v>
      </c>
      <c r="C351" s="145" t="s">
        <v>209</v>
      </c>
      <c r="D351" s="15">
        <v>50000000</v>
      </c>
      <c r="E351" s="95">
        <v>0.93649782709999996</v>
      </c>
      <c r="F351" s="18">
        <v>46824891.359999999</v>
      </c>
      <c r="G351" s="18">
        <v>0.12</v>
      </c>
      <c r="H351" s="13"/>
      <c r="I351" s="13"/>
    </row>
    <row r="352" spans="1:9">
      <c r="A352" s="13" t="s">
        <v>858</v>
      </c>
      <c r="B352" s="145" t="s">
        <v>248</v>
      </c>
      <c r="C352" s="145" t="s">
        <v>209</v>
      </c>
      <c r="D352" s="15">
        <v>50000000</v>
      </c>
      <c r="E352" s="95">
        <v>0.93098004160000003</v>
      </c>
      <c r="F352" s="18">
        <v>46549002.079999998</v>
      </c>
      <c r="G352" s="18">
        <v>0.12</v>
      </c>
      <c r="H352" s="13"/>
      <c r="I352" s="13"/>
    </row>
    <row r="353" spans="1:9">
      <c r="A353" s="13" t="s">
        <v>859</v>
      </c>
      <c r="B353" s="145" t="s">
        <v>582</v>
      </c>
      <c r="C353" s="145" t="s">
        <v>209</v>
      </c>
      <c r="D353" s="15">
        <v>10000000</v>
      </c>
      <c r="E353" s="95">
        <v>0.91870137289999998</v>
      </c>
      <c r="F353" s="18">
        <v>9187013.7300000004</v>
      </c>
      <c r="G353" s="18">
        <v>0.02</v>
      </c>
      <c r="H353" s="13"/>
      <c r="I353" s="13"/>
    </row>
    <row r="354" spans="1:9">
      <c r="A354" s="13" t="s">
        <v>860</v>
      </c>
      <c r="B354" s="145" t="s">
        <v>770</v>
      </c>
      <c r="C354" s="145" t="s">
        <v>209</v>
      </c>
      <c r="D354" s="15">
        <v>5000000</v>
      </c>
      <c r="E354" s="95">
        <v>0.97364501309999996</v>
      </c>
      <c r="F354" s="18">
        <v>4868225.07</v>
      </c>
      <c r="G354" s="18">
        <v>0.01</v>
      </c>
      <c r="H354" s="13"/>
      <c r="I354" s="13"/>
    </row>
    <row r="355" spans="1:9">
      <c r="A355" s="13" t="s">
        <v>861</v>
      </c>
      <c r="B355" s="145" t="s">
        <v>862</v>
      </c>
      <c r="C355" s="145" t="s">
        <v>209</v>
      </c>
      <c r="D355" s="15">
        <v>5000000</v>
      </c>
      <c r="E355" s="95">
        <v>0.94584105860000001</v>
      </c>
      <c r="F355" s="18">
        <v>4729205.29</v>
      </c>
      <c r="G355" s="18">
        <v>0.01</v>
      </c>
      <c r="H355" s="13"/>
      <c r="I355" s="13"/>
    </row>
    <row r="356" spans="1:9">
      <c r="A356" s="13" t="s">
        <v>866</v>
      </c>
      <c r="B356" s="145" t="s">
        <v>430</v>
      </c>
      <c r="C356" s="145" t="s">
        <v>291</v>
      </c>
      <c r="D356" s="15">
        <v>20000000</v>
      </c>
      <c r="E356" s="95">
        <v>0.97588366780000002</v>
      </c>
      <c r="F356" s="18">
        <v>19517673.359999999</v>
      </c>
      <c r="G356" s="18">
        <v>0.05</v>
      </c>
      <c r="H356" s="13"/>
      <c r="I356" s="13"/>
    </row>
    <row r="357" spans="1:9">
      <c r="A357" s="13" t="s">
        <v>867</v>
      </c>
      <c r="B357" s="145" t="s">
        <v>649</v>
      </c>
      <c r="C357" s="145" t="s">
        <v>291</v>
      </c>
      <c r="D357" s="15">
        <v>20000000</v>
      </c>
      <c r="E357" s="95">
        <v>0.97268492920000005</v>
      </c>
      <c r="F357" s="18">
        <v>19453698.579999998</v>
      </c>
      <c r="G357" s="18">
        <v>0.05</v>
      </c>
      <c r="H357" s="13"/>
      <c r="I357" s="13"/>
    </row>
    <row r="358" spans="1:9">
      <c r="A358" s="13" t="s">
        <v>868</v>
      </c>
      <c r="B358" s="145" t="s">
        <v>770</v>
      </c>
      <c r="C358" s="145" t="s">
        <v>291</v>
      </c>
      <c r="D358" s="15">
        <v>20000000</v>
      </c>
      <c r="E358" s="95">
        <v>0.97162329049999996</v>
      </c>
      <c r="F358" s="18">
        <v>19432465.809999999</v>
      </c>
      <c r="G358" s="18">
        <v>0.05</v>
      </c>
      <c r="H358" s="13"/>
      <c r="I358" s="13"/>
    </row>
    <row r="359" spans="1:9">
      <c r="A359" s="13" t="s">
        <v>869</v>
      </c>
      <c r="B359" s="145" t="s">
        <v>543</v>
      </c>
      <c r="C359" s="145" t="s">
        <v>291</v>
      </c>
      <c r="D359" s="15">
        <v>20000000</v>
      </c>
      <c r="E359" s="95">
        <v>0.97056411340000004</v>
      </c>
      <c r="F359" s="18">
        <v>19411282.27</v>
      </c>
      <c r="G359" s="18">
        <v>0.05</v>
      </c>
      <c r="H359" s="13"/>
      <c r="I359" s="13"/>
    </row>
    <row r="360" spans="1:9">
      <c r="A360" s="13" t="s">
        <v>870</v>
      </c>
      <c r="B360" s="145" t="s">
        <v>535</v>
      </c>
      <c r="C360" s="145" t="s">
        <v>291</v>
      </c>
      <c r="D360" s="15">
        <v>20000000</v>
      </c>
      <c r="E360" s="95">
        <v>0.9695070952</v>
      </c>
      <c r="F360" s="94">
        <v>19390141.899999999</v>
      </c>
      <c r="G360" s="18">
        <v>0.05</v>
      </c>
      <c r="H360" s="13"/>
      <c r="I360" s="13"/>
    </row>
    <row r="361" spans="1:9">
      <c r="A361" s="13" t="s">
        <v>871</v>
      </c>
      <c r="B361" s="145" t="s">
        <v>501</v>
      </c>
      <c r="C361" s="145" t="s">
        <v>291</v>
      </c>
      <c r="D361" s="15">
        <v>20000000</v>
      </c>
      <c r="E361" s="96">
        <v>0.968452376</v>
      </c>
      <c r="F361" s="18">
        <v>19369047.52</v>
      </c>
      <c r="G361" s="18">
        <v>0.05</v>
      </c>
      <c r="H361" s="13"/>
      <c r="I361" s="13"/>
    </row>
    <row r="362" spans="1:9">
      <c r="A362" s="13" t="s">
        <v>872</v>
      </c>
      <c r="B362" s="145" t="s">
        <v>515</v>
      </c>
      <c r="C362" s="145" t="s">
        <v>291</v>
      </c>
      <c r="D362" s="15">
        <v>20000000</v>
      </c>
      <c r="E362" s="95">
        <v>0.96425649520000001</v>
      </c>
      <c r="F362" s="94">
        <v>19285129.899999999</v>
      </c>
      <c r="G362" s="18">
        <v>0.05</v>
      </c>
      <c r="H362" s="13"/>
      <c r="I362" s="13"/>
    </row>
    <row r="363" spans="1:9">
      <c r="A363" s="13" t="s">
        <v>873</v>
      </c>
      <c r="B363" s="145" t="s">
        <v>450</v>
      </c>
      <c r="C363" s="145" t="s">
        <v>291</v>
      </c>
      <c r="D363" s="15">
        <v>20000000</v>
      </c>
      <c r="E363" s="95">
        <v>0.97802795929999997</v>
      </c>
      <c r="F363" s="18">
        <v>19560559.190000001</v>
      </c>
      <c r="G363" s="18">
        <v>0.05</v>
      </c>
      <c r="H363" s="13"/>
      <c r="I363" s="13"/>
    </row>
    <row r="364" spans="1:9">
      <c r="A364" s="13" t="s">
        <v>874</v>
      </c>
      <c r="B364" s="145" t="s">
        <v>488</v>
      </c>
      <c r="C364" s="145" t="s">
        <v>291</v>
      </c>
      <c r="D364" s="15">
        <v>20000000</v>
      </c>
      <c r="E364" s="95">
        <v>0.97695463819999995</v>
      </c>
      <c r="F364" s="18">
        <v>19539092.760000002</v>
      </c>
      <c r="G364" s="18">
        <v>0.05</v>
      </c>
      <c r="H364" s="13"/>
      <c r="I364" s="13"/>
    </row>
    <row r="365" spans="1:9">
      <c r="A365" s="13" t="s">
        <v>875</v>
      </c>
      <c r="B365" s="145" t="s">
        <v>530</v>
      </c>
      <c r="C365" s="145" t="s">
        <v>291</v>
      </c>
      <c r="D365" s="15">
        <v>10000000</v>
      </c>
      <c r="E365" s="95">
        <v>0.98451748989999999</v>
      </c>
      <c r="F365" s="94">
        <v>9845174.9000000004</v>
      </c>
      <c r="G365" s="18">
        <v>0.03</v>
      </c>
      <c r="H365" s="13"/>
      <c r="I365" s="13"/>
    </row>
    <row r="366" spans="1:9">
      <c r="A366" s="13" t="s">
        <v>876</v>
      </c>
      <c r="B366" s="145" t="s">
        <v>402</v>
      </c>
      <c r="C366" s="145" t="s">
        <v>291</v>
      </c>
      <c r="D366" s="15">
        <v>10000000</v>
      </c>
      <c r="E366" s="95">
        <v>0.98342989240000001</v>
      </c>
      <c r="F366" s="18">
        <v>9834298.9199999999</v>
      </c>
      <c r="G366" s="18">
        <v>0.03</v>
      </c>
      <c r="H366" s="13"/>
      <c r="I366" s="13"/>
    </row>
    <row r="367" spans="1:9">
      <c r="A367" s="13" t="s">
        <v>877</v>
      </c>
      <c r="B367" s="145" t="s">
        <v>476</v>
      </c>
      <c r="C367" s="145" t="s">
        <v>291</v>
      </c>
      <c r="D367" s="15">
        <v>10000000</v>
      </c>
      <c r="E367" s="95">
        <v>0.98018156860000005</v>
      </c>
      <c r="F367" s="18">
        <v>9801815.6899999995</v>
      </c>
      <c r="G367" s="18">
        <v>0.03</v>
      </c>
      <c r="H367" s="13"/>
      <c r="I367" s="13"/>
    </row>
    <row r="368" spans="1:9">
      <c r="A368" s="13" t="s">
        <v>878</v>
      </c>
      <c r="B368" s="145" t="s">
        <v>230</v>
      </c>
      <c r="C368" s="145" t="s">
        <v>291</v>
      </c>
      <c r="D368" s="15">
        <v>10000000</v>
      </c>
      <c r="E368" s="95">
        <v>0.97910352020000002</v>
      </c>
      <c r="F368" s="94">
        <v>9791035.1999999993</v>
      </c>
      <c r="G368" s="18">
        <v>0.03</v>
      </c>
      <c r="H368" s="13"/>
      <c r="I368" s="13"/>
    </row>
    <row r="369" spans="1:9">
      <c r="A369" s="13" t="s">
        <v>879</v>
      </c>
      <c r="B369" s="145" t="s">
        <v>226</v>
      </c>
      <c r="C369" s="145" t="s">
        <v>291</v>
      </c>
      <c r="D369" s="18">
        <v>10918371.689999999</v>
      </c>
      <c r="E369" s="95">
        <v>0.96321332569999996</v>
      </c>
      <c r="F369" s="18">
        <v>10516721.109999999</v>
      </c>
      <c r="G369" s="18">
        <v>0.03</v>
      </c>
      <c r="H369" s="13"/>
      <c r="I369" s="13"/>
    </row>
    <row r="370" spans="1:9">
      <c r="A370" s="13" t="s">
        <v>880</v>
      </c>
      <c r="B370" s="145" t="s">
        <v>524</v>
      </c>
      <c r="C370" s="145" t="s">
        <v>291</v>
      </c>
      <c r="D370" s="18">
        <v>10918371.689999999</v>
      </c>
      <c r="E370" s="96">
        <v>0.96217224400000001</v>
      </c>
      <c r="F370" s="18">
        <v>10505354.189999999</v>
      </c>
      <c r="G370" s="18">
        <v>0.03</v>
      </c>
      <c r="H370" s="13"/>
      <c r="I370" s="13"/>
    </row>
    <row r="371" spans="1:9">
      <c r="A371" s="13" t="s">
        <v>881</v>
      </c>
      <c r="B371" s="145" t="s">
        <v>720</v>
      </c>
      <c r="C371" s="145" t="s">
        <v>291</v>
      </c>
      <c r="D371" s="18">
        <v>10918371.689999999</v>
      </c>
      <c r="E371" s="95">
        <v>0.96113340930000002</v>
      </c>
      <c r="F371" s="18">
        <v>10494011.810000001</v>
      </c>
      <c r="G371" s="18">
        <v>0.03</v>
      </c>
      <c r="H371" s="13"/>
      <c r="I371" s="13"/>
    </row>
    <row r="372" spans="1:9">
      <c r="A372" s="13" t="s">
        <v>882</v>
      </c>
      <c r="B372" s="145" t="s">
        <v>507</v>
      </c>
      <c r="C372" s="145" t="s">
        <v>291</v>
      </c>
      <c r="D372" s="18">
        <v>10918371.689999999</v>
      </c>
      <c r="E372" s="95">
        <v>0.95803049060000001</v>
      </c>
      <c r="F372" s="18">
        <v>10460132.99</v>
      </c>
      <c r="G372" s="18">
        <v>0.03</v>
      </c>
      <c r="H372" s="13"/>
      <c r="I372" s="13"/>
    </row>
    <row r="373" spans="1:9">
      <c r="A373" s="13" t="s">
        <v>883</v>
      </c>
      <c r="B373" s="145" t="s">
        <v>456</v>
      </c>
      <c r="C373" s="145" t="s">
        <v>291</v>
      </c>
      <c r="D373" s="18">
        <v>10918371.689999999</v>
      </c>
      <c r="E373" s="95">
        <v>0.95700057159999996</v>
      </c>
      <c r="F373" s="18">
        <v>10448887.949999999</v>
      </c>
      <c r="G373" s="18">
        <v>0.03</v>
      </c>
      <c r="H373" s="13"/>
      <c r="I373" s="13"/>
    </row>
    <row r="374" spans="1:9">
      <c r="A374" s="13" t="s">
        <v>884</v>
      </c>
      <c r="B374" s="145" t="s">
        <v>745</v>
      </c>
      <c r="C374" s="145" t="s">
        <v>291</v>
      </c>
      <c r="D374" s="18">
        <v>10918371.689999999</v>
      </c>
      <c r="E374" s="95">
        <v>0.95597304679999995</v>
      </c>
      <c r="F374" s="18">
        <v>10437669.050000001</v>
      </c>
      <c r="G374" s="18">
        <v>0.03</v>
      </c>
      <c r="H374" s="13"/>
      <c r="I374" s="13"/>
    </row>
    <row r="375" spans="1:9">
      <c r="A375" s="13" t="s">
        <v>885</v>
      </c>
      <c r="B375" s="145" t="s">
        <v>649</v>
      </c>
      <c r="C375" s="145" t="s">
        <v>291</v>
      </c>
      <c r="D375" s="18">
        <v>10918371.689999999</v>
      </c>
      <c r="E375" s="95">
        <v>0.9726849286</v>
      </c>
      <c r="F375" s="18">
        <v>10620135.59</v>
      </c>
      <c r="G375" s="18">
        <v>0.03</v>
      </c>
      <c r="H375" s="13"/>
      <c r="I375" s="13"/>
    </row>
    <row r="376" spans="1:9">
      <c r="A376" s="13" t="s">
        <v>886</v>
      </c>
      <c r="B376" s="145" t="s">
        <v>770</v>
      </c>
      <c r="C376" s="145" t="s">
        <v>291</v>
      </c>
      <c r="D376" s="18">
        <v>10918371.689999999</v>
      </c>
      <c r="E376" s="95">
        <v>0.97162329049999996</v>
      </c>
      <c r="F376" s="18">
        <v>10608544.23</v>
      </c>
      <c r="G376" s="18">
        <v>0.03</v>
      </c>
      <c r="H376" s="13"/>
      <c r="I376" s="13"/>
    </row>
    <row r="377" spans="1:9">
      <c r="A377" s="13" t="s">
        <v>887</v>
      </c>
      <c r="B377" s="145" t="s">
        <v>543</v>
      </c>
      <c r="C377" s="145" t="s">
        <v>291</v>
      </c>
      <c r="D377" s="18">
        <v>10918371.689999999</v>
      </c>
      <c r="E377" s="96">
        <v>0.97056411200000003</v>
      </c>
      <c r="F377" s="18">
        <v>10596979.720000001</v>
      </c>
      <c r="G377" s="18">
        <v>0.03</v>
      </c>
      <c r="H377" s="13"/>
      <c r="I377" s="13"/>
    </row>
    <row r="378" spans="1:9">
      <c r="A378" s="13" t="s">
        <v>888</v>
      </c>
      <c r="B378" s="145" t="s">
        <v>535</v>
      </c>
      <c r="C378" s="145" t="s">
        <v>291</v>
      </c>
      <c r="D378" s="18">
        <v>10918371.689999999</v>
      </c>
      <c r="E378" s="96">
        <v>0.96950709599999996</v>
      </c>
      <c r="F378" s="18">
        <v>10585438.83</v>
      </c>
      <c r="G378" s="18">
        <v>0.03</v>
      </c>
      <c r="H378" s="13"/>
      <c r="I378" s="13"/>
    </row>
    <row r="379" spans="1:9">
      <c r="A379" s="13" t="s">
        <v>889</v>
      </c>
      <c r="B379" s="145" t="s">
        <v>501</v>
      </c>
      <c r="C379" s="145" t="s">
        <v>291</v>
      </c>
      <c r="D379" s="18">
        <v>10918371.689999999</v>
      </c>
      <c r="E379" s="95">
        <v>0.96845237529999995</v>
      </c>
      <c r="F379" s="15">
        <v>10573923</v>
      </c>
      <c r="G379" s="18">
        <v>0.03</v>
      </c>
      <c r="H379" s="13"/>
      <c r="I379" s="13"/>
    </row>
    <row r="380" spans="1:9">
      <c r="A380" s="13" t="s">
        <v>890</v>
      </c>
      <c r="B380" s="145" t="s">
        <v>515</v>
      </c>
      <c r="C380" s="145" t="s">
        <v>291</v>
      </c>
      <c r="D380" s="18">
        <v>10918371.689999999</v>
      </c>
      <c r="E380" s="95">
        <v>0.96425649520000001</v>
      </c>
      <c r="F380" s="18">
        <v>10528110.82</v>
      </c>
      <c r="G380" s="18">
        <v>0.03</v>
      </c>
      <c r="H380" s="13"/>
      <c r="I380" s="13"/>
    </row>
    <row r="381" spans="1:9">
      <c r="A381" s="13" t="s">
        <v>891</v>
      </c>
      <c r="B381" s="145" t="s">
        <v>450</v>
      </c>
      <c r="C381" s="145" t="s">
        <v>291</v>
      </c>
      <c r="D381" s="18">
        <v>10918371.689999999</v>
      </c>
      <c r="E381" s="95">
        <v>0.97802795720000002</v>
      </c>
      <c r="F381" s="18">
        <v>10678472.76</v>
      </c>
      <c r="G381" s="18">
        <v>0.03</v>
      </c>
      <c r="H381" s="13"/>
      <c r="I381" s="13"/>
    </row>
    <row r="382" spans="1:9">
      <c r="A382" s="13" t="s">
        <v>892</v>
      </c>
      <c r="B382" s="145" t="s">
        <v>488</v>
      </c>
      <c r="C382" s="145" t="s">
        <v>291</v>
      </c>
      <c r="D382" s="18">
        <v>10918371.689999999</v>
      </c>
      <c r="E382" s="95">
        <v>0.97695463819999995</v>
      </c>
      <c r="F382" s="18">
        <v>10666753.859999999</v>
      </c>
      <c r="G382" s="18">
        <v>0.03</v>
      </c>
      <c r="H382" s="13"/>
      <c r="I382" s="13"/>
    </row>
    <row r="383" spans="1:9">
      <c r="A383" s="13" t="s">
        <v>893</v>
      </c>
      <c r="B383" s="145" t="s">
        <v>430</v>
      </c>
      <c r="C383" s="145" t="s">
        <v>291</v>
      </c>
      <c r="D383" s="18">
        <v>11171159.439999999</v>
      </c>
      <c r="E383" s="95">
        <v>0.97588366729999998</v>
      </c>
      <c r="F383" s="18">
        <v>10901752.039999999</v>
      </c>
      <c r="G383" s="18">
        <v>0.03</v>
      </c>
      <c r="H383" s="13"/>
      <c r="I383" s="13"/>
    </row>
    <row r="384" spans="1:9">
      <c r="A384" s="13" t="s">
        <v>894</v>
      </c>
      <c r="B384" s="145" t="s">
        <v>430</v>
      </c>
      <c r="C384" s="145" t="s">
        <v>291</v>
      </c>
      <c r="D384" s="18">
        <v>10918371.689999999</v>
      </c>
      <c r="E384" s="95">
        <v>0.97588366729999998</v>
      </c>
      <c r="F384" s="18">
        <v>10655060.609999999</v>
      </c>
      <c r="G384" s="18">
        <v>0.03</v>
      </c>
      <c r="H384" s="13"/>
      <c r="I384" s="13"/>
    </row>
    <row r="385" spans="1:9">
      <c r="A385" s="13" t="s">
        <v>895</v>
      </c>
      <c r="B385" s="145" t="s">
        <v>634</v>
      </c>
      <c r="C385" s="145" t="s">
        <v>291</v>
      </c>
      <c r="D385" s="18">
        <v>10918371.720000001</v>
      </c>
      <c r="E385" s="95">
        <v>0.95494754370000001</v>
      </c>
      <c r="F385" s="18">
        <v>10426472.26</v>
      </c>
      <c r="G385" s="18">
        <v>0.03</v>
      </c>
      <c r="H385" s="13"/>
      <c r="I385" s="13"/>
    </row>
    <row r="386" spans="1:9">
      <c r="A386" s="13" t="s">
        <v>896</v>
      </c>
      <c r="B386" s="145" t="s">
        <v>450</v>
      </c>
      <c r="C386" s="145" t="s">
        <v>291</v>
      </c>
      <c r="D386" s="18">
        <v>11171159.59</v>
      </c>
      <c r="E386" s="95">
        <v>0.97802795990000002</v>
      </c>
      <c r="F386" s="18">
        <v>10925706.42</v>
      </c>
      <c r="G386" s="18">
        <v>0.03</v>
      </c>
      <c r="H386" s="13"/>
      <c r="I386" s="13"/>
    </row>
    <row r="387" spans="1:9">
      <c r="A387" s="13" t="s">
        <v>897</v>
      </c>
      <c r="B387" s="145" t="s">
        <v>488</v>
      </c>
      <c r="C387" s="145" t="s">
        <v>291</v>
      </c>
      <c r="D387" s="18">
        <v>11171159.59</v>
      </c>
      <c r="E387" s="95">
        <v>0.97695463819999995</v>
      </c>
      <c r="F387" s="18">
        <v>10913716.18</v>
      </c>
      <c r="G387" s="18">
        <v>0.03</v>
      </c>
      <c r="H387" s="13"/>
      <c r="I387" s="13"/>
    </row>
    <row r="388" spans="1:9">
      <c r="A388" s="13" t="s">
        <v>898</v>
      </c>
      <c r="B388" s="145" t="s">
        <v>607</v>
      </c>
      <c r="C388" s="145" t="s">
        <v>291</v>
      </c>
      <c r="D388" s="18">
        <v>11785044.42</v>
      </c>
      <c r="E388" s="96">
        <v>0.95392423800000004</v>
      </c>
      <c r="F388" s="18">
        <v>11242039.52</v>
      </c>
      <c r="G388" s="18">
        <v>0.03</v>
      </c>
      <c r="H388" s="13"/>
      <c r="I388" s="13"/>
    </row>
    <row r="389" spans="1:9">
      <c r="A389" s="13" t="s">
        <v>899</v>
      </c>
      <c r="B389" s="145" t="s">
        <v>228</v>
      </c>
      <c r="C389" s="145" t="s">
        <v>291</v>
      </c>
      <c r="D389" s="18">
        <v>11785044.42</v>
      </c>
      <c r="E389" s="95">
        <v>0.9498530342</v>
      </c>
      <c r="F389" s="94">
        <v>11194060.199999999</v>
      </c>
      <c r="G389" s="18">
        <v>0.03</v>
      </c>
      <c r="H389" s="13"/>
      <c r="I389" s="13"/>
    </row>
    <row r="390" spans="1:9">
      <c r="A390" s="13" t="s">
        <v>900</v>
      </c>
      <c r="B390" s="145" t="s">
        <v>549</v>
      </c>
      <c r="C390" s="145" t="s">
        <v>291</v>
      </c>
      <c r="D390" s="18">
        <v>11785044.42</v>
      </c>
      <c r="E390" s="95">
        <v>0.94783053289999997</v>
      </c>
      <c r="F390" s="18">
        <v>11170224.93</v>
      </c>
      <c r="G390" s="18">
        <v>0.03</v>
      </c>
      <c r="H390" s="13"/>
      <c r="I390" s="13"/>
    </row>
    <row r="391" spans="1:9">
      <c r="A391" s="13" t="s">
        <v>901</v>
      </c>
      <c r="B391" s="145" t="s">
        <v>430</v>
      </c>
      <c r="C391" s="145" t="s">
        <v>291</v>
      </c>
      <c r="D391" s="94">
        <v>13296076.9</v>
      </c>
      <c r="E391" s="95">
        <v>0.97588366729999998</v>
      </c>
      <c r="F391" s="18">
        <v>12975424.289999999</v>
      </c>
      <c r="G391" s="18">
        <v>0.03</v>
      </c>
      <c r="H391" s="13"/>
      <c r="I391" s="13"/>
    </row>
    <row r="392" spans="1:9">
      <c r="A392" s="13" t="s">
        <v>902</v>
      </c>
      <c r="B392" s="145" t="s">
        <v>649</v>
      </c>
      <c r="C392" s="145" t="s">
        <v>291</v>
      </c>
      <c r="D392" s="94">
        <v>13296076.9</v>
      </c>
      <c r="E392" s="95">
        <v>0.97268492920000005</v>
      </c>
      <c r="F392" s="18">
        <v>12932893.619999999</v>
      </c>
      <c r="G392" s="18">
        <v>0.03</v>
      </c>
      <c r="H392" s="13"/>
      <c r="I392" s="13"/>
    </row>
    <row r="393" spans="1:9">
      <c r="A393" s="13" t="s">
        <v>903</v>
      </c>
      <c r="B393" s="145" t="s">
        <v>770</v>
      </c>
      <c r="C393" s="145" t="s">
        <v>291</v>
      </c>
      <c r="D393" s="94">
        <v>13296076.9</v>
      </c>
      <c r="E393" s="95">
        <v>0.97162329049999996</v>
      </c>
      <c r="F393" s="18">
        <v>12918777.99</v>
      </c>
      <c r="G393" s="18">
        <v>0.03</v>
      </c>
      <c r="H393" s="13"/>
      <c r="I393" s="13"/>
    </row>
    <row r="394" spans="1:9">
      <c r="A394" s="13" t="s">
        <v>904</v>
      </c>
      <c r="B394" s="145" t="s">
        <v>543</v>
      </c>
      <c r="C394" s="145" t="s">
        <v>291</v>
      </c>
      <c r="D394" s="18">
        <v>13296076.83</v>
      </c>
      <c r="E394" s="95">
        <v>0.97056411340000004</v>
      </c>
      <c r="F394" s="18">
        <v>12904695.02</v>
      </c>
      <c r="G394" s="18">
        <v>0.03</v>
      </c>
      <c r="H394" s="13"/>
      <c r="I394" s="13"/>
    </row>
    <row r="395" spans="1:9">
      <c r="A395" s="13" t="s">
        <v>905</v>
      </c>
      <c r="B395" s="145" t="s">
        <v>745</v>
      </c>
      <c r="C395" s="145" t="s">
        <v>291</v>
      </c>
      <c r="D395" s="15">
        <v>2000000</v>
      </c>
      <c r="E395" s="95">
        <v>0.95597304979999997</v>
      </c>
      <c r="F395" s="94">
        <v>1911946.1</v>
      </c>
      <c r="G395" s="18">
        <v>0.01</v>
      </c>
      <c r="H395" s="13"/>
      <c r="I395" s="13"/>
    </row>
    <row r="396" spans="1:9">
      <c r="A396" s="13" t="s">
        <v>906</v>
      </c>
      <c r="B396" s="145" t="s">
        <v>607</v>
      </c>
      <c r="C396" s="145" t="s">
        <v>291</v>
      </c>
      <c r="D396" s="15">
        <v>2000000</v>
      </c>
      <c r="E396" s="95">
        <v>0.95392422939999999</v>
      </c>
      <c r="F396" s="18">
        <v>1907848.46</v>
      </c>
      <c r="G396" s="18">
        <v>0.01</v>
      </c>
      <c r="H396" s="13"/>
      <c r="I396" s="13"/>
    </row>
    <row r="397" spans="1:9">
      <c r="A397" s="13" t="s">
        <v>907</v>
      </c>
      <c r="B397" s="145" t="s">
        <v>430</v>
      </c>
      <c r="C397" s="145" t="s">
        <v>291</v>
      </c>
      <c r="D397" s="15">
        <v>2000000</v>
      </c>
      <c r="E397" s="96">
        <v>0.97588366900000001</v>
      </c>
      <c r="F397" s="18">
        <v>1951767.34</v>
      </c>
      <c r="G397" s="18">
        <v>0.01</v>
      </c>
      <c r="H397" s="13"/>
      <c r="I397" s="13"/>
    </row>
    <row r="398" spans="1:9">
      <c r="A398" s="13" t="s">
        <v>908</v>
      </c>
      <c r="B398" s="145" t="s">
        <v>543</v>
      </c>
      <c r="C398" s="145" t="s">
        <v>291</v>
      </c>
      <c r="D398" s="15">
        <v>2000000</v>
      </c>
      <c r="E398" s="96">
        <v>0.97056411899999995</v>
      </c>
      <c r="F398" s="18">
        <v>1941128.24</v>
      </c>
      <c r="G398" s="18">
        <v>0.01</v>
      </c>
      <c r="H398" s="13"/>
      <c r="I398" s="13"/>
    </row>
    <row r="399" spans="1:9">
      <c r="A399" s="13" t="s">
        <v>909</v>
      </c>
      <c r="B399" s="145" t="s">
        <v>501</v>
      </c>
      <c r="C399" s="145" t="s">
        <v>291</v>
      </c>
      <c r="D399" s="15">
        <v>2000000</v>
      </c>
      <c r="E399" s="95">
        <v>0.96845237979999999</v>
      </c>
      <c r="F399" s="18">
        <v>1936904.76</v>
      </c>
      <c r="G399" s="18">
        <v>0.01</v>
      </c>
      <c r="H399" s="13"/>
      <c r="I399" s="13"/>
    </row>
    <row r="400" spans="1:9">
      <c r="A400" s="13" t="s">
        <v>910</v>
      </c>
      <c r="B400" s="145" t="s">
        <v>524</v>
      </c>
      <c r="C400" s="145" t="s">
        <v>291</v>
      </c>
      <c r="D400" s="15">
        <v>2000000</v>
      </c>
      <c r="E400" s="95">
        <v>0.96217225110000004</v>
      </c>
      <c r="F400" s="94">
        <v>1924344.5</v>
      </c>
      <c r="G400" s="18">
        <v>0.01</v>
      </c>
      <c r="H400" s="13"/>
      <c r="I400" s="13"/>
    </row>
    <row r="401" spans="1:10">
      <c r="A401" s="13" t="s">
        <v>911</v>
      </c>
      <c r="B401" s="145" t="s">
        <v>720</v>
      </c>
      <c r="C401" s="145" t="s">
        <v>291</v>
      </c>
      <c r="D401" s="15">
        <v>2000000</v>
      </c>
      <c r="E401" s="95">
        <v>0.96113340749999998</v>
      </c>
      <c r="F401" s="18">
        <v>1922266.82</v>
      </c>
      <c r="G401" s="18">
        <v>0.01</v>
      </c>
      <c r="H401" s="13"/>
      <c r="I401" s="13"/>
    </row>
    <row r="402" spans="1:10">
      <c r="A402" s="13" t="s">
        <v>912</v>
      </c>
      <c r="B402" s="145" t="s">
        <v>450</v>
      </c>
      <c r="C402" s="145" t="s">
        <v>291</v>
      </c>
      <c r="D402" s="15">
        <v>2000000</v>
      </c>
      <c r="E402" s="95">
        <v>0.97802795929999997</v>
      </c>
      <c r="F402" s="18">
        <v>1956055.92</v>
      </c>
      <c r="G402" s="18">
        <v>0.01</v>
      </c>
      <c r="H402" s="13"/>
      <c r="I402" s="13"/>
    </row>
    <row r="403" spans="1:10">
      <c r="A403" s="13" t="s">
        <v>913</v>
      </c>
      <c r="B403" s="145" t="s">
        <v>450</v>
      </c>
      <c r="C403" s="145" t="s">
        <v>291</v>
      </c>
      <c r="D403" s="18">
        <v>1153417.1599999999</v>
      </c>
      <c r="E403" s="96">
        <v>0.97802796199999997</v>
      </c>
      <c r="F403" s="18">
        <v>1128074.23</v>
      </c>
      <c r="G403" s="15">
        <v>0</v>
      </c>
      <c r="H403" s="13"/>
      <c r="I403" s="13"/>
    </row>
    <row r="404" spans="1:10">
      <c r="A404" s="13" t="s">
        <v>914</v>
      </c>
      <c r="B404" s="145" t="s">
        <v>450</v>
      </c>
      <c r="C404" s="145" t="s">
        <v>291</v>
      </c>
      <c r="D404" s="15">
        <v>2000000</v>
      </c>
      <c r="E404" s="95">
        <v>0.97802795929999997</v>
      </c>
      <c r="F404" s="18">
        <v>1956055.92</v>
      </c>
      <c r="G404" s="18">
        <v>0.01</v>
      </c>
      <c r="H404" s="13"/>
      <c r="I404" s="13"/>
    </row>
    <row r="405" spans="1:10">
      <c r="A405" s="13" t="s">
        <v>915</v>
      </c>
      <c r="B405" s="145" t="s">
        <v>230</v>
      </c>
      <c r="C405" s="145" t="s">
        <v>291</v>
      </c>
      <c r="D405" s="18">
        <v>1016341.51</v>
      </c>
      <c r="E405" s="95">
        <v>0.9791035172</v>
      </c>
      <c r="F405" s="18">
        <v>995103.55</v>
      </c>
      <c r="G405" s="15">
        <v>0</v>
      </c>
      <c r="H405" s="13"/>
      <c r="I405" s="13"/>
    </row>
    <row r="406" spans="1:10">
      <c r="A406" s="13" t="s">
        <v>916</v>
      </c>
      <c r="B406" s="145" t="s">
        <v>524</v>
      </c>
      <c r="C406" s="145" t="s">
        <v>291</v>
      </c>
      <c r="D406" s="15">
        <v>1149527</v>
      </c>
      <c r="E406" s="96">
        <v>0.96217225200000001</v>
      </c>
      <c r="F406" s="18">
        <v>1106042.98</v>
      </c>
      <c r="G406" s="15">
        <v>0</v>
      </c>
      <c r="H406" s="13"/>
      <c r="I406" s="13"/>
      <c r="J406" s="69"/>
    </row>
    <row r="407" spans="1:10">
      <c r="A407" s="13" t="s">
        <v>917</v>
      </c>
      <c r="B407" s="145" t="s">
        <v>402</v>
      </c>
      <c r="C407" s="145" t="s">
        <v>291</v>
      </c>
      <c r="D407" s="18">
        <v>18502460.120000001</v>
      </c>
      <c r="E407" s="95">
        <v>0.98902588489999999</v>
      </c>
      <c r="F407" s="18">
        <v>18299411.989999998</v>
      </c>
      <c r="G407" s="18">
        <v>0.05</v>
      </c>
      <c r="H407" s="13"/>
      <c r="I407" s="13"/>
    </row>
    <row r="408" spans="1:10">
      <c r="A408" s="13" t="s">
        <v>918</v>
      </c>
      <c r="B408" s="145" t="s">
        <v>535</v>
      </c>
      <c r="C408" s="145" t="s">
        <v>291</v>
      </c>
      <c r="D408" s="18">
        <v>20146795.890000001</v>
      </c>
      <c r="E408" s="95">
        <v>0.9797080225</v>
      </c>
      <c r="F408" s="18">
        <v>19737977.559999999</v>
      </c>
      <c r="G408" s="18">
        <v>0.05</v>
      </c>
      <c r="H408" s="13"/>
      <c r="I408" s="13"/>
    </row>
    <row r="409" spans="1:10">
      <c r="A409" s="13" t="s">
        <v>919</v>
      </c>
      <c r="B409" s="145" t="s">
        <v>535</v>
      </c>
      <c r="C409" s="145" t="s">
        <v>291</v>
      </c>
      <c r="D409" s="18">
        <v>7921214.3099999996</v>
      </c>
      <c r="E409" s="95">
        <v>0.9797080225</v>
      </c>
      <c r="F409" s="18">
        <v>7760477.21</v>
      </c>
      <c r="G409" s="18">
        <v>0.02</v>
      </c>
      <c r="H409" s="13"/>
      <c r="I409" s="13"/>
    </row>
    <row r="410" spans="1:10">
      <c r="A410" s="13" t="s">
        <v>920</v>
      </c>
      <c r="B410" s="145" t="s">
        <v>535</v>
      </c>
      <c r="C410" s="145" t="s">
        <v>291</v>
      </c>
      <c r="D410" s="18">
        <v>8670779.9700000007</v>
      </c>
      <c r="E410" s="95">
        <v>0.97970801949999997</v>
      </c>
      <c r="F410" s="18">
        <v>8494832.6699999999</v>
      </c>
      <c r="G410" s="18">
        <v>0.02</v>
      </c>
      <c r="H410" s="13"/>
      <c r="I410" s="13"/>
    </row>
    <row r="411" spans="1:10">
      <c r="A411" s="13" t="s">
        <v>921</v>
      </c>
      <c r="B411" s="145" t="s">
        <v>535</v>
      </c>
      <c r="C411" s="145" t="s">
        <v>291</v>
      </c>
      <c r="D411" s="18">
        <v>4374979.37</v>
      </c>
      <c r="E411" s="95">
        <v>0.97970801880000002</v>
      </c>
      <c r="F411" s="18">
        <v>4286202.37</v>
      </c>
      <c r="G411" s="18">
        <v>0.01</v>
      </c>
      <c r="H411" s="13"/>
      <c r="I411" s="13"/>
    </row>
    <row r="412" spans="1:10">
      <c r="A412" s="13" t="s">
        <v>922</v>
      </c>
      <c r="B412" s="145" t="s">
        <v>226</v>
      </c>
      <c r="C412" s="145" t="s">
        <v>291</v>
      </c>
      <c r="D412" s="18">
        <v>8150793.21</v>
      </c>
      <c r="E412" s="95">
        <v>0.97546645590000003</v>
      </c>
      <c r="F412" s="18">
        <v>7950825.3700000001</v>
      </c>
      <c r="G412" s="18">
        <v>0.02</v>
      </c>
      <c r="H412" s="13"/>
      <c r="I412" s="13"/>
    </row>
    <row r="413" spans="1:10">
      <c r="A413" s="13" t="s">
        <v>923</v>
      </c>
      <c r="B413" s="145" t="s">
        <v>226</v>
      </c>
      <c r="C413" s="145" t="s">
        <v>291</v>
      </c>
      <c r="D413" s="94">
        <v>9628546.5999999996</v>
      </c>
      <c r="E413" s="95">
        <v>0.97546645590000003</v>
      </c>
      <c r="F413" s="18">
        <v>9392324.2300000004</v>
      </c>
      <c r="G413" s="18">
        <v>0.02</v>
      </c>
      <c r="H413" s="13"/>
      <c r="I413" s="13"/>
    </row>
    <row r="414" spans="1:10">
      <c r="A414" s="13" t="s">
        <v>924</v>
      </c>
      <c r="B414" s="145" t="s">
        <v>226</v>
      </c>
      <c r="C414" s="145" t="s">
        <v>291</v>
      </c>
      <c r="D414" s="18">
        <v>12499446.35</v>
      </c>
      <c r="E414" s="95">
        <v>0.97546645590000003</v>
      </c>
      <c r="F414" s="18">
        <v>12192790.630000001</v>
      </c>
      <c r="G414" s="18">
        <v>0.03</v>
      </c>
      <c r="H414" s="13"/>
      <c r="I414" s="13"/>
    </row>
    <row r="415" spans="1:10">
      <c r="A415" s="13" t="s">
        <v>925</v>
      </c>
      <c r="B415" s="145" t="s">
        <v>226</v>
      </c>
      <c r="C415" s="145" t="s">
        <v>291</v>
      </c>
      <c r="D415" s="18">
        <v>11821171.93</v>
      </c>
      <c r="E415" s="95">
        <v>0.97546645590000003</v>
      </c>
      <c r="F415" s="18">
        <v>11531156.689999999</v>
      </c>
      <c r="G415" s="18">
        <v>0.03</v>
      </c>
      <c r="H415" s="13"/>
      <c r="I415" s="13"/>
    </row>
    <row r="416" spans="1:10">
      <c r="A416" s="13" t="s">
        <v>926</v>
      </c>
      <c r="B416" s="145" t="s">
        <v>524</v>
      </c>
      <c r="C416" s="145" t="s">
        <v>291</v>
      </c>
      <c r="D416" s="18">
        <v>10622333.02</v>
      </c>
      <c r="E416" s="95">
        <v>0.97476305860000001</v>
      </c>
      <c r="F416" s="18">
        <v>10354257.82</v>
      </c>
      <c r="G416" s="18">
        <v>0.03</v>
      </c>
      <c r="H416" s="13"/>
      <c r="I416" s="13"/>
    </row>
    <row r="417" spans="1:10">
      <c r="A417" s="13" t="s">
        <v>927</v>
      </c>
      <c r="B417" s="145" t="s">
        <v>611</v>
      </c>
      <c r="C417" s="145" t="s">
        <v>291</v>
      </c>
      <c r="D417" s="15">
        <v>10000000</v>
      </c>
      <c r="E417" s="95">
        <v>0.94486163509999999</v>
      </c>
      <c r="F417" s="18">
        <v>9448616.3499999996</v>
      </c>
      <c r="G417" s="18">
        <v>0.02</v>
      </c>
      <c r="H417" s="13"/>
      <c r="I417" s="13"/>
      <c r="J417" s="69"/>
    </row>
    <row r="418" spans="1:10">
      <c r="A418" s="13" t="s">
        <v>928</v>
      </c>
      <c r="B418" s="145" t="s">
        <v>614</v>
      </c>
      <c r="C418" s="145" t="s">
        <v>291</v>
      </c>
      <c r="D418" s="15">
        <v>10000000</v>
      </c>
      <c r="E418" s="95">
        <v>0.94120687589999996</v>
      </c>
      <c r="F418" s="18">
        <v>9412068.7599999998</v>
      </c>
      <c r="G418" s="18">
        <v>0.02</v>
      </c>
      <c r="H418" s="13"/>
      <c r="I418" s="13"/>
    </row>
    <row r="419" spans="1:10">
      <c r="A419" s="13" t="s">
        <v>929</v>
      </c>
      <c r="B419" s="145" t="s">
        <v>248</v>
      </c>
      <c r="C419" s="145" t="s">
        <v>291</v>
      </c>
      <c r="D419" s="15">
        <v>10000000</v>
      </c>
      <c r="E419" s="95">
        <v>0.93685844640000004</v>
      </c>
      <c r="F419" s="18">
        <v>9368584.4600000009</v>
      </c>
      <c r="G419" s="18">
        <v>0.02</v>
      </c>
      <c r="H419" s="13"/>
      <c r="I419" s="13"/>
    </row>
    <row r="420" spans="1:10">
      <c r="A420" s="13" t="s">
        <v>930</v>
      </c>
      <c r="B420" s="145" t="s">
        <v>488</v>
      </c>
      <c r="C420" s="145" t="s">
        <v>291</v>
      </c>
      <c r="D420" s="15">
        <v>8500000</v>
      </c>
      <c r="E420" s="95">
        <v>0.98414585659999998</v>
      </c>
      <c r="F420" s="18">
        <v>8365239.7800000003</v>
      </c>
      <c r="G420" s="18">
        <v>0.02</v>
      </c>
      <c r="H420" s="13"/>
      <c r="I420" s="13"/>
    </row>
    <row r="421" spans="1:10">
      <c r="A421" s="13" t="s">
        <v>931</v>
      </c>
      <c r="B421" s="145" t="s">
        <v>230</v>
      </c>
      <c r="C421" s="145" t="s">
        <v>291</v>
      </c>
      <c r="D421" s="15">
        <v>8500000</v>
      </c>
      <c r="E421" s="95">
        <v>0.98563404720000003</v>
      </c>
      <c r="F421" s="94">
        <v>8377889.4000000004</v>
      </c>
      <c r="G421" s="18">
        <v>0.02</v>
      </c>
      <c r="H421" s="13"/>
      <c r="I421" s="13"/>
    </row>
    <row r="422" spans="1:10">
      <c r="A422" s="13" t="s">
        <v>932</v>
      </c>
      <c r="B422" s="145" t="s">
        <v>228</v>
      </c>
      <c r="C422" s="145" t="s">
        <v>291</v>
      </c>
      <c r="D422" s="15">
        <v>15000000</v>
      </c>
      <c r="E422" s="95">
        <v>0.96400184379999998</v>
      </c>
      <c r="F422" s="18">
        <v>14460027.66</v>
      </c>
      <c r="G422" s="18">
        <v>0.04</v>
      </c>
      <c r="H422" s="13"/>
      <c r="I422" s="13"/>
    </row>
    <row r="423" spans="1:10">
      <c r="A423" s="13" t="s">
        <v>933</v>
      </c>
      <c r="B423" s="145" t="s">
        <v>228</v>
      </c>
      <c r="C423" s="145" t="s">
        <v>291</v>
      </c>
      <c r="D423" s="15">
        <v>26000000</v>
      </c>
      <c r="E423" s="95">
        <v>0.96400184379999998</v>
      </c>
      <c r="F423" s="18">
        <v>25064047.940000001</v>
      </c>
      <c r="G423" s="18">
        <v>7.0000000000000007E-2</v>
      </c>
      <c r="H423" s="13"/>
      <c r="I423" s="13"/>
    </row>
    <row r="424" spans="1:10">
      <c r="A424" s="13" t="s">
        <v>934</v>
      </c>
      <c r="B424" s="145" t="s">
        <v>230</v>
      </c>
      <c r="C424" s="145" t="s">
        <v>291</v>
      </c>
      <c r="D424" s="15">
        <v>26000000</v>
      </c>
      <c r="E424" s="95">
        <v>0.98512860749999998</v>
      </c>
      <c r="F424" s="94">
        <v>25613343.800000001</v>
      </c>
      <c r="G424" s="18">
        <v>7.0000000000000007E-2</v>
      </c>
      <c r="H424" s="13"/>
      <c r="I424" s="13"/>
    </row>
    <row r="425" spans="1:10">
      <c r="A425" s="13" t="s">
        <v>935</v>
      </c>
      <c r="B425" s="145" t="s">
        <v>549</v>
      </c>
      <c r="C425" s="145" t="s">
        <v>291</v>
      </c>
      <c r="D425" s="15">
        <v>30000000</v>
      </c>
      <c r="E425" s="95">
        <v>0.96252747270000005</v>
      </c>
      <c r="F425" s="18">
        <v>28875824.18</v>
      </c>
      <c r="G425" s="18">
        <v>0.08</v>
      </c>
      <c r="H425" s="13"/>
      <c r="I425" s="13"/>
    </row>
    <row r="426" spans="1:10">
      <c r="A426" s="13" t="s">
        <v>936</v>
      </c>
      <c r="B426" s="145" t="s">
        <v>549</v>
      </c>
      <c r="C426" s="145" t="s">
        <v>291</v>
      </c>
      <c r="D426" s="15">
        <v>33000000</v>
      </c>
      <c r="E426" s="95">
        <v>0.96252747270000005</v>
      </c>
      <c r="F426" s="94">
        <v>31763406.600000001</v>
      </c>
      <c r="G426" s="18">
        <v>0.08</v>
      </c>
      <c r="H426" s="13"/>
      <c r="I426" s="13"/>
    </row>
    <row r="427" spans="1:10">
      <c r="A427" s="13" t="s">
        <v>942</v>
      </c>
      <c r="B427" s="145" t="s">
        <v>943</v>
      </c>
      <c r="C427" s="145" t="s">
        <v>390</v>
      </c>
      <c r="D427" s="15">
        <v>25000000</v>
      </c>
      <c r="E427" s="95">
        <v>0.92601997410000003</v>
      </c>
      <c r="F427" s="18">
        <v>23150499.350000001</v>
      </c>
      <c r="G427" s="18">
        <v>0.06</v>
      </c>
      <c r="H427" s="13"/>
      <c r="I427" s="13"/>
    </row>
    <row r="428" spans="1:10">
      <c r="A428" s="13" t="s">
        <v>944</v>
      </c>
      <c r="B428" s="145" t="s">
        <v>549</v>
      </c>
      <c r="C428" s="145" t="s">
        <v>390</v>
      </c>
      <c r="D428" s="15">
        <v>35000000</v>
      </c>
      <c r="E428" s="95">
        <v>0.96128525119999997</v>
      </c>
      <c r="F428" s="18">
        <v>33644983.789999999</v>
      </c>
      <c r="G428" s="18">
        <v>0.09</v>
      </c>
      <c r="H428" s="13"/>
      <c r="I428" s="13"/>
    </row>
    <row r="429" spans="1:10">
      <c r="A429" s="13" t="s">
        <v>945</v>
      </c>
      <c r="B429" s="145" t="s">
        <v>513</v>
      </c>
      <c r="C429" s="145" t="s">
        <v>390</v>
      </c>
      <c r="D429" s="15">
        <v>35000000</v>
      </c>
      <c r="E429" s="95">
        <v>0.95151209319999996</v>
      </c>
      <c r="F429" s="18">
        <v>33302923.260000002</v>
      </c>
      <c r="G429" s="18">
        <v>0.09</v>
      </c>
      <c r="H429" s="13"/>
      <c r="I429" s="13"/>
    </row>
    <row r="430" spans="1:10">
      <c r="A430" s="13" t="s">
        <v>946</v>
      </c>
      <c r="B430" s="145" t="s">
        <v>535</v>
      </c>
      <c r="C430" s="145" t="s">
        <v>390</v>
      </c>
      <c r="D430" s="94">
        <v>213099761.59999999</v>
      </c>
      <c r="E430" s="95">
        <v>0.97750412860000002</v>
      </c>
      <c r="F430" s="18">
        <v>208305896.77000001</v>
      </c>
      <c r="G430" s="18">
        <v>0.55000000000000004</v>
      </c>
      <c r="H430" s="13"/>
      <c r="I430" s="13"/>
    </row>
    <row r="431" spans="1:10">
      <c r="A431" s="13" t="s">
        <v>947</v>
      </c>
      <c r="B431" s="145" t="s">
        <v>535</v>
      </c>
      <c r="C431" s="145" t="s">
        <v>390</v>
      </c>
      <c r="D431" s="18">
        <v>8834999.9700000007</v>
      </c>
      <c r="E431" s="95">
        <v>0.97750412860000002</v>
      </c>
      <c r="F431" s="18">
        <v>8636248.9499999993</v>
      </c>
      <c r="G431" s="18">
        <v>0.02</v>
      </c>
      <c r="H431" s="13"/>
      <c r="I431" s="13"/>
    </row>
    <row r="432" spans="1:10">
      <c r="A432" s="13" t="s">
        <v>948</v>
      </c>
      <c r="B432" s="145" t="s">
        <v>454</v>
      </c>
      <c r="C432" s="145" t="s">
        <v>390</v>
      </c>
      <c r="D432" s="94">
        <v>250018942.80000001</v>
      </c>
      <c r="E432" s="95">
        <v>0.9934676308</v>
      </c>
      <c r="F432" s="18">
        <v>248385726.75999999</v>
      </c>
      <c r="G432" s="18">
        <v>0.65</v>
      </c>
      <c r="H432" s="13"/>
      <c r="I432" s="13"/>
    </row>
    <row r="433" spans="1:9">
      <c r="A433" s="13" t="s">
        <v>949</v>
      </c>
      <c r="B433" s="145" t="s">
        <v>246</v>
      </c>
      <c r="C433" s="145" t="s">
        <v>390</v>
      </c>
      <c r="D433" s="15">
        <v>50000000</v>
      </c>
      <c r="E433" s="95">
        <v>0.90954407429999995</v>
      </c>
      <c r="F433" s="18">
        <v>45477203.719999999</v>
      </c>
      <c r="G433" s="18">
        <v>0.12</v>
      </c>
      <c r="H433" s="13"/>
      <c r="I433" s="13"/>
    </row>
    <row r="434" spans="1:9">
      <c r="A434" s="13" t="s">
        <v>950</v>
      </c>
      <c r="B434" s="145" t="s">
        <v>248</v>
      </c>
      <c r="C434" s="145" t="s">
        <v>390</v>
      </c>
      <c r="D434" s="15">
        <v>50000000</v>
      </c>
      <c r="E434" s="95">
        <v>0.93097997539999999</v>
      </c>
      <c r="F434" s="18">
        <v>46548998.770000003</v>
      </c>
      <c r="G434" s="18">
        <v>0.12</v>
      </c>
      <c r="H434" s="13"/>
      <c r="I434" s="13"/>
    </row>
    <row r="435" spans="1:9">
      <c r="A435" s="13" t="s">
        <v>952</v>
      </c>
      <c r="B435" s="145" t="s">
        <v>549</v>
      </c>
      <c r="C435" s="145" t="s">
        <v>389</v>
      </c>
      <c r="D435" s="15">
        <v>50000000</v>
      </c>
      <c r="E435" s="95">
        <v>0.95881062360000002</v>
      </c>
      <c r="F435" s="18">
        <v>47940531.18</v>
      </c>
      <c r="G435" s="18">
        <v>0.13</v>
      </c>
      <c r="H435" s="13"/>
      <c r="I435" s="13"/>
    </row>
    <row r="436" spans="1:9">
      <c r="A436" s="13" t="s">
        <v>953</v>
      </c>
      <c r="B436" s="145" t="s">
        <v>248</v>
      </c>
      <c r="C436" s="145" t="s">
        <v>389</v>
      </c>
      <c r="D436" s="15">
        <v>50000000</v>
      </c>
      <c r="E436" s="95">
        <v>0.93293126940000004</v>
      </c>
      <c r="F436" s="18">
        <v>46646563.469999999</v>
      </c>
      <c r="G436" s="18">
        <v>0.12</v>
      </c>
      <c r="H436" s="13"/>
      <c r="I436" s="13"/>
    </row>
    <row r="437" spans="1:9">
      <c r="A437" s="13" t="s">
        <v>954</v>
      </c>
      <c r="B437" s="145" t="s">
        <v>454</v>
      </c>
      <c r="C437" s="145" t="s">
        <v>389</v>
      </c>
      <c r="D437" s="18">
        <v>3673155.78</v>
      </c>
      <c r="E437" s="95">
        <v>0.99390048139999998</v>
      </c>
      <c r="F437" s="94">
        <v>3650751.3</v>
      </c>
      <c r="G437" s="18">
        <v>0.01</v>
      </c>
      <c r="H437" s="13"/>
      <c r="I437" s="13"/>
    </row>
    <row r="438" spans="1:9">
      <c r="A438" s="13" t="s">
        <v>955</v>
      </c>
      <c r="B438" s="145" t="s">
        <v>454</v>
      </c>
      <c r="C438" s="145" t="s">
        <v>389</v>
      </c>
      <c r="D438" s="18">
        <v>42978373.82</v>
      </c>
      <c r="E438" s="95">
        <v>0.99390047950000004</v>
      </c>
      <c r="F438" s="18">
        <v>42716226.350000001</v>
      </c>
      <c r="G438" s="18">
        <v>0.11</v>
      </c>
      <c r="H438" s="13"/>
      <c r="I438" s="13"/>
    </row>
    <row r="439" spans="1:9">
      <c r="A439" s="13" t="s">
        <v>956</v>
      </c>
      <c r="B439" s="145" t="s">
        <v>587</v>
      </c>
      <c r="C439" s="145" t="s">
        <v>389</v>
      </c>
      <c r="D439" s="15">
        <v>15000000</v>
      </c>
      <c r="E439" s="95">
        <v>0.99885064420000003</v>
      </c>
      <c r="F439" s="18">
        <v>14982759.66</v>
      </c>
      <c r="G439" s="18">
        <v>0.04</v>
      </c>
      <c r="H439" s="13"/>
      <c r="I439" s="13"/>
    </row>
    <row r="440" spans="1:9">
      <c r="A440" s="13" t="s">
        <v>959</v>
      </c>
      <c r="B440" s="145" t="s">
        <v>501</v>
      </c>
      <c r="C440" s="145" t="s">
        <v>385</v>
      </c>
      <c r="D440" s="15">
        <v>3500000</v>
      </c>
      <c r="E440" s="95">
        <v>0.97671932080000001</v>
      </c>
      <c r="F440" s="18">
        <v>3418517.62</v>
      </c>
      <c r="G440" s="18">
        <v>0.01</v>
      </c>
      <c r="H440" s="13"/>
      <c r="I440" s="13"/>
    </row>
    <row r="441" spans="1:9">
      <c r="A441" s="13" t="s">
        <v>960</v>
      </c>
      <c r="B441" s="145" t="s">
        <v>745</v>
      </c>
      <c r="C441" s="145" t="s">
        <v>385</v>
      </c>
      <c r="D441" s="15">
        <v>3500000</v>
      </c>
      <c r="E441" s="95">
        <v>0.96740007939999995</v>
      </c>
      <c r="F441" s="18">
        <v>3385900.28</v>
      </c>
      <c r="G441" s="18">
        <v>0.01</v>
      </c>
      <c r="H441" s="13"/>
      <c r="I441" s="13"/>
    </row>
    <row r="442" spans="1:9">
      <c r="A442" s="13" t="s">
        <v>961</v>
      </c>
      <c r="B442" s="145" t="s">
        <v>862</v>
      </c>
      <c r="C442" s="145" t="s">
        <v>385</v>
      </c>
      <c r="D442" s="15">
        <v>35000000</v>
      </c>
      <c r="E442" s="95">
        <v>0.9567496834</v>
      </c>
      <c r="F442" s="18">
        <v>33486238.920000002</v>
      </c>
      <c r="G442" s="18">
        <v>0.09</v>
      </c>
      <c r="H442" s="13"/>
      <c r="I442" s="13"/>
    </row>
    <row r="443" spans="1:9">
      <c r="A443" s="13" t="s">
        <v>962</v>
      </c>
      <c r="B443" s="145" t="s">
        <v>770</v>
      </c>
      <c r="C443" s="145" t="s">
        <v>385</v>
      </c>
      <c r="D443" s="15">
        <v>18000000</v>
      </c>
      <c r="E443" s="95">
        <v>0.9790772553</v>
      </c>
      <c r="F443" s="94">
        <v>17623390.600000001</v>
      </c>
      <c r="G443" s="18">
        <v>0.05</v>
      </c>
      <c r="H443" s="13"/>
      <c r="I443" s="13"/>
    </row>
    <row r="444" spans="1:9">
      <c r="A444" s="13" t="s">
        <v>963</v>
      </c>
      <c r="B444" s="145" t="s">
        <v>430</v>
      </c>
      <c r="C444" s="145" t="s">
        <v>385</v>
      </c>
      <c r="D444" s="15">
        <v>25000000</v>
      </c>
      <c r="E444" s="95">
        <v>0.97876221539999997</v>
      </c>
      <c r="F444" s="18">
        <v>24469055.390000001</v>
      </c>
      <c r="G444" s="18">
        <v>0.06</v>
      </c>
      <c r="H444" s="13"/>
      <c r="I444" s="13"/>
    </row>
    <row r="445" spans="1:9">
      <c r="A445" s="13" t="s">
        <v>964</v>
      </c>
      <c r="B445" s="145" t="s">
        <v>524</v>
      </c>
      <c r="C445" s="145" t="s">
        <v>385</v>
      </c>
      <c r="D445" s="15">
        <v>5450000</v>
      </c>
      <c r="E445" s="95">
        <v>0.96484281289999996</v>
      </c>
      <c r="F445" s="18">
        <v>5258393.33</v>
      </c>
      <c r="G445" s="18">
        <v>0.01</v>
      </c>
      <c r="H445" s="13"/>
      <c r="I445" s="13"/>
    </row>
    <row r="446" spans="1:9">
      <c r="A446" s="13" t="s">
        <v>965</v>
      </c>
      <c r="B446" s="145" t="s">
        <v>520</v>
      </c>
      <c r="C446" s="145" t="s">
        <v>385</v>
      </c>
      <c r="D446" s="15">
        <v>5450000</v>
      </c>
      <c r="E446" s="95">
        <v>0.93844827669999997</v>
      </c>
      <c r="F446" s="18">
        <v>5114543.1100000003</v>
      </c>
      <c r="G446" s="18">
        <v>0.01</v>
      </c>
      <c r="H446" s="13"/>
      <c r="I446" s="13"/>
    </row>
    <row r="447" spans="1:9">
      <c r="A447" s="13" t="s">
        <v>966</v>
      </c>
      <c r="B447" s="145" t="s">
        <v>218</v>
      </c>
      <c r="C447" s="145" t="s">
        <v>385</v>
      </c>
      <c r="D447" s="15">
        <v>5450000</v>
      </c>
      <c r="E447" s="95">
        <v>0.99482151220000004</v>
      </c>
      <c r="F447" s="18">
        <v>5421777.2400000002</v>
      </c>
      <c r="G447" s="18">
        <v>0.01</v>
      </c>
      <c r="H447" s="13"/>
      <c r="I447" s="13"/>
    </row>
    <row r="448" spans="1:9">
      <c r="A448" s="13" t="s">
        <v>967</v>
      </c>
      <c r="B448" s="145" t="s">
        <v>246</v>
      </c>
      <c r="C448" s="145" t="s">
        <v>385</v>
      </c>
      <c r="D448" s="15">
        <v>5450000</v>
      </c>
      <c r="E448" s="95">
        <v>0.89724680430000003</v>
      </c>
      <c r="F448" s="18">
        <v>4889995.08</v>
      </c>
      <c r="G448" s="18">
        <v>0.01</v>
      </c>
      <c r="H448" s="13"/>
      <c r="I448" s="13"/>
    </row>
    <row r="449" spans="1:9">
      <c r="A449" s="13" t="s">
        <v>968</v>
      </c>
      <c r="B449" s="145" t="s">
        <v>518</v>
      </c>
      <c r="C449" s="145" t="s">
        <v>385</v>
      </c>
      <c r="D449" s="15">
        <v>5450000</v>
      </c>
      <c r="E449" s="95">
        <v>0.90913638740000002</v>
      </c>
      <c r="F449" s="18">
        <v>4954793.3099999996</v>
      </c>
      <c r="G449" s="18">
        <v>0.01</v>
      </c>
      <c r="H449" s="13"/>
      <c r="I449" s="13"/>
    </row>
    <row r="450" spans="1:9">
      <c r="A450" s="13" t="s">
        <v>969</v>
      </c>
      <c r="B450" s="145" t="s">
        <v>474</v>
      </c>
      <c r="C450" s="145" t="s">
        <v>385</v>
      </c>
      <c r="D450" s="15">
        <v>5450000</v>
      </c>
      <c r="E450" s="95">
        <v>0.95240599879999999</v>
      </c>
      <c r="F450" s="18">
        <v>5190612.6900000004</v>
      </c>
      <c r="G450" s="18">
        <v>0.01</v>
      </c>
      <c r="H450" s="13"/>
      <c r="I450" s="13"/>
    </row>
    <row r="451" spans="1:9">
      <c r="A451" s="13" t="s">
        <v>970</v>
      </c>
      <c r="B451" s="145" t="s">
        <v>509</v>
      </c>
      <c r="C451" s="145" t="s">
        <v>385</v>
      </c>
      <c r="D451" s="15">
        <v>5450000</v>
      </c>
      <c r="E451" s="95">
        <v>0.92489374390000001</v>
      </c>
      <c r="F451" s="94">
        <v>5040670.9000000004</v>
      </c>
      <c r="G451" s="18">
        <v>0.01</v>
      </c>
      <c r="H451" s="13"/>
      <c r="I451" s="13"/>
    </row>
    <row r="452" spans="1:9">
      <c r="A452" s="13" t="s">
        <v>971</v>
      </c>
      <c r="B452" s="145" t="s">
        <v>450</v>
      </c>
      <c r="C452" s="145" t="s">
        <v>385</v>
      </c>
      <c r="D452" s="15">
        <v>5450000</v>
      </c>
      <c r="E452" s="95">
        <v>0.97960287850000005</v>
      </c>
      <c r="F452" s="18">
        <v>5338835.6900000004</v>
      </c>
      <c r="G452" s="18">
        <v>0.01</v>
      </c>
      <c r="H452" s="13"/>
      <c r="I452" s="13"/>
    </row>
    <row r="453" spans="1:9">
      <c r="A453" s="13" t="s">
        <v>972</v>
      </c>
      <c r="B453" s="145" t="s">
        <v>479</v>
      </c>
      <c r="C453" s="145" t="s">
        <v>425</v>
      </c>
      <c r="D453" s="15">
        <v>15000000</v>
      </c>
      <c r="E453" s="95">
        <v>0.99541836130000005</v>
      </c>
      <c r="F453" s="18">
        <v>14931275.42</v>
      </c>
      <c r="G453" s="18">
        <v>0.04</v>
      </c>
      <c r="H453" s="13"/>
      <c r="I453" s="13"/>
    </row>
    <row r="454" spans="1:9">
      <c r="A454" s="13" t="s">
        <v>973</v>
      </c>
      <c r="B454" s="145" t="s">
        <v>649</v>
      </c>
      <c r="C454" s="145" t="s">
        <v>425</v>
      </c>
      <c r="D454" s="15">
        <v>20000000</v>
      </c>
      <c r="E454" s="95">
        <v>0.9694556124</v>
      </c>
      <c r="F454" s="18">
        <v>19389112.25</v>
      </c>
      <c r="G454" s="18">
        <v>0.05</v>
      </c>
      <c r="H454" s="13"/>
      <c r="I454" s="13"/>
    </row>
    <row r="455" spans="1:9">
      <c r="A455" s="13" t="s">
        <v>974</v>
      </c>
      <c r="B455" s="145" t="s">
        <v>649</v>
      </c>
      <c r="C455" s="145" t="s">
        <v>425</v>
      </c>
      <c r="D455" s="15">
        <v>20000000</v>
      </c>
      <c r="E455" s="95">
        <v>0.9694556124</v>
      </c>
      <c r="F455" s="18">
        <v>19389112.25</v>
      </c>
      <c r="G455" s="18">
        <v>0.05</v>
      </c>
      <c r="H455" s="13"/>
      <c r="I455" s="13"/>
    </row>
    <row r="456" spans="1:9">
      <c r="A456" s="13" t="s">
        <v>975</v>
      </c>
      <c r="B456" s="145" t="s">
        <v>649</v>
      </c>
      <c r="C456" s="145" t="s">
        <v>425</v>
      </c>
      <c r="D456" s="15">
        <v>20000000</v>
      </c>
      <c r="E456" s="95">
        <v>0.9694556124</v>
      </c>
      <c r="F456" s="18">
        <v>19389112.25</v>
      </c>
      <c r="G456" s="18">
        <v>0.05</v>
      </c>
      <c r="H456" s="13"/>
      <c r="I456" s="13"/>
    </row>
    <row r="457" spans="1:9">
      <c r="A457" s="13" t="s">
        <v>976</v>
      </c>
      <c r="B457" s="145" t="s">
        <v>543</v>
      </c>
      <c r="C457" s="145" t="s">
        <v>425</v>
      </c>
      <c r="D457" s="15">
        <v>20000000</v>
      </c>
      <c r="E457" s="95">
        <v>0.96709236669999998</v>
      </c>
      <c r="F457" s="18">
        <v>19341847.329999998</v>
      </c>
      <c r="G457" s="18">
        <v>0.05</v>
      </c>
      <c r="H457" s="13"/>
      <c r="I457" s="13"/>
    </row>
    <row r="458" spans="1:9">
      <c r="A458" s="13" t="s">
        <v>977</v>
      </c>
      <c r="B458" s="145" t="s">
        <v>543</v>
      </c>
      <c r="C458" s="145" t="s">
        <v>425</v>
      </c>
      <c r="D458" s="15">
        <v>20000000</v>
      </c>
      <c r="E458" s="95">
        <v>0.96709236669999998</v>
      </c>
      <c r="F458" s="18">
        <v>19341847.329999998</v>
      </c>
      <c r="G458" s="18">
        <v>0.05</v>
      </c>
      <c r="H458" s="13"/>
      <c r="I458" s="13"/>
    </row>
    <row r="459" spans="1:9">
      <c r="A459" s="13" t="s">
        <v>978</v>
      </c>
      <c r="B459" s="145" t="s">
        <v>430</v>
      </c>
      <c r="C459" s="145" t="s">
        <v>425</v>
      </c>
      <c r="D459" s="15">
        <v>20000000</v>
      </c>
      <c r="E459" s="95">
        <v>0.97302203080000005</v>
      </c>
      <c r="F459" s="18">
        <v>19460440.620000001</v>
      </c>
      <c r="G459" s="18">
        <v>0.05</v>
      </c>
      <c r="H459" s="13"/>
      <c r="I459" s="13"/>
    </row>
    <row r="460" spans="1:9">
      <c r="A460" s="13" t="s">
        <v>979</v>
      </c>
      <c r="B460" s="145" t="s">
        <v>770</v>
      </c>
      <c r="C460" s="145" t="s">
        <v>425</v>
      </c>
      <c r="D460" s="15">
        <v>20000000</v>
      </c>
      <c r="E460" s="95">
        <v>0.9682725485</v>
      </c>
      <c r="F460" s="18">
        <v>19365450.969999999</v>
      </c>
      <c r="G460" s="18">
        <v>0.05</v>
      </c>
      <c r="H460" s="13"/>
      <c r="I460" s="13"/>
    </row>
    <row r="461" spans="1:9">
      <c r="A461" s="13" t="s">
        <v>981</v>
      </c>
      <c r="B461" s="145" t="s">
        <v>587</v>
      </c>
      <c r="C461" s="145" t="s">
        <v>425</v>
      </c>
      <c r="D461" s="15">
        <v>100000000</v>
      </c>
      <c r="E461" s="95">
        <v>0.9989873292</v>
      </c>
      <c r="F461" s="18">
        <v>99898732.920000002</v>
      </c>
      <c r="G461" s="18">
        <v>0.26</v>
      </c>
      <c r="H461" s="13"/>
      <c r="I461" s="13"/>
    </row>
    <row r="462" spans="1:9">
      <c r="A462" s="13" t="s">
        <v>982</v>
      </c>
      <c r="B462" s="145" t="s">
        <v>450</v>
      </c>
      <c r="C462" s="145" t="s">
        <v>425</v>
      </c>
      <c r="D462" s="94">
        <v>39425780.899999999</v>
      </c>
      <c r="E462" s="95">
        <v>0.97855240840000002</v>
      </c>
      <c r="F462" s="18">
        <v>38580192.850000001</v>
      </c>
      <c r="G462" s="94">
        <v>0.1</v>
      </c>
      <c r="H462" s="13"/>
      <c r="I462" s="13"/>
    </row>
    <row r="463" spans="1:9">
      <c r="A463" s="13" t="s">
        <v>983</v>
      </c>
      <c r="B463" s="145" t="s">
        <v>450</v>
      </c>
      <c r="C463" s="145" t="s">
        <v>425</v>
      </c>
      <c r="D463" s="18">
        <v>6273580.79</v>
      </c>
      <c r="E463" s="95">
        <v>0.97855240580000002</v>
      </c>
      <c r="F463" s="18">
        <v>6139027.5800000001</v>
      </c>
      <c r="G463" s="18">
        <v>0.02</v>
      </c>
      <c r="H463" s="13"/>
      <c r="I463" s="13"/>
    </row>
    <row r="464" spans="1:9">
      <c r="A464" s="13" t="s">
        <v>984</v>
      </c>
      <c r="B464" s="145" t="s">
        <v>507</v>
      </c>
      <c r="C464" s="145" t="s">
        <v>442</v>
      </c>
      <c r="D464" s="15">
        <v>85000000</v>
      </c>
      <c r="E464" s="95">
        <v>0.96196926969999996</v>
      </c>
      <c r="F464" s="18">
        <v>81767387.920000002</v>
      </c>
      <c r="G464" s="18">
        <v>0.22</v>
      </c>
      <c r="H464" s="13"/>
      <c r="I464" s="13"/>
    </row>
    <row r="465" spans="1:9">
      <c r="A465" s="13" t="s">
        <v>986</v>
      </c>
      <c r="B465" s="145" t="s">
        <v>466</v>
      </c>
      <c r="C465" s="145" t="s">
        <v>442</v>
      </c>
      <c r="D465" s="15">
        <v>5000000</v>
      </c>
      <c r="E465" s="95">
        <v>0.9941170077</v>
      </c>
      <c r="F465" s="18">
        <v>4970585.04</v>
      </c>
      <c r="G465" s="18">
        <v>0.01</v>
      </c>
      <c r="H465" s="13"/>
      <c r="I465" s="13"/>
    </row>
    <row r="466" spans="1:9">
      <c r="A466" s="13" t="s">
        <v>987</v>
      </c>
      <c r="B466" s="145" t="s">
        <v>543</v>
      </c>
      <c r="C466" s="145" t="s">
        <v>442</v>
      </c>
      <c r="D466" s="15">
        <v>5000000</v>
      </c>
      <c r="E466" s="95">
        <v>0.97406067330000001</v>
      </c>
      <c r="F466" s="18">
        <v>4870303.37</v>
      </c>
      <c r="G466" s="18">
        <v>0.01</v>
      </c>
      <c r="H466" s="13"/>
      <c r="I466" s="13"/>
    </row>
    <row r="467" spans="1:9">
      <c r="A467" s="13" t="s">
        <v>988</v>
      </c>
      <c r="B467" s="145" t="s">
        <v>524</v>
      </c>
      <c r="C467" s="145" t="s">
        <v>442</v>
      </c>
      <c r="D467" s="15">
        <v>5000000</v>
      </c>
      <c r="E467" s="95">
        <v>0.96663137649999997</v>
      </c>
      <c r="F467" s="18">
        <v>4833156.88</v>
      </c>
      <c r="G467" s="18">
        <v>0.01</v>
      </c>
      <c r="H467" s="13"/>
      <c r="I467" s="13"/>
    </row>
    <row r="468" spans="1:9">
      <c r="A468" s="13" t="s">
        <v>989</v>
      </c>
      <c r="B468" s="145" t="s">
        <v>745</v>
      </c>
      <c r="C468" s="145" t="s">
        <v>442</v>
      </c>
      <c r="D468" s="15">
        <v>5000000</v>
      </c>
      <c r="E468" s="95">
        <v>0.96113343559999997</v>
      </c>
      <c r="F468" s="18">
        <v>4805667.18</v>
      </c>
      <c r="G468" s="18">
        <v>0.01</v>
      </c>
      <c r="H468" s="13"/>
      <c r="I468" s="13"/>
    </row>
    <row r="469" spans="1:9">
      <c r="A469" s="13" t="s">
        <v>990</v>
      </c>
      <c r="B469" s="145" t="s">
        <v>530</v>
      </c>
      <c r="C469" s="145" t="s">
        <v>442</v>
      </c>
      <c r="D469" s="15">
        <v>5000000</v>
      </c>
      <c r="E469" s="95">
        <v>0.98637993479999997</v>
      </c>
      <c r="F469" s="18">
        <v>4931899.67</v>
      </c>
      <c r="G469" s="18">
        <v>0.01</v>
      </c>
      <c r="H469" s="13"/>
      <c r="I469" s="13"/>
    </row>
    <row r="470" spans="1:9">
      <c r="A470" s="13" t="s">
        <v>991</v>
      </c>
      <c r="B470" s="145" t="s">
        <v>450</v>
      </c>
      <c r="C470" s="145" t="s">
        <v>442</v>
      </c>
      <c r="D470" s="15">
        <v>5000000</v>
      </c>
      <c r="E470" s="95">
        <v>0.98065558789999996</v>
      </c>
      <c r="F470" s="18">
        <v>4903277.9400000004</v>
      </c>
      <c r="G470" s="18">
        <v>0.01</v>
      </c>
      <c r="H470" s="13"/>
      <c r="I470" s="13"/>
    </row>
    <row r="471" spans="1:9">
      <c r="A471" s="13" t="s">
        <v>992</v>
      </c>
      <c r="B471" s="145" t="s">
        <v>450</v>
      </c>
      <c r="C471" s="145" t="s">
        <v>442</v>
      </c>
      <c r="D471" s="18">
        <v>7166689.79</v>
      </c>
      <c r="E471" s="95">
        <v>0.98595355730000001</v>
      </c>
      <c r="F471" s="18">
        <v>7066023.29</v>
      </c>
      <c r="G471" s="18">
        <v>0.02</v>
      </c>
      <c r="H471" s="13"/>
      <c r="I471" s="13"/>
    </row>
    <row r="472" spans="1:9">
      <c r="A472" s="13" t="s">
        <v>993</v>
      </c>
      <c r="B472" s="145" t="s">
        <v>530</v>
      </c>
      <c r="C472" s="145" t="s">
        <v>442</v>
      </c>
      <c r="D472" s="15">
        <v>1000000</v>
      </c>
      <c r="E472" s="95">
        <v>0.98637994790000005</v>
      </c>
      <c r="F472" s="18">
        <v>986379.95</v>
      </c>
      <c r="G472" s="15">
        <v>0</v>
      </c>
      <c r="H472" s="13"/>
      <c r="I472" s="13"/>
    </row>
    <row r="473" spans="1:9">
      <c r="A473" s="13" t="s">
        <v>994</v>
      </c>
      <c r="B473" s="145" t="s">
        <v>450</v>
      </c>
      <c r="C473" s="145" t="s">
        <v>442</v>
      </c>
      <c r="D473" s="15">
        <v>1000000</v>
      </c>
      <c r="E473" s="95">
        <v>0.98065559369999999</v>
      </c>
      <c r="F473" s="18">
        <v>980655.59</v>
      </c>
      <c r="G473" s="15">
        <v>0</v>
      </c>
      <c r="H473" s="13"/>
      <c r="I473" s="13"/>
    </row>
    <row r="474" spans="1:9">
      <c r="A474" s="13" t="s">
        <v>995</v>
      </c>
      <c r="B474" s="145" t="s">
        <v>645</v>
      </c>
      <c r="C474" s="145" t="s">
        <v>442</v>
      </c>
      <c r="D474" s="15">
        <v>1000000</v>
      </c>
      <c r="E474" s="95">
        <v>0.98734041120000005</v>
      </c>
      <c r="F474" s="18">
        <v>987340.41</v>
      </c>
      <c r="G474" s="15">
        <v>0</v>
      </c>
      <c r="H474" s="13"/>
      <c r="I474" s="13"/>
    </row>
    <row r="475" spans="1:9">
      <c r="A475" s="13" t="s">
        <v>996</v>
      </c>
      <c r="B475" s="145" t="s">
        <v>530</v>
      </c>
      <c r="C475" s="145" t="s">
        <v>442</v>
      </c>
      <c r="D475" s="15">
        <v>1000000</v>
      </c>
      <c r="E475" s="95">
        <v>0.98637994790000005</v>
      </c>
      <c r="F475" s="18">
        <v>986379.95</v>
      </c>
      <c r="G475" s="15">
        <v>0</v>
      </c>
      <c r="H475" s="13"/>
      <c r="I475" s="13"/>
    </row>
    <row r="476" spans="1:9">
      <c r="A476" s="13" t="s">
        <v>997</v>
      </c>
      <c r="B476" s="145" t="s">
        <v>530</v>
      </c>
      <c r="C476" s="145" t="s">
        <v>442</v>
      </c>
      <c r="D476" s="15">
        <v>1000000</v>
      </c>
      <c r="E476" s="95">
        <v>0.98637994790000005</v>
      </c>
      <c r="F476" s="18">
        <v>986379.95</v>
      </c>
      <c r="G476" s="15">
        <v>0</v>
      </c>
      <c r="H476" s="13"/>
      <c r="I476" s="13"/>
    </row>
    <row r="477" spans="1:9">
      <c r="A477" s="13" t="s">
        <v>998</v>
      </c>
      <c r="B477" s="145" t="s">
        <v>476</v>
      </c>
      <c r="C477" s="145" t="s">
        <v>442</v>
      </c>
      <c r="D477" s="15">
        <v>1000000</v>
      </c>
      <c r="E477" s="95">
        <v>0.98255634569999994</v>
      </c>
      <c r="F477" s="18">
        <v>982556.35</v>
      </c>
      <c r="G477" s="15">
        <v>0</v>
      </c>
      <c r="H477" s="13"/>
      <c r="I477" s="13"/>
    </row>
    <row r="478" spans="1:9">
      <c r="A478" s="13" t="s">
        <v>999</v>
      </c>
      <c r="B478" s="145" t="s">
        <v>230</v>
      </c>
      <c r="C478" s="145" t="s">
        <v>442</v>
      </c>
      <c r="D478" s="15">
        <v>1000000</v>
      </c>
      <c r="E478" s="95">
        <v>0.98160504709999996</v>
      </c>
      <c r="F478" s="18">
        <v>981605.05</v>
      </c>
      <c r="G478" s="15">
        <v>0</v>
      </c>
      <c r="H478" s="13"/>
      <c r="I478" s="13"/>
    </row>
    <row r="479" spans="1:9">
      <c r="A479" s="13" t="s">
        <v>1000</v>
      </c>
      <c r="B479" s="145" t="s">
        <v>450</v>
      </c>
      <c r="C479" s="145" t="s">
        <v>442</v>
      </c>
      <c r="D479" s="15">
        <v>1000000</v>
      </c>
      <c r="E479" s="95">
        <v>0.98065559369999999</v>
      </c>
      <c r="F479" s="18">
        <v>980655.59</v>
      </c>
      <c r="G479" s="15">
        <v>0</v>
      </c>
      <c r="H479" s="13"/>
      <c r="I479" s="13"/>
    </row>
    <row r="480" spans="1:9">
      <c r="A480" s="13" t="s">
        <v>1001</v>
      </c>
      <c r="B480" s="145" t="s">
        <v>501</v>
      </c>
      <c r="C480" s="145" t="s">
        <v>442</v>
      </c>
      <c r="D480" s="15">
        <v>280000000</v>
      </c>
      <c r="E480" s="95">
        <v>0.96845246470000002</v>
      </c>
      <c r="F480" s="18">
        <v>271166690.12</v>
      </c>
      <c r="G480" s="18">
        <v>0.71</v>
      </c>
      <c r="H480" s="13"/>
      <c r="I480" s="13"/>
    </row>
    <row r="481" spans="1:9">
      <c r="A481" s="13" t="s">
        <v>1002</v>
      </c>
      <c r="B481" s="145" t="s">
        <v>1003</v>
      </c>
      <c r="C481" s="145" t="s">
        <v>442</v>
      </c>
      <c r="D481" s="15">
        <v>65000000</v>
      </c>
      <c r="E481" s="95">
        <v>0.9184700616</v>
      </c>
      <c r="F481" s="15">
        <v>59700554</v>
      </c>
      <c r="G481" s="18">
        <v>0.16</v>
      </c>
      <c r="H481" s="13"/>
      <c r="I481" s="13"/>
    </row>
    <row r="482" spans="1:9">
      <c r="A482" s="13" t="s">
        <v>1004</v>
      </c>
      <c r="B482" s="145" t="s">
        <v>624</v>
      </c>
      <c r="C482" s="145" t="s">
        <v>442</v>
      </c>
      <c r="D482" s="15">
        <v>65000000</v>
      </c>
      <c r="E482" s="95">
        <v>0.93628171709999997</v>
      </c>
      <c r="F482" s="18">
        <v>60858311.609999999</v>
      </c>
      <c r="G482" s="18">
        <v>0.16</v>
      </c>
      <c r="H482" s="13"/>
      <c r="I482" s="13"/>
    </row>
    <row r="483" spans="1:9">
      <c r="A483" s="13" t="s">
        <v>1005</v>
      </c>
      <c r="B483" s="145" t="s">
        <v>549</v>
      </c>
      <c r="C483" s="145" t="s">
        <v>442</v>
      </c>
      <c r="D483" s="15">
        <v>25000000</v>
      </c>
      <c r="E483" s="95">
        <v>0.95389927649999995</v>
      </c>
      <c r="F483" s="18">
        <v>23847481.91</v>
      </c>
      <c r="G483" s="18">
        <v>0.06</v>
      </c>
      <c r="H483" s="13"/>
      <c r="I483" s="13"/>
    </row>
    <row r="484" spans="1:9">
      <c r="A484" s="13" t="s">
        <v>1008</v>
      </c>
      <c r="B484" s="145" t="s">
        <v>530</v>
      </c>
      <c r="C484" s="145" t="s">
        <v>386</v>
      </c>
      <c r="D484" s="94">
        <v>3521113.5</v>
      </c>
      <c r="E484" s="95">
        <v>0.99163229720000001</v>
      </c>
      <c r="F484" s="18">
        <v>3491649.87</v>
      </c>
      <c r="G484" s="18">
        <v>0.01</v>
      </c>
      <c r="H484" s="13"/>
      <c r="I484" s="13"/>
    </row>
    <row r="485" spans="1:9">
      <c r="A485" s="13" t="s">
        <v>1009</v>
      </c>
      <c r="B485" s="145" t="s">
        <v>862</v>
      </c>
      <c r="C485" s="145" t="s">
        <v>386</v>
      </c>
      <c r="D485" s="15">
        <v>1977599</v>
      </c>
      <c r="E485" s="95">
        <v>0.96791307969999996</v>
      </c>
      <c r="F485" s="18">
        <v>1914143.94</v>
      </c>
      <c r="G485" s="18">
        <v>0.01</v>
      </c>
      <c r="H485" s="13"/>
      <c r="I485" s="13"/>
    </row>
    <row r="486" spans="1:9">
      <c r="A486" s="13" t="s">
        <v>1010</v>
      </c>
      <c r="B486" s="145" t="s">
        <v>513</v>
      </c>
      <c r="C486" s="145" t="s">
        <v>386</v>
      </c>
      <c r="D486" s="15">
        <v>1977599</v>
      </c>
      <c r="E486" s="95">
        <v>0.96397640269999996</v>
      </c>
      <c r="F486" s="18">
        <v>1906358.77</v>
      </c>
      <c r="G486" s="18">
        <v>0.01</v>
      </c>
      <c r="H486" s="13"/>
      <c r="I486" s="13"/>
    </row>
    <row r="487" spans="1:9">
      <c r="A487" s="13" t="s">
        <v>1011</v>
      </c>
      <c r="B487" s="145" t="s">
        <v>466</v>
      </c>
      <c r="C487" s="145" t="s">
        <v>386</v>
      </c>
      <c r="D487" s="94">
        <v>1693262.6</v>
      </c>
      <c r="E487" s="95">
        <v>0.99639662380000005</v>
      </c>
      <c r="F487" s="18">
        <v>1687161.14</v>
      </c>
      <c r="G487" s="15">
        <v>0</v>
      </c>
      <c r="H487" s="13"/>
      <c r="I487" s="13"/>
    </row>
    <row r="488" spans="1:9">
      <c r="A488" s="13" t="s">
        <v>1012</v>
      </c>
      <c r="B488" s="145" t="s">
        <v>745</v>
      </c>
      <c r="C488" s="145" t="s">
        <v>386</v>
      </c>
      <c r="D488" s="15">
        <v>4341150</v>
      </c>
      <c r="E488" s="95">
        <v>0.97588367679999999</v>
      </c>
      <c r="F488" s="18">
        <v>4236457.42</v>
      </c>
      <c r="G488" s="18">
        <v>0.01</v>
      </c>
      <c r="H488" s="13"/>
      <c r="I488" s="13"/>
    </row>
    <row r="489" spans="1:9">
      <c r="A489" s="13" t="s">
        <v>1013</v>
      </c>
      <c r="B489" s="145" t="s">
        <v>474</v>
      </c>
      <c r="C489" s="145" t="s">
        <v>386</v>
      </c>
      <c r="D489" s="15">
        <v>4341150</v>
      </c>
      <c r="E489" s="96">
        <v>0.97188203299999998</v>
      </c>
      <c r="F489" s="18">
        <v>4219085.6900000004</v>
      </c>
      <c r="G489" s="18">
        <v>0.01</v>
      </c>
      <c r="H489" s="13"/>
      <c r="I489" s="13"/>
    </row>
    <row r="490" spans="1:9">
      <c r="A490" s="13" t="s">
        <v>1014</v>
      </c>
      <c r="B490" s="145" t="s">
        <v>530</v>
      </c>
      <c r="C490" s="145" t="s">
        <v>386</v>
      </c>
      <c r="D490" s="15">
        <v>2028560</v>
      </c>
      <c r="E490" s="95">
        <v>0.99163230179999995</v>
      </c>
      <c r="F490" s="18">
        <v>2011585.62</v>
      </c>
      <c r="G490" s="18">
        <v>0.01</v>
      </c>
      <c r="H490" s="13"/>
      <c r="I490" s="13"/>
    </row>
    <row r="491" spans="1:9">
      <c r="A491" s="13" t="s">
        <v>1015</v>
      </c>
      <c r="B491" s="145" t="s">
        <v>456</v>
      </c>
      <c r="C491" s="145" t="s">
        <v>386</v>
      </c>
      <c r="D491" s="15">
        <v>4000000</v>
      </c>
      <c r="E491" s="95">
        <v>0.97645806270000002</v>
      </c>
      <c r="F491" s="18">
        <v>3905832.25</v>
      </c>
      <c r="G491" s="18">
        <v>0.01</v>
      </c>
      <c r="H491" s="13"/>
      <c r="I491" s="13"/>
    </row>
    <row r="492" spans="1:9">
      <c r="A492" s="13" t="s">
        <v>1016</v>
      </c>
      <c r="B492" s="145" t="s">
        <v>607</v>
      </c>
      <c r="C492" s="145" t="s">
        <v>386</v>
      </c>
      <c r="D492" s="15">
        <v>4000000</v>
      </c>
      <c r="E492" s="95">
        <v>0.97473704750000001</v>
      </c>
      <c r="F492" s="18">
        <v>3898948.19</v>
      </c>
      <c r="G492" s="18">
        <v>0.01</v>
      </c>
      <c r="H492" s="13"/>
      <c r="I492" s="13"/>
    </row>
    <row r="493" spans="1:9">
      <c r="A493" s="13" t="s">
        <v>1017</v>
      </c>
      <c r="B493" s="145" t="s">
        <v>549</v>
      </c>
      <c r="C493" s="145" t="s">
        <v>386</v>
      </c>
      <c r="D493" s="15">
        <v>4000000</v>
      </c>
      <c r="E493" s="95">
        <v>0.97131300860000003</v>
      </c>
      <c r="F493" s="18">
        <v>3885252.03</v>
      </c>
      <c r="G493" s="18">
        <v>0.01</v>
      </c>
      <c r="H493" s="13"/>
      <c r="I493" s="13"/>
    </row>
    <row r="494" spans="1:9">
      <c r="A494" s="13" t="s">
        <v>1018</v>
      </c>
      <c r="B494" s="145" t="s">
        <v>501</v>
      </c>
      <c r="C494" s="145" t="s">
        <v>386</v>
      </c>
      <c r="D494" s="15">
        <v>42000000</v>
      </c>
      <c r="E494" s="95">
        <v>0.96474082549999995</v>
      </c>
      <c r="F494" s="18">
        <v>40519114.670000002</v>
      </c>
      <c r="G494" s="18">
        <v>0.11</v>
      </c>
      <c r="H494" s="13"/>
      <c r="I494" s="13"/>
    </row>
    <row r="495" spans="1:9">
      <c r="A495" s="13" t="s">
        <v>1019</v>
      </c>
      <c r="B495" s="145" t="s">
        <v>535</v>
      </c>
      <c r="C495" s="145" t="s">
        <v>386</v>
      </c>
      <c r="D495" s="15">
        <v>42000000</v>
      </c>
      <c r="E495" s="95">
        <v>0.96591527570000002</v>
      </c>
      <c r="F495" s="18">
        <v>40568441.579999998</v>
      </c>
      <c r="G495" s="18">
        <v>0.11</v>
      </c>
      <c r="H495" s="13"/>
      <c r="I495" s="13"/>
    </row>
    <row r="496" spans="1:9">
      <c r="A496" s="13" t="s">
        <v>1020</v>
      </c>
      <c r="B496" s="145" t="s">
        <v>582</v>
      </c>
      <c r="C496" s="145" t="s">
        <v>386</v>
      </c>
      <c r="D496" s="15">
        <v>100000000</v>
      </c>
      <c r="E496" s="95">
        <v>0.91870128439999998</v>
      </c>
      <c r="F496" s="18">
        <v>91870128.439999998</v>
      </c>
      <c r="G496" s="18">
        <v>0.24</v>
      </c>
      <c r="H496" s="13"/>
      <c r="I496" s="13"/>
    </row>
    <row r="497" spans="1:9">
      <c r="A497" s="13" t="s">
        <v>1021</v>
      </c>
      <c r="B497" s="145" t="s">
        <v>587</v>
      </c>
      <c r="C497" s="145" t="s">
        <v>386</v>
      </c>
      <c r="D497" s="15">
        <v>100000000</v>
      </c>
      <c r="E497" s="95">
        <v>0.99895998959999999</v>
      </c>
      <c r="F497" s="18">
        <v>99895998.959999993</v>
      </c>
      <c r="G497" s="18">
        <v>0.26</v>
      </c>
      <c r="H497" s="13"/>
      <c r="I497" s="13"/>
    </row>
    <row r="498" spans="1:9">
      <c r="A498" s="13" t="s">
        <v>1022</v>
      </c>
      <c r="B498" s="145" t="s">
        <v>513</v>
      </c>
      <c r="C498" s="145" t="s">
        <v>386</v>
      </c>
      <c r="D498" s="15">
        <v>100000000</v>
      </c>
      <c r="E498" s="95">
        <v>0.93936598059999998</v>
      </c>
      <c r="F498" s="18">
        <v>93936598.060000002</v>
      </c>
      <c r="G498" s="18">
        <v>0.25</v>
      </c>
      <c r="H498" s="13"/>
      <c r="I498" s="13"/>
    </row>
    <row r="499" spans="1:9">
      <c r="A499" s="13" t="s">
        <v>1023</v>
      </c>
      <c r="B499" s="145" t="s">
        <v>530</v>
      </c>
      <c r="C499" s="145" t="s">
        <v>386</v>
      </c>
      <c r="D499" s="15">
        <v>284625936</v>
      </c>
      <c r="E499" s="95">
        <v>0.98787491630000002</v>
      </c>
      <c r="F499" s="94">
        <v>281174822.69999999</v>
      </c>
      <c r="G499" s="18">
        <v>0.74</v>
      </c>
      <c r="H499" s="13"/>
      <c r="I499" s="13"/>
    </row>
    <row r="500" spans="1:9">
      <c r="A500" s="13" t="s">
        <v>1024</v>
      </c>
      <c r="B500" s="145" t="s">
        <v>530</v>
      </c>
      <c r="C500" s="145" t="s">
        <v>386</v>
      </c>
      <c r="D500" s="15">
        <v>139799058</v>
      </c>
      <c r="E500" s="95">
        <v>0.98787491630000002</v>
      </c>
      <c r="F500" s="18">
        <v>138103982.72</v>
      </c>
      <c r="G500" s="18">
        <v>0.36</v>
      </c>
      <c r="H500" s="13"/>
      <c r="I500" s="13"/>
    </row>
    <row r="501" spans="1:9">
      <c r="A501" s="13" t="s">
        <v>1025</v>
      </c>
      <c r="B501" s="145" t="s">
        <v>530</v>
      </c>
      <c r="C501" s="145" t="s">
        <v>386</v>
      </c>
      <c r="D501" s="94">
        <v>430124947.10000002</v>
      </c>
      <c r="E501" s="95">
        <v>0.98787491630000002</v>
      </c>
      <c r="F501" s="18">
        <v>424909646.11000001</v>
      </c>
      <c r="G501" s="18">
        <v>1.1200000000000001</v>
      </c>
      <c r="H501" s="13"/>
      <c r="I501" s="13"/>
    </row>
    <row r="502" spans="1:9">
      <c r="A502" s="13" t="s">
        <v>1029</v>
      </c>
      <c r="B502" s="145" t="s">
        <v>228</v>
      </c>
      <c r="C502" s="145" t="s">
        <v>205</v>
      </c>
      <c r="D502" s="18">
        <v>10530592.43</v>
      </c>
      <c r="E502" s="96">
        <v>0.96640115500000001</v>
      </c>
      <c r="F502" s="18">
        <v>10176776.689999999</v>
      </c>
      <c r="G502" s="18">
        <v>0.03</v>
      </c>
      <c r="H502" s="13"/>
      <c r="I502" s="13"/>
    </row>
    <row r="503" spans="1:9">
      <c r="A503" s="13" t="s">
        <v>1030</v>
      </c>
      <c r="B503" s="145" t="s">
        <v>228</v>
      </c>
      <c r="C503" s="145" t="s">
        <v>205</v>
      </c>
      <c r="D503" s="18">
        <v>6111109.9900000002</v>
      </c>
      <c r="E503" s="96">
        <v>0.96640115500000001</v>
      </c>
      <c r="F503" s="18">
        <v>5905783.75</v>
      </c>
      <c r="G503" s="18">
        <v>0.02</v>
      </c>
      <c r="H503" s="13"/>
      <c r="I503" s="13"/>
    </row>
    <row r="504" spans="1:9">
      <c r="A504" s="13" t="s">
        <v>1031</v>
      </c>
      <c r="B504" s="145" t="s">
        <v>228</v>
      </c>
      <c r="C504" s="145" t="s">
        <v>205</v>
      </c>
      <c r="D504" s="18">
        <v>10039730.84</v>
      </c>
      <c r="E504" s="96">
        <v>0.96640115500000001</v>
      </c>
      <c r="F504" s="18">
        <v>9702407.4800000004</v>
      </c>
      <c r="G504" s="18">
        <v>0.03</v>
      </c>
      <c r="H504" s="13"/>
      <c r="I504" s="13"/>
    </row>
    <row r="505" spans="1:9">
      <c r="A505" s="13" t="s">
        <v>1032</v>
      </c>
      <c r="B505" s="145" t="s">
        <v>770</v>
      </c>
      <c r="C505" s="145" t="s">
        <v>205</v>
      </c>
      <c r="D505" s="18">
        <v>4419130.95</v>
      </c>
      <c r="E505" s="95">
        <v>0.98113012840000002</v>
      </c>
      <c r="F505" s="18">
        <v>4335742.5199999996</v>
      </c>
      <c r="G505" s="18">
        <v>0.01</v>
      </c>
      <c r="H505" s="13"/>
      <c r="I505" s="13"/>
    </row>
    <row r="506" spans="1:9">
      <c r="A506" s="13" t="s">
        <v>1033</v>
      </c>
      <c r="B506" s="145" t="s">
        <v>770</v>
      </c>
      <c r="C506" s="145" t="s">
        <v>205</v>
      </c>
      <c r="D506" s="94">
        <v>10938133.199999999</v>
      </c>
      <c r="E506" s="95">
        <v>0.98113012629999996</v>
      </c>
      <c r="F506" s="18">
        <v>10731732.01</v>
      </c>
      <c r="G506" s="18">
        <v>0.03</v>
      </c>
      <c r="H506" s="13"/>
      <c r="I506" s="13"/>
    </row>
    <row r="507" spans="1:9">
      <c r="A507" s="13" t="s">
        <v>1034</v>
      </c>
      <c r="B507" s="145" t="s">
        <v>481</v>
      </c>
      <c r="C507" s="145" t="s">
        <v>205</v>
      </c>
      <c r="D507" s="18">
        <v>50291959.590000004</v>
      </c>
      <c r="E507" s="95">
        <v>0.99120142789999999</v>
      </c>
      <c r="F507" s="18">
        <v>49849462.159999996</v>
      </c>
      <c r="G507" s="18">
        <v>0.13</v>
      </c>
      <c r="H507" s="13"/>
      <c r="I507" s="13"/>
    </row>
    <row r="508" spans="1:9">
      <c r="A508" s="13" t="s">
        <v>1035</v>
      </c>
      <c r="B508" s="145" t="s">
        <v>456</v>
      </c>
      <c r="C508" s="145" t="s">
        <v>205</v>
      </c>
      <c r="D508" s="18">
        <v>8695148.9399999995</v>
      </c>
      <c r="E508" s="95">
        <v>0.97126142810000005</v>
      </c>
      <c r="F508" s="18">
        <v>8445262.7799999993</v>
      </c>
      <c r="G508" s="18">
        <v>0.02</v>
      </c>
      <c r="H508" s="13"/>
      <c r="I508" s="13"/>
    </row>
    <row r="509" spans="1:9">
      <c r="A509" s="13" t="s">
        <v>1036</v>
      </c>
      <c r="B509" s="145" t="s">
        <v>456</v>
      </c>
      <c r="C509" s="145" t="s">
        <v>205</v>
      </c>
      <c r="D509" s="18">
        <v>9052127.2200000007</v>
      </c>
      <c r="E509" s="95">
        <v>0.97126142810000005</v>
      </c>
      <c r="F509" s="18">
        <v>8791982.0099999998</v>
      </c>
      <c r="G509" s="18">
        <v>0.02</v>
      </c>
      <c r="H509" s="13"/>
      <c r="I509" s="13"/>
    </row>
    <row r="510" spans="1:9">
      <c r="A510" s="13" t="s">
        <v>1037</v>
      </c>
      <c r="B510" s="145" t="s">
        <v>745</v>
      </c>
      <c r="C510" s="145" t="s">
        <v>205</v>
      </c>
      <c r="D510" s="18">
        <v>14148617.74</v>
      </c>
      <c r="E510" s="95">
        <v>0.97056407119999999</v>
      </c>
      <c r="F510" s="18">
        <v>13732140.039999999</v>
      </c>
      <c r="G510" s="18">
        <v>0.04</v>
      </c>
      <c r="H510" s="13"/>
      <c r="I510" s="13"/>
    </row>
    <row r="511" spans="1:9">
      <c r="A511" s="13" t="s">
        <v>1038</v>
      </c>
      <c r="B511" s="145" t="s">
        <v>511</v>
      </c>
      <c r="C511" s="145" t="s">
        <v>205</v>
      </c>
      <c r="D511" s="15">
        <v>25000000</v>
      </c>
      <c r="E511" s="95">
        <v>0.91680913369999995</v>
      </c>
      <c r="F511" s="18">
        <v>22920228.34</v>
      </c>
      <c r="G511" s="18">
        <v>0.06</v>
      </c>
      <c r="H511" s="13"/>
      <c r="I511" s="13"/>
    </row>
    <row r="512" spans="1:9">
      <c r="A512" s="13" t="s">
        <v>1039</v>
      </c>
      <c r="B512" s="145" t="s">
        <v>513</v>
      </c>
      <c r="C512" s="145" t="s">
        <v>205</v>
      </c>
      <c r="D512" s="15">
        <v>15000000</v>
      </c>
      <c r="E512" s="95">
        <v>0.95459789750000001</v>
      </c>
      <c r="F512" s="18">
        <v>14318968.460000001</v>
      </c>
      <c r="G512" s="18">
        <v>0.04</v>
      </c>
      <c r="H512" s="13"/>
      <c r="I512" s="13"/>
    </row>
    <row r="513" spans="1:9">
      <c r="A513" s="13" t="s">
        <v>1040</v>
      </c>
      <c r="B513" s="145" t="s">
        <v>513</v>
      </c>
      <c r="C513" s="145" t="s">
        <v>205</v>
      </c>
      <c r="D513" s="15">
        <v>15000000</v>
      </c>
      <c r="E513" s="95">
        <v>0.95459789750000001</v>
      </c>
      <c r="F513" s="18">
        <v>14318968.460000001</v>
      </c>
      <c r="G513" s="18">
        <v>0.04</v>
      </c>
      <c r="H513" s="13"/>
      <c r="I513" s="13"/>
    </row>
    <row r="514" spans="1:9">
      <c r="A514" s="13" t="s">
        <v>1041</v>
      </c>
      <c r="B514" s="145" t="s">
        <v>513</v>
      </c>
      <c r="C514" s="145" t="s">
        <v>205</v>
      </c>
      <c r="D514" s="15">
        <v>15000000</v>
      </c>
      <c r="E514" s="95">
        <v>0.95459789750000001</v>
      </c>
      <c r="F514" s="18">
        <v>14318968.460000001</v>
      </c>
      <c r="G514" s="18">
        <v>0.04</v>
      </c>
      <c r="H514" s="13"/>
      <c r="I514" s="13"/>
    </row>
    <row r="515" spans="1:9">
      <c r="A515" s="13" t="s">
        <v>1042</v>
      </c>
      <c r="B515" s="145" t="s">
        <v>513</v>
      </c>
      <c r="C515" s="145" t="s">
        <v>205</v>
      </c>
      <c r="D515" s="15">
        <v>15000000</v>
      </c>
      <c r="E515" s="95">
        <v>0.95459789750000001</v>
      </c>
      <c r="F515" s="18">
        <v>14318968.460000001</v>
      </c>
      <c r="G515" s="18">
        <v>0.04</v>
      </c>
      <c r="H515" s="13"/>
      <c r="I515" s="13"/>
    </row>
    <row r="516" spans="1:9">
      <c r="A516" s="13" t="s">
        <v>1043</v>
      </c>
      <c r="B516" s="145" t="s">
        <v>513</v>
      </c>
      <c r="C516" s="145" t="s">
        <v>205</v>
      </c>
      <c r="D516" s="15">
        <v>15000000</v>
      </c>
      <c r="E516" s="95">
        <v>0.95459789750000001</v>
      </c>
      <c r="F516" s="18">
        <v>14318968.460000001</v>
      </c>
      <c r="G516" s="18">
        <v>0.04</v>
      </c>
      <c r="H516" s="13"/>
      <c r="I516" s="13"/>
    </row>
    <row r="517" spans="1:9">
      <c r="A517" s="13" t="s">
        <v>1044</v>
      </c>
      <c r="B517" s="145" t="s">
        <v>513</v>
      </c>
      <c r="C517" s="145" t="s">
        <v>205</v>
      </c>
      <c r="D517" s="15">
        <v>7000000</v>
      </c>
      <c r="E517" s="95">
        <v>0.95459789750000001</v>
      </c>
      <c r="F517" s="18">
        <v>6682185.2800000003</v>
      </c>
      <c r="G517" s="18">
        <v>0.02</v>
      </c>
      <c r="H517" s="13"/>
      <c r="I517" s="13"/>
    </row>
    <row r="518" spans="1:9">
      <c r="A518" s="13" t="s">
        <v>1045</v>
      </c>
      <c r="B518" s="145" t="s">
        <v>624</v>
      </c>
      <c r="C518" s="145" t="s">
        <v>205</v>
      </c>
      <c r="D518" s="15">
        <v>11000000</v>
      </c>
      <c r="E518" s="95">
        <v>0.94802748370000001</v>
      </c>
      <c r="F518" s="18">
        <v>10428302.32</v>
      </c>
      <c r="G518" s="18">
        <v>0.03</v>
      </c>
      <c r="H518" s="13"/>
      <c r="I518" s="13"/>
    </row>
    <row r="519" spans="1:9">
      <c r="A519" s="13" t="s">
        <v>1046</v>
      </c>
      <c r="B519" s="145" t="s">
        <v>614</v>
      </c>
      <c r="C519" s="145" t="s">
        <v>205</v>
      </c>
      <c r="D519" s="15">
        <v>11000000</v>
      </c>
      <c r="E519" s="95">
        <v>0.94305515920000005</v>
      </c>
      <c r="F519" s="18">
        <v>10373606.75</v>
      </c>
      <c r="G519" s="18">
        <v>0.03</v>
      </c>
      <c r="H519" s="13"/>
      <c r="I519" s="13"/>
    </row>
    <row r="520" spans="1:9">
      <c r="A520" s="13" t="s">
        <v>1047</v>
      </c>
      <c r="B520" s="145" t="s">
        <v>745</v>
      </c>
      <c r="C520" s="145" t="s">
        <v>205</v>
      </c>
      <c r="D520" s="15">
        <v>9000000</v>
      </c>
      <c r="E520" s="95">
        <v>0.96950709570000004</v>
      </c>
      <c r="F520" s="18">
        <v>8725563.8599999994</v>
      </c>
      <c r="G520" s="18">
        <v>0.02</v>
      </c>
      <c r="H520" s="13"/>
      <c r="I520" s="13"/>
    </row>
    <row r="521" spans="1:9">
      <c r="A521" s="13" t="s">
        <v>1048</v>
      </c>
      <c r="B521" s="145" t="s">
        <v>611</v>
      </c>
      <c r="C521" s="145" t="s">
        <v>205</v>
      </c>
      <c r="D521" s="15">
        <v>20000000</v>
      </c>
      <c r="E521" s="95">
        <v>0.94660137330000005</v>
      </c>
      <c r="F521" s="18">
        <v>18932027.469999999</v>
      </c>
      <c r="G521" s="18">
        <v>0.05</v>
      </c>
      <c r="H521" s="13"/>
      <c r="I521" s="13"/>
    </row>
    <row r="522" spans="1:9">
      <c r="A522" s="13" t="s">
        <v>1049</v>
      </c>
      <c r="B522" s="145" t="s">
        <v>611</v>
      </c>
      <c r="C522" s="145" t="s">
        <v>205</v>
      </c>
      <c r="D522" s="15">
        <v>10000000</v>
      </c>
      <c r="E522" s="95">
        <v>0.94660137150000001</v>
      </c>
      <c r="F522" s="18">
        <v>9466013.7200000007</v>
      </c>
      <c r="G522" s="18">
        <v>0.02</v>
      </c>
      <c r="H522" s="13"/>
      <c r="I522" s="13"/>
    </row>
    <row r="523" spans="1:9">
      <c r="A523" s="13" t="s">
        <v>1050</v>
      </c>
      <c r="B523" s="145" t="s">
        <v>509</v>
      </c>
      <c r="C523" s="145" t="s">
        <v>205</v>
      </c>
      <c r="D523" s="15">
        <v>20000000</v>
      </c>
      <c r="E523" s="95">
        <v>0.94164395379999999</v>
      </c>
      <c r="F523" s="18">
        <v>18832879.079999998</v>
      </c>
      <c r="G523" s="18">
        <v>0.05</v>
      </c>
      <c r="H523" s="13"/>
      <c r="I523" s="13"/>
    </row>
    <row r="524" spans="1:9">
      <c r="A524" s="13" t="s">
        <v>1051</v>
      </c>
      <c r="B524" s="145" t="s">
        <v>509</v>
      </c>
      <c r="C524" s="145" t="s">
        <v>205</v>
      </c>
      <c r="D524" s="15">
        <v>10000000</v>
      </c>
      <c r="E524" s="95">
        <v>0.94164395379999999</v>
      </c>
      <c r="F524" s="18">
        <v>9416439.5399999991</v>
      </c>
      <c r="G524" s="18">
        <v>0.02</v>
      </c>
      <c r="H524" s="13"/>
      <c r="I524" s="13"/>
    </row>
    <row r="525" spans="1:9">
      <c r="A525" s="13" t="s">
        <v>1052</v>
      </c>
      <c r="B525" s="145" t="s">
        <v>513</v>
      </c>
      <c r="C525" s="145" t="s">
        <v>205</v>
      </c>
      <c r="D525" s="15">
        <v>85000000</v>
      </c>
      <c r="E525" s="95">
        <v>0.93936604359999998</v>
      </c>
      <c r="F525" s="18">
        <v>79846113.709999993</v>
      </c>
      <c r="G525" s="18">
        <v>0.21</v>
      </c>
      <c r="H525" s="13"/>
      <c r="I525" s="13"/>
    </row>
    <row r="526" spans="1:9">
      <c r="A526" s="13" t="s">
        <v>1053</v>
      </c>
      <c r="B526" s="145" t="s">
        <v>1054</v>
      </c>
      <c r="C526" s="145" t="s">
        <v>205</v>
      </c>
      <c r="D526" s="15">
        <v>16600000</v>
      </c>
      <c r="E526" s="95">
        <v>0.90223723749999996</v>
      </c>
      <c r="F526" s="18">
        <v>14977138.140000001</v>
      </c>
      <c r="G526" s="18">
        <v>0.04</v>
      </c>
      <c r="H526" s="13"/>
      <c r="I526" s="13"/>
    </row>
    <row r="527" spans="1:9">
      <c r="A527" s="13" t="s">
        <v>1055</v>
      </c>
      <c r="B527" s="145" t="s">
        <v>582</v>
      </c>
      <c r="C527" s="145" t="s">
        <v>205</v>
      </c>
      <c r="D527" s="15">
        <v>17000000</v>
      </c>
      <c r="E527" s="96">
        <v>0.92463595499999995</v>
      </c>
      <c r="F527" s="18">
        <v>15718811.24</v>
      </c>
      <c r="G527" s="18">
        <v>0.04</v>
      </c>
      <c r="H527" s="13"/>
      <c r="I527" s="13"/>
    </row>
    <row r="528" spans="1:9">
      <c r="A528" s="13" t="s">
        <v>1056</v>
      </c>
      <c r="B528" s="145" t="s">
        <v>1057</v>
      </c>
      <c r="C528" s="145" t="s">
        <v>205</v>
      </c>
      <c r="D528" s="15">
        <v>16600000</v>
      </c>
      <c r="E528" s="95">
        <v>0.91329928380000003</v>
      </c>
      <c r="F528" s="18">
        <v>15160768.109999999</v>
      </c>
      <c r="G528" s="18">
        <v>0.04</v>
      </c>
      <c r="H528" s="13"/>
      <c r="I528" s="13"/>
    </row>
    <row r="529" spans="1:9">
      <c r="A529" s="13" t="s">
        <v>1058</v>
      </c>
      <c r="B529" s="145" t="s">
        <v>580</v>
      </c>
      <c r="C529" s="145" t="s">
        <v>205</v>
      </c>
      <c r="D529" s="15">
        <v>16600000</v>
      </c>
      <c r="E529" s="95">
        <v>0.90773455950000004</v>
      </c>
      <c r="F529" s="18">
        <v>15068393.689999999</v>
      </c>
      <c r="G529" s="18">
        <v>0.04</v>
      </c>
      <c r="H529" s="13"/>
      <c r="I529" s="13"/>
    </row>
    <row r="530" spans="1:9">
      <c r="A530" s="13" t="s">
        <v>1059</v>
      </c>
      <c r="B530" s="145" t="s">
        <v>611</v>
      </c>
      <c r="C530" s="145" t="s">
        <v>205</v>
      </c>
      <c r="D530" s="15">
        <v>16600000</v>
      </c>
      <c r="E530" s="95">
        <v>0.93625760660000001</v>
      </c>
      <c r="F530" s="18">
        <v>15541876.27</v>
      </c>
      <c r="G530" s="18">
        <v>0.04</v>
      </c>
      <c r="H530" s="13"/>
      <c r="I530" s="13"/>
    </row>
    <row r="531" spans="1:9">
      <c r="A531" s="13" t="s">
        <v>1060</v>
      </c>
      <c r="B531" s="145" t="s">
        <v>509</v>
      </c>
      <c r="C531" s="145" t="s">
        <v>205</v>
      </c>
      <c r="D531" s="15">
        <v>16600000</v>
      </c>
      <c r="E531" s="95">
        <v>0.93041049080000005</v>
      </c>
      <c r="F531" s="18">
        <v>15444814.15</v>
      </c>
      <c r="G531" s="18">
        <v>0.04</v>
      </c>
      <c r="H531" s="13"/>
      <c r="I531" s="13"/>
    </row>
    <row r="532" spans="1:9">
      <c r="A532" s="13" t="s">
        <v>1061</v>
      </c>
      <c r="B532" s="145" t="s">
        <v>511</v>
      </c>
      <c r="C532" s="145" t="s">
        <v>205</v>
      </c>
      <c r="D532" s="15">
        <v>50000000</v>
      </c>
      <c r="E532" s="95">
        <v>0.91680913369999995</v>
      </c>
      <c r="F532" s="18">
        <v>45840456.689999998</v>
      </c>
      <c r="G532" s="18">
        <v>0.12</v>
      </c>
      <c r="H532" s="13"/>
      <c r="I532" s="13"/>
    </row>
    <row r="533" spans="1:9">
      <c r="A533" s="13" t="s">
        <v>1062</v>
      </c>
      <c r="B533" s="145" t="s">
        <v>862</v>
      </c>
      <c r="C533" s="145" t="s">
        <v>205</v>
      </c>
      <c r="D533" s="15">
        <v>5000000</v>
      </c>
      <c r="E533" s="95">
        <v>0.94854484770000003</v>
      </c>
      <c r="F533" s="18">
        <v>4742724.24</v>
      </c>
      <c r="G533" s="18">
        <v>0.01</v>
      </c>
      <c r="H533" s="13"/>
      <c r="I533" s="13"/>
    </row>
    <row r="534" spans="1:9">
      <c r="A534" s="13" t="s">
        <v>1063</v>
      </c>
      <c r="B534" s="145" t="s">
        <v>808</v>
      </c>
      <c r="C534" s="145" t="s">
        <v>205</v>
      </c>
      <c r="D534" s="18">
        <v>4771794.93</v>
      </c>
      <c r="E534" s="95">
        <v>0.94324996319999999</v>
      </c>
      <c r="F534" s="18">
        <v>4500995.3899999997</v>
      </c>
      <c r="G534" s="18">
        <v>0.01</v>
      </c>
      <c r="H534" s="13"/>
      <c r="I534" s="13"/>
    </row>
    <row r="535" spans="1:9">
      <c r="A535" s="13" t="s">
        <v>1064</v>
      </c>
      <c r="B535" s="145" t="s">
        <v>226</v>
      </c>
      <c r="C535" s="145" t="s">
        <v>205</v>
      </c>
      <c r="D535" s="15">
        <v>16400000</v>
      </c>
      <c r="E535" s="95">
        <v>0.96755389560000005</v>
      </c>
      <c r="F535" s="18">
        <v>15867883.890000001</v>
      </c>
      <c r="G535" s="18">
        <v>0.04</v>
      </c>
      <c r="H535" s="13"/>
      <c r="I535" s="13"/>
    </row>
    <row r="536" spans="1:9">
      <c r="A536" s="13" t="s">
        <v>1067</v>
      </c>
      <c r="B536" s="145" t="s">
        <v>515</v>
      </c>
      <c r="C536" s="145" t="s">
        <v>408</v>
      </c>
      <c r="D536" s="15">
        <v>43000000</v>
      </c>
      <c r="E536" s="95">
        <v>0.96007154839999997</v>
      </c>
      <c r="F536" s="18">
        <v>41283076.579999998</v>
      </c>
      <c r="G536" s="18">
        <v>0.11</v>
      </c>
      <c r="H536" s="13"/>
      <c r="I536" s="13"/>
    </row>
    <row r="537" spans="1:9">
      <c r="A537" s="13" t="s">
        <v>1068</v>
      </c>
      <c r="B537" s="145" t="s">
        <v>515</v>
      </c>
      <c r="C537" s="145" t="s">
        <v>408</v>
      </c>
      <c r="D537" s="15">
        <v>42000000</v>
      </c>
      <c r="E537" s="95">
        <v>0.96007154839999997</v>
      </c>
      <c r="F537" s="18">
        <v>40323005.030000001</v>
      </c>
      <c r="G537" s="18">
        <v>0.11</v>
      </c>
      <c r="H537" s="13"/>
      <c r="I537" s="13"/>
    </row>
    <row r="538" spans="1:9">
      <c r="A538" s="13" t="s">
        <v>1069</v>
      </c>
      <c r="B538" s="145" t="s">
        <v>645</v>
      </c>
      <c r="C538" s="145" t="s">
        <v>443</v>
      </c>
      <c r="D538" s="15">
        <v>30000000</v>
      </c>
      <c r="E538" s="95">
        <v>0.98977689469999997</v>
      </c>
      <c r="F538" s="18">
        <v>29693306.84</v>
      </c>
      <c r="G538" s="18">
        <v>0.08</v>
      </c>
      <c r="H538" s="13"/>
      <c r="I538" s="13"/>
    </row>
    <row r="539" spans="1:9">
      <c r="A539" s="13" t="s">
        <v>1070</v>
      </c>
      <c r="B539" s="145" t="s">
        <v>524</v>
      </c>
      <c r="C539" s="145" t="s">
        <v>443</v>
      </c>
      <c r="D539" s="15">
        <v>16400000</v>
      </c>
      <c r="E539" s="95">
        <v>0.96663149390000003</v>
      </c>
      <c r="F539" s="94">
        <v>15852756.5</v>
      </c>
      <c r="G539" s="18">
        <v>0.04</v>
      </c>
      <c r="H539" s="13"/>
      <c r="I539" s="13"/>
    </row>
    <row r="540" spans="1:9">
      <c r="A540" s="13" t="s">
        <v>1071</v>
      </c>
      <c r="B540" s="145" t="s">
        <v>466</v>
      </c>
      <c r="C540" s="145" t="s">
        <v>443</v>
      </c>
      <c r="D540" s="15">
        <v>12500000</v>
      </c>
      <c r="E540" s="95">
        <v>0.9957442473</v>
      </c>
      <c r="F540" s="18">
        <v>12446803.09</v>
      </c>
      <c r="G540" s="18">
        <v>0.03</v>
      </c>
      <c r="H540" s="13"/>
      <c r="I540" s="13"/>
    </row>
    <row r="541" spans="1:9">
      <c r="A541" s="13" t="s">
        <v>1072</v>
      </c>
      <c r="B541" s="145" t="s">
        <v>590</v>
      </c>
      <c r="C541" s="145" t="s">
        <v>443</v>
      </c>
      <c r="D541" s="15">
        <v>12500000</v>
      </c>
      <c r="E541" s="95">
        <v>0.99503845989999995</v>
      </c>
      <c r="F541" s="18">
        <v>12437980.75</v>
      </c>
      <c r="G541" s="18">
        <v>0.03</v>
      </c>
      <c r="H541" s="13"/>
      <c r="I541" s="13"/>
    </row>
    <row r="542" spans="1:9">
      <c r="A542" s="13" t="s">
        <v>1073</v>
      </c>
      <c r="B542" s="145" t="s">
        <v>597</v>
      </c>
      <c r="C542" s="145" t="s">
        <v>443</v>
      </c>
      <c r="D542" s="94">
        <v>6238663.2000000002</v>
      </c>
      <c r="E542" s="95">
        <v>0.95424849450000004</v>
      </c>
      <c r="F542" s="18">
        <v>5953234.9699999997</v>
      </c>
      <c r="G542" s="18">
        <v>0.02</v>
      </c>
      <c r="H542" s="13"/>
      <c r="I542" s="13"/>
    </row>
    <row r="543" spans="1:9">
      <c r="A543" s="13" t="s">
        <v>1074</v>
      </c>
      <c r="B543" s="145" t="s">
        <v>450</v>
      </c>
      <c r="C543" s="145" t="s">
        <v>443</v>
      </c>
      <c r="D543" s="94">
        <v>6238663.2000000002</v>
      </c>
      <c r="E543" s="95">
        <v>0.98118291540000002</v>
      </c>
      <c r="F543" s="18">
        <v>6121269.75</v>
      </c>
      <c r="G543" s="18">
        <v>0.02</v>
      </c>
      <c r="H543" s="13"/>
      <c r="I543" s="13"/>
    </row>
    <row r="544" spans="1:9">
      <c r="A544" s="13" t="s">
        <v>1075</v>
      </c>
      <c r="B544" s="145" t="s">
        <v>645</v>
      </c>
      <c r="C544" s="145" t="s">
        <v>443</v>
      </c>
      <c r="D544" s="18">
        <v>4967341.46</v>
      </c>
      <c r="E544" s="95">
        <v>0.98526166559999995</v>
      </c>
      <c r="F544" s="18">
        <v>4894131.12</v>
      </c>
      <c r="G544" s="18">
        <v>0.01</v>
      </c>
      <c r="H544" s="13"/>
      <c r="I544" s="13"/>
    </row>
    <row r="545" spans="1:9">
      <c r="A545" s="13" t="s">
        <v>1076</v>
      </c>
      <c r="B545" s="145" t="s">
        <v>1077</v>
      </c>
      <c r="C545" s="145" t="s">
        <v>443</v>
      </c>
      <c r="D545" s="15">
        <v>9974100</v>
      </c>
      <c r="E545" s="95">
        <v>0.87951809349999999</v>
      </c>
      <c r="F545" s="18">
        <v>8772401.4199999999</v>
      </c>
      <c r="G545" s="18">
        <v>0.02</v>
      </c>
      <c r="H545" s="13"/>
      <c r="I545" s="13"/>
    </row>
    <row r="546" spans="1:9">
      <c r="A546" s="13" t="s">
        <v>1078</v>
      </c>
      <c r="B546" s="145" t="s">
        <v>1079</v>
      </c>
      <c r="C546" s="145" t="s">
        <v>443</v>
      </c>
      <c r="D546" s="18">
        <v>9972890.5500000007</v>
      </c>
      <c r="E546" s="95">
        <v>0.89067854280000003</v>
      </c>
      <c r="F546" s="18">
        <v>8882639.6199999992</v>
      </c>
      <c r="G546" s="18">
        <v>0.02</v>
      </c>
      <c r="H546" s="13"/>
      <c r="I546" s="13"/>
    </row>
    <row r="547" spans="1:9">
      <c r="A547" s="13" t="s">
        <v>1080</v>
      </c>
      <c r="B547" s="145" t="s">
        <v>1081</v>
      </c>
      <c r="C547" s="145" t="s">
        <v>443</v>
      </c>
      <c r="D547" s="18">
        <v>9972899.9900000002</v>
      </c>
      <c r="E547" s="95">
        <v>0.87867136290000003</v>
      </c>
      <c r="F547" s="18">
        <v>8762901.6300000008</v>
      </c>
      <c r="G547" s="18">
        <v>0.02</v>
      </c>
      <c r="H547" s="13"/>
      <c r="I547" s="13"/>
    </row>
    <row r="548" spans="1:9">
      <c r="A548" s="13" t="s">
        <v>1082</v>
      </c>
      <c r="B548" s="145" t="s">
        <v>1083</v>
      </c>
      <c r="C548" s="145" t="s">
        <v>443</v>
      </c>
      <c r="D548" s="94">
        <v>9975100.8000000007</v>
      </c>
      <c r="E548" s="96">
        <v>0.88036670800000005</v>
      </c>
      <c r="F548" s="18">
        <v>8781746.6500000004</v>
      </c>
      <c r="G548" s="18">
        <v>0.02</v>
      </c>
      <c r="H548" s="13"/>
      <c r="I548" s="13"/>
    </row>
    <row r="549" spans="1:9">
      <c r="A549" s="13" t="s">
        <v>1084</v>
      </c>
      <c r="B549" s="145" t="s">
        <v>1077</v>
      </c>
      <c r="C549" s="145" t="s">
        <v>443</v>
      </c>
      <c r="D549" s="15">
        <v>9973400</v>
      </c>
      <c r="E549" s="95">
        <v>0.87951809349999999</v>
      </c>
      <c r="F549" s="18">
        <v>8771785.75</v>
      </c>
      <c r="G549" s="18">
        <v>0.02</v>
      </c>
      <c r="H549" s="13"/>
      <c r="I549" s="13"/>
    </row>
    <row r="550" spans="1:9">
      <c r="A550" s="13" t="s">
        <v>1085</v>
      </c>
      <c r="B550" s="145" t="s">
        <v>792</v>
      </c>
      <c r="C550" s="145" t="s">
        <v>443</v>
      </c>
      <c r="D550" s="18">
        <v>9972570.8200000003</v>
      </c>
      <c r="E550" s="95">
        <v>0.89154883979999999</v>
      </c>
      <c r="F550" s="18">
        <v>8891033.9399999995</v>
      </c>
      <c r="G550" s="18">
        <v>0.02</v>
      </c>
      <c r="H550" s="13"/>
      <c r="I550" s="13"/>
    </row>
    <row r="551" spans="1:9">
      <c r="A551" s="13" t="s">
        <v>1086</v>
      </c>
      <c r="B551" s="145" t="s">
        <v>792</v>
      </c>
      <c r="C551" s="145" t="s">
        <v>443</v>
      </c>
      <c r="D551" s="18">
        <v>9972350.7799999993</v>
      </c>
      <c r="E551" s="95">
        <v>0.89154883979999999</v>
      </c>
      <c r="F551" s="18">
        <v>8890837.7699999996</v>
      </c>
      <c r="G551" s="18">
        <v>0.02</v>
      </c>
      <c r="H551" s="13"/>
      <c r="I551" s="13"/>
    </row>
    <row r="552" spans="1:9">
      <c r="A552" s="13" t="s">
        <v>1087</v>
      </c>
      <c r="B552" s="145" t="s">
        <v>792</v>
      </c>
      <c r="C552" s="145" t="s">
        <v>443</v>
      </c>
      <c r="D552" s="15">
        <v>9973200</v>
      </c>
      <c r="E552" s="95">
        <v>0.89154883979999999</v>
      </c>
      <c r="F552" s="18">
        <v>8891594.8900000006</v>
      </c>
      <c r="G552" s="18">
        <v>0.02</v>
      </c>
      <c r="H552" s="13"/>
      <c r="I552" s="13"/>
    </row>
    <row r="553" spans="1:9">
      <c r="A553" s="13" t="s">
        <v>1088</v>
      </c>
      <c r="B553" s="145" t="s">
        <v>246</v>
      </c>
      <c r="C553" s="145" t="s">
        <v>443</v>
      </c>
      <c r="D553" s="18">
        <v>9972860.4499999993</v>
      </c>
      <c r="E553" s="95">
        <v>0.89242058589999995</v>
      </c>
      <c r="F553" s="18">
        <v>8899985.9700000007</v>
      </c>
      <c r="G553" s="18">
        <v>0.02</v>
      </c>
      <c r="H553" s="13"/>
      <c r="I553" s="13"/>
    </row>
    <row r="554" spans="1:9">
      <c r="A554" s="13" t="s">
        <v>1089</v>
      </c>
      <c r="B554" s="145" t="s">
        <v>1077</v>
      </c>
      <c r="C554" s="145" t="s">
        <v>443</v>
      </c>
      <c r="D554" s="18">
        <v>9973360.4700000007</v>
      </c>
      <c r="E554" s="95">
        <v>0.87951809349999999</v>
      </c>
      <c r="F554" s="18">
        <v>8771750.9900000002</v>
      </c>
      <c r="G554" s="18">
        <v>0.02</v>
      </c>
      <c r="H554" s="13"/>
      <c r="I554" s="13"/>
    </row>
    <row r="555" spans="1:9">
      <c r="A555" s="13" t="s">
        <v>1090</v>
      </c>
      <c r="B555" s="145" t="s">
        <v>1091</v>
      </c>
      <c r="C555" s="145" t="s">
        <v>443</v>
      </c>
      <c r="D555" s="15">
        <v>7551944</v>
      </c>
      <c r="E555" s="95">
        <v>0.90301843039999996</v>
      </c>
      <c r="F555" s="18">
        <v>6819544.6200000001</v>
      </c>
      <c r="G555" s="18">
        <v>0.02</v>
      </c>
      <c r="H555" s="13"/>
      <c r="I555" s="13"/>
    </row>
    <row r="556" spans="1:9">
      <c r="A556" s="13" t="s">
        <v>1092</v>
      </c>
      <c r="B556" s="145" t="s">
        <v>518</v>
      </c>
      <c r="C556" s="145" t="s">
        <v>443</v>
      </c>
      <c r="D556" s="94">
        <v>9943984.5</v>
      </c>
      <c r="E556" s="95">
        <v>0.90480912889999998</v>
      </c>
      <c r="F556" s="18">
        <v>8997407.9499999993</v>
      </c>
      <c r="G556" s="18">
        <v>0.02</v>
      </c>
      <c r="H556" s="13"/>
      <c r="I556" s="13"/>
    </row>
    <row r="557" spans="1:9">
      <c r="A557" s="13" t="s">
        <v>1093</v>
      </c>
      <c r="B557" s="145" t="s">
        <v>244</v>
      </c>
      <c r="C557" s="145" t="s">
        <v>443</v>
      </c>
      <c r="D557" s="94">
        <v>9943984.5</v>
      </c>
      <c r="E557" s="95">
        <v>0.9039130192</v>
      </c>
      <c r="F557" s="18">
        <v>8988497.0500000007</v>
      </c>
      <c r="G557" s="18">
        <v>0.02</v>
      </c>
      <c r="H557" s="13"/>
      <c r="I557" s="13"/>
    </row>
    <row r="558" spans="1:9">
      <c r="A558" s="13" t="s">
        <v>1094</v>
      </c>
      <c r="B558" s="145" t="s">
        <v>1095</v>
      </c>
      <c r="C558" s="145" t="s">
        <v>443</v>
      </c>
      <c r="D558" s="15">
        <v>7551944</v>
      </c>
      <c r="E558" s="95">
        <v>0.89945795819999996</v>
      </c>
      <c r="F558" s="18">
        <v>6792656.1299999999</v>
      </c>
      <c r="G558" s="18">
        <v>0.02</v>
      </c>
      <c r="H558" s="13"/>
      <c r="I558" s="13"/>
    </row>
    <row r="559" spans="1:9">
      <c r="A559" s="13" t="s">
        <v>1096</v>
      </c>
      <c r="B559" s="145" t="s">
        <v>1095</v>
      </c>
      <c r="C559" s="145" t="s">
        <v>443</v>
      </c>
      <c r="D559" s="15">
        <v>7551944</v>
      </c>
      <c r="E559" s="95">
        <v>0.89945795819999996</v>
      </c>
      <c r="F559" s="18">
        <v>6792656.1299999999</v>
      </c>
      <c r="G559" s="18">
        <v>0.02</v>
      </c>
      <c r="H559" s="13"/>
      <c r="I559" s="13"/>
    </row>
    <row r="560" spans="1:9">
      <c r="A560" s="13" t="s">
        <v>1097</v>
      </c>
      <c r="B560" s="145" t="s">
        <v>518</v>
      </c>
      <c r="C560" s="145" t="s">
        <v>443</v>
      </c>
      <c r="D560" s="94">
        <v>9943984.5</v>
      </c>
      <c r="E560" s="95">
        <v>0.90480912889999998</v>
      </c>
      <c r="F560" s="18">
        <v>8997407.9499999993</v>
      </c>
      <c r="G560" s="18">
        <v>0.02</v>
      </c>
      <c r="H560" s="13"/>
      <c r="I560" s="13"/>
    </row>
    <row r="561" spans="1:9">
      <c r="A561" s="13" t="s">
        <v>1098</v>
      </c>
      <c r="B561" s="145" t="s">
        <v>244</v>
      </c>
      <c r="C561" s="145" t="s">
        <v>443</v>
      </c>
      <c r="D561" s="94">
        <v>9943984.5</v>
      </c>
      <c r="E561" s="95">
        <v>0.9039130192</v>
      </c>
      <c r="F561" s="18">
        <v>8988497.0500000007</v>
      </c>
      <c r="G561" s="18">
        <v>0.02</v>
      </c>
      <c r="H561" s="13"/>
      <c r="I561" s="13"/>
    </row>
    <row r="562" spans="1:9">
      <c r="A562" s="13" t="s">
        <v>1099</v>
      </c>
      <c r="B562" s="145" t="s">
        <v>1091</v>
      </c>
      <c r="C562" s="145" t="s">
        <v>443</v>
      </c>
      <c r="D562" s="15">
        <v>7551944</v>
      </c>
      <c r="E562" s="95">
        <v>0.90301843039999996</v>
      </c>
      <c r="F562" s="18">
        <v>6819544.6200000001</v>
      </c>
      <c r="G562" s="18">
        <v>0.02</v>
      </c>
      <c r="H562" s="13"/>
      <c r="I562" s="13"/>
    </row>
    <row r="563" spans="1:9">
      <c r="A563" s="13" t="s">
        <v>1108</v>
      </c>
      <c r="B563" s="145" t="s">
        <v>656</v>
      </c>
      <c r="C563" s="145" t="s">
        <v>461</v>
      </c>
      <c r="D563" s="15">
        <v>3000000</v>
      </c>
      <c r="E563" s="95">
        <v>0.96709236040000002</v>
      </c>
      <c r="F563" s="18">
        <v>2901277.08</v>
      </c>
      <c r="G563" s="18">
        <v>0.01</v>
      </c>
      <c r="H563" s="13"/>
      <c r="I563" s="13"/>
    </row>
    <row r="564" spans="1:9">
      <c r="A564" s="13" t="s">
        <v>1109</v>
      </c>
      <c r="B564" s="145" t="s">
        <v>244</v>
      </c>
      <c r="C564" s="145" t="s">
        <v>461</v>
      </c>
      <c r="D564" s="18">
        <v>3243208.42</v>
      </c>
      <c r="E564" s="95">
        <v>0.92162408510000005</v>
      </c>
      <c r="F564" s="18">
        <v>2989018.99</v>
      </c>
      <c r="G564" s="18">
        <v>0.01</v>
      </c>
      <c r="H564" s="13"/>
      <c r="I564" s="13"/>
    </row>
    <row r="565" spans="1:9">
      <c r="A565" s="13" t="s">
        <v>1110</v>
      </c>
      <c r="B565" s="145" t="s">
        <v>1081</v>
      </c>
      <c r="C565" s="145" t="s">
        <v>461</v>
      </c>
      <c r="D565" s="18">
        <v>3243208.42</v>
      </c>
      <c r="E565" s="95">
        <v>0.90052306309999997</v>
      </c>
      <c r="F565" s="18">
        <v>2920583.98</v>
      </c>
      <c r="G565" s="18">
        <v>0.01</v>
      </c>
      <c r="H565" s="13"/>
      <c r="I565" s="13"/>
    </row>
    <row r="566" spans="1:9">
      <c r="A566" s="13" t="s">
        <v>1111</v>
      </c>
      <c r="B566" s="145" t="s">
        <v>513</v>
      </c>
      <c r="C566" s="145" t="s">
        <v>461</v>
      </c>
      <c r="D566" s="15">
        <v>2500000</v>
      </c>
      <c r="E566" s="95">
        <v>0.95305249439999995</v>
      </c>
      <c r="F566" s="18">
        <v>2382631.2400000002</v>
      </c>
      <c r="G566" s="18">
        <v>0.01</v>
      </c>
      <c r="H566" s="13"/>
      <c r="I566" s="13"/>
    </row>
    <row r="567" spans="1:9">
      <c r="A567" s="13" t="s">
        <v>1112</v>
      </c>
      <c r="B567" s="145" t="s">
        <v>244</v>
      </c>
      <c r="C567" s="145" t="s">
        <v>461</v>
      </c>
      <c r="D567" s="15">
        <v>2500000</v>
      </c>
      <c r="E567" s="95">
        <v>0.92844607030000004</v>
      </c>
      <c r="F567" s="18">
        <v>2321115.1800000002</v>
      </c>
      <c r="G567" s="18">
        <v>0.01</v>
      </c>
      <c r="H567" s="13"/>
      <c r="I567" s="13"/>
    </row>
    <row r="568" spans="1:9">
      <c r="A568" s="13" t="s">
        <v>1113</v>
      </c>
      <c r="B568" s="145" t="s">
        <v>246</v>
      </c>
      <c r="C568" s="145" t="s">
        <v>461</v>
      </c>
      <c r="D568" s="15">
        <v>2500000</v>
      </c>
      <c r="E568" s="95">
        <v>0.91962719680000005</v>
      </c>
      <c r="F568" s="18">
        <v>2299067.9900000002</v>
      </c>
      <c r="G568" s="18">
        <v>0.01</v>
      </c>
      <c r="H568" s="13"/>
      <c r="I568" s="13"/>
    </row>
    <row r="569" spans="1:9">
      <c r="A569" s="13" t="s">
        <v>1114</v>
      </c>
      <c r="B569" s="145" t="s">
        <v>943</v>
      </c>
      <c r="C569" s="145" t="s">
        <v>461</v>
      </c>
      <c r="D569" s="15">
        <v>2500000</v>
      </c>
      <c r="E569" s="95">
        <v>0.93953520349999997</v>
      </c>
      <c r="F569" s="18">
        <v>2348838.0099999998</v>
      </c>
      <c r="G569" s="18">
        <v>0.01</v>
      </c>
      <c r="H569" s="13"/>
      <c r="I569" s="13"/>
    </row>
    <row r="570" spans="1:9">
      <c r="A570" s="13" t="s">
        <v>1115</v>
      </c>
      <c r="B570" s="145" t="s">
        <v>246</v>
      </c>
      <c r="C570" s="145" t="s">
        <v>461</v>
      </c>
      <c r="D570" s="15">
        <v>25000000</v>
      </c>
      <c r="E570" s="95">
        <v>0.91708552089999995</v>
      </c>
      <c r="F570" s="18">
        <v>22927138.02</v>
      </c>
      <c r="G570" s="18">
        <v>0.06</v>
      </c>
      <c r="H570" s="13"/>
      <c r="I570" s="13"/>
    </row>
    <row r="571" spans="1:9">
      <c r="A571" s="13" t="s">
        <v>1116</v>
      </c>
      <c r="B571" s="145" t="s">
        <v>1117</v>
      </c>
      <c r="C571" s="145" t="s">
        <v>461</v>
      </c>
      <c r="D571" s="15">
        <v>24000000</v>
      </c>
      <c r="E571" s="95">
        <v>0.91227204409999996</v>
      </c>
      <c r="F571" s="18">
        <v>21894529.059999999</v>
      </c>
      <c r="G571" s="18">
        <v>0.06</v>
      </c>
      <c r="H571" s="13"/>
      <c r="I571" s="13"/>
    </row>
    <row r="572" spans="1:9">
      <c r="A572" s="13" t="s">
        <v>1118</v>
      </c>
      <c r="B572" s="145" t="s">
        <v>792</v>
      </c>
      <c r="C572" s="145" t="s">
        <v>461</v>
      </c>
      <c r="D572" s="15">
        <v>25000000</v>
      </c>
      <c r="E572" s="95">
        <v>0.91639471569999997</v>
      </c>
      <c r="F572" s="18">
        <v>22909867.890000001</v>
      </c>
      <c r="G572" s="18">
        <v>0.06</v>
      </c>
      <c r="H572" s="13"/>
      <c r="I572" s="13"/>
    </row>
    <row r="573" spans="1:9">
      <c r="A573" s="13" t="s">
        <v>1119</v>
      </c>
      <c r="B573" s="145" t="s">
        <v>530</v>
      </c>
      <c r="C573" s="145" t="s">
        <v>461</v>
      </c>
      <c r="D573" s="15">
        <v>4000000</v>
      </c>
      <c r="E573" s="95">
        <v>0.98899915530000004</v>
      </c>
      <c r="F573" s="18">
        <v>3955996.62</v>
      </c>
      <c r="G573" s="18">
        <v>0.01</v>
      </c>
      <c r="H573" s="13"/>
      <c r="I573" s="13"/>
    </row>
    <row r="574" spans="1:9">
      <c r="A574" s="13" t="s">
        <v>1120</v>
      </c>
      <c r="B574" s="145" t="s">
        <v>488</v>
      </c>
      <c r="C574" s="145" t="s">
        <v>461</v>
      </c>
      <c r="D574" s="15">
        <v>4000000</v>
      </c>
      <c r="E574" s="95">
        <v>0.9835889914</v>
      </c>
      <c r="F574" s="18">
        <v>3934355.97</v>
      </c>
      <c r="G574" s="18">
        <v>0.01</v>
      </c>
      <c r="H574" s="13"/>
      <c r="I574" s="13"/>
    </row>
    <row r="575" spans="1:9">
      <c r="A575" s="13" t="s">
        <v>1121</v>
      </c>
      <c r="B575" s="145" t="s">
        <v>230</v>
      </c>
      <c r="C575" s="145" t="s">
        <v>461</v>
      </c>
      <c r="D575" s="15">
        <v>4000000</v>
      </c>
      <c r="E575" s="96">
        <v>0.98512865699999996</v>
      </c>
      <c r="F575" s="18">
        <v>3940514.63</v>
      </c>
      <c r="G575" s="18">
        <v>0.01</v>
      </c>
      <c r="H575" s="13"/>
      <c r="I575" s="13"/>
    </row>
    <row r="576" spans="1:9">
      <c r="A576" s="13" t="s">
        <v>1122</v>
      </c>
      <c r="B576" s="145" t="s">
        <v>770</v>
      </c>
      <c r="C576" s="145" t="s">
        <v>461</v>
      </c>
      <c r="D576" s="15">
        <v>4000000</v>
      </c>
      <c r="E576" s="95">
        <v>0.97976063170000005</v>
      </c>
      <c r="F576" s="18">
        <v>3919042.53</v>
      </c>
      <c r="G576" s="18">
        <v>0.01</v>
      </c>
      <c r="H576" s="13"/>
      <c r="I576" s="13"/>
    </row>
    <row r="577" spans="1:9">
      <c r="A577" s="13" t="s">
        <v>1123</v>
      </c>
      <c r="B577" s="145" t="s">
        <v>513</v>
      </c>
      <c r="C577" s="145" t="s">
        <v>461</v>
      </c>
      <c r="D577" s="15">
        <v>40000000</v>
      </c>
      <c r="E577" s="95">
        <v>0.95459787119999995</v>
      </c>
      <c r="F577" s="18">
        <v>38183914.850000001</v>
      </c>
      <c r="G577" s="94">
        <v>0.1</v>
      </c>
      <c r="H577" s="13"/>
      <c r="I577" s="13"/>
    </row>
    <row r="578" spans="1:9">
      <c r="A578" s="13" t="s">
        <v>1124</v>
      </c>
      <c r="B578" s="145" t="s">
        <v>402</v>
      </c>
      <c r="C578" s="145" t="s">
        <v>461</v>
      </c>
      <c r="D578" s="15">
        <v>338800</v>
      </c>
      <c r="E578" s="95">
        <v>0.98983056039999995</v>
      </c>
      <c r="F578" s="18">
        <v>335354.59000000003</v>
      </c>
      <c r="G578" s="15">
        <v>0</v>
      </c>
      <c r="H578" s="13"/>
      <c r="I578" s="13"/>
    </row>
    <row r="579" spans="1:9">
      <c r="A579" s="13" t="s">
        <v>1125</v>
      </c>
      <c r="B579" s="145" t="s">
        <v>476</v>
      </c>
      <c r="C579" s="145" t="s">
        <v>461</v>
      </c>
      <c r="D579" s="18">
        <v>211844.86</v>
      </c>
      <c r="E579" s="95">
        <v>0.98782141970000004</v>
      </c>
      <c r="F579" s="18">
        <v>209264.89</v>
      </c>
      <c r="G579" s="15">
        <v>0</v>
      </c>
      <c r="H579" s="13"/>
      <c r="I579" s="13"/>
    </row>
    <row r="580" spans="1:9">
      <c r="A580" s="13" t="s">
        <v>1126</v>
      </c>
      <c r="B580" s="145" t="s">
        <v>230</v>
      </c>
      <c r="C580" s="145" t="s">
        <v>461</v>
      </c>
      <c r="D580" s="15">
        <v>996594</v>
      </c>
      <c r="E580" s="95">
        <v>0.98715352619999996</v>
      </c>
      <c r="F580" s="18">
        <v>983791.28</v>
      </c>
      <c r="G580" s="15">
        <v>0</v>
      </c>
      <c r="H580" s="13"/>
      <c r="I580" s="13"/>
    </row>
    <row r="581" spans="1:9">
      <c r="A581" s="13" t="s">
        <v>1127</v>
      </c>
      <c r="B581" s="145" t="s">
        <v>230</v>
      </c>
      <c r="C581" s="145" t="s">
        <v>461</v>
      </c>
      <c r="D581" s="18">
        <v>311853.53999999998</v>
      </c>
      <c r="E581" s="96">
        <v>0.987153473</v>
      </c>
      <c r="F581" s="18">
        <v>307847.31</v>
      </c>
      <c r="G581" s="15">
        <v>0</v>
      </c>
      <c r="H581" s="13"/>
      <c r="I581" s="13"/>
    </row>
    <row r="582" spans="1:9">
      <c r="A582" s="13" t="s">
        <v>1128</v>
      </c>
      <c r="B582" s="145" t="s">
        <v>450</v>
      </c>
      <c r="C582" s="145" t="s">
        <v>461</v>
      </c>
      <c r="D582" s="15">
        <v>696309</v>
      </c>
      <c r="E582" s="95">
        <v>0.98648649879999994</v>
      </c>
      <c r="F582" s="18">
        <v>686899.43</v>
      </c>
      <c r="G582" s="15">
        <v>0</v>
      </c>
      <c r="H582" s="13"/>
      <c r="I582" s="13"/>
    </row>
    <row r="583" spans="1:9">
      <c r="A583" s="13" t="s">
        <v>1129</v>
      </c>
      <c r="B583" s="145" t="s">
        <v>481</v>
      </c>
      <c r="C583" s="145" t="s">
        <v>461</v>
      </c>
      <c r="D583" s="15">
        <v>605000</v>
      </c>
      <c r="E583" s="95">
        <v>0.99184783129999998</v>
      </c>
      <c r="F583" s="18">
        <v>600067.93999999994</v>
      </c>
      <c r="G583" s="15">
        <v>0</v>
      </c>
      <c r="H583" s="13"/>
      <c r="I583" s="13"/>
    </row>
    <row r="584" spans="1:9">
      <c r="A584" s="13" t="s">
        <v>1130</v>
      </c>
      <c r="B584" s="145" t="s">
        <v>481</v>
      </c>
      <c r="C584" s="145" t="s">
        <v>461</v>
      </c>
      <c r="D584" s="18">
        <v>1070093.75</v>
      </c>
      <c r="E584" s="95">
        <v>0.99184785230000005</v>
      </c>
      <c r="F584" s="18">
        <v>1061370.19</v>
      </c>
      <c r="G584" s="15">
        <v>0</v>
      </c>
      <c r="H584" s="13"/>
      <c r="I584" s="13"/>
    </row>
    <row r="585" spans="1:9">
      <c r="A585" s="13" t="s">
        <v>1131</v>
      </c>
      <c r="B585" s="145" t="s">
        <v>645</v>
      </c>
      <c r="C585" s="145" t="s">
        <v>461</v>
      </c>
      <c r="D585" s="15">
        <v>808991</v>
      </c>
      <c r="E585" s="95">
        <v>0.9911744602</v>
      </c>
      <c r="F585" s="18">
        <v>801851.22</v>
      </c>
      <c r="G585" s="15">
        <v>0</v>
      </c>
      <c r="H585" s="13"/>
      <c r="I585" s="13"/>
    </row>
    <row r="586" spans="1:9">
      <c r="A586" s="13" t="s">
        <v>1134</v>
      </c>
      <c r="B586" s="145" t="s">
        <v>587</v>
      </c>
      <c r="C586" s="145" t="s">
        <v>461</v>
      </c>
      <c r="D586" s="15">
        <v>2048050</v>
      </c>
      <c r="E586" s="95">
        <v>0.99931554219999996</v>
      </c>
      <c r="F586" s="94">
        <v>2046648.2</v>
      </c>
      <c r="G586" s="18">
        <v>0.01</v>
      </c>
      <c r="H586" s="13"/>
      <c r="I586" s="13"/>
    </row>
    <row r="587" spans="1:9">
      <c r="A587" s="13" t="s">
        <v>1135</v>
      </c>
      <c r="B587" s="145" t="s">
        <v>479</v>
      </c>
      <c r="C587" s="145" t="s">
        <v>461</v>
      </c>
      <c r="D587" s="15">
        <v>2048050</v>
      </c>
      <c r="E587" s="95">
        <v>0.99726777980000003</v>
      </c>
      <c r="F587" s="18">
        <v>2042454.28</v>
      </c>
      <c r="G587" s="18">
        <v>0.01</v>
      </c>
      <c r="H587" s="13"/>
      <c r="I587" s="13"/>
    </row>
    <row r="588" spans="1:9">
      <c r="A588" s="13" t="s">
        <v>1136</v>
      </c>
      <c r="B588" s="145" t="s">
        <v>218</v>
      </c>
      <c r="C588" s="145" t="s">
        <v>461</v>
      </c>
      <c r="D588" s="15">
        <v>2048050</v>
      </c>
      <c r="E588" s="95">
        <v>0.99658704149999999</v>
      </c>
      <c r="F588" s="18">
        <v>2041060.09</v>
      </c>
      <c r="G588" s="18">
        <v>0.01</v>
      </c>
      <c r="H588" s="13"/>
      <c r="I588" s="13"/>
    </row>
    <row r="589" spans="1:9">
      <c r="A589" s="13" t="s">
        <v>1137</v>
      </c>
      <c r="B589" s="145" t="s">
        <v>218</v>
      </c>
      <c r="C589" s="145" t="s">
        <v>461</v>
      </c>
      <c r="D589" s="94">
        <v>434087.5</v>
      </c>
      <c r="E589" s="95">
        <v>0.9965870309</v>
      </c>
      <c r="F589" s="18">
        <v>432605.97</v>
      </c>
      <c r="G589" s="15">
        <v>0</v>
      </c>
      <c r="H589" s="13"/>
      <c r="I589" s="13"/>
    </row>
    <row r="590" spans="1:9">
      <c r="A590" s="13" t="s">
        <v>1138</v>
      </c>
      <c r="B590" s="145" t="s">
        <v>645</v>
      </c>
      <c r="C590" s="145" t="s">
        <v>461</v>
      </c>
      <c r="D590" s="94">
        <v>4023552.5</v>
      </c>
      <c r="E590" s="95">
        <v>0.99117447839999995</v>
      </c>
      <c r="F590" s="18">
        <v>3988042.55</v>
      </c>
      <c r="G590" s="18">
        <v>0.01</v>
      </c>
      <c r="H590" s="13"/>
      <c r="I590" s="13"/>
    </row>
    <row r="591" spans="1:9">
      <c r="A591" s="13" t="s">
        <v>1139</v>
      </c>
      <c r="B591" s="145" t="s">
        <v>645</v>
      </c>
      <c r="C591" s="145" t="s">
        <v>461</v>
      </c>
      <c r="D591" s="15">
        <v>880000</v>
      </c>
      <c r="E591" s="95">
        <v>0.99117446229999995</v>
      </c>
      <c r="F591" s="18">
        <v>872233.53</v>
      </c>
      <c r="G591" s="15">
        <v>0</v>
      </c>
      <c r="H591" s="13"/>
      <c r="I591" s="13"/>
    </row>
    <row r="592" spans="1:9">
      <c r="A592" s="13" t="s">
        <v>1140</v>
      </c>
      <c r="B592" s="145" t="s">
        <v>535</v>
      </c>
      <c r="C592" s="145" t="s">
        <v>461</v>
      </c>
      <c r="D592" s="18">
        <v>321666.46000000002</v>
      </c>
      <c r="E592" s="95">
        <v>0.9811828467</v>
      </c>
      <c r="F592" s="18">
        <v>315613.61</v>
      </c>
      <c r="G592" s="15">
        <v>0</v>
      </c>
      <c r="H592" s="13"/>
      <c r="I592" s="13"/>
    </row>
    <row r="593" spans="1:9">
      <c r="A593" s="13" t="s">
        <v>1141</v>
      </c>
      <c r="B593" s="145" t="s">
        <v>535</v>
      </c>
      <c r="C593" s="145" t="s">
        <v>461</v>
      </c>
      <c r="D593" s="15">
        <v>250000</v>
      </c>
      <c r="E593" s="95">
        <v>0.98118294930000005</v>
      </c>
      <c r="F593" s="18">
        <v>245295.74</v>
      </c>
      <c r="G593" s="15">
        <v>0</v>
      </c>
      <c r="H593" s="13"/>
      <c r="I593" s="13"/>
    </row>
    <row r="594" spans="1:9">
      <c r="A594" s="13" t="s">
        <v>1142</v>
      </c>
      <c r="B594" s="145" t="s">
        <v>543</v>
      </c>
      <c r="C594" s="145" t="s">
        <v>461</v>
      </c>
      <c r="D594" s="15">
        <v>996595</v>
      </c>
      <c r="E594" s="95">
        <v>0.98184266679999999</v>
      </c>
      <c r="F594" s="18">
        <v>978499.49</v>
      </c>
      <c r="G594" s="15">
        <v>0</v>
      </c>
      <c r="H594" s="13"/>
      <c r="I594" s="13"/>
    </row>
    <row r="595" spans="1:9">
      <c r="A595" s="13" t="s">
        <v>1143</v>
      </c>
      <c r="B595" s="145" t="s">
        <v>543</v>
      </c>
      <c r="C595" s="145" t="s">
        <v>461</v>
      </c>
      <c r="D595" s="15">
        <v>696310</v>
      </c>
      <c r="E595" s="95">
        <v>0.98184266040000001</v>
      </c>
      <c r="F595" s="18">
        <v>683666.86</v>
      </c>
      <c r="G595" s="15">
        <v>0</v>
      </c>
      <c r="H595" s="13"/>
      <c r="I595" s="13"/>
    </row>
    <row r="596" spans="1:9">
      <c r="A596" s="13" t="s">
        <v>1144</v>
      </c>
      <c r="B596" s="145" t="s">
        <v>543</v>
      </c>
      <c r="C596" s="145" t="s">
        <v>461</v>
      </c>
      <c r="D596" s="18">
        <v>643398.03</v>
      </c>
      <c r="E596" s="95">
        <v>0.9818426697</v>
      </c>
      <c r="F596" s="18">
        <v>631715.64</v>
      </c>
      <c r="G596" s="15">
        <v>0</v>
      </c>
      <c r="H596" s="13"/>
      <c r="I596" s="13"/>
    </row>
    <row r="597" spans="1:9">
      <c r="A597" s="13" t="s">
        <v>1145</v>
      </c>
      <c r="B597" s="145" t="s">
        <v>543</v>
      </c>
      <c r="C597" s="145" t="s">
        <v>461</v>
      </c>
      <c r="D597" s="15">
        <v>186067</v>
      </c>
      <c r="E597" s="95">
        <v>0.98184269179999994</v>
      </c>
      <c r="F597" s="18">
        <v>182688.52</v>
      </c>
      <c r="G597" s="15">
        <v>0</v>
      </c>
      <c r="H597" s="13"/>
      <c r="I597" s="13"/>
    </row>
    <row r="598" spans="1:9">
      <c r="A598" s="13" t="s">
        <v>1146</v>
      </c>
      <c r="B598" s="145" t="s">
        <v>543</v>
      </c>
      <c r="C598" s="145" t="s">
        <v>461</v>
      </c>
      <c r="D598" s="94">
        <v>137605.5</v>
      </c>
      <c r="E598" s="95">
        <v>0.98184264190000003</v>
      </c>
      <c r="F598" s="18">
        <v>135106.95000000001</v>
      </c>
      <c r="G598" s="15">
        <v>0</v>
      </c>
      <c r="H598" s="13"/>
      <c r="I598" s="13"/>
    </row>
    <row r="599" spans="1:9">
      <c r="A599" s="13" t="s">
        <v>1147</v>
      </c>
      <c r="B599" s="145" t="s">
        <v>543</v>
      </c>
      <c r="C599" s="145" t="s">
        <v>461</v>
      </c>
      <c r="D599" s="18">
        <v>577850.63</v>
      </c>
      <c r="E599" s="95">
        <v>0.98184269179999994</v>
      </c>
      <c r="F599" s="18">
        <v>567358.42000000004</v>
      </c>
      <c r="G599" s="15">
        <v>0</v>
      </c>
      <c r="H599" s="13"/>
      <c r="I599" s="13"/>
    </row>
    <row r="600" spans="1:9">
      <c r="A600" s="13" t="s">
        <v>1148</v>
      </c>
      <c r="B600" s="145" t="s">
        <v>543</v>
      </c>
      <c r="C600" s="145" t="s">
        <v>461</v>
      </c>
      <c r="D600" s="94">
        <v>325760.8</v>
      </c>
      <c r="E600" s="95">
        <v>0.98184265829999995</v>
      </c>
      <c r="F600" s="18">
        <v>319845.84999999998</v>
      </c>
      <c r="G600" s="15">
        <v>0</v>
      </c>
      <c r="H600" s="13"/>
      <c r="I600" s="13"/>
    </row>
    <row r="601" spans="1:9">
      <c r="A601" s="13" t="s">
        <v>1149</v>
      </c>
      <c r="B601" s="145" t="s">
        <v>543</v>
      </c>
      <c r="C601" s="145" t="s">
        <v>461</v>
      </c>
      <c r="D601" s="15">
        <v>113740</v>
      </c>
      <c r="E601" s="95">
        <v>0.98184271109999999</v>
      </c>
      <c r="F601" s="18">
        <v>111674.79</v>
      </c>
      <c r="G601" s="15">
        <v>0</v>
      </c>
      <c r="H601" s="13"/>
      <c r="I601" s="13"/>
    </row>
    <row r="602" spans="1:9">
      <c r="A602" s="13" t="s">
        <v>1150</v>
      </c>
      <c r="B602" s="145" t="s">
        <v>402</v>
      </c>
      <c r="C602" s="145" t="s">
        <v>461</v>
      </c>
      <c r="D602" s="15">
        <v>1000000</v>
      </c>
      <c r="E602" s="96">
        <v>0.98983055399999997</v>
      </c>
      <c r="F602" s="18">
        <v>989830.55</v>
      </c>
      <c r="G602" s="15">
        <v>0</v>
      </c>
      <c r="H602" s="13"/>
      <c r="I602" s="13"/>
    </row>
    <row r="603" spans="1:9">
      <c r="A603" s="13" t="s">
        <v>1151</v>
      </c>
      <c r="B603" s="145" t="s">
        <v>466</v>
      </c>
      <c r="C603" s="145" t="s">
        <v>461</v>
      </c>
      <c r="D603" s="18">
        <v>4566375.4400000004</v>
      </c>
      <c r="E603" s="95">
        <v>0.99574426019999995</v>
      </c>
      <c r="F603" s="18">
        <v>4546942.13</v>
      </c>
      <c r="G603" s="18">
        <v>0.01</v>
      </c>
      <c r="H603" s="13"/>
      <c r="I603" s="13"/>
    </row>
    <row r="604" spans="1:9">
      <c r="A604" s="13" t="s">
        <v>1152</v>
      </c>
      <c r="B604" s="145" t="s">
        <v>501</v>
      </c>
      <c r="C604" s="145" t="s">
        <v>461</v>
      </c>
      <c r="D604" s="18">
        <v>1215596.28</v>
      </c>
      <c r="E604" s="95">
        <v>0.9797606526</v>
      </c>
      <c r="F604" s="94">
        <v>1190993.3999999999</v>
      </c>
      <c r="G604" s="15">
        <v>0</v>
      </c>
      <c r="H604" s="13"/>
      <c r="I604" s="13"/>
    </row>
    <row r="605" spans="1:9">
      <c r="A605" s="13" t="s">
        <v>1153</v>
      </c>
      <c r="B605" s="145" t="s">
        <v>520</v>
      </c>
      <c r="C605" s="145" t="s">
        <v>461</v>
      </c>
      <c r="D605" s="15">
        <v>130000000</v>
      </c>
      <c r="E605" s="95">
        <v>0.95547242809999999</v>
      </c>
      <c r="F605" s="18">
        <v>124211415.65000001</v>
      </c>
      <c r="G605" s="18">
        <v>0.33</v>
      </c>
      <c r="H605" s="13"/>
      <c r="I605" s="13"/>
    </row>
    <row r="606" spans="1:9">
      <c r="A606" s="13" t="s">
        <v>1154</v>
      </c>
      <c r="B606" s="145" t="s">
        <v>520</v>
      </c>
      <c r="C606" s="145" t="s">
        <v>461</v>
      </c>
      <c r="D606" s="15">
        <v>150000000</v>
      </c>
      <c r="E606" s="95">
        <v>0.95547242809999999</v>
      </c>
      <c r="F606" s="18">
        <v>143320864.22</v>
      </c>
      <c r="G606" s="18">
        <v>0.38</v>
      </c>
      <c r="H606" s="13"/>
      <c r="I606" s="13"/>
    </row>
    <row r="607" spans="1:9">
      <c r="A607" s="13" t="s">
        <v>1155</v>
      </c>
      <c r="B607" s="145" t="s">
        <v>518</v>
      </c>
      <c r="C607" s="145" t="s">
        <v>461</v>
      </c>
      <c r="D607" s="15">
        <v>15000000</v>
      </c>
      <c r="E607" s="96">
        <v>0.92236941699999997</v>
      </c>
      <c r="F607" s="18">
        <v>13835541.26</v>
      </c>
      <c r="G607" s="18">
        <v>0.04</v>
      </c>
      <c r="H607" s="13"/>
      <c r="I607" s="13"/>
    </row>
    <row r="608" spans="1:9">
      <c r="A608" s="13" t="s">
        <v>1156</v>
      </c>
      <c r="B608" s="145" t="s">
        <v>609</v>
      </c>
      <c r="C608" s="145" t="s">
        <v>461</v>
      </c>
      <c r="D608" s="15">
        <v>15000000</v>
      </c>
      <c r="E608" s="95">
        <v>0.94451925169999995</v>
      </c>
      <c r="F608" s="18">
        <v>14167788.779999999</v>
      </c>
      <c r="G608" s="18">
        <v>0.04</v>
      </c>
      <c r="H608" s="13"/>
      <c r="I608" s="13"/>
    </row>
    <row r="609" spans="1:9">
      <c r="A609" s="13" t="s">
        <v>1157</v>
      </c>
      <c r="B609" s="145" t="s">
        <v>943</v>
      </c>
      <c r="C609" s="145" t="s">
        <v>461</v>
      </c>
      <c r="D609" s="15">
        <v>15000000</v>
      </c>
      <c r="E609" s="95">
        <v>0.93369496070000002</v>
      </c>
      <c r="F609" s="18">
        <v>14005424.41</v>
      </c>
      <c r="G609" s="18">
        <v>0.04</v>
      </c>
      <c r="H609" s="13"/>
      <c r="I609" s="13"/>
    </row>
    <row r="610" spans="1:9">
      <c r="A610" s="13" t="s">
        <v>1158</v>
      </c>
      <c r="B610" s="145" t="s">
        <v>792</v>
      </c>
      <c r="C610" s="145" t="s">
        <v>461</v>
      </c>
      <c r="D610" s="15">
        <v>15000000</v>
      </c>
      <c r="E610" s="95">
        <v>0.91131533050000002</v>
      </c>
      <c r="F610" s="18">
        <v>13669729.960000001</v>
      </c>
      <c r="G610" s="18">
        <v>0.04</v>
      </c>
      <c r="H610" s="13"/>
      <c r="I610" s="13"/>
    </row>
    <row r="611" spans="1:9">
      <c r="A611" s="13" t="s">
        <v>1159</v>
      </c>
      <c r="B611" s="145" t="s">
        <v>413</v>
      </c>
      <c r="C611" s="145" t="s">
        <v>461</v>
      </c>
      <c r="D611" s="15">
        <v>15000000</v>
      </c>
      <c r="E611" s="95">
        <v>0.93676224490000004</v>
      </c>
      <c r="F611" s="18">
        <v>14051433.67</v>
      </c>
      <c r="G611" s="18">
        <v>0.04</v>
      </c>
      <c r="H611" s="13"/>
      <c r="I611" s="13"/>
    </row>
    <row r="612" spans="1:9">
      <c r="A612" s="13" t="s">
        <v>1160</v>
      </c>
      <c r="B612" s="145" t="s">
        <v>580</v>
      </c>
      <c r="C612" s="145" t="s">
        <v>461</v>
      </c>
      <c r="D612" s="15">
        <v>15000000</v>
      </c>
      <c r="E612" s="95">
        <v>0.91497053930000005</v>
      </c>
      <c r="F612" s="18">
        <v>13724558.09</v>
      </c>
      <c r="G612" s="18">
        <v>0.04</v>
      </c>
      <c r="H612" s="13"/>
      <c r="I612" s="13"/>
    </row>
    <row r="613" spans="1:9">
      <c r="A613" s="13" t="s">
        <v>1161</v>
      </c>
      <c r="B613" s="145" t="s">
        <v>620</v>
      </c>
      <c r="C613" s="145" t="s">
        <v>461</v>
      </c>
      <c r="D613" s="15">
        <v>15000000</v>
      </c>
      <c r="E613" s="95">
        <v>0.93907591440000004</v>
      </c>
      <c r="F613" s="18">
        <v>14086138.720000001</v>
      </c>
      <c r="G613" s="18">
        <v>0.04</v>
      </c>
      <c r="H613" s="13"/>
      <c r="I613" s="13"/>
    </row>
    <row r="614" spans="1:9">
      <c r="A614" s="13" t="s">
        <v>1162</v>
      </c>
      <c r="B614" s="145" t="s">
        <v>1163</v>
      </c>
      <c r="C614" s="145" t="s">
        <v>461</v>
      </c>
      <c r="D614" s="15">
        <v>15000000</v>
      </c>
      <c r="E614" s="95">
        <v>0.91644071890000001</v>
      </c>
      <c r="F614" s="18">
        <v>13746610.779999999</v>
      </c>
      <c r="G614" s="18">
        <v>0.04</v>
      </c>
      <c r="H614" s="13"/>
      <c r="I614" s="13"/>
    </row>
    <row r="615" spans="1:9">
      <c r="A615" s="13" t="s">
        <v>1164</v>
      </c>
      <c r="B615" s="145" t="s">
        <v>466</v>
      </c>
      <c r="C615" s="145" t="s">
        <v>461</v>
      </c>
      <c r="D615" s="15">
        <v>100000000</v>
      </c>
      <c r="E615" s="95">
        <v>0.99574426149999995</v>
      </c>
      <c r="F615" s="18">
        <v>99574426.150000006</v>
      </c>
      <c r="G615" s="18">
        <v>0.26</v>
      </c>
      <c r="H615" s="13"/>
      <c r="I615" s="13"/>
    </row>
    <row r="616" spans="1:9">
      <c r="A616" s="13" t="s">
        <v>1165</v>
      </c>
      <c r="B616" s="145" t="s">
        <v>1166</v>
      </c>
      <c r="C616" s="145" t="s">
        <v>461</v>
      </c>
      <c r="D616" s="15">
        <v>10000000</v>
      </c>
      <c r="E616" s="95">
        <v>0.9287532865</v>
      </c>
      <c r="F616" s="18">
        <v>9287532.8699999992</v>
      </c>
      <c r="G616" s="18">
        <v>0.02</v>
      </c>
      <c r="H616" s="13"/>
      <c r="I616" s="13"/>
    </row>
    <row r="617" spans="1:9">
      <c r="A617" s="13" t="s">
        <v>1167</v>
      </c>
      <c r="B617" s="145" t="s">
        <v>226</v>
      </c>
      <c r="C617" s="145" t="s">
        <v>461</v>
      </c>
      <c r="D617" s="15">
        <v>42000000</v>
      </c>
      <c r="E617" s="95">
        <v>0.97193379540000002</v>
      </c>
      <c r="F617" s="18">
        <v>40821219.409999996</v>
      </c>
      <c r="G617" s="18">
        <v>0.11</v>
      </c>
      <c r="H617" s="13"/>
      <c r="I617" s="13"/>
    </row>
    <row r="618" spans="1:9">
      <c r="A618" s="13" t="s">
        <v>1168</v>
      </c>
      <c r="B618" s="145" t="s">
        <v>943</v>
      </c>
      <c r="C618" s="145" t="s">
        <v>461</v>
      </c>
      <c r="D618" s="18">
        <v>9978017.3200000003</v>
      </c>
      <c r="E618" s="95">
        <v>0.92222962149999999</v>
      </c>
      <c r="F618" s="18">
        <v>9202023.1400000006</v>
      </c>
      <c r="G618" s="18">
        <v>0.02</v>
      </c>
      <c r="H618" s="13"/>
      <c r="I618" s="13"/>
    </row>
    <row r="619" spans="1:9">
      <c r="A619" s="13" t="s">
        <v>1169</v>
      </c>
      <c r="B619" s="145" t="s">
        <v>614</v>
      </c>
      <c r="C619" s="145" t="s">
        <v>461</v>
      </c>
      <c r="D619" s="18">
        <v>3519950.15</v>
      </c>
      <c r="E619" s="95">
        <v>0.92667837279999998</v>
      </c>
      <c r="F619" s="18">
        <v>3261861.68</v>
      </c>
      <c r="G619" s="18">
        <v>0.01</v>
      </c>
      <c r="H619" s="13"/>
      <c r="I619" s="13"/>
    </row>
    <row r="620" spans="1:9">
      <c r="A620" s="13" t="s">
        <v>1170</v>
      </c>
      <c r="B620" s="145" t="s">
        <v>524</v>
      </c>
      <c r="C620" s="145" t="s">
        <v>461</v>
      </c>
      <c r="D620" s="18">
        <v>3519950.15</v>
      </c>
      <c r="E620" s="95">
        <v>0.96484271740000005</v>
      </c>
      <c r="F620" s="18">
        <v>3396198.27</v>
      </c>
      <c r="G620" s="18">
        <v>0.01</v>
      </c>
      <c r="H620" s="13"/>
      <c r="I620" s="13"/>
    </row>
    <row r="621" spans="1:9">
      <c r="A621" s="13" t="s">
        <v>1171</v>
      </c>
      <c r="B621" s="145" t="s">
        <v>645</v>
      </c>
      <c r="C621" s="145" t="s">
        <v>461</v>
      </c>
      <c r="D621" s="18">
        <v>7162509.1500000004</v>
      </c>
      <c r="E621" s="95">
        <v>0.98664648909999997</v>
      </c>
      <c r="F621" s="18">
        <v>7066864.5099999998</v>
      </c>
      <c r="G621" s="18">
        <v>0.02</v>
      </c>
      <c r="H621" s="13"/>
      <c r="I621" s="13"/>
    </row>
    <row r="622" spans="1:9">
      <c r="A622" s="13" t="s">
        <v>1172</v>
      </c>
      <c r="B622" s="145" t="s">
        <v>587</v>
      </c>
      <c r="C622" s="145" t="s">
        <v>461</v>
      </c>
      <c r="D622" s="18">
        <v>1155861.44</v>
      </c>
      <c r="E622" s="95">
        <v>0.99895999310000005</v>
      </c>
      <c r="F622" s="18">
        <v>1154659.3400000001</v>
      </c>
      <c r="G622" s="15">
        <v>0</v>
      </c>
      <c r="H622" s="13"/>
      <c r="I622" s="13"/>
    </row>
    <row r="623" spans="1:9">
      <c r="A623" s="13" t="s">
        <v>1173</v>
      </c>
      <c r="B623" s="145" t="s">
        <v>587</v>
      </c>
      <c r="C623" s="145" t="s">
        <v>461</v>
      </c>
      <c r="D623" s="18">
        <v>154415.53</v>
      </c>
      <c r="E623" s="96">
        <v>0.99896000200000001</v>
      </c>
      <c r="F623" s="18">
        <v>154254.94</v>
      </c>
      <c r="G623" s="15">
        <v>0</v>
      </c>
      <c r="H623" s="13"/>
      <c r="I623" s="13"/>
    </row>
    <row r="624" spans="1:9">
      <c r="A624" s="13" t="s">
        <v>1174</v>
      </c>
      <c r="B624" s="145" t="s">
        <v>587</v>
      </c>
      <c r="C624" s="145" t="s">
        <v>461</v>
      </c>
      <c r="D624" s="18">
        <v>2506949.71</v>
      </c>
      <c r="E624" s="95">
        <v>0.99895999160000004</v>
      </c>
      <c r="F624" s="18">
        <v>2504342.46</v>
      </c>
      <c r="G624" s="18">
        <v>0.01</v>
      </c>
      <c r="H624" s="13"/>
      <c r="I624" s="13"/>
    </row>
    <row r="625" spans="1:9">
      <c r="A625" s="13" t="s">
        <v>1175</v>
      </c>
      <c r="B625" s="145" t="s">
        <v>745</v>
      </c>
      <c r="C625" s="145" t="s">
        <v>461</v>
      </c>
      <c r="D625" s="18">
        <v>3511491.25</v>
      </c>
      <c r="E625" s="28">
        <v>0.95906256000000001</v>
      </c>
      <c r="F625" s="18">
        <v>3367739.79</v>
      </c>
      <c r="G625" s="18">
        <v>0.01</v>
      </c>
      <c r="H625" s="13"/>
      <c r="I625" s="13"/>
    </row>
    <row r="626" spans="1:9">
      <c r="A626" s="13" t="s">
        <v>1176</v>
      </c>
      <c r="B626" s="145" t="s">
        <v>587</v>
      </c>
      <c r="C626" s="145" t="s">
        <v>461</v>
      </c>
      <c r="D626" s="18">
        <v>2515339.61</v>
      </c>
      <c r="E626" s="95">
        <v>0.99895999020000004</v>
      </c>
      <c r="F626" s="18">
        <v>2512723.63</v>
      </c>
      <c r="G626" s="18">
        <v>0.01</v>
      </c>
      <c r="H626" s="13"/>
      <c r="I626" s="13"/>
    </row>
    <row r="627" spans="1:9">
      <c r="A627" s="13" t="s">
        <v>1177</v>
      </c>
      <c r="B627" s="145" t="s">
        <v>624</v>
      </c>
      <c r="C627" s="145" t="s">
        <v>461</v>
      </c>
      <c r="D627" s="18">
        <v>3116595.02</v>
      </c>
      <c r="E627" s="96">
        <v>0.93297905599999997</v>
      </c>
      <c r="F627" s="18">
        <v>2907717.88</v>
      </c>
      <c r="G627" s="18">
        <v>0.01</v>
      </c>
      <c r="H627" s="13"/>
      <c r="I627" s="13"/>
    </row>
    <row r="628" spans="1:9">
      <c r="A628" s="13" t="s">
        <v>1178</v>
      </c>
      <c r="B628" s="145" t="s">
        <v>794</v>
      </c>
      <c r="C628" s="145" t="s">
        <v>461</v>
      </c>
      <c r="D628" s="18">
        <v>3116595.02</v>
      </c>
      <c r="E628" s="95">
        <v>0.92046220050000005</v>
      </c>
      <c r="F628" s="18">
        <v>2868707.91</v>
      </c>
      <c r="G628" s="18">
        <v>0.01</v>
      </c>
      <c r="H628" s="13"/>
      <c r="I628" s="13"/>
    </row>
    <row r="629" spans="1:9">
      <c r="A629" s="13" t="s">
        <v>1179</v>
      </c>
      <c r="B629" s="145" t="s">
        <v>1180</v>
      </c>
      <c r="C629" s="145" t="s">
        <v>461</v>
      </c>
      <c r="D629" s="18">
        <v>4463318.82</v>
      </c>
      <c r="E629" s="95">
        <v>0.8807917462</v>
      </c>
      <c r="F629" s="18">
        <v>3931254.38</v>
      </c>
      <c r="G629" s="18">
        <v>0.01</v>
      </c>
      <c r="H629" s="13"/>
      <c r="I629" s="13"/>
    </row>
    <row r="630" spans="1:9">
      <c r="A630" s="13" t="s">
        <v>1181</v>
      </c>
      <c r="B630" s="145" t="s">
        <v>587</v>
      </c>
      <c r="C630" s="145" t="s">
        <v>461</v>
      </c>
      <c r="D630" s="15">
        <v>1288000</v>
      </c>
      <c r="E630" s="95">
        <v>0.99895999089999998</v>
      </c>
      <c r="F630" s="18">
        <v>1286660.47</v>
      </c>
      <c r="G630" s="15">
        <v>0</v>
      </c>
      <c r="H630" s="13"/>
      <c r="I630" s="13"/>
    </row>
    <row r="631" spans="1:9">
      <c r="A631" s="13" t="s">
        <v>1182</v>
      </c>
      <c r="B631" s="145" t="s">
        <v>587</v>
      </c>
      <c r="C631" s="145" t="s">
        <v>461</v>
      </c>
      <c r="D631" s="94">
        <v>2075465.9</v>
      </c>
      <c r="E631" s="95">
        <v>0.99895999130000002</v>
      </c>
      <c r="F631" s="94">
        <v>2073307.4</v>
      </c>
      <c r="G631" s="18">
        <v>0.01</v>
      </c>
      <c r="H631" s="13"/>
      <c r="I631" s="13"/>
    </row>
    <row r="632" spans="1:9">
      <c r="A632" s="13" t="s">
        <v>1183</v>
      </c>
      <c r="B632" s="145" t="s">
        <v>587</v>
      </c>
      <c r="C632" s="145" t="s">
        <v>461</v>
      </c>
      <c r="D632" s="15">
        <v>1027126</v>
      </c>
      <c r="E632" s="95">
        <v>0.99895999140000002</v>
      </c>
      <c r="F632" s="18">
        <v>1026057.78</v>
      </c>
      <c r="G632" s="15">
        <v>0</v>
      </c>
      <c r="H632" s="13"/>
      <c r="I632" s="13"/>
    </row>
    <row r="633" spans="1:9">
      <c r="A633" s="13" t="s">
        <v>1184</v>
      </c>
      <c r="B633" s="145" t="s">
        <v>587</v>
      </c>
      <c r="C633" s="145" t="s">
        <v>461</v>
      </c>
      <c r="D633" s="18">
        <v>4659946.24</v>
      </c>
      <c r="E633" s="95">
        <v>0.99895999120000001</v>
      </c>
      <c r="F633" s="18">
        <v>4655099.8499999996</v>
      </c>
      <c r="G633" s="18">
        <v>0.01</v>
      </c>
      <c r="H633" s="13"/>
      <c r="I633" s="13"/>
    </row>
    <row r="634" spans="1:9">
      <c r="A634" s="13" t="s">
        <v>1185</v>
      </c>
      <c r="B634" s="145" t="s">
        <v>218</v>
      </c>
      <c r="C634" s="145" t="s">
        <v>461</v>
      </c>
      <c r="D634" s="15">
        <v>10000000</v>
      </c>
      <c r="E634" s="95">
        <v>0.99482149129999997</v>
      </c>
      <c r="F634" s="18">
        <v>9948214.9100000001</v>
      </c>
      <c r="G634" s="18">
        <v>0.03</v>
      </c>
      <c r="H634" s="13"/>
      <c r="I634" s="13"/>
    </row>
    <row r="635" spans="1:9">
      <c r="A635" s="13" t="s">
        <v>1187</v>
      </c>
      <c r="B635" s="145" t="s">
        <v>450</v>
      </c>
      <c r="C635" s="145" t="s">
        <v>461</v>
      </c>
      <c r="D635" s="18">
        <v>6582395.21</v>
      </c>
      <c r="E635" s="95">
        <v>0.97750403649999995</v>
      </c>
      <c r="F635" s="18">
        <v>6434317.8899999997</v>
      </c>
      <c r="G635" s="18">
        <v>0.02</v>
      </c>
      <c r="H635" s="13"/>
      <c r="I635" s="13"/>
    </row>
    <row r="636" spans="1:9">
      <c r="A636" s="13" t="s">
        <v>1188</v>
      </c>
      <c r="B636" s="145" t="s">
        <v>794</v>
      </c>
      <c r="C636" s="145" t="s">
        <v>461</v>
      </c>
      <c r="D636" s="15">
        <v>8500000</v>
      </c>
      <c r="E636" s="95">
        <v>0.93613764249999998</v>
      </c>
      <c r="F636" s="18">
        <v>7957169.96</v>
      </c>
      <c r="G636" s="18">
        <v>0.02</v>
      </c>
      <c r="H636" s="13"/>
      <c r="I636" s="13"/>
    </row>
    <row r="637" spans="1:9">
      <c r="A637" s="13" t="s">
        <v>1189</v>
      </c>
      <c r="B637" s="145" t="s">
        <v>794</v>
      </c>
      <c r="C637" s="145" t="s">
        <v>461</v>
      </c>
      <c r="D637" s="15">
        <v>10000000</v>
      </c>
      <c r="E637" s="95">
        <v>0.93613764249999998</v>
      </c>
      <c r="F637" s="18">
        <v>9361376.4299999997</v>
      </c>
      <c r="G637" s="18">
        <v>0.02</v>
      </c>
      <c r="H637" s="13"/>
      <c r="I637" s="13"/>
    </row>
    <row r="638" spans="1:9">
      <c r="A638" s="13" t="s">
        <v>1190</v>
      </c>
      <c r="B638" s="145" t="s">
        <v>1191</v>
      </c>
      <c r="C638" s="145" t="s">
        <v>461</v>
      </c>
      <c r="D638" s="15">
        <v>8500000</v>
      </c>
      <c r="E638" s="95">
        <v>0.93541785129999999</v>
      </c>
      <c r="F638" s="18">
        <v>7951051.7400000002</v>
      </c>
      <c r="G638" s="18">
        <v>0.02</v>
      </c>
      <c r="H638" s="13"/>
      <c r="I638" s="13"/>
    </row>
    <row r="639" spans="1:9">
      <c r="A639" s="13" t="s">
        <v>1192</v>
      </c>
      <c r="B639" s="145" t="s">
        <v>1191</v>
      </c>
      <c r="C639" s="145" t="s">
        <v>461</v>
      </c>
      <c r="D639" s="15">
        <v>10000000</v>
      </c>
      <c r="E639" s="95">
        <v>0.93541785129999999</v>
      </c>
      <c r="F639" s="18">
        <v>9354178.5099999998</v>
      </c>
      <c r="G639" s="18">
        <v>0.02</v>
      </c>
      <c r="H639" s="13"/>
      <c r="I639" s="13"/>
    </row>
    <row r="640" spans="1:9">
      <c r="A640" s="13" t="s">
        <v>1193</v>
      </c>
      <c r="B640" s="145" t="s">
        <v>582</v>
      </c>
      <c r="C640" s="145" t="s">
        <v>461</v>
      </c>
      <c r="D640" s="15">
        <v>10000000</v>
      </c>
      <c r="E640" s="95">
        <v>0.93469916679999998</v>
      </c>
      <c r="F640" s="18">
        <v>9346991.6699999999</v>
      </c>
      <c r="G640" s="18">
        <v>0.02</v>
      </c>
      <c r="H640" s="13"/>
      <c r="I640" s="13"/>
    </row>
    <row r="641" spans="1:9">
      <c r="A641" s="13" t="s">
        <v>1194</v>
      </c>
      <c r="B641" s="145" t="s">
        <v>513</v>
      </c>
      <c r="C641" s="145" t="s">
        <v>461</v>
      </c>
      <c r="D641" s="15">
        <v>4000000</v>
      </c>
      <c r="E641" s="95">
        <v>0.95151210080000004</v>
      </c>
      <c r="F641" s="94">
        <v>3806048.4</v>
      </c>
      <c r="G641" s="18">
        <v>0.01</v>
      </c>
      <c r="H641" s="13"/>
      <c r="I641" s="13"/>
    </row>
    <row r="642" spans="1:9">
      <c r="A642" s="13" t="s">
        <v>1195</v>
      </c>
      <c r="B642" s="145" t="s">
        <v>943</v>
      </c>
      <c r="C642" s="145" t="s">
        <v>461</v>
      </c>
      <c r="D642" s="15">
        <v>10000000</v>
      </c>
      <c r="E642" s="95">
        <v>0.93758035419999997</v>
      </c>
      <c r="F642" s="18">
        <v>9375803.5399999991</v>
      </c>
      <c r="G642" s="18">
        <v>0.02</v>
      </c>
      <c r="H642" s="13"/>
      <c r="I642" s="13"/>
    </row>
    <row r="643" spans="1:9">
      <c r="A643" s="13" t="s">
        <v>1196</v>
      </c>
      <c r="B643" s="145" t="s">
        <v>792</v>
      </c>
      <c r="C643" s="145" t="s">
        <v>461</v>
      </c>
      <c r="D643" s="15">
        <v>10000000</v>
      </c>
      <c r="E643" s="95">
        <v>0.91639471569999997</v>
      </c>
      <c r="F643" s="18">
        <v>9163947.1600000001</v>
      </c>
      <c r="G643" s="18">
        <v>0.02</v>
      </c>
      <c r="H643" s="13"/>
      <c r="I643" s="13"/>
    </row>
    <row r="644" spans="1:9">
      <c r="A644" s="13" t="s">
        <v>1197</v>
      </c>
      <c r="B644" s="145" t="s">
        <v>549</v>
      </c>
      <c r="C644" s="145" t="s">
        <v>461</v>
      </c>
      <c r="D644" s="15">
        <v>10000000</v>
      </c>
      <c r="E644" s="95">
        <v>0.96128525740000004</v>
      </c>
      <c r="F644" s="18">
        <v>9612852.5700000003</v>
      </c>
      <c r="G644" s="18">
        <v>0.03</v>
      </c>
      <c r="H644" s="13"/>
      <c r="I644" s="13"/>
    </row>
    <row r="645" spans="1:9">
      <c r="A645" s="13" t="s">
        <v>1198</v>
      </c>
      <c r="B645" s="145" t="s">
        <v>402</v>
      </c>
      <c r="C645" s="145" t="s">
        <v>461</v>
      </c>
      <c r="D645" s="18">
        <v>2022434.47</v>
      </c>
      <c r="E645" s="95">
        <v>0.98582045750000002</v>
      </c>
      <c r="F645" s="18">
        <v>1993757.27</v>
      </c>
      <c r="G645" s="18">
        <v>0.01</v>
      </c>
      <c r="H645" s="13"/>
      <c r="I645" s="13"/>
    </row>
    <row r="646" spans="1:9">
      <c r="A646" s="13" t="s">
        <v>1199</v>
      </c>
      <c r="B646" s="145" t="s">
        <v>530</v>
      </c>
      <c r="C646" s="145" t="s">
        <v>461</v>
      </c>
      <c r="D646" s="18">
        <v>1085774.81</v>
      </c>
      <c r="E646" s="95">
        <v>0.98675325530000002</v>
      </c>
      <c r="F646" s="18">
        <v>1071391.83</v>
      </c>
      <c r="G646" s="15">
        <v>0</v>
      </c>
      <c r="H646" s="13"/>
      <c r="I646" s="13"/>
    </row>
    <row r="647" spans="1:9">
      <c r="A647" s="13" t="s">
        <v>1200</v>
      </c>
      <c r="B647" s="145" t="s">
        <v>513</v>
      </c>
      <c r="C647" s="145" t="s">
        <v>461</v>
      </c>
      <c r="D647" s="15">
        <v>5000000</v>
      </c>
      <c r="E647" s="95">
        <v>0.95151210850000001</v>
      </c>
      <c r="F647" s="18">
        <v>4757560.54</v>
      </c>
      <c r="G647" s="18">
        <v>0.01</v>
      </c>
      <c r="H647" s="13"/>
      <c r="I647" s="13"/>
    </row>
    <row r="648" spans="1:9">
      <c r="A648" s="13" t="s">
        <v>1201</v>
      </c>
      <c r="B648" s="145" t="s">
        <v>1003</v>
      </c>
      <c r="C648" s="145" t="s">
        <v>461</v>
      </c>
      <c r="D648" s="15">
        <v>5000000</v>
      </c>
      <c r="E648" s="95">
        <v>0.93112263709999998</v>
      </c>
      <c r="F648" s="18">
        <v>4655613.1900000004</v>
      </c>
      <c r="G648" s="18">
        <v>0.01</v>
      </c>
      <c r="H648" s="13"/>
      <c r="I648" s="13"/>
    </row>
    <row r="649" spans="1:9">
      <c r="A649" s="13" t="s">
        <v>1202</v>
      </c>
      <c r="B649" s="145" t="s">
        <v>518</v>
      </c>
      <c r="C649" s="145" t="s">
        <v>461</v>
      </c>
      <c r="D649" s="15">
        <v>5000000</v>
      </c>
      <c r="E649" s="95">
        <v>0.92686649070000005</v>
      </c>
      <c r="F649" s="18">
        <v>4634332.45</v>
      </c>
      <c r="G649" s="18">
        <v>0.01</v>
      </c>
      <c r="H649" s="13"/>
      <c r="I649" s="13"/>
    </row>
    <row r="650" spans="1:9">
      <c r="A650" s="13" t="s">
        <v>1203</v>
      </c>
      <c r="B650" s="145" t="s">
        <v>1204</v>
      </c>
      <c r="C650" s="145" t="s">
        <v>461</v>
      </c>
      <c r="D650" s="15">
        <v>5000000</v>
      </c>
      <c r="E650" s="95">
        <v>0.91777736740000004</v>
      </c>
      <c r="F650" s="18">
        <v>4588886.84</v>
      </c>
      <c r="G650" s="18">
        <v>0.01</v>
      </c>
      <c r="H650" s="13"/>
      <c r="I650" s="13"/>
    </row>
    <row r="651" spans="1:9">
      <c r="A651" s="13" t="s">
        <v>1205</v>
      </c>
      <c r="B651" s="145" t="s">
        <v>1206</v>
      </c>
      <c r="C651" s="145" t="s">
        <v>461</v>
      </c>
      <c r="D651" s="15">
        <v>7900000</v>
      </c>
      <c r="E651" s="95">
        <v>0.86125538980000005</v>
      </c>
      <c r="F651" s="18">
        <v>6803917.5800000001</v>
      </c>
      <c r="G651" s="18">
        <v>0.02</v>
      </c>
      <c r="H651" s="13"/>
      <c r="I651" s="13"/>
    </row>
    <row r="652" spans="1:9">
      <c r="A652" s="13" t="s">
        <v>1207</v>
      </c>
      <c r="B652" s="145" t="s">
        <v>1206</v>
      </c>
      <c r="C652" s="145" t="s">
        <v>461</v>
      </c>
      <c r="D652" s="15">
        <v>7203888</v>
      </c>
      <c r="E652" s="95">
        <v>0.86125539279999996</v>
      </c>
      <c r="F652" s="18">
        <v>6204387.3899999997</v>
      </c>
      <c r="G652" s="18">
        <v>0.02</v>
      </c>
      <c r="H652" s="13"/>
      <c r="I652" s="13"/>
    </row>
    <row r="653" spans="1:9">
      <c r="A653" s="13" t="s">
        <v>1208</v>
      </c>
      <c r="B653" s="145" t="s">
        <v>1209</v>
      </c>
      <c r="C653" s="145" t="s">
        <v>461</v>
      </c>
      <c r="D653" s="15">
        <v>7203888</v>
      </c>
      <c r="E653" s="95">
        <v>0.86370093749999999</v>
      </c>
      <c r="F653" s="18">
        <v>6222004.8200000003</v>
      </c>
      <c r="G653" s="18">
        <v>0.02</v>
      </c>
      <c r="H653" s="13"/>
      <c r="I653" s="13"/>
    </row>
    <row r="654" spans="1:9">
      <c r="A654" s="13" t="s">
        <v>1210</v>
      </c>
      <c r="B654" s="145" t="s">
        <v>1211</v>
      </c>
      <c r="C654" s="145" t="s">
        <v>461</v>
      </c>
      <c r="D654" s="15">
        <v>7203888</v>
      </c>
      <c r="E654" s="95">
        <v>0.8620691171</v>
      </c>
      <c r="F654" s="18">
        <v>6210249.3700000001</v>
      </c>
      <c r="G654" s="18">
        <v>0.02</v>
      </c>
      <c r="H654" s="13"/>
      <c r="I654" s="13"/>
    </row>
    <row r="655" spans="1:9">
      <c r="A655" s="13" t="s">
        <v>1212</v>
      </c>
      <c r="B655" s="145" t="s">
        <v>1211</v>
      </c>
      <c r="C655" s="145" t="s">
        <v>461</v>
      </c>
      <c r="D655" s="15">
        <v>7900000</v>
      </c>
      <c r="E655" s="95">
        <v>0.8620691171</v>
      </c>
      <c r="F655" s="18">
        <v>6810346.0300000003</v>
      </c>
      <c r="G655" s="18">
        <v>0.02</v>
      </c>
      <c r="H655" s="13"/>
      <c r="I655" s="13"/>
    </row>
    <row r="656" spans="1:9">
      <c r="A656" s="13" t="s">
        <v>1252</v>
      </c>
      <c r="B656" s="145" t="s">
        <v>805</v>
      </c>
      <c r="C656" s="145" t="s">
        <v>528</v>
      </c>
      <c r="D656" s="15">
        <v>20000000</v>
      </c>
      <c r="E656" s="95">
        <v>0.95750274270000002</v>
      </c>
      <c r="F656" s="18">
        <v>19150054.850000001</v>
      </c>
      <c r="G656" s="18">
        <v>0.05</v>
      </c>
      <c r="H656" s="13"/>
      <c r="I656" s="13"/>
    </row>
    <row r="657" spans="1:9">
      <c r="A657" s="13" t="s">
        <v>1253</v>
      </c>
      <c r="B657" s="145" t="s">
        <v>224</v>
      </c>
      <c r="C657" s="145" t="s">
        <v>528</v>
      </c>
      <c r="D657" s="15">
        <v>5000000</v>
      </c>
      <c r="E657" s="95">
        <v>0.94874209139999999</v>
      </c>
      <c r="F657" s="18">
        <v>4743710.46</v>
      </c>
      <c r="G657" s="18">
        <v>0.01</v>
      </c>
      <c r="H657" s="13"/>
      <c r="I657" s="13"/>
    </row>
    <row r="658" spans="1:9">
      <c r="A658" s="13" t="s">
        <v>1254</v>
      </c>
      <c r="B658" s="145" t="s">
        <v>513</v>
      </c>
      <c r="C658" s="145" t="s">
        <v>528</v>
      </c>
      <c r="D658" s="15">
        <v>5000000</v>
      </c>
      <c r="E658" s="95">
        <v>0.95305246050000003</v>
      </c>
      <c r="F658" s="94">
        <v>4765262.3</v>
      </c>
      <c r="G658" s="18">
        <v>0.01</v>
      </c>
      <c r="H658" s="13"/>
      <c r="I658" s="13"/>
    </row>
    <row r="659" spans="1:9">
      <c r="A659" s="13" t="s">
        <v>1255</v>
      </c>
      <c r="B659" s="145" t="s">
        <v>624</v>
      </c>
      <c r="C659" s="145" t="s">
        <v>528</v>
      </c>
      <c r="D659" s="15">
        <v>5000000</v>
      </c>
      <c r="E659" s="95">
        <v>0.9480274259</v>
      </c>
      <c r="F659" s="18">
        <v>4740137.13</v>
      </c>
      <c r="G659" s="18">
        <v>0.01</v>
      </c>
      <c r="H659" s="13"/>
      <c r="I659" s="13"/>
    </row>
    <row r="660" spans="1:9">
      <c r="A660" s="13" t="s">
        <v>1256</v>
      </c>
      <c r="B660" s="145" t="s">
        <v>620</v>
      </c>
      <c r="C660" s="145" t="s">
        <v>528</v>
      </c>
      <c r="D660" s="15">
        <v>5000000</v>
      </c>
      <c r="E660" s="95">
        <v>0.94447035109999999</v>
      </c>
      <c r="F660" s="18">
        <v>4722351.76</v>
      </c>
      <c r="G660" s="18">
        <v>0.01</v>
      </c>
      <c r="H660" s="13"/>
      <c r="I660" s="13"/>
    </row>
    <row r="661" spans="1:9">
      <c r="A661" s="13" t="s">
        <v>1257</v>
      </c>
      <c r="B661" s="145" t="s">
        <v>626</v>
      </c>
      <c r="C661" s="145" t="s">
        <v>528</v>
      </c>
      <c r="D661" s="15">
        <v>5000000</v>
      </c>
      <c r="E661" s="95">
        <v>0.94376229040000004</v>
      </c>
      <c r="F661" s="18">
        <v>4718811.45</v>
      </c>
      <c r="G661" s="18">
        <v>0.01</v>
      </c>
      <c r="H661" s="13"/>
      <c r="I661" s="13"/>
    </row>
    <row r="662" spans="1:9">
      <c r="A662" s="13" t="s">
        <v>1258</v>
      </c>
      <c r="B662" s="145" t="s">
        <v>614</v>
      </c>
      <c r="C662" s="145" t="s">
        <v>528</v>
      </c>
      <c r="D662" s="15">
        <v>5000000</v>
      </c>
      <c r="E662" s="95">
        <v>0.94305509990000003</v>
      </c>
      <c r="F662" s="94">
        <v>4715275.5</v>
      </c>
      <c r="G662" s="18">
        <v>0.01</v>
      </c>
      <c r="H662" s="13"/>
      <c r="I662" s="13"/>
    </row>
    <row r="663" spans="1:9">
      <c r="A663" s="13" t="s">
        <v>1259</v>
      </c>
      <c r="B663" s="145" t="s">
        <v>413</v>
      </c>
      <c r="C663" s="145" t="s">
        <v>528</v>
      </c>
      <c r="D663" s="15">
        <v>5000000</v>
      </c>
      <c r="E663" s="96">
        <v>0.94234896700000004</v>
      </c>
      <c r="F663" s="18">
        <v>4711744.84</v>
      </c>
      <c r="G663" s="18">
        <v>0.01</v>
      </c>
      <c r="H663" s="13"/>
      <c r="I663" s="13"/>
    </row>
    <row r="664" spans="1:9">
      <c r="A664" s="13" t="s">
        <v>1260</v>
      </c>
      <c r="B664" s="145" t="s">
        <v>509</v>
      </c>
      <c r="C664" s="145" t="s">
        <v>528</v>
      </c>
      <c r="D664" s="15">
        <v>5000000</v>
      </c>
      <c r="E664" s="95">
        <v>0.94164388939999999</v>
      </c>
      <c r="F664" s="18">
        <v>4708219.45</v>
      </c>
      <c r="G664" s="18">
        <v>0.01</v>
      </c>
      <c r="H664" s="13"/>
      <c r="I664" s="13"/>
    </row>
    <row r="665" spans="1:9">
      <c r="A665" s="13" t="s">
        <v>1261</v>
      </c>
      <c r="B665" s="145" t="s">
        <v>943</v>
      </c>
      <c r="C665" s="145" t="s">
        <v>528</v>
      </c>
      <c r="D665" s="15">
        <v>5000000</v>
      </c>
      <c r="E665" s="95">
        <v>0.93953516820000005</v>
      </c>
      <c r="F665" s="18">
        <v>4697675.84</v>
      </c>
      <c r="G665" s="18">
        <v>0.01</v>
      </c>
      <c r="H665" s="13"/>
      <c r="I665" s="13"/>
    </row>
    <row r="666" spans="1:9">
      <c r="A666" s="13" t="s">
        <v>1262</v>
      </c>
      <c r="B666" s="145" t="s">
        <v>248</v>
      </c>
      <c r="C666" s="145" t="s">
        <v>528</v>
      </c>
      <c r="D666" s="15">
        <v>5000000</v>
      </c>
      <c r="E666" s="95">
        <v>0.93883449230000005</v>
      </c>
      <c r="F666" s="18">
        <v>4694172.46</v>
      </c>
      <c r="G666" s="18">
        <v>0.01</v>
      </c>
      <c r="H666" s="13"/>
      <c r="I666" s="13"/>
    </row>
    <row r="667" spans="1:9">
      <c r="A667" s="13" t="s">
        <v>1263</v>
      </c>
      <c r="B667" s="145" t="s">
        <v>501</v>
      </c>
      <c r="C667" s="145" t="s">
        <v>528</v>
      </c>
      <c r="D667" s="15">
        <v>10000000</v>
      </c>
      <c r="E667" s="95">
        <v>0.97823763429999999</v>
      </c>
      <c r="F667" s="18">
        <v>9782376.3399999999</v>
      </c>
      <c r="G667" s="18">
        <v>0.03</v>
      </c>
      <c r="H667" s="13"/>
      <c r="I667" s="13"/>
    </row>
    <row r="668" spans="1:9">
      <c r="A668" s="13" t="s">
        <v>1264</v>
      </c>
      <c r="B668" s="145" t="s">
        <v>535</v>
      </c>
      <c r="C668" s="145" t="s">
        <v>528</v>
      </c>
      <c r="D668" s="15">
        <v>10000000</v>
      </c>
      <c r="E668" s="95">
        <v>0.97897232430000003</v>
      </c>
      <c r="F668" s="18">
        <v>9789723.2400000002</v>
      </c>
      <c r="G668" s="18">
        <v>0.03</v>
      </c>
      <c r="H668" s="13"/>
      <c r="I668" s="13"/>
    </row>
    <row r="669" spans="1:9">
      <c r="A669" s="13" t="s">
        <v>1265</v>
      </c>
      <c r="B669" s="145" t="s">
        <v>515</v>
      </c>
      <c r="C669" s="145" t="s">
        <v>528</v>
      </c>
      <c r="D669" s="15">
        <v>5000000</v>
      </c>
      <c r="E669" s="95">
        <v>0.97531001910000004</v>
      </c>
      <c r="F669" s="94">
        <v>4876550.0999999996</v>
      </c>
      <c r="G669" s="18">
        <v>0.01</v>
      </c>
      <c r="H669" s="13"/>
      <c r="I669" s="13"/>
    </row>
    <row r="670" spans="1:9">
      <c r="A670" s="13" t="s">
        <v>1266</v>
      </c>
      <c r="B670" s="145" t="s">
        <v>1083</v>
      </c>
      <c r="C670" s="145" t="s">
        <v>528</v>
      </c>
      <c r="D670" s="15">
        <v>42000000</v>
      </c>
      <c r="E670" s="95">
        <v>0.91031533350000005</v>
      </c>
      <c r="F670" s="18">
        <v>38233244.009999998</v>
      </c>
      <c r="G670" s="94">
        <v>0.1</v>
      </c>
      <c r="H670" s="13"/>
      <c r="I670" s="13"/>
    </row>
    <row r="671" spans="1:9">
      <c r="A671" s="13" t="s">
        <v>1267</v>
      </c>
      <c r="B671" s="145" t="s">
        <v>511</v>
      </c>
      <c r="C671" s="145" t="s">
        <v>528</v>
      </c>
      <c r="D671" s="15">
        <v>42000000</v>
      </c>
      <c r="E671" s="95">
        <v>0.93188321370000005</v>
      </c>
      <c r="F671" s="18">
        <v>39139094.979999997</v>
      </c>
      <c r="G671" s="94">
        <v>0.1</v>
      </c>
      <c r="H671" s="13"/>
      <c r="I671" s="13"/>
    </row>
    <row r="672" spans="1:9">
      <c r="A672" s="13" t="s">
        <v>1268</v>
      </c>
      <c r="B672" s="145" t="s">
        <v>1003</v>
      </c>
      <c r="C672" s="145" t="s">
        <v>528</v>
      </c>
      <c r="D672" s="15">
        <v>80000000</v>
      </c>
      <c r="E672" s="95">
        <v>0.93326530210000003</v>
      </c>
      <c r="F672" s="18">
        <v>74661224.170000002</v>
      </c>
      <c r="G672" s="94">
        <v>0.2</v>
      </c>
      <c r="H672" s="13"/>
      <c r="I672" s="13"/>
    </row>
    <row r="673" spans="1:9">
      <c r="A673" s="13" t="s">
        <v>1269</v>
      </c>
      <c r="B673" s="145" t="s">
        <v>524</v>
      </c>
      <c r="C673" s="145" t="s">
        <v>528</v>
      </c>
      <c r="D673" s="15">
        <v>40000000</v>
      </c>
      <c r="E673" s="95">
        <v>0.97294429179999997</v>
      </c>
      <c r="F673" s="18">
        <v>38917771.670000002</v>
      </c>
      <c r="G673" s="94">
        <v>0.1</v>
      </c>
      <c r="H673" s="13"/>
      <c r="I673" s="13"/>
    </row>
    <row r="674" spans="1:9">
      <c r="A674" s="13" t="s">
        <v>1270</v>
      </c>
      <c r="B674" s="145" t="s">
        <v>504</v>
      </c>
      <c r="C674" s="145" t="s">
        <v>528</v>
      </c>
      <c r="D674" s="15">
        <v>70000000</v>
      </c>
      <c r="E674" s="95">
        <v>0.95161139110000004</v>
      </c>
      <c r="F674" s="18">
        <v>66612797.380000003</v>
      </c>
      <c r="G674" s="18">
        <v>0.18</v>
      </c>
      <c r="H674" s="13"/>
      <c r="I674" s="13"/>
    </row>
    <row r="675" spans="1:9">
      <c r="A675" s="13" t="s">
        <v>1271</v>
      </c>
      <c r="B675" s="145" t="s">
        <v>549</v>
      </c>
      <c r="C675" s="145" t="s">
        <v>528</v>
      </c>
      <c r="D675" s="15">
        <v>70000000</v>
      </c>
      <c r="E675" s="95">
        <v>0.96252735950000001</v>
      </c>
      <c r="F675" s="18">
        <v>67376915.170000002</v>
      </c>
      <c r="G675" s="18">
        <v>0.18</v>
      </c>
      <c r="H675" s="13"/>
      <c r="I675" s="13"/>
    </row>
    <row r="676" spans="1:9">
      <c r="A676" s="13" t="s">
        <v>1272</v>
      </c>
      <c r="B676" s="145" t="s">
        <v>943</v>
      </c>
      <c r="C676" s="145" t="s">
        <v>528</v>
      </c>
      <c r="D676" s="15">
        <v>80000000</v>
      </c>
      <c r="E676" s="95">
        <v>0.93953516820000005</v>
      </c>
      <c r="F676" s="18">
        <v>75162813.459999993</v>
      </c>
      <c r="G676" s="94">
        <v>0.2</v>
      </c>
      <c r="H676" s="13"/>
      <c r="I676" s="13"/>
    </row>
    <row r="677" spans="1:9">
      <c r="A677" s="13" t="s">
        <v>1273</v>
      </c>
      <c r="B677" s="145" t="s">
        <v>450</v>
      </c>
      <c r="C677" s="145" t="s">
        <v>528</v>
      </c>
      <c r="D677" s="15">
        <v>30000000</v>
      </c>
      <c r="E677" s="95">
        <v>0.98435826510000002</v>
      </c>
      <c r="F677" s="18">
        <v>29530747.949999999</v>
      </c>
      <c r="G677" s="18">
        <v>0.08</v>
      </c>
      <c r="H677" s="13"/>
      <c r="I677" s="13"/>
    </row>
    <row r="678" spans="1:9">
      <c r="A678" s="13" t="s">
        <v>1274</v>
      </c>
      <c r="B678" s="145" t="s">
        <v>466</v>
      </c>
      <c r="C678" s="145" t="s">
        <v>528</v>
      </c>
      <c r="D678" s="15">
        <v>30000000</v>
      </c>
      <c r="E678" s="96">
        <v>0.99525553899999997</v>
      </c>
      <c r="F678" s="18">
        <v>29857666.170000002</v>
      </c>
      <c r="G678" s="18">
        <v>0.08</v>
      </c>
      <c r="H678" s="13"/>
      <c r="I678" s="13"/>
    </row>
    <row r="679" spans="1:9">
      <c r="A679" s="13" t="s">
        <v>1275</v>
      </c>
      <c r="B679" s="145" t="s">
        <v>770</v>
      </c>
      <c r="C679" s="145" t="s">
        <v>528</v>
      </c>
      <c r="D679" s="15">
        <v>6000000</v>
      </c>
      <c r="E679" s="95">
        <v>0.97907729560000001</v>
      </c>
      <c r="F679" s="18">
        <v>5874463.7699999996</v>
      </c>
      <c r="G679" s="18">
        <v>0.02</v>
      </c>
      <c r="H679" s="13"/>
      <c r="I679" s="13"/>
    </row>
    <row r="680" spans="1:9">
      <c r="A680" s="13" t="s">
        <v>1276</v>
      </c>
      <c r="B680" s="145" t="s">
        <v>792</v>
      </c>
      <c r="C680" s="145" t="s">
        <v>528</v>
      </c>
      <c r="D680" s="15">
        <v>6000000</v>
      </c>
      <c r="E680" s="95">
        <v>0.91639467990000001</v>
      </c>
      <c r="F680" s="18">
        <v>5498368.0800000001</v>
      </c>
      <c r="G680" s="18">
        <v>0.01</v>
      </c>
      <c r="H680" s="13"/>
      <c r="I680" s="13"/>
    </row>
    <row r="681" spans="1:9">
      <c r="A681" s="13" t="s">
        <v>1277</v>
      </c>
      <c r="B681" s="145" t="s">
        <v>645</v>
      </c>
      <c r="C681" s="145" t="s">
        <v>528</v>
      </c>
      <c r="D681" s="15">
        <v>5000000</v>
      </c>
      <c r="E681" s="95">
        <v>0.98942811679999998</v>
      </c>
      <c r="F681" s="18">
        <v>4947140.58</v>
      </c>
      <c r="G681" s="18">
        <v>0.01</v>
      </c>
      <c r="H681" s="13"/>
      <c r="I681" s="13"/>
    </row>
    <row r="682" spans="1:9">
      <c r="A682" s="13" t="s">
        <v>1278</v>
      </c>
      <c r="B682" s="145" t="s">
        <v>1279</v>
      </c>
      <c r="C682" s="145" t="s">
        <v>528</v>
      </c>
      <c r="D682" s="15">
        <v>6000000</v>
      </c>
      <c r="E682" s="95">
        <v>0.90212560909999995</v>
      </c>
      <c r="F682" s="18">
        <v>5412753.6500000004</v>
      </c>
      <c r="G682" s="18">
        <v>0.01</v>
      </c>
      <c r="H682" s="13"/>
      <c r="I682" s="13"/>
    </row>
    <row r="683" spans="1:9">
      <c r="A683" s="13" t="s">
        <v>1280</v>
      </c>
      <c r="B683" s="145" t="s">
        <v>246</v>
      </c>
      <c r="C683" s="145" t="s">
        <v>528</v>
      </c>
      <c r="D683" s="15">
        <v>21395750</v>
      </c>
      <c r="E683" s="95">
        <v>0.90954404690000001</v>
      </c>
      <c r="F683" s="18">
        <v>19460377.039999999</v>
      </c>
      <c r="G683" s="18">
        <v>0.05</v>
      </c>
      <c r="H683" s="13"/>
      <c r="I683" s="13"/>
    </row>
    <row r="684" spans="1:9">
      <c r="A684" s="13" t="s">
        <v>1281</v>
      </c>
      <c r="B684" s="145" t="s">
        <v>246</v>
      </c>
      <c r="C684" s="145" t="s">
        <v>528</v>
      </c>
      <c r="D684" s="15">
        <v>21395750</v>
      </c>
      <c r="E684" s="95">
        <v>0.90954404690000001</v>
      </c>
      <c r="F684" s="18">
        <v>19460377.039999999</v>
      </c>
      <c r="G684" s="18">
        <v>0.05</v>
      </c>
      <c r="H684" s="13"/>
      <c r="I684" s="13"/>
    </row>
    <row r="685" spans="1:9">
      <c r="A685" s="13" t="s">
        <v>1282</v>
      </c>
      <c r="B685" s="145" t="s">
        <v>1283</v>
      </c>
      <c r="C685" s="145" t="s">
        <v>528</v>
      </c>
      <c r="D685" s="15">
        <v>21387500</v>
      </c>
      <c r="E685" s="95">
        <v>0.88693430009999996</v>
      </c>
      <c r="F685" s="18">
        <v>18969307.34</v>
      </c>
      <c r="G685" s="18">
        <v>0.05</v>
      </c>
      <c r="H685" s="13"/>
      <c r="I685" s="13"/>
    </row>
    <row r="686" spans="1:9">
      <c r="A686" s="13" t="s">
        <v>1284</v>
      </c>
      <c r="B686" s="145" t="s">
        <v>943</v>
      </c>
      <c r="C686" s="145" t="s">
        <v>528</v>
      </c>
      <c r="D686" s="15">
        <v>21395750</v>
      </c>
      <c r="E686" s="95">
        <v>0.93176427740000001</v>
      </c>
      <c r="F686" s="18">
        <v>19935795.539999999</v>
      </c>
      <c r="G686" s="18">
        <v>0.05</v>
      </c>
      <c r="H686" s="13"/>
      <c r="I686" s="13"/>
    </row>
    <row r="687" spans="1:9">
      <c r="A687" s="13" t="s">
        <v>1285</v>
      </c>
      <c r="B687" s="145" t="s">
        <v>943</v>
      </c>
      <c r="C687" s="145" t="s">
        <v>528</v>
      </c>
      <c r="D687" s="15">
        <v>21395750</v>
      </c>
      <c r="E687" s="95">
        <v>0.93176427740000001</v>
      </c>
      <c r="F687" s="18">
        <v>19935795.539999999</v>
      </c>
      <c r="G687" s="18">
        <v>0.05</v>
      </c>
      <c r="H687" s="13"/>
      <c r="I687" s="13"/>
    </row>
    <row r="688" spans="1:9">
      <c r="A688" s="13" t="s">
        <v>1286</v>
      </c>
      <c r="B688" s="145" t="s">
        <v>402</v>
      </c>
      <c r="C688" s="145" t="s">
        <v>528</v>
      </c>
      <c r="D688" s="15">
        <v>129000000</v>
      </c>
      <c r="E688" s="95">
        <v>0.98342992819999997</v>
      </c>
      <c r="F688" s="18">
        <v>126862460.73999999</v>
      </c>
      <c r="G688" s="18">
        <v>0.33</v>
      </c>
      <c r="H688" s="13"/>
      <c r="I688" s="13"/>
    </row>
    <row r="689" spans="1:9">
      <c r="A689" s="13" t="s">
        <v>1287</v>
      </c>
      <c r="B689" s="145" t="s">
        <v>507</v>
      </c>
      <c r="C689" s="145" t="s">
        <v>528</v>
      </c>
      <c r="D689" s="15">
        <v>16400000</v>
      </c>
      <c r="E689" s="96">
        <v>0.96295920700000004</v>
      </c>
      <c r="F689" s="18">
        <v>15792530.99</v>
      </c>
      <c r="G689" s="18">
        <v>0.04</v>
      </c>
      <c r="H689" s="13"/>
      <c r="I689" s="13"/>
    </row>
    <row r="690" spans="1:9">
      <c r="A690" s="13" t="s">
        <v>1288</v>
      </c>
      <c r="B690" s="145" t="s">
        <v>513</v>
      </c>
      <c r="C690" s="145" t="s">
        <v>528</v>
      </c>
      <c r="D690" s="15">
        <v>11000000</v>
      </c>
      <c r="E690" s="95">
        <v>0.94388424630000001</v>
      </c>
      <c r="F690" s="18">
        <v>10382726.710000001</v>
      </c>
      <c r="G690" s="18">
        <v>0.03</v>
      </c>
      <c r="H690" s="13"/>
      <c r="I690" s="13"/>
    </row>
    <row r="691" spans="1:9">
      <c r="A691" s="13" t="s">
        <v>1289</v>
      </c>
      <c r="B691" s="145" t="s">
        <v>805</v>
      </c>
      <c r="C691" s="145" t="s">
        <v>528</v>
      </c>
      <c r="D691" s="15">
        <v>10000000</v>
      </c>
      <c r="E691" s="96">
        <v>0.95076856700000001</v>
      </c>
      <c r="F691" s="18">
        <v>9507685.6699999999</v>
      </c>
      <c r="G691" s="18">
        <v>0.03</v>
      </c>
      <c r="H691" s="13"/>
      <c r="I691" s="13"/>
    </row>
    <row r="692" spans="1:9">
      <c r="A692" s="13" t="s">
        <v>1290</v>
      </c>
      <c r="B692" s="145" t="s">
        <v>770</v>
      </c>
      <c r="C692" s="145" t="s">
        <v>528</v>
      </c>
      <c r="D692" s="15">
        <v>10000000</v>
      </c>
      <c r="E692" s="95">
        <v>0.97567500679999997</v>
      </c>
      <c r="F692" s="18">
        <v>9756750.0700000003</v>
      </c>
      <c r="G692" s="18">
        <v>0.03</v>
      </c>
      <c r="H692" s="13"/>
      <c r="I692" s="13"/>
    </row>
    <row r="693" spans="1:9">
      <c r="A693" s="13" t="s">
        <v>1291</v>
      </c>
      <c r="B693" s="145" t="s">
        <v>226</v>
      </c>
      <c r="C693" s="145" t="s">
        <v>528</v>
      </c>
      <c r="D693" s="15">
        <v>10000000</v>
      </c>
      <c r="E693" s="95">
        <v>0.96842666020000001</v>
      </c>
      <c r="F693" s="94">
        <v>9684266.5999999996</v>
      </c>
      <c r="G693" s="18">
        <v>0.03</v>
      </c>
      <c r="H693" s="13"/>
      <c r="I693" s="13"/>
    </row>
    <row r="694" spans="1:9">
      <c r="A694" s="13" t="s">
        <v>1292</v>
      </c>
      <c r="B694" s="145" t="s">
        <v>218</v>
      </c>
      <c r="C694" s="145" t="s">
        <v>528</v>
      </c>
      <c r="D694" s="15">
        <v>10000000</v>
      </c>
      <c r="E694" s="95">
        <v>0.99522836059999997</v>
      </c>
      <c r="F694" s="18">
        <v>9952283.6099999994</v>
      </c>
      <c r="G694" s="18">
        <v>0.03</v>
      </c>
      <c r="H694" s="13"/>
      <c r="I694" s="13"/>
    </row>
    <row r="695" spans="1:9">
      <c r="A695" s="13" t="s">
        <v>1293</v>
      </c>
      <c r="B695" s="145" t="s">
        <v>456</v>
      </c>
      <c r="C695" s="145" t="s">
        <v>528</v>
      </c>
      <c r="D695" s="15">
        <v>10000000</v>
      </c>
      <c r="E695" s="95">
        <v>0.96306078049999999</v>
      </c>
      <c r="F695" s="18">
        <v>9630607.8100000005</v>
      </c>
      <c r="G695" s="18">
        <v>0.03</v>
      </c>
      <c r="H695" s="13"/>
      <c r="I695" s="13"/>
    </row>
    <row r="696" spans="1:9">
      <c r="A696" s="13" t="s">
        <v>1294</v>
      </c>
      <c r="B696" s="145" t="s">
        <v>645</v>
      </c>
      <c r="C696" s="145" t="s">
        <v>528</v>
      </c>
      <c r="D696" s="15">
        <v>10000000</v>
      </c>
      <c r="E696" s="95">
        <v>0.98768783120000003</v>
      </c>
      <c r="F696" s="18">
        <v>9876878.3100000005</v>
      </c>
      <c r="G696" s="18">
        <v>0.03</v>
      </c>
      <c r="H696" s="13"/>
      <c r="I696" s="13"/>
    </row>
    <row r="697" spans="1:9">
      <c r="A697" s="13" t="s">
        <v>1295</v>
      </c>
      <c r="B697" s="145" t="s">
        <v>230</v>
      </c>
      <c r="C697" s="145" t="s">
        <v>528</v>
      </c>
      <c r="D697" s="15">
        <v>10000000</v>
      </c>
      <c r="E697" s="95">
        <v>0.98210685559999999</v>
      </c>
      <c r="F697" s="18">
        <v>9821068.5600000005</v>
      </c>
      <c r="G697" s="18">
        <v>0.03</v>
      </c>
      <c r="H697" s="13"/>
      <c r="I697" s="13"/>
    </row>
    <row r="698" spans="1:9">
      <c r="A698" s="13" t="s">
        <v>1296</v>
      </c>
      <c r="B698" s="145" t="s">
        <v>228</v>
      </c>
      <c r="C698" s="145" t="s">
        <v>528</v>
      </c>
      <c r="D698" s="15">
        <v>10000000</v>
      </c>
      <c r="E698" s="95">
        <v>0.95687519860000003</v>
      </c>
      <c r="F698" s="18">
        <v>9568751.9900000002</v>
      </c>
      <c r="G698" s="18">
        <v>0.03</v>
      </c>
      <c r="H698" s="13"/>
      <c r="I698" s="13"/>
    </row>
    <row r="699" spans="1:9">
      <c r="A699" s="13" t="s">
        <v>1297</v>
      </c>
      <c r="B699" s="145" t="s">
        <v>745</v>
      </c>
      <c r="C699" s="145" t="s">
        <v>528</v>
      </c>
      <c r="D699" s="15">
        <v>14133915</v>
      </c>
      <c r="E699" s="95">
        <v>0.96739998059999999</v>
      </c>
      <c r="F699" s="94">
        <v>13673149.1</v>
      </c>
      <c r="G699" s="18">
        <v>0.04</v>
      </c>
      <c r="H699" s="13"/>
      <c r="I699" s="13"/>
    </row>
    <row r="700" spans="1:9">
      <c r="A700" s="13" t="s">
        <v>1298</v>
      </c>
      <c r="B700" s="145" t="s">
        <v>607</v>
      </c>
      <c r="C700" s="145" t="s">
        <v>528</v>
      </c>
      <c r="D700" s="15">
        <v>17111099</v>
      </c>
      <c r="E700" s="95">
        <v>0.96586410060000005</v>
      </c>
      <c r="F700" s="18">
        <v>16526996.25</v>
      </c>
      <c r="G700" s="18">
        <v>0.04</v>
      </c>
      <c r="H700" s="13"/>
      <c r="I700" s="13"/>
    </row>
    <row r="701" spans="1:9">
      <c r="A701" s="13" t="s">
        <v>1299</v>
      </c>
      <c r="B701" s="145" t="s">
        <v>513</v>
      </c>
      <c r="C701" s="145" t="s">
        <v>528</v>
      </c>
      <c r="D701" s="15">
        <v>17129876</v>
      </c>
      <c r="E701" s="95">
        <v>0.95151207780000002</v>
      </c>
      <c r="F701" s="18">
        <v>16299283.91</v>
      </c>
      <c r="G701" s="18">
        <v>0.04</v>
      </c>
      <c r="H701" s="13"/>
      <c r="I701" s="13"/>
    </row>
    <row r="702" spans="1:9">
      <c r="A702" s="13" t="s">
        <v>1300</v>
      </c>
      <c r="B702" s="145" t="s">
        <v>524</v>
      </c>
      <c r="C702" s="145" t="s">
        <v>528</v>
      </c>
      <c r="D702" s="15">
        <v>17302222</v>
      </c>
      <c r="E702" s="95">
        <v>0.97203742410000005</v>
      </c>
      <c r="F702" s="94">
        <v>16818407.300000001</v>
      </c>
      <c r="G702" s="18">
        <v>0.04</v>
      </c>
      <c r="H702" s="13"/>
      <c r="I702" s="13"/>
    </row>
    <row r="703" spans="1:9">
      <c r="A703" s="13" t="s">
        <v>1301</v>
      </c>
      <c r="B703" s="145" t="s">
        <v>720</v>
      </c>
      <c r="C703" s="145" t="s">
        <v>528</v>
      </c>
      <c r="D703" s="15">
        <v>17224555</v>
      </c>
      <c r="E703" s="95">
        <v>0.97126140409999995</v>
      </c>
      <c r="F703" s="18">
        <v>16729545.470000001</v>
      </c>
      <c r="G703" s="18">
        <v>0.04</v>
      </c>
      <c r="H703" s="13"/>
      <c r="I703" s="13"/>
    </row>
    <row r="704" spans="1:9">
      <c r="A704" s="13" t="s">
        <v>1302</v>
      </c>
      <c r="B704" s="145" t="s">
        <v>456</v>
      </c>
      <c r="C704" s="145" t="s">
        <v>528</v>
      </c>
      <c r="D704" s="15">
        <v>17098333</v>
      </c>
      <c r="E704" s="95">
        <v>0.96816984350000002</v>
      </c>
      <c r="F704" s="18">
        <v>16554090.380000001</v>
      </c>
      <c r="G704" s="18">
        <v>0.04</v>
      </c>
      <c r="H704" s="13"/>
      <c r="I704" s="13"/>
    </row>
    <row r="705" spans="1:9">
      <c r="A705" s="13" t="s">
        <v>1303</v>
      </c>
      <c r="B705" s="145" t="s">
        <v>513</v>
      </c>
      <c r="C705" s="145" t="s">
        <v>528</v>
      </c>
      <c r="D705" s="15">
        <v>50000000</v>
      </c>
      <c r="E705" s="95">
        <v>0.94692065540000003</v>
      </c>
      <c r="F705" s="18">
        <v>47346032.770000003</v>
      </c>
      <c r="G705" s="18">
        <v>0.12</v>
      </c>
      <c r="H705" s="13"/>
      <c r="I705" s="13"/>
    </row>
    <row r="706" spans="1:9">
      <c r="A706" s="13" t="s">
        <v>1304</v>
      </c>
      <c r="B706" s="145" t="s">
        <v>634</v>
      </c>
      <c r="C706" s="145" t="s">
        <v>528</v>
      </c>
      <c r="D706" s="15">
        <v>50000000</v>
      </c>
      <c r="E706" s="95">
        <v>0.96341674379999998</v>
      </c>
      <c r="F706" s="18">
        <v>48170837.189999998</v>
      </c>
      <c r="G706" s="18">
        <v>0.13</v>
      </c>
      <c r="H706" s="13"/>
      <c r="I706" s="13"/>
    </row>
    <row r="707" spans="1:9">
      <c r="A707" s="13" t="s">
        <v>1305</v>
      </c>
      <c r="B707" s="145" t="s">
        <v>745</v>
      </c>
      <c r="C707" s="145" t="s">
        <v>528</v>
      </c>
      <c r="D707" s="15">
        <v>17348580</v>
      </c>
      <c r="E707" s="95">
        <v>0.96739998059999999</v>
      </c>
      <c r="F707" s="18">
        <v>16783015.960000001</v>
      </c>
      <c r="G707" s="18">
        <v>0.04</v>
      </c>
      <c r="H707" s="13"/>
      <c r="I707" s="13"/>
    </row>
    <row r="708" spans="1:9">
      <c r="A708" s="13" t="s">
        <v>1306</v>
      </c>
      <c r="B708" s="145" t="s">
        <v>634</v>
      </c>
      <c r="C708" s="145" t="s">
        <v>528</v>
      </c>
      <c r="D708" s="15">
        <v>13421110</v>
      </c>
      <c r="E708" s="95">
        <v>0.96663151940000003</v>
      </c>
      <c r="F708" s="18">
        <v>12973267.949999999</v>
      </c>
      <c r="G708" s="18">
        <v>0.03</v>
      </c>
      <c r="H708" s="13"/>
      <c r="I708" s="13"/>
    </row>
    <row r="709" spans="1:9">
      <c r="A709" s="13" t="s">
        <v>1307</v>
      </c>
      <c r="B709" s="145" t="s">
        <v>656</v>
      </c>
      <c r="C709" s="145" t="s">
        <v>528</v>
      </c>
      <c r="D709" s="15">
        <v>17352660</v>
      </c>
      <c r="E709" s="95">
        <v>0.96356931560000003</v>
      </c>
      <c r="F709" s="18">
        <v>16720490.720000001</v>
      </c>
      <c r="G709" s="18">
        <v>0.04</v>
      </c>
      <c r="H709" s="13"/>
      <c r="I709" s="13"/>
    </row>
    <row r="710" spans="1:9">
      <c r="A710" s="13" t="s">
        <v>1308</v>
      </c>
      <c r="B710" s="145" t="s">
        <v>224</v>
      </c>
      <c r="C710" s="145" t="s">
        <v>528</v>
      </c>
      <c r="D710" s="15">
        <v>10000000</v>
      </c>
      <c r="E710" s="95">
        <v>0.93878619050000001</v>
      </c>
      <c r="F710" s="18">
        <v>9387861.9100000001</v>
      </c>
      <c r="G710" s="18">
        <v>0.02</v>
      </c>
      <c r="H710" s="13"/>
      <c r="I710" s="13"/>
    </row>
    <row r="711" spans="1:9">
      <c r="A711" s="13" t="s">
        <v>1309</v>
      </c>
      <c r="B711" s="145" t="s">
        <v>645</v>
      </c>
      <c r="C711" s="145" t="s">
        <v>528</v>
      </c>
      <c r="D711" s="15">
        <v>10000000</v>
      </c>
      <c r="E711" s="95">
        <v>0.98768783120000003</v>
      </c>
      <c r="F711" s="18">
        <v>9876878.3100000005</v>
      </c>
      <c r="G711" s="18">
        <v>0.03</v>
      </c>
      <c r="H711" s="13"/>
      <c r="I711" s="13"/>
    </row>
    <row r="712" spans="1:9">
      <c r="A712" s="13" t="s">
        <v>1310</v>
      </c>
      <c r="B712" s="145" t="s">
        <v>228</v>
      </c>
      <c r="C712" s="145" t="s">
        <v>528</v>
      </c>
      <c r="D712" s="15">
        <v>10000000</v>
      </c>
      <c r="E712" s="95">
        <v>0.95687519860000003</v>
      </c>
      <c r="F712" s="18">
        <v>9568751.9900000002</v>
      </c>
      <c r="G712" s="18">
        <v>0.03</v>
      </c>
      <c r="H712" s="13"/>
      <c r="I712" s="13"/>
    </row>
    <row r="713" spans="1:9">
      <c r="A713" s="13" t="s">
        <v>1311</v>
      </c>
      <c r="B713" s="145" t="s">
        <v>456</v>
      </c>
      <c r="C713" s="145" t="s">
        <v>528</v>
      </c>
      <c r="D713" s="15">
        <v>10000000</v>
      </c>
      <c r="E713" s="95">
        <v>0.96306078049999999</v>
      </c>
      <c r="F713" s="18">
        <v>9630607.8100000005</v>
      </c>
      <c r="G713" s="18">
        <v>0.03</v>
      </c>
      <c r="H713" s="13"/>
      <c r="I713" s="13"/>
    </row>
    <row r="714" spans="1:9">
      <c r="A714" s="13" t="s">
        <v>1312</v>
      </c>
      <c r="B714" s="145" t="s">
        <v>805</v>
      </c>
      <c r="C714" s="145" t="s">
        <v>528</v>
      </c>
      <c r="D714" s="15">
        <v>10000000</v>
      </c>
      <c r="E714" s="96">
        <v>0.95076856700000001</v>
      </c>
      <c r="F714" s="18">
        <v>9507685.6699999999</v>
      </c>
      <c r="G714" s="18">
        <v>0.03</v>
      </c>
      <c r="H714" s="13"/>
      <c r="I714" s="13"/>
    </row>
    <row r="715" spans="1:9">
      <c r="A715" s="13" t="s">
        <v>1313</v>
      </c>
      <c r="B715" s="145" t="s">
        <v>218</v>
      </c>
      <c r="C715" s="145" t="s">
        <v>528</v>
      </c>
      <c r="D715" s="15">
        <v>10000000</v>
      </c>
      <c r="E715" s="95">
        <v>0.99522836059999997</v>
      </c>
      <c r="F715" s="18">
        <v>9952283.6099999994</v>
      </c>
      <c r="G715" s="18">
        <v>0.03</v>
      </c>
      <c r="H715" s="13"/>
      <c r="I715" s="13"/>
    </row>
    <row r="716" spans="1:9">
      <c r="A716" s="13" t="s">
        <v>1314</v>
      </c>
      <c r="B716" s="145" t="s">
        <v>745</v>
      </c>
      <c r="C716" s="145" t="s">
        <v>528</v>
      </c>
      <c r="D716" s="15">
        <v>5450000</v>
      </c>
      <c r="E716" s="96">
        <v>0.96217217499999996</v>
      </c>
      <c r="F716" s="18">
        <v>5243838.3499999996</v>
      </c>
      <c r="G716" s="18">
        <v>0.01</v>
      </c>
      <c r="H716" s="13"/>
      <c r="I716" s="13"/>
    </row>
    <row r="717" spans="1:9">
      <c r="A717" s="13" t="s">
        <v>1315</v>
      </c>
      <c r="B717" s="145" t="s">
        <v>1166</v>
      </c>
      <c r="C717" s="145" t="s">
        <v>528</v>
      </c>
      <c r="D717" s="15">
        <v>5450000</v>
      </c>
      <c r="E717" s="95">
        <v>0.9370989019</v>
      </c>
      <c r="F717" s="18">
        <v>5107189.0199999996</v>
      </c>
      <c r="G717" s="18">
        <v>0.01</v>
      </c>
      <c r="H717" s="13"/>
      <c r="I717" s="13"/>
    </row>
    <row r="718" spans="1:9">
      <c r="A718" s="13" t="s">
        <v>1316</v>
      </c>
      <c r="B718" s="145" t="s">
        <v>614</v>
      </c>
      <c r="C718" s="145" t="s">
        <v>528</v>
      </c>
      <c r="D718" s="15">
        <v>5450000</v>
      </c>
      <c r="E718" s="95">
        <v>0.93207368369999999</v>
      </c>
      <c r="F718" s="18">
        <v>5079801.58</v>
      </c>
      <c r="G718" s="18">
        <v>0.01</v>
      </c>
      <c r="H718" s="13"/>
      <c r="I718" s="13"/>
    </row>
    <row r="719" spans="1:9">
      <c r="A719" s="13" t="s">
        <v>1317</v>
      </c>
      <c r="B719" s="145" t="s">
        <v>230</v>
      </c>
      <c r="C719" s="145" t="s">
        <v>528</v>
      </c>
      <c r="D719" s="15">
        <v>5450000</v>
      </c>
      <c r="E719" s="95">
        <v>0.98210685310000001</v>
      </c>
      <c r="F719" s="18">
        <v>5352482.3499999996</v>
      </c>
      <c r="G719" s="18">
        <v>0.01</v>
      </c>
      <c r="H719" s="13"/>
      <c r="I719" s="13"/>
    </row>
    <row r="720" spans="1:9">
      <c r="A720" s="13" t="s">
        <v>1318</v>
      </c>
      <c r="B720" s="145" t="s">
        <v>1319</v>
      </c>
      <c r="C720" s="145" t="s">
        <v>528</v>
      </c>
      <c r="D720" s="15">
        <v>4250000</v>
      </c>
      <c r="E720" s="95">
        <v>0.8975779613</v>
      </c>
      <c r="F720" s="18">
        <v>3814706.34</v>
      </c>
      <c r="G720" s="18">
        <v>0.01</v>
      </c>
      <c r="H720" s="13"/>
      <c r="I720" s="13"/>
    </row>
    <row r="721" spans="1:9">
      <c r="A721" s="13" t="s">
        <v>1320</v>
      </c>
      <c r="B721" s="145" t="s">
        <v>226</v>
      </c>
      <c r="C721" s="145" t="s">
        <v>528</v>
      </c>
      <c r="D721" s="15">
        <v>5450000</v>
      </c>
      <c r="E721" s="95">
        <v>0.96842666020000001</v>
      </c>
      <c r="F721" s="94">
        <v>5277925.3</v>
      </c>
      <c r="G721" s="18">
        <v>0.01</v>
      </c>
      <c r="H721" s="13"/>
      <c r="I721" s="13"/>
    </row>
    <row r="722" spans="1:9">
      <c r="A722" s="13" t="s">
        <v>1321</v>
      </c>
      <c r="B722" s="145" t="s">
        <v>620</v>
      </c>
      <c r="C722" s="145" t="s">
        <v>528</v>
      </c>
      <c r="D722" s="15">
        <v>5450000</v>
      </c>
      <c r="E722" s="95">
        <v>0.93374268049999998</v>
      </c>
      <c r="F722" s="18">
        <v>5088897.6100000003</v>
      </c>
      <c r="G722" s="18">
        <v>0.01</v>
      </c>
      <c r="H722" s="13"/>
      <c r="I722" s="13"/>
    </row>
    <row r="723" spans="1:9">
      <c r="A723" s="13" t="s">
        <v>1322</v>
      </c>
      <c r="B723" s="145" t="s">
        <v>413</v>
      </c>
      <c r="C723" s="145" t="s">
        <v>528</v>
      </c>
      <c r="D723" s="15">
        <v>5450000</v>
      </c>
      <c r="E723" s="95">
        <v>0.93124130660000004</v>
      </c>
      <c r="F723" s="18">
        <v>5075265.12</v>
      </c>
      <c r="G723" s="18">
        <v>0.01</v>
      </c>
      <c r="H723" s="13"/>
      <c r="I723" s="13"/>
    </row>
    <row r="724" spans="1:9">
      <c r="A724" s="13" t="s">
        <v>1323</v>
      </c>
      <c r="B724" s="145" t="s">
        <v>792</v>
      </c>
      <c r="C724" s="145" t="s">
        <v>528</v>
      </c>
      <c r="D724" s="15">
        <v>19999999</v>
      </c>
      <c r="E724" s="95">
        <v>0.90380091870000001</v>
      </c>
      <c r="F724" s="18">
        <v>18076017.469999999</v>
      </c>
      <c r="G724" s="18">
        <v>0.05</v>
      </c>
      <c r="H724" s="13"/>
      <c r="I724" s="13"/>
    </row>
    <row r="725" spans="1:9">
      <c r="A725" s="13" t="s">
        <v>1324</v>
      </c>
      <c r="B725" s="145" t="s">
        <v>1191</v>
      </c>
      <c r="C725" s="145" t="s">
        <v>528</v>
      </c>
      <c r="D725" s="15">
        <v>25000000</v>
      </c>
      <c r="E725" s="96">
        <v>0.92545648599999997</v>
      </c>
      <c r="F725" s="18">
        <v>23136412.149999999</v>
      </c>
      <c r="G725" s="18">
        <v>0.06</v>
      </c>
      <c r="H725" s="13"/>
      <c r="I725" s="13"/>
    </row>
    <row r="726" spans="1:9">
      <c r="A726" s="13" t="s">
        <v>1325</v>
      </c>
      <c r="B726" s="145" t="s">
        <v>1326</v>
      </c>
      <c r="C726" s="145" t="s">
        <v>528</v>
      </c>
      <c r="D726" s="15">
        <v>25000000</v>
      </c>
      <c r="E726" s="95">
        <v>0.91974309190000003</v>
      </c>
      <c r="F726" s="94">
        <v>22993577.300000001</v>
      </c>
      <c r="G726" s="18">
        <v>0.06</v>
      </c>
      <c r="H726" s="13"/>
      <c r="I726" s="13"/>
    </row>
    <row r="727" spans="1:9">
      <c r="A727" s="13" t="s">
        <v>1327</v>
      </c>
      <c r="B727" s="145" t="s">
        <v>1091</v>
      </c>
      <c r="C727" s="145" t="s">
        <v>528</v>
      </c>
      <c r="D727" s="15">
        <v>25000000</v>
      </c>
      <c r="E727" s="96">
        <v>0.91409980899999999</v>
      </c>
      <c r="F727" s="18">
        <v>22852495.23</v>
      </c>
      <c r="G727" s="18">
        <v>0.06</v>
      </c>
      <c r="H727" s="13"/>
      <c r="I727" s="13"/>
    </row>
    <row r="728" spans="1:9">
      <c r="A728" s="13" t="s">
        <v>1328</v>
      </c>
      <c r="B728" s="145" t="s">
        <v>413</v>
      </c>
      <c r="C728" s="145" t="s">
        <v>528</v>
      </c>
      <c r="D728" s="15">
        <v>25000000</v>
      </c>
      <c r="E728" s="95">
        <v>0.93124130660000004</v>
      </c>
      <c r="F728" s="18">
        <v>23281032.670000002</v>
      </c>
      <c r="G728" s="18">
        <v>0.06</v>
      </c>
      <c r="H728" s="13"/>
      <c r="I728" s="13"/>
    </row>
    <row r="729" spans="1:9">
      <c r="A729" s="13" t="s">
        <v>1333</v>
      </c>
      <c r="B729" s="145" t="s">
        <v>626</v>
      </c>
      <c r="C729" s="145" t="s">
        <v>445</v>
      </c>
      <c r="D729" s="15">
        <v>5000000</v>
      </c>
      <c r="E729" s="95">
        <v>0.94376215129999996</v>
      </c>
      <c r="F729" s="18">
        <v>4718810.76</v>
      </c>
      <c r="G729" s="18">
        <v>0.01</v>
      </c>
      <c r="H729" s="13"/>
      <c r="I729" s="13"/>
    </row>
    <row r="730" spans="1:9">
      <c r="A730" s="13" t="s">
        <v>1334</v>
      </c>
      <c r="B730" s="145" t="s">
        <v>614</v>
      </c>
      <c r="C730" s="145" t="s">
        <v>445</v>
      </c>
      <c r="D730" s="15">
        <v>5000000</v>
      </c>
      <c r="E730" s="95">
        <v>0.94305515549999996</v>
      </c>
      <c r="F730" s="18">
        <v>4715275.78</v>
      </c>
      <c r="G730" s="18">
        <v>0.01</v>
      </c>
      <c r="H730" s="13"/>
      <c r="I730" s="13"/>
    </row>
    <row r="731" spans="1:9">
      <c r="A731" s="13" t="s">
        <v>1335</v>
      </c>
      <c r="B731" s="145" t="s">
        <v>413</v>
      </c>
      <c r="C731" s="145" t="s">
        <v>445</v>
      </c>
      <c r="D731" s="15">
        <v>5000000</v>
      </c>
      <c r="E731" s="95">
        <v>0.94234902129999998</v>
      </c>
      <c r="F731" s="18">
        <v>4711745.1100000003</v>
      </c>
      <c r="G731" s="18">
        <v>0.01</v>
      </c>
      <c r="H731" s="13"/>
      <c r="I731" s="13"/>
    </row>
    <row r="732" spans="1:9">
      <c r="A732" s="13" t="s">
        <v>1336</v>
      </c>
      <c r="B732" s="145" t="s">
        <v>509</v>
      </c>
      <c r="C732" s="145" t="s">
        <v>445</v>
      </c>
      <c r="D732" s="15">
        <v>5000000</v>
      </c>
      <c r="E732" s="95">
        <v>0.94164394429999998</v>
      </c>
      <c r="F732" s="18">
        <v>4708219.72</v>
      </c>
      <c r="G732" s="18">
        <v>0.01</v>
      </c>
      <c r="H732" s="13"/>
      <c r="I732" s="13"/>
    </row>
    <row r="733" spans="1:9">
      <c r="A733" s="13" t="s">
        <v>1337</v>
      </c>
      <c r="B733" s="145" t="s">
        <v>943</v>
      </c>
      <c r="C733" s="145" t="s">
        <v>445</v>
      </c>
      <c r="D733" s="15">
        <v>5000000</v>
      </c>
      <c r="E733" s="95">
        <v>0.93953522310000004</v>
      </c>
      <c r="F733" s="18">
        <v>4697676.12</v>
      </c>
      <c r="G733" s="18">
        <v>0.01</v>
      </c>
      <c r="H733" s="13"/>
      <c r="I733" s="13"/>
    </row>
    <row r="734" spans="1:9">
      <c r="A734" s="13" t="s">
        <v>1338</v>
      </c>
      <c r="B734" s="145" t="s">
        <v>248</v>
      </c>
      <c r="C734" s="145" t="s">
        <v>445</v>
      </c>
      <c r="D734" s="15">
        <v>5000000</v>
      </c>
      <c r="E734" s="95">
        <v>0.93883434769999996</v>
      </c>
      <c r="F734" s="18">
        <v>4694171.74</v>
      </c>
      <c r="G734" s="18">
        <v>0.01</v>
      </c>
      <c r="H734" s="13"/>
      <c r="I734" s="13"/>
    </row>
    <row r="735" spans="1:9">
      <c r="A735" s="13" t="s">
        <v>1339</v>
      </c>
      <c r="B735" s="145" t="s">
        <v>1340</v>
      </c>
      <c r="C735" s="145" t="s">
        <v>445</v>
      </c>
      <c r="D735" s="15">
        <v>25000000</v>
      </c>
      <c r="E735" s="95">
        <v>0.89990157049999997</v>
      </c>
      <c r="F735" s="18">
        <v>22497539.260000002</v>
      </c>
      <c r="G735" s="18">
        <v>0.06</v>
      </c>
      <c r="H735" s="13"/>
      <c r="I735" s="13"/>
    </row>
    <row r="736" spans="1:9">
      <c r="A736" s="13" t="s">
        <v>1341</v>
      </c>
      <c r="B736" s="145" t="s">
        <v>1117</v>
      </c>
      <c r="C736" s="145" t="s">
        <v>445</v>
      </c>
      <c r="D736" s="15">
        <v>10000000</v>
      </c>
      <c r="E736" s="96">
        <v>0.91763890400000003</v>
      </c>
      <c r="F736" s="18">
        <v>9176389.0399999991</v>
      </c>
      <c r="G736" s="18">
        <v>0.02</v>
      </c>
      <c r="H736" s="13"/>
      <c r="I736" s="13"/>
    </row>
    <row r="737" spans="1:9">
      <c r="A737" s="13" t="s">
        <v>1342</v>
      </c>
      <c r="B737" s="145" t="s">
        <v>1343</v>
      </c>
      <c r="C737" s="145" t="s">
        <v>445</v>
      </c>
      <c r="D737" s="15">
        <v>25000000</v>
      </c>
      <c r="E737" s="95">
        <v>0.89495895849999996</v>
      </c>
      <c r="F737" s="18">
        <v>22373973.960000001</v>
      </c>
      <c r="G737" s="18">
        <v>0.06</v>
      </c>
      <c r="H737" s="13"/>
      <c r="I737" s="13"/>
    </row>
    <row r="738" spans="1:9">
      <c r="A738" s="13" t="s">
        <v>1344</v>
      </c>
      <c r="B738" s="145" t="s">
        <v>1345</v>
      </c>
      <c r="C738" s="145" t="s">
        <v>445</v>
      </c>
      <c r="D738" s="15">
        <v>10000000</v>
      </c>
      <c r="E738" s="96">
        <v>0.91377929099999999</v>
      </c>
      <c r="F738" s="18">
        <v>9137792.9100000001</v>
      </c>
      <c r="G738" s="18">
        <v>0.02</v>
      </c>
      <c r="H738" s="13"/>
      <c r="I738" s="13"/>
    </row>
    <row r="739" spans="1:9">
      <c r="A739" s="13" t="s">
        <v>1346</v>
      </c>
      <c r="B739" s="145" t="s">
        <v>1077</v>
      </c>
      <c r="C739" s="145" t="s">
        <v>445</v>
      </c>
      <c r="D739" s="15">
        <v>10000000</v>
      </c>
      <c r="E739" s="95">
        <v>0.91250008839999996</v>
      </c>
      <c r="F739" s="18">
        <v>9125000.8800000008</v>
      </c>
      <c r="G739" s="18">
        <v>0.02</v>
      </c>
      <c r="H739" s="13"/>
      <c r="I739" s="13"/>
    </row>
    <row r="740" spans="1:9">
      <c r="A740" s="13" t="s">
        <v>1347</v>
      </c>
      <c r="B740" s="145" t="s">
        <v>1348</v>
      </c>
      <c r="C740" s="145" t="s">
        <v>445</v>
      </c>
      <c r="D740" s="15">
        <v>25000000</v>
      </c>
      <c r="E740" s="95">
        <v>0.89434489839999998</v>
      </c>
      <c r="F740" s="18">
        <v>22358622.460000001</v>
      </c>
      <c r="G740" s="18">
        <v>0.06</v>
      </c>
      <c r="H740" s="13"/>
      <c r="I740" s="13"/>
    </row>
    <row r="741" spans="1:9">
      <c r="A741" s="13" t="s">
        <v>1349</v>
      </c>
      <c r="B741" s="145" t="s">
        <v>1350</v>
      </c>
      <c r="C741" s="145" t="s">
        <v>445</v>
      </c>
      <c r="D741" s="15">
        <v>10000000</v>
      </c>
      <c r="E741" s="95">
        <v>0.91122446219999997</v>
      </c>
      <c r="F741" s="18">
        <v>9112244.6199999992</v>
      </c>
      <c r="G741" s="18">
        <v>0.02</v>
      </c>
      <c r="H741" s="13"/>
      <c r="I741" s="13"/>
    </row>
    <row r="742" spans="1:9">
      <c r="A742" s="13" t="s">
        <v>1351</v>
      </c>
      <c r="B742" s="145" t="s">
        <v>1352</v>
      </c>
      <c r="C742" s="145" t="s">
        <v>445</v>
      </c>
      <c r="D742" s="15">
        <v>25000000</v>
      </c>
      <c r="E742" s="95">
        <v>0.8912873885</v>
      </c>
      <c r="F742" s="18">
        <v>22282184.710000001</v>
      </c>
      <c r="G742" s="18">
        <v>0.06</v>
      </c>
      <c r="H742" s="13"/>
      <c r="I742" s="13"/>
    </row>
    <row r="743" spans="1:9">
      <c r="A743" s="13" t="s">
        <v>1353</v>
      </c>
      <c r="B743" s="145" t="s">
        <v>1354</v>
      </c>
      <c r="C743" s="145" t="s">
        <v>445</v>
      </c>
      <c r="D743" s="15">
        <v>25000000</v>
      </c>
      <c r="E743" s="95">
        <v>0.89067854660000001</v>
      </c>
      <c r="F743" s="18">
        <v>22266963.670000002</v>
      </c>
      <c r="G743" s="18">
        <v>0.06</v>
      </c>
      <c r="H743" s="13"/>
      <c r="I743" s="13"/>
    </row>
    <row r="744" spans="1:9">
      <c r="A744" s="13" t="s">
        <v>1355</v>
      </c>
      <c r="B744" s="145" t="s">
        <v>856</v>
      </c>
      <c r="C744" s="145" t="s">
        <v>445</v>
      </c>
      <c r="D744" s="15">
        <v>10000000</v>
      </c>
      <c r="E744" s="95">
        <v>0.92677238780000004</v>
      </c>
      <c r="F744" s="18">
        <v>9267723.8800000008</v>
      </c>
      <c r="G744" s="18">
        <v>0.02</v>
      </c>
      <c r="H744" s="13"/>
      <c r="I744" s="13"/>
    </row>
    <row r="745" spans="1:9">
      <c r="A745" s="13" t="s">
        <v>1356</v>
      </c>
      <c r="B745" s="145" t="s">
        <v>1279</v>
      </c>
      <c r="C745" s="145" t="s">
        <v>445</v>
      </c>
      <c r="D745" s="15">
        <v>10000000</v>
      </c>
      <c r="E745" s="95">
        <v>0.90805065669999996</v>
      </c>
      <c r="F745" s="18">
        <v>9080506.5700000003</v>
      </c>
      <c r="G745" s="18">
        <v>0.02</v>
      </c>
      <c r="H745" s="13"/>
      <c r="I745" s="13"/>
    </row>
    <row r="746" spans="1:9">
      <c r="A746" s="13" t="s">
        <v>1357</v>
      </c>
      <c r="B746" s="145" t="s">
        <v>1163</v>
      </c>
      <c r="C746" s="145" t="s">
        <v>445</v>
      </c>
      <c r="D746" s="15">
        <v>10000000</v>
      </c>
      <c r="E746" s="95">
        <v>0.9261139155</v>
      </c>
      <c r="F746" s="18">
        <v>9261139.1600000001</v>
      </c>
      <c r="G746" s="18">
        <v>0.02</v>
      </c>
      <c r="H746" s="13"/>
      <c r="I746" s="13"/>
    </row>
    <row r="747" spans="1:9">
      <c r="A747" s="13" t="s">
        <v>1358</v>
      </c>
      <c r="B747" s="145" t="s">
        <v>1359</v>
      </c>
      <c r="C747" s="145" t="s">
        <v>445</v>
      </c>
      <c r="D747" s="15">
        <v>10000000</v>
      </c>
      <c r="E747" s="95">
        <v>0.90427130889999996</v>
      </c>
      <c r="F747" s="18">
        <v>9042713.0899999999</v>
      </c>
      <c r="G747" s="18">
        <v>0.02</v>
      </c>
      <c r="H747" s="13"/>
      <c r="I747" s="13"/>
    </row>
    <row r="748" spans="1:9">
      <c r="A748" s="13" t="s">
        <v>1360</v>
      </c>
      <c r="B748" s="145" t="s">
        <v>580</v>
      </c>
      <c r="C748" s="145" t="s">
        <v>445</v>
      </c>
      <c r="D748" s="15">
        <v>10000000</v>
      </c>
      <c r="E748" s="96">
        <v>0.924799967</v>
      </c>
      <c r="F748" s="18">
        <v>9247999.6699999999</v>
      </c>
      <c r="G748" s="18">
        <v>0.02</v>
      </c>
      <c r="H748" s="13"/>
      <c r="I748" s="13"/>
    </row>
    <row r="749" spans="1:9">
      <c r="A749" s="13" t="s">
        <v>1361</v>
      </c>
      <c r="B749" s="145" t="s">
        <v>1283</v>
      </c>
      <c r="C749" s="145" t="s">
        <v>445</v>
      </c>
      <c r="D749" s="15">
        <v>15000000</v>
      </c>
      <c r="E749" s="95">
        <v>0.90239320879999996</v>
      </c>
      <c r="F749" s="18">
        <v>13535898.130000001</v>
      </c>
      <c r="G749" s="18">
        <v>0.04</v>
      </c>
      <c r="H749" s="13"/>
      <c r="I749" s="13"/>
    </row>
    <row r="750" spans="1:9">
      <c r="A750" s="13" t="s">
        <v>1362</v>
      </c>
      <c r="B750" s="145" t="s">
        <v>792</v>
      </c>
      <c r="C750" s="145" t="s">
        <v>445</v>
      </c>
      <c r="D750" s="15">
        <v>10000000</v>
      </c>
      <c r="E750" s="95">
        <v>0.92153106070000002</v>
      </c>
      <c r="F750" s="18">
        <v>9215310.6099999994</v>
      </c>
      <c r="G750" s="18">
        <v>0.02</v>
      </c>
      <c r="H750" s="13"/>
      <c r="I750" s="13"/>
    </row>
    <row r="751" spans="1:9">
      <c r="A751" s="13" t="s">
        <v>1363</v>
      </c>
      <c r="B751" s="145" t="s">
        <v>246</v>
      </c>
      <c r="C751" s="145" t="s">
        <v>445</v>
      </c>
      <c r="D751" s="15">
        <v>10000000</v>
      </c>
      <c r="E751" s="95">
        <v>0.92218303089999998</v>
      </c>
      <c r="F751" s="18">
        <v>9221830.3100000005</v>
      </c>
      <c r="G751" s="18">
        <v>0.02</v>
      </c>
      <c r="H751" s="13"/>
      <c r="I751" s="13"/>
    </row>
    <row r="752" spans="1:9">
      <c r="A752" s="13" t="s">
        <v>1364</v>
      </c>
      <c r="B752" s="145" t="s">
        <v>624</v>
      </c>
      <c r="C752" s="145" t="s">
        <v>445</v>
      </c>
      <c r="D752" s="15">
        <v>15000000</v>
      </c>
      <c r="E752" s="95">
        <v>0.94633150470000005</v>
      </c>
      <c r="F752" s="18">
        <v>14194972.57</v>
      </c>
      <c r="G752" s="18">
        <v>0.04</v>
      </c>
      <c r="H752" s="13"/>
      <c r="I752" s="13"/>
    </row>
    <row r="753" spans="1:9">
      <c r="A753" s="13" t="s">
        <v>1365</v>
      </c>
      <c r="B753" s="145" t="s">
        <v>800</v>
      </c>
      <c r="C753" s="145" t="s">
        <v>445</v>
      </c>
      <c r="D753" s="15">
        <v>10000000</v>
      </c>
      <c r="E753" s="96">
        <v>0.96362007299999997</v>
      </c>
      <c r="F753" s="18">
        <v>9636200.7300000004</v>
      </c>
      <c r="G753" s="18">
        <v>0.03</v>
      </c>
      <c r="H753" s="13"/>
      <c r="I753" s="13"/>
    </row>
    <row r="754" spans="1:9">
      <c r="A754" s="13" t="s">
        <v>1366</v>
      </c>
      <c r="B754" s="145" t="s">
        <v>634</v>
      </c>
      <c r="C754" s="145" t="s">
        <v>445</v>
      </c>
      <c r="D754" s="15">
        <v>10000000</v>
      </c>
      <c r="E754" s="95">
        <v>0.97095129660000001</v>
      </c>
      <c r="F754" s="18">
        <v>9709512.9700000007</v>
      </c>
      <c r="G754" s="18">
        <v>0.03</v>
      </c>
      <c r="H754" s="13"/>
      <c r="I754" s="13"/>
    </row>
    <row r="755" spans="1:9">
      <c r="A755" s="13" t="s">
        <v>1367</v>
      </c>
      <c r="B755" s="145" t="s">
        <v>456</v>
      </c>
      <c r="C755" s="145" t="s">
        <v>445</v>
      </c>
      <c r="D755" s="15">
        <v>10000000</v>
      </c>
      <c r="E755" s="95">
        <v>0.97229633339999999</v>
      </c>
      <c r="F755" s="18">
        <v>9722963.3300000001</v>
      </c>
      <c r="G755" s="18">
        <v>0.03</v>
      </c>
      <c r="H755" s="13"/>
      <c r="I755" s="13"/>
    </row>
    <row r="756" spans="1:9">
      <c r="A756" s="13" t="s">
        <v>1368</v>
      </c>
      <c r="B756" s="145" t="s">
        <v>656</v>
      </c>
      <c r="C756" s="145" t="s">
        <v>445</v>
      </c>
      <c r="D756" s="15">
        <v>10000000</v>
      </c>
      <c r="E756" s="95">
        <v>0.96827251110000001</v>
      </c>
      <c r="F756" s="18">
        <v>9682725.1099999994</v>
      </c>
      <c r="G756" s="18">
        <v>0.03</v>
      </c>
      <c r="H756" s="13"/>
      <c r="I756" s="13"/>
    </row>
    <row r="757" spans="1:9">
      <c r="A757" s="13" t="s">
        <v>1369</v>
      </c>
      <c r="B757" s="145" t="s">
        <v>805</v>
      </c>
      <c r="C757" s="145" t="s">
        <v>445</v>
      </c>
      <c r="D757" s="15">
        <v>10000000</v>
      </c>
      <c r="E757" s="95">
        <v>0.96295920670000001</v>
      </c>
      <c r="F757" s="18">
        <v>9629592.0700000003</v>
      </c>
      <c r="G757" s="18">
        <v>0.03</v>
      </c>
      <c r="H757" s="13"/>
      <c r="I757" s="13"/>
    </row>
    <row r="758" spans="1:9">
      <c r="A758" s="13" t="s">
        <v>1370</v>
      </c>
      <c r="B758" s="145" t="s">
        <v>607</v>
      </c>
      <c r="C758" s="145" t="s">
        <v>445</v>
      </c>
      <c r="D758" s="15">
        <v>10000000</v>
      </c>
      <c r="E758" s="95">
        <v>0.97028033140000003</v>
      </c>
      <c r="F758" s="18">
        <v>9702803.3100000005</v>
      </c>
      <c r="G758" s="18">
        <v>0.03</v>
      </c>
      <c r="H758" s="13"/>
      <c r="I758" s="13"/>
    </row>
    <row r="759" spans="1:9">
      <c r="A759" s="13" t="s">
        <v>1371</v>
      </c>
      <c r="B759" s="145" t="s">
        <v>745</v>
      </c>
      <c r="C759" s="145" t="s">
        <v>445</v>
      </c>
      <c r="D759" s="15">
        <v>10000000</v>
      </c>
      <c r="E759" s="95">
        <v>0.97162334949999996</v>
      </c>
      <c r="F759" s="94">
        <v>9716233.5</v>
      </c>
      <c r="G759" s="18">
        <v>0.03</v>
      </c>
      <c r="H759" s="13"/>
      <c r="I759" s="13"/>
    </row>
    <row r="760" spans="1:9">
      <c r="A760" s="13" t="s">
        <v>1372</v>
      </c>
      <c r="B760" s="145" t="s">
        <v>228</v>
      </c>
      <c r="C760" s="145" t="s">
        <v>445</v>
      </c>
      <c r="D760" s="15">
        <v>10000000</v>
      </c>
      <c r="E760" s="95">
        <v>0.96760524489999999</v>
      </c>
      <c r="F760" s="18">
        <v>9676052.4499999993</v>
      </c>
      <c r="G760" s="18">
        <v>0.03</v>
      </c>
      <c r="H760" s="13"/>
      <c r="I760" s="13"/>
    </row>
    <row r="761" spans="1:9">
      <c r="A761" s="13" t="s">
        <v>1373</v>
      </c>
      <c r="B761" s="145" t="s">
        <v>504</v>
      </c>
      <c r="C761" s="145" t="s">
        <v>445</v>
      </c>
      <c r="D761" s="15">
        <v>15000000</v>
      </c>
      <c r="E761" s="95">
        <v>0.95320174339999997</v>
      </c>
      <c r="F761" s="18">
        <v>14298026.15</v>
      </c>
      <c r="G761" s="18">
        <v>0.04</v>
      </c>
      <c r="H761" s="13"/>
      <c r="I761" s="13"/>
    </row>
    <row r="762" spans="1:9">
      <c r="A762" s="13" t="s">
        <v>1374</v>
      </c>
      <c r="B762" s="145" t="s">
        <v>611</v>
      </c>
      <c r="C762" s="145" t="s">
        <v>445</v>
      </c>
      <c r="D762" s="15">
        <v>15000000</v>
      </c>
      <c r="E762" s="95">
        <v>0.94834758409999997</v>
      </c>
      <c r="F762" s="18">
        <v>14225213.76</v>
      </c>
      <c r="G762" s="18">
        <v>0.04</v>
      </c>
      <c r="H762" s="13"/>
      <c r="I762" s="13"/>
    </row>
    <row r="763" spans="1:9">
      <c r="A763" s="13" t="s">
        <v>1375</v>
      </c>
      <c r="B763" s="145" t="s">
        <v>509</v>
      </c>
      <c r="C763" s="145" t="s">
        <v>445</v>
      </c>
      <c r="D763" s="15">
        <v>15000000</v>
      </c>
      <c r="E763" s="95">
        <v>0.94354261269999995</v>
      </c>
      <c r="F763" s="18">
        <v>14153139.189999999</v>
      </c>
      <c r="G763" s="18">
        <v>0.04</v>
      </c>
      <c r="H763" s="13"/>
      <c r="I763" s="13"/>
    </row>
    <row r="764" spans="1:9">
      <c r="A764" s="13" t="s">
        <v>1376</v>
      </c>
      <c r="B764" s="145" t="s">
        <v>808</v>
      </c>
      <c r="C764" s="145" t="s">
        <v>445</v>
      </c>
      <c r="D764" s="15">
        <v>15000000</v>
      </c>
      <c r="E764" s="96">
        <v>0.95529750300000005</v>
      </c>
      <c r="F764" s="18">
        <v>14329462.550000001</v>
      </c>
      <c r="G764" s="18">
        <v>0.04</v>
      </c>
      <c r="H764" s="13"/>
      <c r="I764" s="13"/>
    </row>
    <row r="765" spans="1:9">
      <c r="A765" s="13" t="s">
        <v>1377</v>
      </c>
      <c r="B765" s="145" t="s">
        <v>620</v>
      </c>
      <c r="C765" s="145" t="s">
        <v>445</v>
      </c>
      <c r="D765" s="15">
        <v>150000000</v>
      </c>
      <c r="E765" s="95">
        <v>0.94719094550000005</v>
      </c>
      <c r="F765" s="18">
        <v>142078641.83000001</v>
      </c>
      <c r="G765" s="18">
        <v>0.37</v>
      </c>
      <c r="H765" s="13"/>
      <c r="I765" s="13"/>
    </row>
    <row r="766" spans="1:9">
      <c r="A766" s="13" t="s">
        <v>1378</v>
      </c>
      <c r="B766" s="145" t="s">
        <v>626</v>
      </c>
      <c r="C766" s="145" t="s">
        <v>445</v>
      </c>
      <c r="D766" s="15">
        <v>150000000</v>
      </c>
      <c r="E766" s="95">
        <v>0.94651542470000005</v>
      </c>
      <c r="F766" s="18">
        <v>141977313.71000001</v>
      </c>
      <c r="G766" s="18">
        <v>0.37</v>
      </c>
      <c r="H766" s="13"/>
      <c r="I766" s="13"/>
    </row>
    <row r="767" spans="1:9">
      <c r="A767" s="13" t="s">
        <v>1379</v>
      </c>
      <c r="B767" s="145" t="s">
        <v>456</v>
      </c>
      <c r="C767" s="145" t="s">
        <v>445</v>
      </c>
      <c r="D767" s="15">
        <v>130000000</v>
      </c>
      <c r="E767" s="96">
        <v>0.95700070100000001</v>
      </c>
      <c r="F767" s="18">
        <v>124410091.13</v>
      </c>
      <c r="G767" s="18">
        <v>0.33</v>
      </c>
      <c r="H767" s="13"/>
      <c r="I767" s="13"/>
    </row>
    <row r="768" spans="1:9">
      <c r="A768" s="13" t="s">
        <v>1380</v>
      </c>
      <c r="B768" s="145" t="s">
        <v>770</v>
      </c>
      <c r="C768" s="145" t="s">
        <v>445</v>
      </c>
      <c r="D768" s="15">
        <v>120000000</v>
      </c>
      <c r="E768" s="95">
        <v>0.97162339470000003</v>
      </c>
      <c r="F768" s="18">
        <v>116594807.36</v>
      </c>
      <c r="G768" s="18">
        <v>0.31</v>
      </c>
      <c r="H768" s="13"/>
      <c r="I768" s="13"/>
    </row>
    <row r="769" spans="1:9">
      <c r="A769" s="13" t="s">
        <v>1381</v>
      </c>
      <c r="B769" s="145" t="s">
        <v>507</v>
      </c>
      <c r="C769" s="145" t="s">
        <v>445</v>
      </c>
      <c r="D769" s="15">
        <v>10000000</v>
      </c>
      <c r="E769" s="95">
        <v>0.97195963240000005</v>
      </c>
      <c r="F769" s="18">
        <v>9719596.3200000003</v>
      </c>
      <c r="G769" s="18">
        <v>0.03</v>
      </c>
      <c r="H769" s="13"/>
      <c r="I769" s="13"/>
    </row>
    <row r="770" spans="1:9">
      <c r="A770" s="13" t="s">
        <v>1382</v>
      </c>
      <c r="B770" s="145" t="s">
        <v>634</v>
      </c>
      <c r="C770" s="145" t="s">
        <v>445</v>
      </c>
      <c r="D770" s="15">
        <v>10000000</v>
      </c>
      <c r="E770" s="95">
        <v>0.96986770529999999</v>
      </c>
      <c r="F770" s="18">
        <v>9698677.0500000007</v>
      </c>
      <c r="G770" s="18">
        <v>0.03</v>
      </c>
      <c r="H770" s="13"/>
      <c r="I770" s="13"/>
    </row>
    <row r="771" spans="1:9">
      <c r="A771" s="13" t="s">
        <v>1383</v>
      </c>
      <c r="B771" s="145" t="s">
        <v>634</v>
      </c>
      <c r="C771" s="145" t="s">
        <v>445</v>
      </c>
      <c r="D771" s="15">
        <v>10000000</v>
      </c>
      <c r="E771" s="95">
        <v>0.96986770529999999</v>
      </c>
      <c r="F771" s="18">
        <v>9698677.0500000007</v>
      </c>
      <c r="G771" s="18">
        <v>0.03</v>
      </c>
      <c r="H771" s="13"/>
      <c r="I771" s="13"/>
    </row>
    <row r="772" spans="1:9">
      <c r="A772" s="13" t="s">
        <v>1384</v>
      </c>
      <c r="B772" s="145" t="s">
        <v>634</v>
      </c>
      <c r="C772" s="145" t="s">
        <v>445</v>
      </c>
      <c r="D772" s="15">
        <v>10000000</v>
      </c>
      <c r="E772" s="95">
        <v>0.96986770529999999</v>
      </c>
      <c r="F772" s="18">
        <v>9698677.0500000007</v>
      </c>
      <c r="G772" s="18">
        <v>0.03</v>
      </c>
      <c r="H772" s="13"/>
      <c r="I772" s="13"/>
    </row>
    <row r="773" spans="1:9">
      <c r="A773" s="13" t="s">
        <v>1385</v>
      </c>
      <c r="B773" s="145" t="s">
        <v>656</v>
      </c>
      <c r="C773" s="145" t="s">
        <v>445</v>
      </c>
      <c r="D773" s="15">
        <v>10000000</v>
      </c>
      <c r="E773" s="95">
        <v>0.96709238040000001</v>
      </c>
      <c r="F773" s="94">
        <v>9670923.8000000007</v>
      </c>
      <c r="G773" s="18">
        <v>0.03</v>
      </c>
      <c r="H773" s="13"/>
      <c r="I773" s="13"/>
    </row>
    <row r="774" spans="1:9">
      <c r="A774" s="13" t="s">
        <v>1386</v>
      </c>
      <c r="B774" s="145" t="s">
        <v>656</v>
      </c>
      <c r="C774" s="145" t="s">
        <v>445</v>
      </c>
      <c r="D774" s="15">
        <v>10000000</v>
      </c>
      <c r="E774" s="95">
        <v>0.96709238040000001</v>
      </c>
      <c r="F774" s="94">
        <v>9670923.8000000007</v>
      </c>
      <c r="G774" s="18">
        <v>0.03</v>
      </c>
      <c r="H774" s="13"/>
      <c r="I774" s="13"/>
    </row>
    <row r="775" spans="1:9">
      <c r="A775" s="13" t="s">
        <v>1387</v>
      </c>
      <c r="B775" s="145" t="s">
        <v>507</v>
      </c>
      <c r="C775" s="145" t="s">
        <v>445</v>
      </c>
      <c r="D775" s="15">
        <v>10000000</v>
      </c>
      <c r="E775" s="95">
        <v>0.97195963240000005</v>
      </c>
      <c r="F775" s="18">
        <v>9719596.3200000003</v>
      </c>
      <c r="G775" s="18">
        <v>0.03</v>
      </c>
      <c r="H775" s="13"/>
      <c r="I775" s="13"/>
    </row>
    <row r="776" spans="1:9">
      <c r="A776" s="13" t="s">
        <v>1388</v>
      </c>
      <c r="B776" s="145" t="s">
        <v>507</v>
      </c>
      <c r="C776" s="145" t="s">
        <v>445</v>
      </c>
      <c r="D776" s="15">
        <v>10000000</v>
      </c>
      <c r="E776" s="95">
        <v>0.97195963240000005</v>
      </c>
      <c r="F776" s="18">
        <v>9719596.3200000003</v>
      </c>
      <c r="G776" s="18">
        <v>0.03</v>
      </c>
      <c r="H776" s="13"/>
      <c r="I776" s="13"/>
    </row>
    <row r="777" spans="1:9">
      <c r="A777" s="13" t="s">
        <v>1393</v>
      </c>
      <c r="B777" s="145" t="s">
        <v>1394</v>
      </c>
      <c r="C777" s="145" t="s">
        <v>411</v>
      </c>
      <c r="D777" s="15">
        <v>8560000</v>
      </c>
      <c r="E777" s="95">
        <v>0.84781197340000003</v>
      </c>
      <c r="F777" s="18">
        <v>7257270.4900000002</v>
      </c>
      <c r="G777" s="18">
        <v>0.02</v>
      </c>
      <c r="H777" s="13"/>
      <c r="I777" s="13"/>
    </row>
    <row r="778" spans="1:9">
      <c r="A778" s="13" t="s">
        <v>1395</v>
      </c>
      <c r="B778" s="145" t="s">
        <v>1214</v>
      </c>
      <c r="C778" s="145" t="s">
        <v>411</v>
      </c>
      <c r="D778" s="15">
        <v>9450000</v>
      </c>
      <c r="E778" s="96">
        <v>0.84428218499999996</v>
      </c>
      <c r="F778" s="18">
        <v>7978466.6500000004</v>
      </c>
      <c r="G778" s="18">
        <v>0.02</v>
      </c>
      <c r="H778" s="13"/>
      <c r="I778" s="13"/>
    </row>
    <row r="779" spans="1:9">
      <c r="A779" s="13" t="s">
        <v>1396</v>
      </c>
      <c r="B779" s="145" t="s">
        <v>1397</v>
      </c>
      <c r="C779" s="145" t="s">
        <v>411</v>
      </c>
      <c r="D779" s="15">
        <v>9450000</v>
      </c>
      <c r="E779" s="96">
        <v>0.84357965700000004</v>
      </c>
      <c r="F779" s="18">
        <v>7971827.7599999998</v>
      </c>
      <c r="G779" s="18">
        <v>0.02</v>
      </c>
      <c r="H779" s="13"/>
      <c r="I779" s="13"/>
    </row>
    <row r="780" spans="1:9">
      <c r="A780" s="13" t="s">
        <v>1398</v>
      </c>
      <c r="B780" s="145" t="s">
        <v>1399</v>
      </c>
      <c r="C780" s="145" t="s">
        <v>411</v>
      </c>
      <c r="D780" s="15">
        <v>9450000</v>
      </c>
      <c r="E780" s="96">
        <v>0.83869497699999995</v>
      </c>
      <c r="F780" s="18">
        <v>7925667.5300000003</v>
      </c>
      <c r="G780" s="18">
        <v>0.02</v>
      </c>
      <c r="H780" s="13"/>
      <c r="I780" s="13"/>
    </row>
    <row r="781" spans="1:9">
      <c r="A781" s="13" t="s">
        <v>1400</v>
      </c>
      <c r="B781" s="145" t="s">
        <v>1401</v>
      </c>
      <c r="C781" s="145" t="s">
        <v>411</v>
      </c>
      <c r="D781" s="15">
        <v>8560000</v>
      </c>
      <c r="E781" s="95">
        <v>0.84852156960000003</v>
      </c>
      <c r="F781" s="18">
        <v>7263344.6399999997</v>
      </c>
      <c r="G781" s="18">
        <v>0.02</v>
      </c>
      <c r="H781" s="13"/>
      <c r="I781" s="13"/>
    </row>
    <row r="782" spans="1:9">
      <c r="A782" s="13" t="s">
        <v>1402</v>
      </c>
      <c r="B782" s="145" t="s">
        <v>1091</v>
      </c>
      <c r="C782" s="145" t="s">
        <v>411</v>
      </c>
      <c r="D782" s="94">
        <v>6410198.7999999998</v>
      </c>
      <c r="E782" s="95">
        <v>0.9277617051</v>
      </c>
      <c r="F782" s="18">
        <v>5947136.9699999997</v>
      </c>
      <c r="G782" s="18">
        <v>0.02</v>
      </c>
      <c r="H782" s="13"/>
      <c r="I782" s="13"/>
    </row>
    <row r="783" spans="1:9">
      <c r="A783" s="13" t="s">
        <v>1403</v>
      </c>
      <c r="B783" s="145" t="s">
        <v>1091</v>
      </c>
      <c r="C783" s="145" t="s">
        <v>411</v>
      </c>
      <c r="D783" s="18">
        <v>5184831.3600000003</v>
      </c>
      <c r="E783" s="95">
        <v>0.9277617051</v>
      </c>
      <c r="F783" s="18">
        <v>4810287.9800000004</v>
      </c>
      <c r="G783" s="18">
        <v>0.01</v>
      </c>
      <c r="H783" s="13"/>
      <c r="I783" s="13"/>
    </row>
    <row r="784" spans="1:9">
      <c r="A784" s="13" t="s">
        <v>1404</v>
      </c>
      <c r="B784" s="145" t="s">
        <v>513</v>
      </c>
      <c r="C784" s="145" t="s">
        <v>411</v>
      </c>
      <c r="D784" s="94">
        <v>788284.3</v>
      </c>
      <c r="E784" s="95">
        <v>0.95305258390000003</v>
      </c>
      <c r="F784" s="18">
        <v>751276.39</v>
      </c>
      <c r="G784" s="15">
        <v>0</v>
      </c>
      <c r="H784" s="13"/>
      <c r="I784" s="13"/>
    </row>
    <row r="785" spans="1:9">
      <c r="A785" s="13" t="s">
        <v>1405</v>
      </c>
      <c r="B785" s="145" t="s">
        <v>626</v>
      </c>
      <c r="C785" s="145" t="s">
        <v>411</v>
      </c>
      <c r="D785" s="15">
        <v>5000000</v>
      </c>
      <c r="E785" s="95">
        <v>0.94376220629999996</v>
      </c>
      <c r="F785" s="18">
        <v>4718811.03</v>
      </c>
      <c r="G785" s="18">
        <v>0.01</v>
      </c>
      <c r="H785" s="13"/>
      <c r="I785" s="13"/>
    </row>
    <row r="786" spans="1:9">
      <c r="A786" s="13" t="s">
        <v>1406</v>
      </c>
      <c r="B786" s="145" t="s">
        <v>1326</v>
      </c>
      <c r="C786" s="145" t="s">
        <v>411</v>
      </c>
      <c r="D786" s="15">
        <v>5000000</v>
      </c>
      <c r="E786" s="95">
        <v>0.93257365640000001</v>
      </c>
      <c r="F786" s="18">
        <v>4662868.28</v>
      </c>
      <c r="G786" s="18">
        <v>0.01</v>
      </c>
      <c r="H786" s="13"/>
      <c r="I786" s="13"/>
    </row>
    <row r="787" spans="1:9">
      <c r="A787" s="13" t="s">
        <v>1407</v>
      </c>
      <c r="B787" s="145" t="s">
        <v>244</v>
      </c>
      <c r="C787" s="145" t="s">
        <v>411</v>
      </c>
      <c r="D787" s="15">
        <v>5000000</v>
      </c>
      <c r="E787" s="95">
        <v>0.92844614130000003</v>
      </c>
      <c r="F787" s="18">
        <v>4642230.71</v>
      </c>
      <c r="G787" s="18">
        <v>0.01</v>
      </c>
      <c r="H787" s="13"/>
      <c r="I787" s="13"/>
    </row>
    <row r="788" spans="1:9">
      <c r="A788" s="13" t="s">
        <v>1408</v>
      </c>
      <c r="B788" s="145" t="s">
        <v>1409</v>
      </c>
      <c r="C788" s="145" t="s">
        <v>411</v>
      </c>
      <c r="D788" s="15">
        <v>50000000</v>
      </c>
      <c r="E788" s="95">
        <v>0.89746760780000001</v>
      </c>
      <c r="F788" s="18">
        <v>44873380.390000001</v>
      </c>
      <c r="G788" s="18">
        <v>0.12</v>
      </c>
      <c r="H788" s="13"/>
      <c r="I788" s="13"/>
    </row>
    <row r="789" spans="1:9">
      <c r="A789" s="13" t="s">
        <v>1410</v>
      </c>
      <c r="B789" s="145" t="s">
        <v>1340</v>
      </c>
      <c r="C789" s="145" t="s">
        <v>411</v>
      </c>
      <c r="D789" s="15">
        <v>2500000</v>
      </c>
      <c r="E789" s="95">
        <v>0.89990142569999998</v>
      </c>
      <c r="F789" s="18">
        <v>2249753.56</v>
      </c>
      <c r="G789" s="18">
        <v>0.01</v>
      </c>
      <c r="H789" s="13"/>
      <c r="I789" s="13"/>
    </row>
    <row r="790" spans="1:9">
      <c r="A790" s="13" t="s">
        <v>1411</v>
      </c>
      <c r="B790" s="145" t="s">
        <v>1211</v>
      </c>
      <c r="C790" s="145" t="s">
        <v>411</v>
      </c>
      <c r="D790" s="15">
        <v>2500000</v>
      </c>
      <c r="E790" s="95">
        <v>0.89928076960000003</v>
      </c>
      <c r="F790" s="18">
        <v>2248201.92</v>
      </c>
      <c r="G790" s="18">
        <v>0.01</v>
      </c>
      <c r="H790" s="13"/>
      <c r="I790" s="13"/>
    </row>
    <row r="791" spans="1:9">
      <c r="A791" s="13" t="s">
        <v>1412</v>
      </c>
      <c r="B791" s="145" t="s">
        <v>1413</v>
      </c>
      <c r="C791" s="145" t="s">
        <v>411</v>
      </c>
      <c r="D791" s="15">
        <v>2500000</v>
      </c>
      <c r="E791" s="95">
        <v>0.89804161309999997</v>
      </c>
      <c r="F791" s="18">
        <v>2245104.0299999998</v>
      </c>
      <c r="G791" s="18">
        <v>0.01</v>
      </c>
      <c r="H791" s="13"/>
      <c r="I791" s="13"/>
    </row>
    <row r="792" spans="1:9">
      <c r="A792" s="13" t="s">
        <v>1414</v>
      </c>
      <c r="B792" s="145" t="s">
        <v>1343</v>
      </c>
      <c r="C792" s="145" t="s">
        <v>411</v>
      </c>
      <c r="D792" s="15">
        <v>2500000</v>
      </c>
      <c r="E792" s="95">
        <v>0.89495881070000005</v>
      </c>
      <c r="F792" s="18">
        <v>2237397.0299999998</v>
      </c>
      <c r="G792" s="18">
        <v>0.01</v>
      </c>
      <c r="H792" s="13"/>
      <c r="I792" s="13"/>
    </row>
    <row r="793" spans="1:9">
      <c r="A793" s="13" t="s">
        <v>1415</v>
      </c>
      <c r="B793" s="145" t="s">
        <v>1348</v>
      </c>
      <c r="C793" s="145" t="s">
        <v>411</v>
      </c>
      <c r="D793" s="15">
        <v>2500000</v>
      </c>
      <c r="E793" s="96">
        <v>0.89434494899999994</v>
      </c>
      <c r="F793" s="18">
        <v>2235862.37</v>
      </c>
      <c r="G793" s="18">
        <v>0.01</v>
      </c>
      <c r="H793" s="13"/>
      <c r="I793" s="13"/>
    </row>
    <row r="794" spans="1:9">
      <c r="A794" s="13" t="s">
        <v>1416</v>
      </c>
      <c r="B794" s="145" t="s">
        <v>1417</v>
      </c>
      <c r="C794" s="145" t="s">
        <v>411</v>
      </c>
      <c r="D794" s="15">
        <v>2500000</v>
      </c>
      <c r="E794" s="95">
        <v>0.89007039789999998</v>
      </c>
      <c r="F794" s="18">
        <v>2225175.9900000002</v>
      </c>
      <c r="G794" s="18">
        <v>0.01</v>
      </c>
      <c r="H794" s="13"/>
      <c r="I794" s="13"/>
    </row>
    <row r="795" spans="1:9">
      <c r="A795" s="13" t="s">
        <v>1418</v>
      </c>
      <c r="B795" s="145" t="s">
        <v>1419</v>
      </c>
      <c r="C795" s="145" t="s">
        <v>411</v>
      </c>
      <c r="D795" s="15">
        <v>2500000</v>
      </c>
      <c r="E795" s="95">
        <v>0.88946302649999998</v>
      </c>
      <c r="F795" s="18">
        <v>2223657.5699999998</v>
      </c>
      <c r="G795" s="18">
        <v>0.01</v>
      </c>
      <c r="H795" s="13"/>
      <c r="I795" s="13"/>
    </row>
    <row r="796" spans="1:9">
      <c r="A796" s="13" t="s">
        <v>1420</v>
      </c>
      <c r="B796" s="145" t="s">
        <v>1421</v>
      </c>
      <c r="C796" s="145" t="s">
        <v>411</v>
      </c>
      <c r="D796" s="15">
        <v>2500000</v>
      </c>
      <c r="E796" s="95">
        <v>0.88764606040000005</v>
      </c>
      <c r="F796" s="18">
        <v>2219115.15</v>
      </c>
      <c r="G796" s="18">
        <v>0.01</v>
      </c>
      <c r="H796" s="13"/>
      <c r="I796" s="13"/>
    </row>
    <row r="797" spans="1:9">
      <c r="A797" s="13" t="s">
        <v>1422</v>
      </c>
      <c r="B797" s="145" t="s">
        <v>1423</v>
      </c>
      <c r="C797" s="145" t="s">
        <v>411</v>
      </c>
      <c r="D797" s="15">
        <v>2500000</v>
      </c>
      <c r="E797" s="95">
        <v>0.88643874889999996</v>
      </c>
      <c r="F797" s="18">
        <v>2216096.87</v>
      </c>
      <c r="G797" s="18">
        <v>0.01</v>
      </c>
      <c r="H797" s="13"/>
      <c r="I797" s="13"/>
    </row>
    <row r="798" spans="1:9">
      <c r="A798" s="13" t="s">
        <v>1424</v>
      </c>
      <c r="B798" s="145" t="s">
        <v>1425</v>
      </c>
      <c r="C798" s="145" t="s">
        <v>411</v>
      </c>
      <c r="D798" s="15">
        <v>2500000</v>
      </c>
      <c r="E798" s="95">
        <v>0.8858365144</v>
      </c>
      <c r="F798" s="18">
        <v>2214591.29</v>
      </c>
      <c r="G798" s="18">
        <v>0.01</v>
      </c>
      <c r="H798" s="13"/>
      <c r="I798" s="13"/>
    </row>
    <row r="799" spans="1:9">
      <c r="A799" s="13" t="s">
        <v>1426</v>
      </c>
      <c r="B799" s="145" t="s">
        <v>1427</v>
      </c>
      <c r="C799" s="145" t="s">
        <v>411</v>
      </c>
      <c r="D799" s="15">
        <v>2500000</v>
      </c>
      <c r="E799" s="96">
        <v>0.88343514700000003</v>
      </c>
      <c r="F799" s="18">
        <v>2208587.87</v>
      </c>
      <c r="G799" s="18">
        <v>0.01</v>
      </c>
      <c r="H799" s="13"/>
      <c r="I799" s="13"/>
    </row>
    <row r="800" spans="1:9">
      <c r="A800" s="13" t="s">
        <v>1428</v>
      </c>
      <c r="B800" s="145" t="s">
        <v>1352</v>
      </c>
      <c r="C800" s="145" t="s">
        <v>411</v>
      </c>
      <c r="D800" s="15">
        <v>2500000</v>
      </c>
      <c r="E800" s="95">
        <v>0.89128744039999996</v>
      </c>
      <c r="F800" s="94">
        <v>2228218.6</v>
      </c>
      <c r="G800" s="18">
        <v>0.01</v>
      </c>
      <c r="H800" s="13"/>
      <c r="I800" s="13"/>
    </row>
    <row r="801" spans="1:9">
      <c r="A801" s="13" t="s">
        <v>1429</v>
      </c>
      <c r="B801" s="145" t="s">
        <v>1430</v>
      </c>
      <c r="C801" s="145" t="s">
        <v>411</v>
      </c>
      <c r="D801" s="15">
        <v>2500000</v>
      </c>
      <c r="E801" s="95">
        <v>0.88704199419999996</v>
      </c>
      <c r="F801" s="18">
        <v>2217604.9900000002</v>
      </c>
      <c r="G801" s="18">
        <v>0.01</v>
      </c>
      <c r="H801" s="13"/>
      <c r="I801" s="13"/>
    </row>
    <row r="802" spans="1:9">
      <c r="A802" s="13" t="s">
        <v>1431</v>
      </c>
      <c r="B802" s="145" t="s">
        <v>1432</v>
      </c>
      <c r="C802" s="145" t="s">
        <v>411</v>
      </c>
      <c r="D802" s="15">
        <v>2500000</v>
      </c>
      <c r="E802" s="95">
        <v>0.89189730950000001</v>
      </c>
      <c r="F802" s="18">
        <v>2229743.27</v>
      </c>
      <c r="G802" s="18">
        <v>0.01</v>
      </c>
      <c r="H802" s="13"/>
      <c r="I802" s="13"/>
    </row>
    <row r="803" spans="1:9">
      <c r="A803" s="13" t="s">
        <v>1433</v>
      </c>
      <c r="B803" s="145" t="s">
        <v>524</v>
      </c>
      <c r="C803" s="145" t="s">
        <v>411</v>
      </c>
      <c r="D803" s="15">
        <v>10000000</v>
      </c>
      <c r="E803" s="95">
        <v>0.97385278330000002</v>
      </c>
      <c r="F803" s="18">
        <v>9738527.8300000001</v>
      </c>
      <c r="G803" s="18">
        <v>0.03</v>
      </c>
      <c r="H803" s="13"/>
      <c r="I803" s="13"/>
    </row>
    <row r="804" spans="1:9">
      <c r="A804" s="13" t="s">
        <v>1434</v>
      </c>
      <c r="B804" s="145" t="s">
        <v>226</v>
      </c>
      <c r="C804" s="145" t="s">
        <v>411</v>
      </c>
      <c r="D804" s="15">
        <v>10000000</v>
      </c>
      <c r="E804" s="95">
        <v>0.97458090289999999</v>
      </c>
      <c r="F804" s="18">
        <v>9745809.0299999993</v>
      </c>
      <c r="G804" s="18">
        <v>0.03</v>
      </c>
      <c r="H804" s="13"/>
      <c r="I804" s="13"/>
    </row>
    <row r="805" spans="1:9">
      <c r="A805" s="13" t="s">
        <v>1435</v>
      </c>
      <c r="B805" s="145" t="s">
        <v>515</v>
      </c>
      <c r="C805" s="145" t="s">
        <v>411</v>
      </c>
      <c r="D805" s="15">
        <v>5000000</v>
      </c>
      <c r="E805" s="95">
        <v>0.97531011030000003</v>
      </c>
      <c r="F805" s="18">
        <v>4876550.55</v>
      </c>
      <c r="G805" s="18">
        <v>0.01</v>
      </c>
      <c r="H805" s="13"/>
      <c r="I805" s="13"/>
    </row>
    <row r="806" spans="1:9">
      <c r="A806" s="13" t="s">
        <v>1436</v>
      </c>
      <c r="B806" s="145" t="s">
        <v>626</v>
      </c>
      <c r="C806" s="145" t="s">
        <v>411</v>
      </c>
      <c r="D806" s="15">
        <v>10000000</v>
      </c>
      <c r="E806" s="95">
        <v>0.94193557139999995</v>
      </c>
      <c r="F806" s="18">
        <v>9419355.7100000009</v>
      </c>
      <c r="G806" s="18">
        <v>0.02</v>
      </c>
      <c r="H806" s="13"/>
      <c r="I806" s="13"/>
    </row>
    <row r="807" spans="1:9">
      <c r="A807" s="13" t="s">
        <v>1437</v>
      </c>
      <c r="B807" s="145" t="s">
        <v>614</v>
      </c>
      <c r="C807" s="145" t="s">
        <v>411</v>
      </c>
      <c r="D807" s="15">
        <v>10000000</v>
      </c>
      <c r="E807" s="96">
        <v>0.94120683900000002</v>
      </c>
      <c r="F807" s="18">
        <v>9412068.3900000006</v>
      </c>
      <c r="G807" s="18">
        <v>0.02</v>
      </c>
      <c r="H807" s="13"/>
      <c r="I807" s="13"/>
    </row>
    <row r="808" spans="1:9">
      <c r="A808" s="13" t="s">
        <v>1438</v>
      </c>
      <c r="B808" s="145" t="s">
        <v>509</v>
      </c>
      <c r="C808" s="145" t="s">
        <v>411</v>
      </c>
      <c r="D808" s="15">
        <v>10000000</v>
      </c>
      <c r="E808" s="95">
        <v>0.93975295670000003</v>
      </c>
      <c r="F808" s="18">
        <v>9397529.5700000003</v>
      </c>
      <c r="G808" s="18">
        <v>0.02</v>
      </c>
      <c r="H808" s="13"/>
      <c r="I808" s="13"/>
    </row>
    <row r="809" spans="1:9">
      <c r="A809" s="13" t="s">
        <v>1439</v>
      </c>
      <c r="B809" s="145" t="s">
        <v>943</v>
      </c>
      <c r="C809" s="145" t="s">
        <v>411</v>
      </c>
      <c r="D809" s="15">
        <v>10000000</v>
      </c>
      <c r="E809" s="95">
        <v>0.93758043420000003</v>
      </c>
      <c r="F809" s="18">
        <v>9375804.3399999999</v>
      </c>
      <c r="G809" s="18">
        <v>0.02</v>
      </c>
      <c r="H809" s="13"/>
      <c r="I809" s="13"/>
    </row>
    <row r="810" spans="1:9">
      <c r="A810" s="13" t="s">
        <v>1440</v>
      </c>
      <c r="B810" s="145" t="s">
        <v>504</v>
      </c>
      <c r="C810" s="145" t="s">
        <v>411</v>
      </c>
      <c r="D810" s="15">
        <v>1000000</v>
      </c>
      <c r="E810" s="95">
        <v>0.95320179279999995</v>
      </c>
      <c r="F810" s="18">
        <v>953201.79</v>
      </c>
      <c r="G810" s="15">
        <v>0</v>
      </c>
      <c r="H810" s="13"/>
      <c r="I810" s="13"/>
    </row>
    <row r="811" spans="1:9">
      <c r="A811" s="13" t="s">
        <v>1441</v>
      </c>
      <c r="B811" s="145" t="s">
        <v>1442</v>
      </c>
      <c r="C811" s="145" t="s">
        <v>411</v>
      </c>
      <c r="D811" s="15">
        <v>1000000</v>
      </c>
      <c r="E811" s="95">
        <v>0.9559980038</v>
      </c>
      <c r="F811" s="15">
        <v>955998</v>
      </c>
      <c r="G811" s="15">
        <v>0</v>
      </c>
      <c r="H811" s="13"/>
      <c r="I811" s="13"/>
    </row>
    <row r="812" spans="1:9">
      <c r="A812" s="13" t="s">
        <v>1443</v>
      </c>
      <c r="B812" s="145" t="s">
        <v>402</v>
      </c>
      <c r="C812" s="145" t="s">
        <v>411</v>
      </c>
      <c r="D812" s="15">
        <v>14000000</v>
      </c>
      <c r="E812" s="95">
        <v>0.98942811779999995</v>
      </c>
      <c r="F812" s="18">
        <v>13851993.65</v>
      </c>
      <c r="G812" s="18">
        <v>0.04</v>
      </c>
      <c r="H812" s="13"/>
      <c r="I812" s="13"/>
    </row>
    <row r="813" spans="1:9">
      <c r="A813" s="13" t="s">
        <v>1444</v>
      </c>
      <c r="B813" s="145" t="s">
        <v>474</v>
      </c>
      <c r="C813" s="145" t="s">
        <v>411</v>
      </c>
      <c r="D813" s="15">
        <v>14000000</v>
      </c>
      <c r="E813" s="95">
        <v>0.96693878219999996</v>
      </c>
      <c r="F813" s="18">
        <v>13537142.949999999</v>
      </c>
      <c r="G813" s="18">
        <v>0.04</v>
      </c>
      <c r="H813" s="13"/>
      <c r="I813" s="13"/>
    </row>
    <row r="814" spans="1:9">
      <c r="A814" s="13" t="s">
        <v>1445</v>
      </c>
      <c r="B814" s="145" t="s">
        <v>1446</v>
      </c>
      <c r="C814" s="145" t="s">
        <v>411</v>
      </c>
      <c r="D814" s="15">
        <v>3000000</v>
      </c>
      <c r="E814" s="95">
        <v>0.89782069180000001</v>
      </c>
      <c r="F814" s="18">
        <v>2693462.08</v>
      </c>
      <c r="G814" s="18">
        <v>0.01</v>
      </c>
      <c r="H814" s="13"/>
      <c r="I814" s="13"/>
    </row>
    <row r="815" spans="1:9">
      <c r="A815" s="13" t="s">
        <v>1447</v>
      </c>
      <c r="B815" s="145" t="s">
        <v>1350</v>
      </c>
      <c r="C815" s="145" t="s">
        <v>411</v>
      </c>
      <c r="D815" s="15">
        <v>3000000</v>
      </c>
      <c r="E815" s="95">
        <v>0.90263871220000003</v>
      </c>
      <c r="F815" s="18">
        <v>2707916.14</v>
      </c>
      <c r="G815" s="18">
        <v>0.01</v>
      </c>
      <c r="H815" s="13"/>
      <c r="I815" s="13"/>
    </row>
    <row r="816" spans="1:9">
      <c r="A816" s="13" t="s">
        <v>1448</v>
      </c>
      <c r="B816" s="145" t="s">
        <v>1279</v>
      </c>
      <c r="C816" s="145" t="s">
        <v>411</v>
      </c>
      <c r="D816" s="15">
        <v>3000000</v>
      </c>
      <c r="E816" s="95">
        <v>0.89919214319999996</v>
      </c>
      <c r="F816" s="18">
        <v>2697576.43</v>
      </c>
      <c r="G816" s="18">
        <v>0.01</v>
      </c>
      <c r="H816" s="13"/>
      <c r="I816" s="13"/>
    </row>
    <row r="817" spans="1:9">
      <c r="A817" s="13" t="s">
        <v>1449</v>
      </c>
      <c r="B817" s="145" t="s">
        <v>609</v>
      </c>
      <c r="C817" s="145" t="s">
        <v>411</v>
      </c>
      <c r="D817" s="15">
        <v>20000000</v>
      </c>
      <c r="E817" s="95">
        <v>0.95277883370000005</v>
      </c>
      <c r="F817" s="18">
        <v>19055576.670000002</v>
      </c>
      <c r="G817" s="18">
        <v>0.05</v>
      </c>
      <c r="H817" s="13"/>
      <c r="I817" s="13"/>
    </row>
    <row r="818" spans="1:9">
      <c r="A818" s="13" t="s">
        <v>1450</v>
      </c>
      <c r="B818" s="145" t="s">
        <v>413</v>
      </c>
      <c r="C818" s="145" t="s">
        <v>411</v>
      </c>
      <c r="D818" s="15">
        <v>75000000</v>
      </c>
      <c r="E818" s="95">
        <v>0.94611074260000005</v>
      </c>
      <c r="F818" s="94">
        <v>70958305.700000003</v>
      </c>
      <c r="G818" s="18">
        <v>0.19</v>
      </c>
      <c r="H818" s="13"/>
      <c r="I818" s="13"/>
    </row>
    <row r="819" spans="1:9">
      <c r="A819" s="13" t="s">
        <v>1451</v>
      </c>
      <c r="B819" s="145" t="s">
        <v>511</v>
      </c>
      <c r="C819" s="145" t="s">
        <v>411</v>
      </c>
      <c r="D819" s="15">
        <v>75000000</v>
      </c>
      <c r="E819" s="95">
        <v>0.93628169719999998</v>
      </c>
      <c r="F819" s="18">
        <v>70221127.290000007</v>
      </c>
      <c r="G819" s="18">
        <v>0.19</v>
      </c>
      <c r="H819" s="13"/>
      <c r="I819" s="13"/>
    </row>
    <row r="820" spans="1:9">
      <c r="A820" s="13" t="s">
        <v>1452</v>
      </c>
      <c r="B820" s="145" t="s">
        <v>1453</v>
      </c>
      <c r="C820" s="145" t="s">
        <v>411</v>
      </c>
      <c r="D820" s="15">
        <v>25000000</v>
      </c>
      <c r="E820" s="95">
        <v>0.90572968840000001</v>
      </c>
      <c r="F820" s="18">
        <v>22643242.210000001</v>
      </c>
      <c r="G820" s="18">
        <v>0.06</v>
      </c>
      <c r="H820" s="13"/>
      <c r="I820" s="13"/>
    </row>
    <row r="821" spans="1:9">
      <c r="A821" s="13" t="s">
        <v>1454</v>
      </c>
      <c r="B821" s="145" t="s">
        <v>607</v>
      </c>
      <c r="C821" s="145" t="s">
        <v>411</v>
      </c>
      <c r="D821" s="15">
        <v>25000000</v>
      </c>
      <c r="E821" s="95">
        <v>0.96917238549999996</v>
      </c>
      <c r="F821" s="18">
        <v>24229309.640000001</v>
      </c>
      <c r="G821" s="18">
        <v>0.06</v>
      </c>
      <c r="H821" s="13"/>
      <c r="I821" s="13"/>
    </row>
    <row r="822" spans="1:9">
      <c r="A822" s="13" t="s">
        <v>1455</v>
      </c>
      <c r="B822" s="145" t="s">
        <v>1166</v>
      </c>
      <c r="C822" s="145" t="s">
        <v>411</v>
      </c>
      <c r="D822" s="15">
        <v>25000000</v>
      </c>
      <c r="E822" s="95">
        <v>0.9490381135</v>
      </c>
      <c r="F822" s="18">
        <v>23725952.84</v>
      </c>
      <c r="G822" s="18">
        <v>0.06</v>
      </c>
      <c r="H822" s="13"/>
      <c r="I822" s="13"/>
    </row>
    <row r="823" spans="1:9">
      <c r="A823" s="13" t="s">
        <v>1456</v>
      </c>
      <c r="B823" s="145" t="s">
        <v>1191</v>
      </c>
      <c r="C823" s="145" t="s">
        <v>411</v>
      </c>
      <c r="D823" s="15">
        <v>25000000</v>
      </c>
      <c r="E823" s="95">
        <v>0.93946276279999996</v>
      </c>
      <c r="F823" s="18">
        <v>23486569.07</v>
      </c>
      <c r="G823" s="18">
        <v>0.06</v>
      </c>
      <c r="H823" s="13"/>
      <c r="I823" s="13"/>
    </row>
    <row r="824" spans="1:9">
      <c r="A824" s="13" t="s">
        <v>1457</v>
      </c>
      <c r="B824" s="145" t="s">
        <v>597</v>
      </c>
      <c r="C824" s="145" t="s">
        <v>411</v>
      </c>
      <c r="D824" s="15">
        <v>16500000</v>
      </c>
      <c r="E824" s="95">
        <v>0.95300267319999998</v>
      </c>
      <c r="F824" s="18">
        <v>15724544.109999999</v>
      </c>
      <c r="G824" s="18">
        <v>0.04</v>
      </c>
      <c r="H824" s="13"/>
      <c r="I824" s="13"/>
    </row>
    <row r="825" spans="1:9">
      <c r="A825" s="13" t="s">
        <v>1458</v>
      </c>
      <c r="B825" s="145" t="s">
        <v>507</v>
      </c>
      <c r="C825" s="145" t="s">
        <v>411</v>
      </c>
      <c r="D825" s="15">
        <v>50000000</v>
      </c>
      <c r="E825" s="96">
        <v>0.95901215399999995</v>
      </c>
      <c r="F825" s="94">
        <v>47950607.700000003</v>
      </c>
      <c r="G825" s="18">
        <v>0.13</v>
      </c>
      <c r="H825" s="13"/>
      <c r="I825" s="13"/>
    </row>
    <row r="826" spans="1:9">
      <c r="A826" s="13" t="s">
        <v>1459</v>
      </c>
      <c r="B826" s="145" t="s">
        <v>1095</v>
      </c>
      <c r="C826" s="145" t="s">
        <v>411</v>
      </c>
      <c r="D826" s="15">
        <v>10000000</v>
      </c>
      <c r="E826" s="95">
        <v>0.9250342184</v>
      </c>
      <c r="F826" s="18">
        <v>9250342.1799999997</v>
      </c>
      <c r="G826" s="18">
        <v>0.02</v>
      </c>
      <c r="H826" s="13"/>
      <c r="I826" s="13"/>
    </row>
    <row r="827" spans="1:9">
      <c r="A827" s="13" t="s">
        <v>1460</v>
      </c>
      <c r="B827" s="145" t="s">
        <v>1163</v>
      </c>
      <c r="C827" s="145" t="s">
        <v>411</v>
      </c>
      <c r="D827" s="15">
        <v>10000000</v>
      </c>
      <c r="E827" s="95">
        <v>0.92367658269999997</v>
      </c>
      <c r="F827" s="18">
        <v>9236765.8300000001</v>
      </c>
      <c r="G827" s="18">
        <v>0.02</v>
      </c>
      <c r="H827" s="13"/>
      <c r="I827" s="13"/>
    </row>
    <row r="828" spans="1:9">
      <c r="A828" s="13" t="s">
        <v>1461</v>
      </c>
      <c r="B828" s="145" t="s">
        <v>1462</v>
      </c>
      <c r="C828" s="145" t="s">
        <v>411</v>
      </c>
      <c r="D828" s="15">
        <v>10000000</v>
      </c>
      <c r="E828" s="95">
        <v>0.92299915659999998</v>
      </c>
      <c r="F828" s="18">
        <v>9229991.5700000003</v>
      </c>
      <c r="G828" s="18">
        <v>0.02</v>
      </c>
      <c r="H828" s="13"/>
      <c r="I828" s="13"/>
    </row>
    <row r="829" spans="1:9">
      <c r="A829" s="13" t="s">
        <v>1463</v>
      </c>
      <c r="B829" s="145" t="s">
        <v>580</v>
      </c>
      <c r="C829" s="145" t="s">
        <v>411</v>
      </c>
      <c r="D829" s="15">
        <v>10000000</v>
      </c>
      <c r="E829" s="95">
        <v>0.92232292739999999</v>
      </c>
      <c r="F829" s="18">
        <v>9223229.2699999996</v>
      </c>
      <c r="G829" s="18">
        <v>0.02</v>
      </c>
      <c r="H829" s="13"/>
      <c r="I829" s="13"/>
    </row>
    <row r="830" spans="1:9">
      <c r="A830" s="13" t="s">
        <v>1464</v>
      </c>
      <c r="B830" s="145" t="s">
        <v>1204</v>
      </c>
      <c r="C830" s="145" t="s">
        <v>411</v>
      </c>
      <c r="D830" s="15">
        <v>10000000</v>
      </c>
      <c r="E830" s="95">
        <v>0.92029956140000002</v>
      </c>
      <c r="F830" s="18">
        <v>9202995.6099999994</v>
      </c>
      <c r="G830" s="18">
        <v>0.02</v>
      </c>
      <c r="H830" s="13"/>
      <c r="I830" s="13"/>
    </row>
    <row r="831" spans="1:9">
      <c r="A831" s="13" t="s">
        <v>1465</v>
      </c>
      <c r="B831" s="145" t="s">
        <v>246</v>
      </c>
      <c r="C831" s="145" t="s">
        <v>411</v>
      </c>
      <c r="D831" s="15">
        <v>10000000</v>
      </c>
      <c r="E831" s="95">
        <v>0.91962728090000001</v>
      </c>
      <c r="F831" s="18">
        <v>9196272.8100000005</v>
      </c>
      <c r="G831" s="18">
        <v>0.02</v>
      </c>
      <c r="H831" s="13"/>
      <c r="I831" s="13"/>
    </row>
    <row r="832" spans="1:9">
      <c r="A832" s="13" t="s">
        <v>1466</v>
      </c>
      <c r="B832" s="145" t="s">
        <v>856</v>
      </c>
      <c r="C832" s="145" t="s">
        <v>411</v>
      </c>
      <c r="D832" s="15">
        <v>10000000</v>
      </c>
      <c r="E832" s="95">
        <v>0.92435500530000003</v>
      </c>
      <c r="F832" s="18">
        <v>9243550.0500000007</v>
      </c>
      <c r="G832" s="18">
        <v>0.02</v>
      </c>
      <c r="H832" s="13"/>
      <c r="I832" s="13"/>
    </row>
    <row r="833" spans="1:9">
      <c r="A833" s="13" t="s">
        <v>1467</v>
      </c>
      <c r="B833" s="145" t="s">
        <v>456</v>
      </c>
      <c r="C833" s="145" t="s">
        <v>411</v>
      </c>
      <c r="D833" s="18">
        <v>3926635.97</v>
      </c>
      <c r="E833" s="95">
        <v>0.96002104259999999</v>
      </c>
      <c r="F833" s="18">
        <v>3769653.16</v>
      </c>
      <c r="G833" s="18">
        <v>0.01</v>
      </c>
      <c r="H833" s="13"/>
      <c r="I833" s="13"/>
    </row>
    <row r="834" spans="1:9">
      <c r="A834" s="13" t="s">
        <v>1468</v>
      </c>
      <c r="B834" s="145" t="s">
        <v>524</v>
      </c>
      <c r="C834" s="145" t="s">
        <v>411</v>
      </c>
      <c r="D834" s="15">
        <v>3926635</v>
      </c>
      <c r="E834" s="95">
        <v>0.9648427987</v>
      </c>
      <c r="F834" s="94">
        <v>3788585.5</v>
      </c>
      <c r="G834" s="18">
        <v>0.01</v>
      </c>
      <c r="H834" s="13"/>
      <c r="I834" s="13"/>
    </row>
    <row r="835" spans="1:9">
      <c r="A835" s="13" t="s">
        <v>1469</v>
      </c>
      <c r="B835" s="145" t="s">
        <v>597</v>
      </c>
      <c r="C835" s="145" t="s">
        <v>411</v>
      </c>
      <c r="D835" s="18">
        <v>4298084.1900000004</v>
      </c>
      <c r="E835" s="95">
        <v>0.95052089890000002</v>
      </c>
      <c r="F835" s="18">
        <v>4085418.85</v>
      </c>
      <c r="G835" s="18">
        <v>0.01</v>
      </c>
      <c r="H835" s="13"/>
      <c r="I835" s="13"/>
    </row>
    <row r="836" spans="1:9">
      <c r="A836" s="13" t="s">
        <v>1470</v>
      </c>
      <c r="B836" s="145" t="s">
        <v>614</v>
      </c>
      <c r="C836" s="145" t="s">
        <v>411</v>
      </c>
      <c r="D836" s="18">
        <v>4599318.34</v>
      </c>
      <c r="E836" s="95">
        <v>0.92667821360000002</v>
      </c>
      <c r="F836" s="94">
        <v>4262088.0999999996</v>
      </c>
      <c r="G836" s="18">
        <v>0.01</v>
      </c>
      <c r="H836" s="13"/>
      <c r="I836" s="13"/>
    </row>
    <row r="837" spans="1:9">
      <c r="A837" s="13" t="s">
        <v>1471</v>
      </c>
      <c r="B837" s="145" t="s">
        <v>246</v>
      </c>
      <c r="C837" s="145" t="s">
        <v>411</v>
      </c>
      <c r="D837" s="15">
        <v>4500000</v>
      </c>
      <c r="E837" s="95">
        <v>0.89724701780000005</v>
      </c>
      <c r="F837" s="18">
        <v>4037611.58</v>
      </c>
      <c r="G837" s="18">
        <v>0.01</v>
      </c>
      <c r="H837" s="13"/>
      <c r="I837" s="13"/>
    </row>
    <row r="838" spans="1:9">
      <c r="A838" s="13" t="s">
        <v>1472</v>
      </c>
      <c r="B838" s="145" t="s">
        <v>474</v>
      </c>
      <c r="C838" s="145" t="s">
        <v>411</v>
      </c>
      <c r="D838" s="18">
        <v>4298084.1900000004</v>
      </c>
      <c r="E838" s="96">
        <v>0.95240599400000003</v>
      </c>
      <c r="F838" s="18">
        <v>4093521.15</v>
      </c>
      <c r="G838" s="18">
        <v>0.01</v>
      </c>
      <c r="H838" s="13"/>
      <c r="I838" s="13"/>
    </row>
    <row r="839" spans="1:9">
      <c r="A839" s="13" t="s">
        <v>1473</v>
      </c>
      <c r="B839" s="145" t="s">
        <v>943</v>
      </c>
      <c r="C839" s="145" t="s">
        <v>411</v>
      </c>
      <c r="D839" s="18">
        <v>4599318.34</v>
      </c>
      <c r="E839" s="95">
        <v>0.92222972150000004</v>
      </c>
      <c r="F839" s="18">
        <v>4241628.07</v>
      </c>
      <c r="G839" s="18">
        <v>0.01</v>
      </c>
      <c r="H839" s="13"/>
      <c r="I839" s="13"/>
    </row>
    <row r="840" spans="1:9">
      <c r="A840" s="13" t="s">
        <v>1474</v>
      </c>
      <c r="B840" s="145" t="s">
        <v>794</v>
      </c>
      <c r="C840" s="145" t="s">
        <v>411</v>
      </c>
      <c r="D840" s="15">
        <v>4500000</v>
      </c>
      <c r="E840" s="95">
        <v>0.92046205790000002</v>
      </c>
      <c r="F840" s="18">
        <v>4142079.26</v>
      </c>
      <c r="G840" s="18">
        <v>0.01</v>
      </c>
      <c r="H840" s="13"/>
      <c r="I840" s="13"/>
    </row>
    <row r="841" spans="1:9">
      <c r="A841" s="13" t="s">
        <v>1475</v>
      </c>
      <c r="B841" s="145" t="s">
        <v>513</v>
      </c>
      <c r="C841" s="145" t="s">
        <v>411</v>
      </c>
      <c r="D841" s="18">
        <v>4599318.34</v>
      </c>
      <c r="E841" s="95">
        <v>0.93936611250000002</v>
      </c>
      <c r="F841" s="18">
        <v>4320443.79</v>
      </c>
      <c r="G841" s="18">
        <v>0.01</v>
      </c>
      <c r="H841" s="13"/>
      <c r="I841" s="13"/>
    </row>
    <row r="842" spans="1:9">
      <c r="A842" s="13" t="s">
        <v>1476</v>
      </c>
      <c r="B842" s="145" t="s">
        <v>524</v>
      </c>
      <c r="C842" s="145" t="s">
        <v>411</v>
      </c>
      <c r="D842" s="18">
        <v>4599318.34</v>
      </c>
      <c r="E842" s="95">
        <v>0.96484280040000003</v>
      </c>
      <c r="F842" s="18">
        <v>4437619.1900000004</v>
      </c>
      <c r="G842" s="18">
        <v>0.01</v>
      </c>
      <c r="H842" s="13"/>
      <c r="I842" s="13"/>
    </row>
    <row r="843" spans="1:9">
      <c r="A843" s="13" t="s">
        <v>1477</v>
      </c>
      <c r="B843" s="145" t="s">
        <v>1180</v>
      </c>
      <c r="C843" s="145" t="s">
        <v>411</v>
      </c>
      <c r="D843" s="15">
        <v>4500000</v>
      </c>
      <c r="E843" s="96">
        <v>0.88079159699999998</v>
      </c>
      <c r="F843" s="18">
        <v>3963562.19</v>
      </c>
      <c r="G843" s="18">
        <v>0.01</v>
      </c>
      <c r="H843" s="13"/>
      <c r="I843" s="13"/>
    </row>
    <row r="844" spans="1:9">
      <c r="A844" s="13" t="s">
        <v>1478</v>
      </c>
      <c r="B844" s="145" t="s">
        <v>1163</v>
      </c>
      <c r="C844" s="145" t="s">
        <v>411</v>
      </c>
      <c r="D844" s="15">
        <v>4500000</v>
      </c>
      <c r="E844" s="95">
        <v>0.90230408809999996</v>
      </c>
      <c r="F844" s="94">
        <v>4060368.4</v>
      </c>
      <c r="G844" s="18">
        <v>0.01</v>
      </c>
      <c r="H844" s="13"/>
      <c r="I844" s="13"/>
    </row>
    <row r="845" spans="1:9">
      <c r="A845" s="13" t="s">
        <v>1479</v>
      </c>
      <c r="B845" s="145" t="s">
        <v>805</v>
      </c>
      <c r="C845" s="145" t="s">
        <v>411</v>
      </c>
      <c r="D845" s="18">
        <v>7162509.1500000004</v>
      </c>
      <c r="E845" s="95">
        <v>0.94677323189999996</v>
      </c>
      <c r="F845" s="18">
        <v>6781271.9400000004</v>
      </c>
      <c r="G845" s="18">
        <v>0.02</v>
      </c>
      <c r="H845" s="13"/>
      <c r="I845" s="13"/>
    </row>
    <row r="846" spans="1:9">
      <c r="A846" s="13" t="s">
        <v>1480</v>
      </c>
      <c r="B846" s="145" t="s">
        <v>1117</v>
      </c>
      <c r="C846" s="145" t="s">
        <v>411</v>
      </c>
      <c r="D846" s="18">
        <v>7162509.1500000004</v>
      </c>
      <c r="E846" s="95">
        <v>0.89141819950000001</v>
      </c>
      <c r="F846" s="18">
        <v>6384791.0099999998</v>
      </c>
      <c r="G846" s="18">
        <v>0.02</v>
      </c>
      <c r="H846" s="13"/>
      <c r="I846" s="13"/>
    </row>
    <row r="847" spans="1:9">
      <c r="A847" s="13" t="s">
        <v>1481</v>
      </c>
      <c r="B847" s="145" t="s">
        <v>1352</v>
      </c>
      <c r="C847" s="145" t="s">
        <v>411</v>
      </c>
      <c r="D847" s="18">
        <v>6899161.7699999996</v>
      </c>
      <c r="E847" s="95">
        <v>0.85797575020000005</v>
      </c>
      <c r="F847" s="94">
        <v>5919313.5</v>
      </c>
      <c r="G847" s="18">
        <v>0.02</v>
      </c>
      <c r="H847" s="13"/>
      <c r="I847" s="13"/>
    </row>
    <row r="848" spans="1:9">
      <c r="A848" s="13" t="s">
        <v>1482</v>
      </c>
      <c r="B848" s="145" t="s">
        <v>549</v>
      </c>
      <c r="C848" s="145" t="s">
        <v>411</v>
      </c>
      <c r="D848" s="18">
        <v>7272516.8499999996</v>
      </c>
      <c r="E848" s="95">
        <v>0.95146251589999997</v>
      </c>
      <c r="F848" s="18">
        <v>6919527.1799999997</v>
      </c>
      <c r="G848" s="18">
        <v>0.02</v>
      </c>
      <c r="H848" s="13"/>
      <c r="I848" s="13"/>
    </row>
    <row r="849" spans="1:9">
      <c r="A849" s="13" t="s">
        <v>1483</v>
      </c>
      <c r="B849" s="145" t="s">
        <v>524</v>
      </c>
      <c r="C849" s="145" t="s">
        <v>411</v>
      </c>
      <c r="D849" s="18">
        <v>6110818.4299999997</v>
      </c>
      <c r="E849" s="95">
        <v>0.96484280219999996</v>
      </c>
      <c r="F849" s="18">
        <v>5895979.1799999997</v>
      </c>
      <c r="G849" s="18">
        <v>0.02</v>
      </c>
      <c r="H849" s="13"/>
      <c r="I849" s="13"/>
    </row>
    <row r="850" spans="1:9">
      <c r="A850" s="13" t="s">
        <v>1484</v>
      </c>
      <c r="B850" s="145" t="s">
        <v>1359</v>
      </c>
      <c r="C850" s="145" t="s">
        <v>411</v>
      </c>
      <c r="D850" s="18">
        <v>6899161.7699999996</v>
      </c>
      <c r="E850" s="95">
        <v>0.87437719650000001</v>
      </c>
      <c r="F850" s="18">
        <v>6032469.7300000004</v>
      </c>
      <c r="G850" s="18">
        <v>0.02</v>
      </c>
      <c r="H850" s="13"/>
      <c r="I850" s="13"/>
    </row>
    <row r="851" spans="1:9">
      <c r="A851" s="13" t="s">
        <v>1485</v>
      </c>
      <c r="B851" s="145" t="s">
        <v>1486</v>
      </c>
      <c r="C851" s="145" t="s">
        <v>411</v>
      </c>
      <c r="D851" s="18">
        <v>7133529.1399999997</v>
      </c>
      <c r="E851" s="95">
        <v>0.89059161440000001</v>
      </c>
      <c r="F851" s="18">
        <v>6353061.2300000004</v>
      </c>
      <c r="G851" s="18">
        <v>0.02</v>
      </c>
      <c r="H851" s="13"/>
      <c r="I851" s="13"/>
    </row>
    <row r="852" spans="1:9">
      <c r="A852" s="13" t="s">
        <v>1487</v>
      </c>
      <c r="B852" s="145" t="s">
        <v>1354</v>
      </c>
      <c r="C852" s="145" t="s">
        <v>411</v>
      </c>
      <c r="D852" s="18">
        <v>7133529.1399999997</v>
      </c>
      <c r="E852" s="95">
        <v>0.85720999320000002</v>
      </c>
      <c r="F852" s="18">
        <v>6114932.4699999997</v>
      </c>
      <c r="G852" s="18">
        <v>0.02</v>
      </c>
      <c r="H852" s="13"/>
      <c r="I852" s="13"/>
    </row>
    <row r="853" spans="1:9">
      <c r="A853" s="13" t="s">
        <v>1488</v>
      </c>
      <c r="B853" s="145" t="s">
        <v>1409</v>
      </c>
      <c r="C853" s="145" t="s">
        <v>411</v>
      </c>
      <c r="D853" s="18">
        <v>4500591.28</v>
      </c>
      <c r="E853" s="96">
        <v>0.87358214899999997</v>
      </c>
      <c r="F853" s="94">
        <v>3931636.2</v>
      </c>
      <c r="G853" s="18">
        <v>0.01</v>
      </c>
      <c r="H853" s="13"/>
      <c r="I853" s="13"/>
    </row>
    <row r="854" spans="1:9">
      <c r="A854" s="13" t="s">
        <v>1489</v>
      </c>
      <c r="B854" s="145" t="s">
        <v>1095</v>
      </c>
      <c r="C854" s="145" t="s">
        <v>411</v>
      </c>
      <c r="D854" s="18">
        <v>7865231.25</v>
      </c>
      <c r="E854" s="95">
        <v>0.90400238450000003</v>
      </c>
      <c r="F854" s="94">
        <v>7110187.7999999998</v>
      </c>
      <c r="G854" s="18">
        <v>0.02</v>
      </c>
      <c r="H854" s="13"/>
      <c r="I854" s="13"/>
    </row>
    <row r="855" spans="1:9">
      <c r="A855" s="13" t="s">
        <v>1490</v>
      </c>
      <c r="B855" s="145" t="s">
        <v>504</v>
      </c>
      <c r="C855" s="145" t="s">
        <v>411</v>
      </c>
      <c r="D855" s="15">
        <v>3500000</v>
      </c>
      <c r="E855" s="95">
        <v>0.95161130380000003</v>
      </c>
      <c r="F855" s="18">
        <v>3330639.56</v>
      </c>
      <c r="G855" s="18">
        <v>0.01</v>
      </c>
      <c r="H855" s="13"/>
      <c r="I855" s="13"/>
    </row>
    <row r="856" spans="1:9">
      <c r="A856" s="13" t="s">
        <v>1491</v>
      </c>
      <c r="B856" s="145" t="s">
        <v>624</v>
      </c>
      <c r="C856" s="145" t="s">
        <v>411</v>
      </c>
      <c r="D856" s="15">
        <v>3500000</v>
      </c>
      <c r="E856" s="95">
        <v>0.94802733589999999</v>
      </c>
      <c r="F856" s="18">
        <v>3318095.68</v>
      </c>
      <c r="G856" s="18">
        <v>0.01</v>
      </c>
      <c r="H856" s="13"/>
      <c r="I856" s="13"/>
    </row>
    <row r="857" spans="1:9">
      <c r="A857" s="13" t="s">
        <v>1492</v>
      </c>
      <c r="B857" s="145" t="s">
        <v>614</v>
      </c>
      <c r="C857" s="145" t="s">
        <v>411</v>
      </c>
      <c r="D857" s="15">
        <v>3500000</v>
      </c>
      <c r="E857" s="96">
        <v>0.943055011</v>
      </c>
      <c r="F857" s="18">
        <v>3300692.54</v>
      </c>
      <c r="G857" s="18">
        <v>0.01</v>
      </c>
      <c r="H857" s="13"/>
      <c r="I857" s="13"/>
    </row>
    <row r="858" spans="1:9">
      <c r="A858" s="13" t="s">
        <v>1493</v>
      </c>
      <c r="B858" s="145" t="s">
        <v>943</v>
      </c>
      <c r="C858" s="145" t="s">
        <v>411</v>
      </c>
      <c r="D858" s="15">
        <v>3500000</v>
      </c>
      <c r="E858" s="95">
        <v>0.93953528580000001</v>
      </c>
      <c r="F858" s="94">
        <v>3288373.5</v>
      </c>
      <c r="G858" s="18">
        <v>0.01</v>
      </c>
      <c r="H858" s="13"/>
      <c r="I858" s="13"/>
    </row>
    <row r="859" spans="1:9">
      <c r="A859" s="13" t="s">
        <v>1494</v>
      </c>
      <c r="B859" s="145" t="s">
        <v>226</v>
      </c>
      <c r="C859" s="145" t="s">
        <v>411</v>
      </c>
      <c r="D859" s="15">
        <v>100000000</v>
      </c>
      <c r="E859" s="95">
        <v>0.96842676940000005</v>
      </c>
      <c r="F859" s="18">
        <v>96842676.939999998</v>
      </c>
      <c r="G859" s="18">
        <v>0.26</v>
      </c>
      <c r="H859" s="13"/>
      <c r="I859" s="13"/>
    </row>
    <row r="860" spans="1:9">
      <c r="A860" s="13" t="s">
        <v>1495</v>
      </c>
      <c r="B860" s="145" t="s">
        <v>501</v>
      </c>
      <c r="C860" s="145" t="s">
        <v>411</v>
      </c>
      <c r="D860" s="15">
        <v>6000000</v>
      </c>
      <c r="E860" s="95">
        <v>0.97069305650000004</v>
      </c>
      <c r="F860" s="18">
        <v>5824158.3399999999</v>
      </c>
      <c r="G860" s="18">
        <v>0.02</v>
      </c>
      <c r="H860" s="13"/>
      <c r="I860" s="13"/>
    </row>
    <row r="861" spans="1:9">
      <c r="A861" s="13" t="s">
        <v>1496</v>
      </c>
      <c r="B861" s="145" t="s">
        <v>535</v>
      </c>
      <c r="C861" s="145" t="s">
        <v>411</v>
      </c>
      <c r="D861" s="15">
        <v>6000000</v>
      </c>
      <c r="E861" s="95">
        <v>0.97167507389999996</v>
      </c>
      <c r="F861" s="18">
        <v>5830050.4400000004</v>
      </c>
      <c r="G861" s="18">
        <v>0.02</v>
      </c>
      <c r="H861" s="13"/>
      <c r="I861" s="13"/>
    </row>
    <row r="862" spans="1:9">
      <c r="A862" s="13" t="s">
        <v>1497</v>
      </c>
      <c r="B862" s="145" t="s">
        <v>515</v>
      </c>
      <c r="C862" s="145" t="s">
        <v>411</v>
      </c>
      <c r="D862" s="15">
        <v>6000000</v>
      </c>
      <c r="E862" s="95">
        <v>0.96678517330000002</v>
      </c>
      <c r="F862" s="18">
        <v>5800711.04</v>
      </c>
      <c r="G862" s="18">
        <v>0.02</v>
      </c>
      <c r="H862" s="13"/>
      <c r="I862" s="13"/>
    </row>
    <row r="863" spans="1:9">
      <c r="A863" s="13" t="s">
        <v>1498</v>
      </c>
      <c r="B863" s="145" t="s">
        <v>530</v>
      </c>
      <c r="C863" s="145" t="s">
        <v>411</v>
      </c>
      <c r="D863" s="15">
        <v>4000000</v>
      </c>
      <c r="E863" s="95">
        <v>0.98563406490000005</v>
      </c>
      <c r="F863" s="18">
        <v>3942536.26</v>
      </c>
      <c r="G863" s="18">
        <v>0.01</v>
      </c>
      <c r="H863" s="13"/>
      <c r="I863" s="13"/>
    </row>
    <row r="864" spans="1:9">
      <c r="A864" s="13" t="s">
        <v>1499</v>
      </c>
      <c r="B864" s="145" t="s">
        <v>476</v>
      </c>
      <c r="C864" s="145" t="s">
        <v>411</v>
      </c>
      <c r="D864" s="15">
        <v>4000000</v>
      </c>
      <c r="E864" s="95">
        <v>0.9816049966</v>
      </c>
      <c r="F864" s="18">
        <v>3926419.99</v>
      </c>
      <c r="G864" s="18">
        <v>0.01</v>
      </c>
      <c r="H864" s="13"/>
      <c r="I864" s="13"/>
    </row>
    <row r="865" spans="1:9">
      <c r="A865" s="13" t="s">
        <v>1500</v>
      </c>
      <c r="B865" s="145" t="s">
        <v>450</v>
      </c>
      <c r="C865" s="145" t="s">
        <v>411</v>
      </c>
      <c r="D865" s="15">
        <v>3000000</v>
      </c>
      <c r="E865" s="95">
        <v>0.97960287639999999</v>
      </c>
      <c r="F865" s="18">
        <v>2938808.63</v>
      </c>
      <c r="G865" s="18">
        <v>0.01</v>
      </c>
      <c r="H865" s="13"/>
      <c r="I865" s="13"/>
    </row>
    <row r="866" spans="1:9">
      <c r="A866" s="13" t="s">
        <v>1501</v>
      </c>
      <c r="B866" s="145" t="s">
        <v>530</v>
      </c>
      <c r="C866" s="145" t="s">
        <v>411</v>
      </c>
      <c r="D866" s="15">
        <v>4000000</v>
      </c>
      <c r="E866" s="95">
        <v>0.98563406490000005</v>
      </c>
      <c r="F866" s="18">
        <v>3942536.26</v>
      </c>
      <c r="G866" s="18">
        <v>0.01</v>
      </c>
      <c r="H866" s="13"/>
      <c r="I866" s="13"/>
    </row>
    <row r="867" spans="1:9">
      <c r="A867" s="13" t="s">
        <v>1502</v>
      </c>
      <c r="B867" s="145" t="s">
        <v>543</v>
      </c>
      <c r="C867" s="145" t="s">
        <v>411</v>
      </c>
      <c r="D867" s="15">
        <v>6000000</v>
      </c>
      <c r="E867" s="95">
        <v>0.97265907119999995</v>
      </c>
      <c r="F867" s="18">
        <v>5835954.4299999997</v>
      </c>
      <c r="G867" s="18">
        <v>0.02</v>
      </c>
      <c r="H867" s="13"/>
      <c r="I867" s="13"/>
    </row>
    <row r="868" spans="1:9">
      <c r="A868" s="13" t="s">
        <v>1503</v>
      </c>
      <c r="B868" s="145" t="s">
        <v>530</v>
      </c>
      <c r="C868" s="145" t="s">
        <v>411</v>
      </c>
      <c r="D868" s="15">
        <v>4000000</v>
      </c>
      <c r="E868" s="95">
        <v>0.98563406490000005</v>
      </c>
      <c r="F868" s="18">
        <v>3942536.26</v>
      </c>
      <c r="G868" s="18">
        <v>0.01</v>
      </c>
      <c r="H868" s="13"/>
      <c r="I868" s="13"/>
    </row>
    <row r="869" spans="1:9">
      <c r="A869" s="13" t="s">
        <v>1504</v>
      </c>
      <c r="B869" s="145" t="s">
        <v>402</v>
      </c>
      <c r="C869" s="145" t="s">
        <v>411</v>
      </c>
      <c r="D869" s="15">
        <v>4000000</v>
      </c>
      <c r="E869" s="95">
        <v>0.98462381119999998</v>
      </c>
      <c r="F869" s="18">
        <v>3938495.24</v>
      </c>
      <c r="G869" s="18">
        <v>0.01</v>
      </c>
      <c r="H869" s="13"/>
      <c r="I869" s="13"/>
    </row>
    <row r="870" spans="1:9">
      <c r="A870" s="13" t="s">
        <v>1505</v>
      </c>
      <c r="B870" s="145" t="s">
        <v>230</v>
      </c>
      <c r="C870" s="145" t="s">
        <v>411</v>
      </c>
      <c r="D870" s="15">
        <v>2500000</v>
      </c>
      <c r="E870" s="95">
        <v>0.98060299939999995</v>
      </c>
      <c r="F870" s="94">
        <v>2451507.5</v>
      </c>
      <c r="G870" s="18">
        <v>0.01</v>
      </c>
      <c r="H870" s="13"/>
      <c r="I870" s="13"/>
    </row>
    <row r="871" spans="1:9">
      <c r="A871" s="13" t="s">
        <v>1506</v>
      </c>
      <c r="B871" s="145" t="s">
        <v>450</v>
      </c>
      <c r="C871" s="145" t="s">
        <v>411</v>
      </c>
      <c r="D871" s="15">
        <v>2500000</v>
      </c>
      <c r="E871" s="95">
        <v>0.97960287639999999</v>
      </c>
      <c r="F871" s="18">
        <v>2449007.19</v>
      </c>
      <c r="G871" s="18">
        <v>0.01</v>
      </c>
      <c r="H871" s="13"/>
      <c r="I871" s="13"/>
    </row>
    <row r="872" spans="1:9">
      <c r="A872" s="13" t="s">
        <v>1507</v>
      </c>
      <c r="B872" s="145" t="s">
        <v>474</v>
      </c>
      <c r="C872" s="145" t="s">
        <v>411</v>
      </c>
      <c r="D872" s="15">
        <v>50000000</v>
      </c>
      <c r="E872" s="95">
        <v>0.9524059976</v>
      </c>
      <c r="F872" s="18">
        <v>47620299.880000003</v>
      </c>
      <c r="G872" s="18">
        <v>0.13</v>
      </c>
      <c r="H872" s="13"/>
      <c r="I872" s="13"/>
    </row>
    <row r="873" spans="1:9">
      <c r="A873" s="13" t="s">
        <v>1508</v>
      </c>
      <c r="B873" s="145" t="s">
        <v>402</v>
      </c>
      <c r="C873" s="145" t="s">
        <v>411</v>
      </c>
      <c r="D873" s="15">
        <v>50000000</v>
      </c>
      <c r="E873" s="96">
        <v>0.98462381399999999</v>
      </c>
      <c r="F873" s="94">
        <v>49231190.700000003</v>
      </c>
      <c r="G873" s="18">
        <v>0.13</v>
      </c>
      <c r="H873" s="13"/>
      <c r="I873" s="13"/>
    </row>
    <row r="874" spans="1:9">
      <c r="A874" s="13" t="s">
        <v>1514</v>
      </c>
      <c r="B874" s="145" t="s">
        <v>248</v>
      </c>
      <c r="C874" s="145" t="s">
        <v>533</v>
      </c>
      <c r="D874" s="15">
        <v>40000000</v>
      </c>
      <c r="E874" s="95">
        <v>0.93685847990000004</v>
      </c>
      <c r="F874" s="94">
        <v>37474339.200000003</v>
      </c>
      <c r="G874" s="94">
        <v>0.1</v>
      </c>
      <c r="H874" s="13"/>
      <c r="I874" s="13"/>
    </row>
    <row r="875" spans="1:9">
      <c r="A875" s="13" t="s">
        <v>1515</v>
      </c>
      <c r="B875" s="145" t="s">
        <v>504</v>
      </c>
      <c r="C875" s="145" t="s">
        <v>533</v>
      </c>
      <c r="D875" s="15">
        <v>1500000</v>
      </c>
      <c r="E875" s="95">
        <v>0.94217878860000004</v>
      </c>
      <c r="F875" s="18">
        <v>1413268.18</v>
      </c>
      <c r="G875" s="15">
        <v>0</v>
      </c>
      <c r="H875" s="13"/>
      <c r="I875" s="13"/>
    </row>
    <row r="876" spans="1:9">
      <c r="A876" s="13" t="s">
        <v>1516</v>
      </c>
      <c r="B876" s="145" t="s">
        <v>1091</v>
      </c>
      <c r="C876" s="145" t="s">
        <v>533</v>
      </c>
      <c r="D876" s="15">
        <v>1500000</v>
      </c>
      <c r="E876" s="95">
        <v>0.91409977090000005</v>
      </c>
      <c r="F876" s="18">
        <v>1371149.66</v>
      </c>
      <c r="G876" s="15">
        <v>0</v>
      </c>
      <c r="H876" s="13"/>
      <c r="I876" s="13"/>
    </row>
    <row r="877" spans="1:9">
      <c r="A877" s="13" t="s">
        <v>1517</v>
      </c>
      <c r="B877" s="145" t="s">
        <v>1432</v>
      </c>
      <c r="C877" s="145" t="s">
        <v>533</v>
      </c>
      <c r="D877" s="15">
        <v>1500000</v>
      </c>
      <c r="E877" s="95">
        <v>0.86842754229999997</v>
      </c>
      <c r="F877" s="18">
        <v>1302641.31</v>
      </c>
      <c r="G877" s="15">
        <v>0</v>
      </c>
      <c r="H877" s="13"/>
      <c r="I877" s="13"/>
    </row>
    <row r="878" spans="1:9">
      <c r="A878" s="13" t="s">
        <v>1518</v>
      </c>
      <c r="B878" s="145" t="s">
        <v>1397</v>
      </c>
      <c r="C878" s="145" t="s">
        <v>533</v>
      </c>
      <c r="D878" s="15">
        <v>1500000</v>
      </c>
      <c r="E878" s="95">
        <v>0.8472610652</v>
      </c>
      <c r="F878" s="94">
        <v>1270891.6000000001</v>
      </c>
      <c r="G878" s="15">
        <v>0</v>
      </c>
      <c r="H878" s="13"/>
      <c r="I878" s="13"/>
    </row>
    <row r="879" spans="1:9">
      <c r="A879" s="13" t="s">
        <v>1519</v>
      </c>
      <c r="B879" s="145" t="s">
        <v>1081</v>
      </c>
      <c r="C879" s="145" t="s">
        <v>533</v>
      </c>
      <c r="D879" s="15">
        <v>1500000</v>
      </c>
      <c r="E879" s="95">
        <v>0.8922025576</v>
      </c>
      <c r="F879" s="18">
        <v>1338303.8400000001</v>
      </c>
      <c r="G879" s="15">
        <v>0</v>
      </c>
      <c r="H879" s="13"/>
      <c r="I879" s="13"/>
    </row>
    <row r="880" spans="1:9">
      <c r="A880" s="13" t="s">
        <v>1520</v>
      </c>
      <c r="B880" s="145" t="s">
        <v>624</v>
      </c>
      <c r="C880" s="145" t="s">
        <v>533</v>
      </c>
      <c r="D880" s="15">
        <v>100000000</v>
      </c>
      <c r="E880" s="95">
        <v>0.93462738560000003</v>
      </c>
      <c r="F880" s="18">
        <v>93462738.560000002</v>
      </c>
      <c r="G880" s="18">
        <v>0.25</v>
      </c>
      <c r="H880" s="13"/>
      <c r="I880" s="13"/>
    </row>
    <row r="881" spans="1:9">
      <c r="A881" s="13" t="s">
        <v>1521</v>
      </c>
      <c r="B881" s="145" t="s">
        <v>597</v>
      </c>
      <c r="C881" s="145" t="s">
        <v>533</v>
      </c>
      <c r="D881" s="15">
        <v>1000000000</v>
      </c>
      <c r="E881" s="95">
        <v>0.96052642320000003</v>
      </c>
      <c r="F881" s="94">
        <v>960526423.20000005</v>
      </c>
      <c r="G881" s="18">
        <v>2.5299999999999998</v>
      </c>
      <c r="H881" s="13"/>
      <c r="I881" s="13"/>
    </row>
    <row r="882" spans="1:9">
      <c r="A882" s="13" t="s">
        <v>1522</v>
      </c>
      <c r="B882" s="145" t="s">
        <v>597</v>
      </c>
      <c r="C882" s="145" t="s">
        <v>533</v>
      </c>
      <c r="D882" s="15">
        <v>500000000</v>
      </c>
      <c r="E882" s="95">
        <v>0.96306078640000004</v>
      </c>
      <c r="F882" s="94">
        <v>481530393.19999999</v>
      </c>
      <c r="G882" s="18">
        <v>1.27</v>
      </c>
      <c r="H882" s="13"/>
      <c r="I882" s="13"/>
    </row>
    <row r="883" spans="1:9">
      <c r="A883" s="13" t="s">
        <v>1523</v>
      </c>
      <c r="B883" s="145" t="s">
        <v>614</v>
      </c>
      <c r="C883" s="145" t="s">
        <v>533</v>
      </c>
      <c r="D883" s="15">
        <v>20000000</v>
      </c>
      <c r="E883" s="95">
        <v>0.94677326969999998</v>
      </c>
      <c r="F883" s="18">
        <v>18935465.390000001</v>
      </c>
      <c r="G883" s="18">
        <v>0.05</v>
      </c>
      <c r="H883" s="13"/>
      <c r="I883" s="13"/>
    </row>
    <row r="884" spans="1:9">
      <c r="A884" s="13" t="s">
        <v>1524</v>
      </c>
      <c r="B884" s="145" t="s">
        <v>792</v>
      </c>
      <c r="C884" s="145" t="s">
        <v>533</v>
      </c>
      <c r="D884" s="15">
        <v>10000000</v>
      </c>
      <c r="E884" s="95">
        <v>0.90380111740000002</v>
      </c>
      <c r="F884" s="18">
        <v>9038011.1699999999</v>
      </c>
      <c r="G884" s="18">
        <v>0.02</v>
      </c>
      <c r="H884" s="13"/>
      <c r="I884" s="13"/>
    </row>
    <row r="885" spans="1:9">
      <c r="A885" s="13" t="s">
        <v>1525</v>
      </c>
      <c r="B885" s="145" t="s">
        <v>856</v>
      </c>
      <c r="C885" s="145" t="s">
        <v>533</v>
      </c>
      <c r="D885" s="15">
        <v>10000000</v>
      </c>
      <c r="E885" s="95">
        <v>0.91011096570000005</v>
      </c>
      <c r="F885" s="18">
        <v>9101109.6600000001</v>
      </c>
      <c r="G885" s="18">
        <v>0.02</v>
      </c>
      <c r="H885" s="13"/>
      <c r="I885" s="13"/>
    </row>
    <row r="886" spans="1:9">
      <c r="A886" s="13" t="s">
        <v>1533</v>
      </c>
      <c r="B886" s="145" t="s">
        <v>862</v>
      </c>
      <c r="C886" s="145" t="s">
        <v>457</v>
      </c>
      <c r="D886" s="15">
        <v>16500000</v>
      </c>
      <c r="E886" s="95">
        <v>0.94854480569999999</v>
      </c>
      <c r="F886" s="18">
        <v>15650989.289999999</v>
      </c>
      <c r="G886" s="18">
        <v>0.04</v>
      </c>
      <c r="H886" s="13"/>
      <c r="I886" s="13"/>
    </row>
    <row r="887" spans="1:9">
      <c r="A887" s="13" t="s">
        <v>1534</v>
      </c>
      <c r="B887" s="145" t="s">
        <v>794</v>
      </c>
      <c r="C887" s="145" t="s">
        <v>457</v>
      </c>
      <c r="D887" s="15">
        <v>12500000</v>
      </c>
      <c r="E887" s="96">
        <v>0.93813468600000005</v>
      </c>
      <c r="F887" s="18">
        <v>11726683.58</v>
      </c>
      <c r="G887" s="18">
        <v>0.03</v>
      </c>
      <c r="H887" s="13"/>
      <c r="I887" s="13"/>
    </row>
    <row r="888" spans="1:9">
      <c r="A888" s="13" t="s">
        <v>1535</v>
      </c>
      <c r="B888" s="145" t="s">
        <v>513</v>
      </c>
      <c r="C888" s="145" t="s">
        <v>457</v>
      </c>
      <c r="D888" s="15">
        <v>12500000</v>
      </c>
      <c r="E888" s="95">
        <v>0.95305248519999997</v>
      </c>
      <c r="F888" s="18">
        <v>11913156.07</v>
      </c>
      <c r="G888" s="18">
        <v>0.03</v>
      </c>
      <c r="H888" s="13"/>
      <c r="I888" s="13"/>
    </row>
    <row r="889" spans="1:9">
      <c r="A889" s="13" t="s">
        <v>1536</v>
      </c>
      <c r="B889" s="145" t="s">
        <v>856</v>
      </c>
      <c r="C889" s="145" t="s">
        <v>457</v>
      </c>
      <c r="D889" s="15">
        <v>12500000</v>
      </c>
      <c r="E889" s="95">
        <v>0.9243549137</v>
      </c>
      <c r="F889" s="18">
        <v>11554436.42</v>
      </c>
      <c r="G889" s="18">
        <v>0.03</v>
      </c>
      <c r="H889" s="13"/>
      <c r="I889" s="13"/>
    </row>
    <row r="890" spans="1:9">
      <c r="A890" s="13" t="s">
        <v>1537</v>
      </c>
      <c r="B890" s="145" t="s">
        <v>611</v>
      </c>
      <c r="C890" s="145" t="s">
        <v>457</v>
      </c>
      <c r="D890" s="15">
        <v>12500000</v>
      </c>
      <c r="E890" s="95">
        <v>0.94660132620000004</v>
      </c>
      <c r="F890" s="18">
        <v>11832516.58</v>
      </c>
      <c r="G890" s="18">
        <v>0.03</v>
      </c>
      <c r="H890" s="13"/>
      <c r="I890" s="13"/>
    </row>
    <row r="891" spans="1:9">
      <c r="A891" s="13" t="s">
        <v>1538</v>
      </c>
      <c r="B891" s="145" t="s">
        <v>535</v>
      </c>
      <c r="C891" s="145" t="s">
        <v>457</v>
      </c>
      <c r="D891" s="18">
        <v>17368953.050000001</v>
      </c>
      <c r="E891" s="95">
        <v>0.96878669049999999</v>
      </c>
      <c r="F891" s="18">
        <v>16826810.539999999</v>
      </c>
      <c r="G891" s="18">
        <v>0.04</v>
      </c>
      <c r="H891" s="13"/>
      <c r="I891" s="13"/>
    </row>
    <row r="892" spans="1:9">
      <c r="A892" s="13" t="s">
        <v>1539</v>
      </c>
      <c r="B892" s="145" t="s">
        <v>607</v>
      </c>
      <c r="C892" s="145" t="s">
        <v>457</v>
      </c>
      <c r="D892" s="15">
        <v>15000000</v>
      </c>
      <c r="E892" s="95">
        <v>0.95178511909999997</v>
      </c>
      <c r="F892" s="18">
        <v>14276776.789999999</v>
      </c>
      <c r="G892" s="18">
        <v>0.04</v>
      </c>
      <c r="H892" s="13"/>
      <c r="I892" s="13"/>
    </row>
    <row r="893" spans="1:9">
      <c r="A893" s="13" t="s">
        <v>1540</v>
      </c>
      <c r="B893" s="145" t="s">
        <v>656</v>
      </c>
      <c r="C893" s="145" t="s">
        <v>457</v>
      </c>
      <c r="D893" s="15">
        <v>15000000</v>
      </c>
      <c r="E893" s="96">
        <v>0.948594249</v>
      </c>
      <c r="F893" s="18">
        <v>14228913.74</v>
      </c>
      <c r="G893" s="18">
        <v>0.04</v>
      </c>
      <c r="H893" s="13"/>
      <c r="I893" s="13"/>
    </row>
    <row r="894" spans="1:9">
      <c r="A894" s="13" t="s">
        <v>1541</v>
      </c>
      <c r="B894" s="145" t="s">
        <v>1542</v>
      </c>
      <c r="C894" s="145" t="s">
        <v>457</v>
      </c>
      <c r="D894" s="15">
        <v>5600000</v>
      </c>
      <c r="E894" s="95">
        <v>0.92630199339999997</v>
      </c>
      <c r="F894" s="18">
        <v>5187291.16</v>
      </c>
      <c r="G894" s="18">
        <v>0.01</v>
      </c>
      <c r="H894" s="13"/>
      <c r="I894" s="13"/>
    </row>
    <row r="895" spans="1:9">
      <c r="A895" s="13" t="s">
        <v>1543</v>
      </c>
      <c r="B895" s="145" t="s">
        <v>1204</v>
      </c>
      <c r="C895" s="145" t="s">
        <v>457</v>
      </c>
      <c r="D895" s="15">
        <v>5600000</v>
      </c>
      <c r="E895" s="96">
        <v>0.91029269400000001</v>
      </c>
      <c r="F895" s="18">
        <v>5097639.09</v>
      </c>
      <c r="G895" s="18">
        <v>0.01</v>
      </c>
      <c r="H895" s="13"/>
      <c r="I895" s="13"/>
    </row>
    <row r="896" spans="1:9">
      <c r="A896" s="13" t="s">
        <v>1544</v>
      </c>
      <c r="B896" s="145" t="s">
        <v>513</v>
      </c>
      <c r="C896" s="145" t="s">
        <v>457</v>
      </c>
      <c r="D896" s="15">
        <v>5600000</v>
      </c>
      <c r="E896" s="95">
        <v>0.94692068279999997</v>
      </c>
      <c r="F896" s="18">
        <v>5302755.82</v>
      </c>
      <c r="G896" s="18">
        <v>0.01</v>
      </c>
      <c r="H896" s="13"/>
      <c r="I896" s="13"/>
    </row>
    <row r="897" spans="1:9">
      <c r="A897" s="13" t="s">
        <v>1545</v>
      </c>
      <c r="B897" s="145" t="s">
        <v>518</v>
      </c>
      <c r="C897" s="145" t="s">
        <v>457</v>
      </c>
      <c r="D897" s="15">
        <v>5600000</v>
      </c>
      <c r="E897" s="95">
        <v>0.92013718720000004</v>
      </c>
      <c r="F897" s="18">
        <v>5152768.25</v>
      </c>
      <c r="G897" s="18">
        <v>0.01</v>
      </c>
      <c r="H897" s="13"/>
      <c r="I897" s="13"/>
    </row>
    <row r="898" spans="1:9">
      <c r="A898" s="13" t="s">
        <v>1546</v>
      </c>
      <c r="B898" s="145" t="s">
        <v>1095</v>
      </c>
      <c r="C898" s="145" t="s">
        <v>457</v>
      </c>
      <c r="D898" s="15">
        <v>5600000</v>
      </c>
      <c r="E898" s="95">
        <v>0.91556728350000005</v>
      </c>
      <c r="F898" s="18">
        <v>5127176.79</v>
      </c>
      <c r="G898" s="18">
        <v>0.01</v>
      </c>
      <c r="H898" s="13"/>
      <c r="I898" s="13"/>
    </row>
    <row r="899" spans="1:9">
      <c r="A899" s="13" t="s">
        <v>1547</v>
      </c>
      <c r="B899" s="145" t="s">
        <v>501</v>
      </c>
      <c r="C899" s="145" t="s">
        <v>457</v>
      </c>
      <c r="D899" s="15">
        <v>139000000</v>
      </c>
      <c r="E899" s="95">
        <v>0.96845246470000002</v>
      </c>
      <c r="F899" s="18">
        <v>134614892.59</v>
      </c>
      <c r="G899" s="18">
        <v>0.35</v>
      </c>
      <c r="H899" s="13"/>
      <c r="I899" s="13"/>
    </row>
    <row r="900" spans="1:9">
      <c r="A900" s="13" t="s">
        <v>1548</v>
      </c>
      <c r="B900" s="145" t="s">
        <v>1209</v>
      </c>
      <c r="C900" s="145" t="s">
        <v>457</v>
      </c>
      <c r="D900" s="18">
        <v>6500236.5700000003</v>
      </c>
      <c r="E900" s="95">
        <v>0.86962738849999999</v>
      </c>
      <c r="F900" s="18">
        <v>5652783.75</v>
      </c>
      <c r="G900" s="18">
        <v>0.01</v>
      </c>
      <c r="H900" s="13"/>
      <c r="I900" s="13"/>
    </row>
    <row r="901" spans="1:9">
      <c r="A901" s="13" t="s">
        <v>1549</v>
      </c>
      <c r="B901" s="145" t="s">
        <v>852</v>
      </c>
      <c r="C901" s="145" t="s">
        <v>457</v>
      </c>
      <c r="D901" s="18">
        <v>5211510.2699999996</v>
      </c>
      <c r="E901" s="95">
        <v>0.91519987420000004</v>
      </c>
      <c r="F901" s="18">
        <v>4769573.54</v>
      </c>
      <c r="G901" s="18">
        <v>0.01</v>
      </c>
      <c r="H901" s="13"/>
      <c r="I901" s="13"/>
    </row>
    <row r="902" spans="1:9">
      <c r="A902" s="13" t="s">
        <v>1550</v>
      </c>
      <c r="B902" s="145" t="s">
        <v>1163</v>
      </c>
      <c r="C902" s="145" t="s">
        <v>457</v>
      </c>
      <c r="D902" s="94">
        <v>2398145.2000000002</v>
      </c>
      <c r="E902" s="95">
        <v>0.90230397910000004</v>
      </c>
      <c r="F902" s="18">
        <v>2163855.96</v>
      </c>
      <c r="G902" s="18">
        <v>0.01</v>
      </c>
      <c r="H902" s="13"/>
      <c r="I902" s="13"/>
    </row>
    <row r="903" spans="1:9">
      <c r="A903" s="13" t="s">
        <v>1551</v>
      </c>
      <c r="B903" s="145" t="s">
        <v>794</v>
      </c>
      <c r="C903" s="145" t="s">
        <v>457</v>
      </c>
      <c r="D903" s="94">
        <v>2398145.2000000002</v>
      </c>
      <c r="E903" s="95">
        <v>0.92046220430000003</v>
      </c>
      <c r="F903" s="18">
        <v>2207402.02</v>
      </c>
      <c r="G903" s="18">
        <v>0.01</v>
      </c>
      <c r="H903" s="13"/>
      <c r="I903" s="13"/>
    </row>
    <row r="904" spans="1:9">
      <c r="A904" s="13" t="s">
        <v>1552</v>
      </c>
      <c r="B904" s="145" t="s">
        <v>1423</v>
      </c>
      <c r="C904" s="145" t="s">
        <v>457</v>
      </c>
      <c r="D904" s="18">
        <v>3511491.25</v>
      </c>
      <c r="E904" s="95">
        <v>0.85188834680000003</v>
      </c>
      <c r="F904" s="18">
        <v>2991398.48</v>
      </c>
      <c r="G904" s="18">
        <v>0.01</v>
      </c>
      <c r="H904" s="13"/>
      <c r="I904" s="13"/>
    </row>
    <row r="905" spans="1:9">
      <c r="A905" s="13" t="s">
        <v>1553</v>
      </c>
      <c r="B905" s="145" t="s">
        <v>1554</v>
      </c>
      <c r="C905" s="145" t="s">
        <v>457</v>
      </c>
      <c r="D905" s="18">
        <v>4957711.8099999996</v>
      </c>
      <c r="E905" s="95">
        <v>0.89224620519999998</v>
      </c>
      <c r="F905" s="18">
        <v>4423499.55</v>
      </c>
      <c r="G905" s="18">
        <v>0.01</v>
      </c>
      <c r="H905" s="13"/>
      <c r="I905" s="13"/>
    </row>
    <row r="906" spans="1:9">
      <c r="A906" s="13" t="s">
        <v>1555</v>
      </c>
      <c r="B906" s="145" t="s">
        <v>1003</v>
      </c>
      <c r="C906" s="145" t="s">
        <v>457</v>
      </c>
      <c r="D906" s="18">
        <v>4957711.8099999996</v>
      </c>
      <c r="E906" s="96">
        <v>0.91432888199999995</v>
      </c>
      <c r="F906" s="94">
        <v>4532979.0999999996</v>
      </c>
      <c r="G906" s="18">
        <v>0.01</v>
      </c>
      <c r="H906" s="13"/>
      <c r="I906" s="13"/>
    </row>
    <row r="907" spans="1:9">
      <c r="A907" s="13" t="s">
        <v>1556</v>
      </c>
      <c r="B907" s="145" t="s">
        <v>1557</v>
      </c>
      <c r="C907" s="145" t="s">
        <v>457</v>
      </c>
      <c r="D907" s="18">
        <v>4957711.8099999996</v>
      </c>
      <c r="E907" s="95">
        <v>0.88894317649999999</v>
      </c>
      <c r="F907" s="18">
        <v>4407124.08</v>
      </c>
      <c r="G907" s="18">
        <v>0.01</v>
      </c>
      <c r="H907" s="13"/>
      <c r="I907" s="13"/>
    </row>
    <row r="908" spans="1:9">
      <c r="A908" s="13" t="s">
        <v>1558</v>
      </c>
      <c r="B908" s="145" t="s">
        <v>511</v>
      </c>
      <c r="C908" s="145" t="s">
        <v>457</v>
      </c>
      <c r="D908" s="18">
        <v>4957711.8099999996</v>
      </c>
      <c r="E908" s="96">
        <v>0.91259134099999994</v>
      </c>
      <c r="F908" s="18">
        <v>4524364.87</v>
      </c>
      <c r="G908" s="18">
        <v>0.01</v>
      </c>
      <c r="H908" s="13"/>
      <c r="I908" s="13"/>
    </row>
    <row r="909" spans="1:9">
      <c r="A909" s="13" t="s">
        <v>1559</v>
      </c>
      <c r="B909" s="145" t="s">
        <v>1557</v>
      </c>
      <c r="C909" s="145" t="s">
        <v>457</v>
      </c>
      <c r="D909" s="94">
        <v>100046704.59999999</v>
      </c>
      <c r="E909" s="95">
        <v>0.92125201580000005</v>
      </c>
      <c r="F909" s="18">
        <v>92168228.290000007</v>
      </c>
      <c r="G909" s="18">
        <v>0.24</v>
      </c>
      <c r="H909" s="13"/>
      <c r="I909" s="13"/>
    </row>
    <row r="910" spans="1:9">
      <c r="A910" s="13" t="s">
        <v>1560</v>
      </c>
      <c r="B910" s="145" t="s">
        <v>1350</v>
      </c>
      <c r="C910" s="145" t="s">
        <v>457</v>
      </c>
      <c r="D910" s="94">
        <v>215007207.40000001</v>
      </c>
      <c r="E910" s="95">
        <v>0.91703948229999999</v>
      </c>
      <c r="F910" s="18">
        <v>197170098.16</v>
      </c>
      <c r="G910" s="18">
        <v>0.52</v>
      </c>
      <c r="H910" s="13"/>
      <c r="I910" s="13"/>
    </row>
    <row r="911" spans="1:9">
      <c r="A911" s="13" t="s">
        <v>1561</v>
      </c>
      <c r="B911" s="145" t="s">
        <v>1350</v>
      </c>
      <c r="C911" s="145" t="s">
        <v>457</v>
      </c>
      <c r="D911" s="18">
        <v>29857329.09</v>
      </c>
      <c r="E911" s="95">
        <v>0.91703948229999999</v>
      </c>
      <c r="F911" s="18">
        <v>27380349.609999999</v>
      </c>
      <c r="G911" s="18">
        <v>7.0000000000000007E-2</v>
      </c>
      <c r="H911" s="13"/>
      <c r="I911" s="13"/>
    </row>
    <row r="912" spans="1:9">
      <c r="A912" s="13" t="s">
        <v>1562</v>
      </c>
      <c r="B912" s="145" t="s">
        <v>1350</v>
      </c>
      <c r="C912" s="145" t="s">
        <v>457</v>
      </c>
      <c r="D912" s="18">
        <v>92806889.260000005</v>
      </c>
      <c r="E912" s="95">
        <v>0.91703948229999999</v>
      </c>
      <c r="F912" s="18">
        <v>85107581.680000007</v>
      </c>
      <c r="G912" s="18">
        <v>0.22</v>
      </c>
      <c r="H912" s="13"/>
      <c r="I912" s="13"/>
    </row>
    <row r="913" spans="1:9">
      <c r="A913" s="13" t="s">
        <v>1563</v>
      </c>
      <c r="B913" s="145" t="s">
        <v>1350</v>
      </c>
      <c r="C913" s="145" t="s">
        <v>457</v>
      </c>
      <c r="D913" s="18">
        <v>20411147.440000001</v>
      </c>
      <c r="E913" s="95">
        <v>0.91703948229999999</v>
      </c>
      <c r="F913" s="18">
        <v>18717828.079999998</v>
      </c>
      <c r="G913" s="18">
        <v>0.05</v>
      </c>
      <c r="H913" s="13"/>
      <c r="I913" s="13"/>
    </row>
    <row r="914" spans="1:9">
      <c r="A914" s="13" t="s">
        <v>1564</v>
      </c>
      <c r="B914" s="145" t="s">
        <v>1091</v>
      </c>
      <c r="C914" s="145" t="s">
        <v>457</v>
      </c>
      <c r="D914" s="18">
        <v>28712357.309999999</v>
      </c>
      <c r="E914" s="95">
        <v>0.93474710480000001</v>
      </c>
      <c r="F914" s="18">
        <v>26838792.870000001</v>
      </c>
      <c r="G914" s="18">
        <v>7.0000000000000007E-2</v>
      </c>
      <c r="H914" s="13"/>
      <c r="I914" s="13"/>
    </row>
    <row r="915" spans="1:9">
      <c r="A915" s="13" t="s">
        <v>1565</v>
      </c>
      <c r="B915" s="145" t="s">
        <v>1091</v>
      </c>
      <c r="C915" s="145" t="s">
        <v>457</v>
      </c>
      <c r="D915" s="18">
        <v>50399108.950000003</v>
      </c>
      <c r="E915" s="95">
        <v>0.93474710480000001</v>
      </c>
      <c r="F915" s="18">
        <v>47110421.18</v>
      </c>
      <c r="G915" s="18">
        <v>0.12</v>
      </c>
      <c r="H915" s="13"/>
      <c r="I915" s="13"/>
    </row>
    <row r="916" spans="1:9">
      <c r="A916" s="13" t="s">
        <v>1566</v>
      </c>
      <c r="B916" s="145" t="s">
        <v>1091</v>
      </c>
      <c r="C916" s="145" t="s">
        <v>457</v>
      </c>
      <c r="D916" s="18">
        <v>4643215.3099999996</v>
      </c>
      <c r="E916" s="95">
        <v>0.93474710480000001</v>
      </c>
      <c r="F916" s="18">
        <v>4340232.07</v>
      </c>
      <c r="G916" s="18">
        <v>0.01</v>
      </c>
      <c r="H916" s="13"/>
      <c r="I916" s="13"/>
    </row>
    <row r="917" spans="1:9">
      <c r="A917" s="13" t="s">
        <v>1567</v>
      </c>
      <c r="B917" s="145" t="s">
        <v>1091</v>
      </c>
      <c r="C917" s="145" t="s">
        <v>457</v>
      </c>
      <c r="D917" s="18">
        <v>2120477.86</v>
      </c>
      <c r="E917" s="95">
        <v>0.93474710480000001</v>
      </c>
      <c r="F917" s="18">
        <v>1982110.54</v>
      </c>
      <c r="G917" s="18">
        <v>0.01</v>
      </c>
      <c r="H917" s="13"/>
      <c r="I917" s="13"/>
    </row>
    <row r="918" spans="1:9">
      <c r="A918" s="13" t="s">
        <v>1568</v>
      </c>
      <c r="B918" s="145" t="s">
        <v>1350</v>
      </c>
      <c r="C918" s="145" t="s">
        <v>457</v>
      </c>
      <c r="D918" s="18">
        <v>68728608.280000001</v>
      </c>
      <c r="E918" s="95">
        <v>0.91703948229999999</v>
      </c>
      <c r="F918" s="18">
        <v>63026847.359999999</v>
      </c>
      <c r="G918" s="18">
        <v>0.17</v>
      </c>
      <c r="H918" s="13"/>
      <c r="I918" s="13"/>
    </row>
    <row r="919" spans="1:9">
      <c r="A919" s="13" t="s">
        <v>1569</v>
      </c>
      <c r="B919" s="145" t="s">
        <v>1350</v>
      </c>
      <c r="C919" s="145" t="s">
        <v>457</v>
      </c>
      <c r="D919" s="18">
        <v>6875275.0899999999</v>
      </c>
      <c r="E919" s="95">
        <v>0.91703948229999999</v>
      </c>
      <c r="F919" s="18">
        <v>6304898.71</v>
      </c>
      <c r="G919" s="18">
        <v>0.02</v>
      </c>
      <c r="H919" s="13"/>
      <c r="I919" s="13"/>
    </row>
    <row r="920" spans="1:9">
      <c r="A920" s="13" t="s">
        <v>1570</v>
      </c>
      <c r="B920" s="145" t="s">
        <v>1350</v>
      </c>
      <c r="C920" s="145" t="s">
        <v>457</v>
      </c>
      <c r="D920" s="18">
        <v>6937722.3200000003</v>
      </c>
      <c r="E920" s="95">
        <v>0.91703948229999999</v>
      </c>
      <c r="F920" s="18">
        <v>6362165.2800000003</v>
      </c>
      <c r="G920" s="18">
        <v>0.02</v>
      </c>
      <c r="H920" s="13"/>
      <c r="I920" s="13"/>
    </row>
    <row r="921" spans="1:9">
      <c r="A921" s="13" t="s">
        <v>1571</v>
      </c>
      <c r="B921" s="145" t="s">
        <v>1350</v>
      </c>
      <c r="C921" s="145" t="s">
        <v>457</v>
      </c>
      <c r="D921" s="18">
        <v>3090146.07</v>
      </c>
      <c r="E921" s="95">
        <v>0.91703948229999999</v>
      </c>
      <c r="F921" s="18">
        <v>2833785.95</v>
      </c>
      <c r="G921" s="18">
        <v>0.01</v>
      </c>
      <c r="H921" s="13"/>
      <c r="I921" s="13"/>
    </row>
    <row r="922" spans="1:9">
      <c r="A922" s="13" t="s">
        <v>1572</v>
      </c>
      <c r="B922" s="145" t="s">
        <v>1091</v>
      </c>
      <c r="C922" s="145" t="s">
        <v>457</v>
      </c>
      <c r="D922" s="18">
        <v>3412014.84</v>
      </c>
      <c r="E922" s="95">
        <v>0.93474710480000001</v>
      </c>
      <c r="F922" s="18">
        <v>3189370.99</v>
      </c>
      <c r="G922" s="18">
        <v>0.01</v>
      </c>
      <c r="H922" s="13"/>
      <c r="I922" s="13"/>
    </row>
    <row r="923" spans="1:9">
      <c r="A923" s="13" t="s">
        <v>1573</v>
      </c>
      <c r="B923" s="145" t="s">
        <v>1091</v>
      </c>
      <c r="C923" s="145" t="s">
        <v>457</v>
      </c>
      <c r="D923" s="18">
        <v>2502217.0699999998</v>
      </c>
      <c r="E923" s="95">
        <v>0.9347471141</v>
      </c>
      <c r="F923" s="18">
        <v>2338940.19</v>
      </c>
      <c r="G923" s="18">
        <v>0.01</v>
      </c>
      <c r="H923" s="13"/>
      <c r="I923" s="13"/>
    </row>
    <row r="924" spans="1:9">
      <c r="A924" s="13" t="s">
        <v>1574</v>
      </c>
      <c r="B924" s="145" t="s">
        <v>1091</v>
      </c>
      <c r="C924" s="145" t="s">
        <v>457</v>
      </c>
      <c r="D924" s="94">
        <v>6395453.2000000002</v>
      </c>
      <c r="E924" s="95">
        <v>0.93474710480000001</v>
      </c>
      <c r="F924" s="18">
        <v>5978131.3600000003</v>
      </c>
      <c r="G924" s="18">
        <v>0.02</v>
      </c>
      <c r="H924" s="13"/>
      <c r="I924" s="13"/>
    </row>
    <row r="925" spans="1:9">
      <c r="A925" s="13" t="s">
        <v>1575</v>
      </c>
      <c r="B925" s="145" t="s">
        <v>1091</v>
      </c>
      <c r="C925" s="145" t="s">
        <v>457</v>
      </c>
      <c r="D925" s="94">
        <v>1860181.4</v>
      </c>
      <c r="E925" s="95">
        <v>0.93474711180000003</v>
      </c>
      <c r="F925" s="18">
        <v>1738799.19</v>
      </c>
      <c r="G925" s="15">
        <v>0</v>
      </c>
      <c r="H925" s="13"/>
      <c r="I925" s="13"/>
    </row>
    <row r="926" spans="1:9">
      <c r="A926" s="13" t="s">
        <v>1576</v>
      </c>
      <c r="B926" s="145" t="s">
        <v>1091</v>
      </c>
      <c r="C926" s="145" t="s">
        <v>457</v>
      </c>
      <c r="D926" s="18">
        <v>3621557.13</v>
      </c>
      <c r="E926" s="95">
        <v>0.93474710480000001</v>
      </c>
      <c r="F926" s="18">
        <v>3385240.04</v>
      </c>
      <c r="G926" s="18">
        <v>0.01</v>
      </c>
      <c r="H926" s="13"/>
      <c r="I926" s="13"/>
    </row>
    <row r="927" spans="1:9">
      <c r="A927" s="13" t="s">
        <v>1577</v>
      </c>
      <c r="B927" s="145" t="s">
        <v>1091</v>
      </c>
      <c r="C927" s="145" t="s">
        <v>457</v>
      </c>
      <c r="D927" s="18">
        <v>14947325.66</v>
      </c>
      <c r="E927" s="95">
        <v>0.93474710480000001</v>
      </c>
      <c r="F927" s="18">
        <v>13971969.390000001</v>
      </c>
      <c r="G927" s="18">
        <v>0.04</v>
      </c>
      <c r="H927" s="13"/>
      <c r="I927" s="13"/>
    </row>
    <row r="928" spans="1:9">
      <c r="A928" s="13" t="s">
        <v>1578</v>
      </c>
      <c r="B928" s="145" t="s">
        <v>1091</v>
      </c>
      <c r="C928" s="145" t="s">
        <v>457</v>
      </c>
      <c r="D928" s="18">
        <v>10604114.439999999</v>
      </c>
      <c r="E928" s="95">
        <v>0.93474710480000001</v>
      </c>
      <c r="F928" s="18">
        <v>9912165.2699999996</v>
      </c>
      <c r="G928" s="18">
        <v>0.03</v>
      </c>
      <c r="H928" s="13"/>
      <c r="I928" s="13"/>
    </row>
    <row r="929" spans="1:9">
      <c r="A929" s="13" t="s">
        <v>1579</v>
      </c>
      <c r="B929" s="145" t="s">
        <v>1350</v>
      </c>
      <c r="C929" s="145" t="s">
        <v>457</v>
      </c>
      <c r="D929" s="18">
        <v>7075968.3200000003</v>
      </c>
      <c r="E929" s="95">
        <v>0.91703948229999999</v>
      </c>
      <c r="F929" s="18">
        <v>6488942.3200000003</v>
      </c>
      <c r="G929" s="18">
        <v>0.02</v>
      </c>
      <c r="H929" s="13"/>
      <c r="I929" s="13"/>
    </row>
    <row r="930" spans="1:9">
      <c r="A930" s="13" t="s">
        <v>1580</v>
      </c>
      <c r="B930" s="145" t="s">
        <v>1350</v>
      </c>
      <c r="C930" s="145" t="s">
        <v>457</v>
      </c>
      <c r="D930" s="18">
        <v>11809132.970000001</v>
      </c>
      <c r="E930" s="95">
        <v>0.91703948229999999</v>
      </c>
      <c r="F930" s="18">
        <v>10829441.189999999</v>
      </c>
      <c r="G930" s="18">
        <v>0.03</v>
      </c>
      <c r="H930" s="13"/>
      <c r="I930" s="13"/>
    </row>
    <row r="931" spans="1:9">
      <c r="A931" s="13" t="s">
        <v>1581</v>
      </c>
      <c r="B931" s="145" t="s">
        <v>1350</v>
      </c>
      <c r="C931" s="145" t="s">
        <v>457</v>
      </c>
      <c r="D931" s="18">
        <v>31694713.280000001</v>
      </c>
      <c r="E931" s="95">
        <v>0.91703948229999999</v>
      </c>
      <c r="F931" s="18">
        <v>29065303.460000001</v>
      </c>
      <c r="G931" s="18">
        <v>0.08</v>
      </c>
      <c r="H931" s="13"/>
      <c r="I931" s="13"/>
    </row>
    <row r="932" spans="1:9">
      <c r="A932" s="13" t="s">
        <v>1582</v>
      </c>
      <c r="B932" s="145" t="s">
        <v>1350</v>
      </c>
      <c r="C932" s="145" t="s">
        <v>457</v>
      </c>
      <c r="D932" s="18">
        <v>20011620.16</v>
      </c>
      <c r="E932" s="95">
        <v>0.91703948229999999</v>
      </c>
      <c r="F932" s="18">
        <v>18351445.789999999</v>
      </c>
      <c r="G932" s="18">
        <v>0.05</v>
      </c>
      <c r="H932" s="13"/>
      <c r="I932" s="13"/>
    </row>
    <row r="933" spans="1:9">
      <c r="A933" s="13" t="s">
        <v>1583</v>
      </c>
      <c r="B933" s="145" t="s">
        <v>1350</v>
      </c>
      <c r="C933" s="145" t="s">
        <v>457</v>
      </c>
      <c r="D933" s="15">
        <v>34118781</v>
      </c>
      <c r="E933" s="95">
        <v>0.91703948229999999</v>
      </c>
      <c r="F933" s="18">
        <v>31288269.260000002</v>
      </c>
      <c r="G933" s="18">
        <v>0.08</v>
      </c>
      <c r="H933" s="13"/>
      <c r="I933" s="13"/>
    </row>
    <row r="934" spans="1:9">
      <c r="A934" s="13" t="s">
        <v>1586</v>
      </c>
      <c r="B934" s="145" t="s">
        <v>1081</v>
      </c>
      <c r="C934" s="145" t="s">
        <v>490</v>
      </c>
      <c r="D934" s="15">
        <v>16500000</v>
      </c>
      <c r="E934" s="95">
        <v>0.90333137149999998</v>
      </c>
      <c r="F934" s="18">
        <v>14904967.630000001</v>
      </c>
      <c r="G934" s="18">
        <v>0.04</v>
      </c>
      <c r="H934" s="13"/>
      <c r="I934" s="13"/>
    </row>
    <row r="935" spans="1:9">
      <c r="A935" s="13" t="s">
        <v>1587</v>
      </c>
      <c r="B935" s="145" t="s">
        <v>1283</v>
      </c>
      <c r="C935" s="145" t="s">
        <v>490</v>
      </c>
      <c r="D935" s="15">
        <v>16500000</v>
      </c>
      <c r="E935" s="95">
        <v>0.89305391160000003</v>
      </c>
      <c r="F935" s="18">
        <v>14735389.539999999</v>
      </c>
      <c r="G935" s="18">
        <v>0.04</v>
      </c>
      <c r="H935" s="13"/>
      <c r="I935" s="13"/>
    </row>
    <row r="936" spans="1:9">
      <c r="A936" s="13" t="s">
        <v>1588</v>
      </c>
      <c r="B936" s="145" t="s">
        <v>1432</v>
      </c>
      <c r="C936" s="145" t="s">
        <v>490</v>
      </c>
      <c r="D936" s="15">
        <v>16500000</v>
      </c>
      <c r="E936" s="96">
        <v>0.88168511900000002</v>
      </c>
      <c r="F936" s="18">
        <v>14547804.460000001</v>
      </c>
      <c r="G936" s="18">
        <v>0.04</v>
      </c>
      <c r="H936" s="13"/>
      <c r="I936" s="13"/>
    </row>
    <row r="937" spans="1:9">
      <c r="A937" s="13" t="s">
        <v>1589</v>
      </c>
      <c r="B937" s="145" t="s">
        <v>1057</v>
      </c>
      <c r="C937" s="145" t="s">
        <v>490</v>
      </c>
      <c r="D937" s="15">
        <v>10000000</v>
      </c>
      <c r="E937" s="96">
        <v>0.92707835299999997</v>
      </c>
      <c r="F937" s="18">
        <v>9270783.5299999993</v>
      </c>
      <c r="G937" s="18">
        <v>0.02</v>
      </c>
      <c r="H937" s="13"/>
      <c r="I937" s="13"/>
    </row>
    <row r="938" spans="1:9">
      <c r="A938" s="13" t="s">
        <v>1590</v>
      </c>
      <c r="B938" s="145" t="s">
        <v>1091</v>
      </c>
      <c r="C938" s="145" t="s">
        <v>490</v>
      </c>
      <c r="D938" s="15">
        <v>10000000</v>
      </c>
      <c r="E938" s="95">
        <v>0.92776178590000002</v>
      </c>
      <c r="F938" s="18">
        <v>9277617.8599999994</v>
      </c>
      <c r="G938" s="18">
        <v>0.02</v>
      </c>
      <c r="H938" s="13"/>
      <c r="I938" s="13"/>
    </row>
    <row r="939" spans="1:9">
      <c r="A939" s="13" t="s">
        <v>1591</v>
      </c>
      <c r="B939" s="145" t="s">
        <v>246</v>
      </c>
      <c r="C939" s="145" t="s">
        <v>490</v>
      </c>
      <c r="D939" s="15">
        <v>10000000</v>
      </c>
      <c r="E939" s="95">
        <v>0.91962715340000001</v>
      </c>
      <c r="F939" s="18">
        <v>9196271.5299999993</v>
      </c>
      <c r="G939" s="18">
        <v>0.02</v>
      </c>
      <c r="H939" s="13"/>
      <c r="I939" s="13"/>
    </row>
    <row r="940" spans="1:9">
      <c r="A940" s="13" t="s">
        <v>1592</v>
      </c>
      <c r="B940" s="145" t="s">
        <v>1204</v>
      </c>
      <c r="C940" s="145" t="s">
        <v>490</v>
      </c>
      <c r="D940" s="15">
        <v>10000000</v>
      </c>
      <c r="E940" s="95">
        <v>0.92029963979999996</v>
      </c>
      <c r="F940" s="94">
        <v>9202996.4000000004</v>
      </c>
      <c r="G940" s="18">
        <v>0.02</v>
      </c>
      <c r="H940" s="13"/>
      <c r="I940" s="13"/>
    </row>
    <row r="941" spans="1:9">
      <c r="A941" s="13" t="s">
        <v>1593</v>
      </c>
      <c r="B941" s="145" t="s">
        <v>856</v>
      </c>
      <c r="C941" s="145" t="s">
        <v>490</v>
      </c>
      <c r="D941" s="15">
        <v>10000000</v>
      </c>
      <c r="E941" s="95">
        <v>0.92435487750000001</v>
      </c>
      <c r="F941" s="18">
        <v>9243548.7799999993</v>
      </c>
      <c r="G941" s="18">
        <v>0.02</v>
      </c>
      <c r="H941" s="13"/>
      <c r="I941" s="13"/>
    </row>
    <row r="942" spans="1:9">
      <c r="A942" s="13" t="s">
        <v>1594</v>
      </c>
      <c r="B942" s="145" t="s">
        <v>1462</v>
      </c>
      <c r="C942" s="145" t="s">
        <v>490</v>
      </c>
      <c r="D942" s="15">
        <v>10000000</v>
      </c>
      <c r="E942" s="95">
        <v>0.92299923750000001</v>
      </c>
      <c r="F942" s="18">
        <v>9229992.3800000008</v>
      </c>
      <c r="G942" s="18">
        <v>0.02</v>
      </c>
      <c r="H942" s="13"/>
      <c r="I942" s="13"/>
    </row>
    <row r="943" spans="1:9">
      <c r="A943" s="13" t="s">
        <v>1595</v>
      </c>
      <c r="B943" s="145" t="s">
        <v>1095</v>
      </c>
      <c r="C943" s="145" t="s">
        <v>490</v>
      </c>
      <c r="D943" s="15">
        <v>10000000</v>
      </c>
      <c r="E943" s="95">
        <v>0.92503429729999997</v>
      </c>
      <c r="F943" s="18">
        <v>9250342.9700000007</v>
      </c>
      <c r="G943" s="18">
        <v>0.02</v>
      </c>
      <c r="H943" s="13"/>
      <c r="I943" s="13"/>
    </row>
    <row r="944" spans="1:9">
      <c r="A944" s="13" t="s">
        <v>1596</v>
      </c>
      <c r="B944" s="145" t="s">
        <v>1163</v>
      </c>
      <c r="C944" s="145" t="s">
        <v>490</v>
      </c>
      <c r="D944" s="15">
        <v>10000000</v>
      </c>
      <c r="E944" s="95">
        <v>0.92367666540000004</v>
      </c>
      <c r="F944" s="18">
        <v>9236766.6500000004</v>
      </c>
      <c r="G944" s="18">
        <v>0.02</v>
      </c>
      <c r="H944" s="13"/>
      <c r="I944" s="13"/>
    </row>
    <row r="945" spans="1:9">
      <c r="A945" s="13" t="s">
        <v>1597</v>
      </c>
      <c r="B945" s="145" t="s">
        <v>580</v>
      </c>
      <c r="C945" s="145" t="s">
        <v>490</v>
      </c>
      <c r="D945" s="15">
        <v>10000000</v>
      </c>
      <c r="E945" s="95">
        <v>0.9223228014</v>
      </c>
      <c r="F945" s="18">
        <v>9223228.0099999998</v>
      </c>
      <c r="G945" s="18">
        <v>0.02</v>
      </c>
      <c r="H945" s="13"/>
      <c r="I945" s="13"/>
    </row>
    <row r="946" spans="1:9">
      <c r="A946" s="13" t="s">
        <v>1598</v>
      </c>
      <c r="B946" s="145" t="s">
        <v>1091</v>
      </c>
      <c r="C946" s="145" t="s">
        <v>490</v>
      </c>
      <c r="D946" s="15">
        <v>10000000</v>
      </c>
      <c r="E946" s="95">
        <v>0.92776178590000002</v>
      </c>
      <c r="F946" s="18">
        <v>9277617.8599999994</v>
      </c>
      <c r="G946" s="18">
        <v>0.02</v>
      </c>
      <c r="H946" s="13"/>
      <c r="I946" s="13"/>
    </row>
    <row r="947" spans="1:9">
      <c r="A947" s="13" t="s">
        <v>1599</v>
      </c>
      <c r="B947" s="145" t="s">
        <v>1442</v>
      </c>
      <c r="C947" s="145" t="s">
        <v>490</v>
      </c>
      <c r="D947" s="15">
        <v>10000000</v>
      </c>
      <c r="E947" s="95">
        <v>0.95750279810000005</v>
      </c>
      <c r="F947" s="18">
        <v>9575027.9800000004</v>
      </c>
      <c r="G947" s="18">
        <v>0.03</v>
      </c>
      <c r="H947" s="13"/>
      <c r="I947" s="13"/>
    </row>
    <row r="948" spans="1:9">
      <c r="A948" s="13" t="s">
        <v>1600</v>
      </c>
      <c r="B948" s="145" t="s">
        <v>805</v>
      </c>
      <c r="C948" s="145" t="s">
        <v>490</v>
      </c>
      <c r="D948" s="15">
        <v>10000000</v>
      </c>
      <c r="E948" s="95">
        <v>0.96158922879999997</v>
      </c>
      <c r="F948" s="18">
        <v>9615892.2899999991</v>
      </c>
      <c r="G948" s="18">
        <v>0.03</v>
      </c>
      <c r="H948" s="13"/>
      <c r="I948" s="13"/>
    </row>
    <row r="949" spans="1:9">
      <c r="A949" s="13" t="s">
        <v>1601</v>
      </c>
      <c r="B949" s="145" t="s">
        <v>597</v>
      </c>
      <c r="C949" s="145" t="s">
        <v>490</v>
      </c>
      <c r="D949" s="15">
        <v>10000000</v>
      </c>
      <c r="E949" s="96">
        <v>0.96433301400000004</v>
      </c>
      <c r="F949" s="18">
        <v>9643330.1400000006</v>
      </c>
      <c r="G949" s="18">
        <v>0.03</v>
      </c>
      <c r="H949" s="13"/>
      <c r="I949" s="13"/>
    </row>
    <row r="950" spans="1:9">
      <c r="A950" s="13" t="s">
        <v>1602</v>
      </c>
      <c r="B950" s="145" t="s">
        <v>474</v>
      </c>
      <c r="C950" s="145" t="s">
        <v>490</v>
      </c>
      <c r="D950" s="15">
        <v>12000000</v>
      </c>
      <c r="E950" s="95">
        <v>0.96571069279999999</v>
      </c>
      <c r="F950" s="18">
        <v>11588528.310000001</v>
      </c>
      <c r="G950" s="18">
        <v>0.03</v>
      </c>
      <c r="H950" s="13"/>
      <c r="I950" s="13"/>
    </row>
    <row r="951" spans="1:9">
      <c r="A951" s="13" t="s">
        <v>1603</v>
      </c>
      <c r="B951" s="145" t="s">
        <v>549</v>
      </c>
      <c r="C951" s="145" t="s">
        <v>490</v>
      </c>
      <c r="D951" s="15">
        <v>7000000</v>
      </c>
      <c r="E951" s="95">
        <v>0.96502145459999999</v>
      </c>
      <c r="F951" s="18">
        <v>6755150.1799999997</v>
      </c>
      <c r="G951" s="18">
        <v>0.02</v>
      </c>
      <c r="H951" s="13"/>
      <c r="I951" s="13"/>
    </row>
    <row r="952" spans="1:9">
      <c r="A952" s="13" t="s">
        <v>1604</v>
      </c>
      <c r="B952" s="145" t="s">
        <v>513</v>
      </c>
      <c r="C952" s="145" t="s">
        <v>490</v>
      </c>
      <c r="D952" s="15">
        <v>16800000</v>
      </c>
      <c r="E952" s="95">
        <v>0.94237332039999999</v>
      </c>
      <c r="F952" s="18">
        <v>15831871.779999999</v>
      </c>
      <c r="G952" s="18">
        <v>0.04</v>
      </c>
      <c r="H952" s="13"/>
      <c r="I952" s="13"/>
    </row>
    <row r="953" spans="1:9">
      <c r="A953" s="13" t="s">
        <v>1605</v>
      </c>
      <c r="B953" s="145" t="s">
        <v>476</v>
      </c>
      <c r="C953" s="145" t="s">
        <v>216</v>
      </c>
      <c r="D953" s="15">
        <v>280000000</v>
      </c>
      <c r="E953" s="96">
        <v>0.981605124</v>
      </c>
      <c r="F953" s="18">
        <v>274849434.72000003</v>
      </c>
      <c r="G953" s="18">
        <v>0.72</v>
      </c>
      <c r="H953" s="13"/>
      <c r="I953" s="13"/>
    </row>
    <row r="954" spans="1:9">
      <c r="A954" s="13" t="s">
        <v>1606</v>
      </c>
      <c r="B954" s="145" t="s">
        <v>1319</v>
      </c>
      <c r="C954" s="145" t="s">
        <v>216</v>
      </c>
      <c r="D954" s="15">
        <v>5500000</v>
      </c>
      <c r="E954" s="95">
        <v>0.91361918620000004</v>
      </c>
      <c r="F954" s="18">
        <v>5024905.5199999996</v>
      </c>
      <c r="G954" s="18">
        <v>0.01</v>
      </c>
      <c r="H954" s="13"/>
      <c r="I954" s="13"/>
    </row>
    <row r="955" spans="1:9">
      <c r="A955" s="13" t="s">
        <v>1607</v>
      </c>
      <c r="B955" s="145" t="s">
        <v>244</v>
      </c>
      <c r="C955" s="145" t="s">
        <v>216</v>
      </c>
      <c r="D955" s="15">
        <v>5500000</v>
      </c>
      <c r="E955" s="95">
        <v>0.92844607030000004</v>
      </c>
      <c r="F955" s="18">
        <v>5106453.3899999997</v>
      </c>
      <c r="G955" s="18">
        <v>0.01</v>
      </c>
      <c r="H955" s="13"/>
      <c r="I955" s="13"/>
    </row>
    <row r="956" spans="1:9">
      <c r="A956" s="13" t="s">
        <v>1608</v>
      </c>
      <c r="B956" s="145" t="s">
        <v>856</v>
      </c>
      <c r="C956" s="145" t="s">
        <v>216</v>
      </c>
      <c r="D956" s="15">
        <v>5500000</v>
      </c>
      <c r="E956" s="95">
        <v>0.92435493540000002</v>
      </c>
      <c r="F956" s="18">
        <v>5083952.1399999997</v>
      </c>
      <c r="G956" s="18">
        <v>0.01</v>
      </c>
      <c r="H956" s="13"/>
      <c r="I956" s="13"/>
    </row>
    <row r="957" spans="1:9">
      <c r="A957" s="13" t="s">
        <v>1609</v>
      </c>
      <c r="B957" s="145" t="s">
        <v>624</v>
      </c>
      <c r="C957" s="145" t="s">
        <v>216</v>
      </c>
      <c r="D957" s="15">
        <v>40000000</v>
      </c>
      <c r="E957" s="95">
        <v>0.94802747519999997</v>
      </c>
      <c r="F957" s="18">
        <v>37921099.009999998</v>
      </c>
      <c r="G957" s="94">
        <v>0.1</v>
      </c>
      <c r="H957" s="13"/>
      <c r="I957" s="13"/>
    </row>
    <row r="958" spans="1:9">
      <c r="A958" s="13" t="s">
        <v>1610</v>
      </c>
      <c r="B958" s="145" t="s">
        <v>611</v>
      </c>
      <c r="C958" s="145" t="s">
        <v>216</v>
      </c>
      <c r="D958" s="15">
        <v>40000000</v>
      </c>
      <c r="E958" s="95">
        <v>0.94660134709999999</v>
      </c>
      <c r="F958" s="18">
        <v>37864053.880000003</v>
      </c>
      <c r="G958" s="94">
        <v>0.1</v>
      </c>
      <c r="H958" s="13"/>
      <c r="I958" s="13"/>
    </row>
    <row r="959" spans="1:9">
      <c r="A959" s="13" t="s">
        <v>1611</v>
      </c>
      <c r="B959" s="145" t="s">
        <v>626</v>
      </c>
      <c r="C959" s="145" t="s">
        <v>216</v>
      </c>
      <c r="D959" s="15">
        <v>30000000</v>
      </c>
      <c r="E959" s="95">
        <v>0.94376213490000005</v>
      </c>
      <c r="F959" s="18">
        <v>28312864.050000001</v>
      </c>
      <c r="G959" s="18">
        <v>7.0000000000000007E-2</v>
      </c>
      <c r="H959" s="13"/>
      <c r="I959" s="13"/>
    </row>
    <row r="960" spans="1:9">
      <c r="A960" s="13" t="s">
        <v>1612</v>
      </c>
      <c r="B960" s="145" t="s">
        <v>520</v>
      </c>
      <c r="C960" s="145" t="s">
        <v>216</v>
      </c>
      <c r="D960" s="15">
        <v>1200000</v>
      </c>
      <c r="E960" s="95">
        <v>0.95233132359999995</v>
      </c>
      <c r="F960" s="18">
        <v>1142797.5900000001</v>
      </c>
      <c r="G960" s="15">
        <v>0</v>
      </c>
      <c r="H960" s="13"/>
      <c r="I960" s="13"/>
    </row>
    <row r="961" spans="1:9">
      <c r="A961" s="13" t="s">
        <v>1613</v>
      </c>
      <c r="B961" s="145" t="s">
        <v>862</v>
      </c>
      <c r="C961" s="145" t="s">
        <v>216</v>
      </c>
      <c r="D961" s="15">
        <v>1200000</v>
      </c>
      <c r="E961" s="95">
        <v>0.95813110040000005</v>
      </c>
      <c r="F961" s="18">
        <v>1149757.32</v>
      </c>
      <c r="G961" s="15">
        <v>0</v>
      </c>
      <c r="H961" s="13"/>
      <c r="I961" s="13"/>
    </row>
    <row r="962" spans="1:9">
      <c r="A962" s="13" t="s">
        <v>1614</v>
      </c>
      <c r="B962" s="145" t="s">
        <v>614</v>
      </c>
      <c r="C962" s="145" t="s">
        <v>216</v>
      </c>
      <c r="D962" s="15">
        <v>1300000</v>
      </c>
      <c r="E962" s="95">
        <v>0.94305515549999996</v>
      </c>
      <c r="F962" s="94">
        <v>1225971.7</v>
      </c>
      <c r="G962" s="15">
        <v>0</v>
      </c>
      <c r="H962" s="13"/>
      <c r="I962" s="13"/>
    </row>
    <row r="963" spans="1:9">
      <c r="A963" s="13" t="s">
        <v>1615</v>
      </c>
      <c r="B963" s="145" t="s">
        <v>862</v>
      </c>
      <c r="C963" s="145" t="s">
        <v>216</v>
      </c>
      <c r="D963" s="15">
        <v>12500000</v>
      </c>
      <c r="E963" s="95">
        <v>0.95813110180000005</v>
      </c>
      <c r="F963" s="18">
        <v>11976638.77</v>
      </c>
      <c r="G963" s="18">
        <v>0.03</v>
      </c>
      <c r="H963" s="13"/>
      <c r="I963" s="13"/>
    </row>
    <row r="964" spans="1:9">
      <c r="A964" s="13" t="s">
        <v>1616</v>
      </c>
      <c r="B964" s="145" t="s">
        <v>513</v>
      </c>
      <c r="C964" s="145" t="s">
        <v>216</v>
      </c>
      <c r="D964" s="15">
        <v>12500000</v>
      </c>
      <c r="E964" s="95">
        <v>0.95305250990000001</v>
      </c>
      <c r="F964" s="18">
        <v>11913156.369999999</v>
      </c>
      <c r="G964" s="18">
        <v>0.03</v>
      </c>
      <c r="H964" s="13"/>
      <c r="I964" s="13"/>
    </row>
    <row r="965" spans="1:9">
      <c r="A965" s="13" t="s">
        <v>1617</v>
      </c>
      <c r="B965" s="145" t="s">
        <v>624</v>
      </c>
      <c r="C965" s="145" t="s">
        <v>216</v>
      </c>
      <c r="D965" s="15">
        <v>12500000</v>
      </c>
      <c r="E965" s="95">
        <v>0.94802747519999997</v>
      </c>
      <c r="F965" s="18">
        <v>11850343.439999999</v>
      </c>
      <c r="G965" s="18">
        <v>0.03</v>
      </c>
      <c r="H965" s="13"/>
      <c r="I965" s="13"/>
    </row>
    <row r="966" spans="1:9">
      <c r="A966" s="13" t="s">
        <v>1618</v>
      </c>
      <c r="B966" s="145" t="s">
        <v>745</v>
      </c>
      <c r="C966" s="145" t="s">
        <v>216</v>
      </c>
      <c r="D966" s="15">
        <v>11000000</v>
      </c>
      <c r="E966" s="95">
        <v>0.96845240840000002</v>
      </c>
      <c r="F966" s="18">
        <v>10652976.49</v>
      </c>
      <c r="G966" s="18">
        <v>0.03</v>
      </c>
      <c r="H966" s="13"/>
      <c r="I966" s="13"/>
    </row>
    <row r="967" spans="1:9">
      <c r="A967" s="13" t="s">
        <v>1619</v>
      </c>
      <c r="B967" s="145" t="s">
        <v>228</v>
      </c>
      <c r="C967" s="145" t="s">
        <v>216</v>
      </c>
      <c r="D967" s="15">
        <v>11000000</v>
      </c>
      <c r="E967" s="95">
        <v>0.96400194429999997</v>
      </c>
      <c r="F967" s="18">
        <v>10604021.390000001</v>
      </c>
      <c r="G967" s="18">
        <v>0.03</v>
      </c>
      <c r="H967" s="13"/>
      <c r="I967" s="13"/>
    </row>
    <row r="968" spans="1:9">
      <c r="A968" s="13" t="s">
        <v>1620</v>
      </c>
      <c r="B968" s="145" t="s">
        <v>614</v>
      </c>
      <c r="C968" s="145" t="s">
        <v>216</v>
      </c>
      <c r="D968" s="15">
        <v>12500000</v>
      </c>
      <c r="E968" s="95">
        <v>0.94305515179999999</v>
      </c>
      <c r="F968" s="94">
        <v>11788189.4</v>
      </c>
      <c r="G968" s="18">
        <v>0.03</v>
      </c>
      <c r="H968" s="13"/>
      <c r="I968" s="13"/>
    </row>
    <row r="969" spans="1:9">
      <c r="A969" s="13" t="s">
        <v>1621</v>
      </c>
      <c r="B969" s="145" t="s">
        <v>488</v>
      </c>
      <c r="C969" s="145" t="s">
        <v>216</v>
      </c>
      <c r="D969" s="15">
        <v>45000000</v>
      </c>
      <c r="E969" s="95">
        <v>0.98358902429999995</v>
      </c>
      <c r="F969" s="18">
        <v>44261506.090000004</v>
      </c>
      <c r="G969" s="18">
        <v>0.12</v>
      </c>
      <c r="H969" s="13"/>
      <c r="I969" s="13"/>
    </row>
    <row r="970" spans="1:9">
      <c r="A970" s="13" t="s">
        <v>1622</v>
      </c>
      <c r="B970" s="145" t="s">
        <v>515</v>
      </c>
      <c r="C970" s="145" t="s">
        <v>216</v>
      </c>
      <c r="D970" s="15">
        <v>50000000</v>
      </c>
      <c r="E970" s="95">
        <v>0.97445080989999999</v>
      </c>
      <c r="F970" s="94">
        <v>48722540.5</v>
      </c>
      <c r="G970" s="18">
        <v>0.13</v>
      </c>
      <c r="H970" s="13"/>
      <c r="I970" s="13"/>
    </row>
    <row r="971" spans="1:9">
      <c r="A971" s="13" t="s">
        <v>1623</v>
      </c>
      <c r="B971" s="145" t="s">
        <v>507</v>
      </c>
      <c r="C971" s="145" t="s">
        <v>216</v>
      </c>
      <c r="D971" s="15">
        <v>50000000</v>
      </c>
      <c r="E971" s="95">
        <v>0.96994517209999997</v>
      </c>
      <c r="F971" s="18">
        <v>48497258.609999999</v>
      </c>
      <c r="G971" s="18">
        <v>0.13</v>
      </c>
      <c r="H971" s="13"/>
      <c r="I971" s="13"/>
    </row>
    <row r="972" spans="1:9">
      <c r="A972" s="13" t="s">
        <v>1624</v>
      </c>
      <c r="B972" s="145" t="s">
        <v>745</v>
      </c>
      <c r="C972" s="145" t="s">
        <v>216</v>
      </c>
      <c r="D972" s="15">
        <v>50000000</v>
      </c>
      <c r="E972" s="95">
        <v>0.96845240840000002</v>
      </c>
      <c r="F972" s="18">
        <v>48422620.420000002</v>
      </c>
      <c r="G972" s="18">
        <v>0.13</v>
      </c>
      <c r="H972" s="13"/>
      <c r="I972" s="13"/>
    </row>
    <row r="973" spans="1:9">
      <c r="A973" s="13" t="s">
        <v>1625</v>
      </c>
      <c r="B973" s="145" t="s">
        <v>770</v>
      </c>
      <c r="C973" s="145" t="s">
        <v>216</v>
      </c>
      <c r="D973" s="15">
        <v>50000000</v>
      </c>
      <c r="E973" s="95">
        <v>0.97976064740000002</v>
      </c>
      <c r="F973" s="18">
        <v>48988032.369999997</v>
      </c>
      <c r="G973" s="18">
        <v>0.13</v>
      </c>
      <c r="H973" s="13"/>
      <c r="I973" s="13"/>
    </row>
    <row r="974" spans="1:9">
      <c r="A974" s="13" t="s">
        <v>1626</v>
      </c>
      <c r="B974" s="145" t="s">
        <v>524</v>
      </c>
      <c r="C974" s="145" t="s">
        <v>216</v>
      </c>
      <c r="D974" s="15">
        <v>50000000</v>
      </c>
      <c r="E974" s="95">
        <v>0.97294416110000004</v>
      </c>
      <c r="F974" s="18">
        <v>48647208.060000002</v>
      </c>
      <c r="G974" s="18">
        <v>0.13</v>
      </c>
      <c r="H974" s="13"/>
      <c r="I974" s="13"/>
    </row>
    <row r="975" spans="1:9">
      <c r="A975" s="13" t="s">
        <v>1627</v>
      </c>
      <c r="B975" s="145" t="s">
        <v>413</v>
      </c>
      <c r="C975" s="145" t="s">
        <v>216</v>
      </c>
      <c r="D975" s="15">
        <v>20000000</v>
      </c>
      <c r="E975" s="95">
        <v>0.92218306780000003</v>
      </c>
      <c r="F975" s="18">
        <v>18443661.359999999</v>
      </c>
      <c r="G975" s="18">
        <v>0.05</v>
      </c>
      <c r="H975" s="13"/>
      <c r="I975" s="13"/>
    </row>
    <row r="976" spans="1:9">
      <c r="A976" s="13" t="s">
        <v>1628</v>
      </c>
      <c r="B976" s="145" t="s">
        <v>626</v>
      </c>
      <c r="C976" s="145" t="s">
        <v>216</v>
      </c>
      <c r="D976" s="15">
        <v>20000000</v>
      </c>
      <c r="E976" s="95">
        <v>0.92405065220000004</v>
      </c>
      <c r="F976" s="18">
        <v>18481013.039999999</v>
      </c>
      <c r="G976" s="18">
        <v>0.05</v>
      </c>
      <c r="H976" s="13"/>
      <c r="I976" s="13"/>
    </row>
    <row r="977" spans="1:9">
      <c r="A977" s="13" t="s">
        <v>1629</v>
      </c>
      <c r="B977" s="145" t="s">
        <v>524</v>
      </c>
      <c r="C977" s="145" t="s">
        <v>216</v>
      </c>
      <c r="D977" s="15">
        <v>127500000</v>
      </c>
      <c r="E977" s="95">
        <v>0.96217214370000004</v>
      </c>
      <c r="F977" s="18">
        <v>122676948.31999999</v>
      </c>
      <c r="G977" s="18">
        <v>0.32</v>
      </c>
      <c r="H977" s="13"/>
      <c r="I977" s="13"/>
    </row>
    <row r="978" spans="1:9">
      <c r="A978" s="13" t="s">
        <v>1630</v>
      </c>
      <c r="B978" s="145" t="s">
        <v>524</v>
      </c>
      <c r="C978" s="145" t="s">
        <v>400</v>
      </c>
      <c r="D978" s="15">
        <v>128500000</v>
      </c>
      <c r="E978" s="95">
        <v>0.96217221639999995</v>
      </c>
      <c r="F978" s="18">
        <v>123639129.81</v>
      </c>
      <c r="G978" s="18">
        <v>0.33</v>
      </c>
      <c r="H978" s="13"/>
      <c r="I978" s="13"/>
    </row>
    <row r="979" spans="1:9">
      <c r="A979" s="13" t="s">
        <v>1631</v>
      </c>
      <c r="B979" s="145" t="s">
        <v>501</v>
      </c>
      <c r="C979" s="145" t="s">
        <v>400</v>
      </c>
      <c r="D979" s="15">
        <v>16000000</v>
      </c>
      <c r="E979" s="95">
        <v>0.97976071819999999</v>
      </c>
      <c r="F979" s="18">
        <v>15676171.49</v>
      </c>
      <c r="G979" s="18">
        <v>0.04</v>
      </c>
      <c r="H979" s="13"/>
      <c r="I979" s="13"/>
    </row>
    <row r="980" spans="1:9">
      <c r="A980" s="13" t="s">
        <v>1632</v>
      </c>
      <c r="B980" s="145" t="s">
        <v>474</v>
      </c>
      <c r="C980" s="145" t="s">
        <v>400</v>
      </c>
      <c r="D980" s="15">
        <v>200000000</v>
      </c>
      <c r="E980" s="95">
        <v>0.96571079950000005</v>
      </c>
      <c r="F980" s="94">
        <v>193142159.90000001</v>
      </c>
      <c r="G980" s="18">
        <v>0.51</v>
      </c>
      <c r="H980" s="13"/>
      <c r="I980" s="13"/>
    </row>
    <row r="981" spans="1:9">
      <c r="A981" s="13" t="s">
        <v>1633</v>
      </c>
      <c r="B981" s="145" t="s">
        <v>549</v>
      </c>
      <c r="C981" s="145" t="s">
        <v>400</v>
      </c>
      <c r="D981" s="15">
        <v>15000000</v>
      </c>
      <c r="E981" s="95">
        <v>0.94662599589999996</v>
      </c>
      <c r="F981" s="18">
        <v>14199389.939999999</v>
      </c>
      <c r="G981" s="18">
        <v>0.04</v>
      </c>
      <c r="H981" s="13"/>
      <c r="I981" s="13"/>
    </row>
    <row r="982" spans="1:9">
      <c r="A982" s="13" t="s">
        <v>1634</v>
      </c>
      <c r="B982" s="145" t="s">
        <v>474</v>
      </c>
      <c r="C982" s="145" t="s">
        <v>400</v>
      </c>
      <c r="D982" s="15">
        <v>15000000</v>
      </c>
      <c r="E982" s="95">
        <v>0.9476583287</v>
      </c>
      <c r="F982" s="18">
        <v>14214874.93</v>
      </c>
      <c r="G982" s="18">
        <v>0.04</v>
      </c>
      <c r="H982" s="13"/>
      <c r="I982" s="13"/>
    </row>
    <row r="983" spans="1:9">
      <c r="A983" s="13" t="s">
        <v>1635</v>
      </c>
      <c r="B983" s="145" t="s">
        <v>228</v>
      </c>
      <c r="C983" s="145" t="s">
        <v>400</v>
      </c>
      <c r="D983" s="15">
        <v>8200000</v>
      </c>
      <c r="E983" s="95">
        <v>0.96280665089999995</v>
      </c>
      <c r="F983" s="18">
        <v>7895014.54</v>
      </c>
      <c r="G983" s="18">
        <v>0.02</v>
      </c>
      <c r="H983" s="13"/>
      <c r="I983" s="13"/>
    </row>
    <row r="984" spans="1:9">
      <c r="A984" s="13" t="s">
        <v>1636</v>
      </c>
      <c r="B984" s="145" t="s">
        <v>520</v>
      </c>
      <c r="C984" s="145" t="s">
        <v>400</v>
      </c>
      <c r="D984" s="15">
        <v>14700000</v>
      </c>
      <c r="E984" s="95">
        <v>0.95076856809999999</v>
      </c>
      <c r="F984" s="18">
        <v>13976297.949999999</v>
      </c>
      <c r="G984" s="18">
        <v>0.04</v>
      </c>
      <c r="H984" s="13"/>
      <c r="I984" s="13"/>
    </row>
    <row r="985" spans="1:9">
      <c r="A985" s="13" t="s">
        <v>1637</v>
      </c>
      <c r="B985" s="145" t="s">
        <v>230</v>
      </c>
      <c r="C985" s="145" t="s">
        <v>400</v>
      </c>
      <c r="D985" s="15">
        <v>10000000</v>
      </c>
      <c r="E985" s="95">
        <v>0.98260929050000001</v>
      </c>
      <c r="F985" s="18">
        <v>9826092.9100000001</v>
      </c>
      <c r="G985" s="18">
        <v>0.03</v>
      </c>
      <c r="H985" s="13"/>
      <c r="I985" s="13"/>
    </row>
    <row r="986" spans="1:9">
      <c r="A986" s="13" t="s">
        <v>1638</v>
      </c>
      <c r="B986" s="145" t="s">
        <v>474</v>
      </c>
      <c r="C986" s="145" t="s">
        <v>400</v>
      </c>
      <c r="D986" s="15">
        <v>10000000</v>
      </c>
      <c r="E986" s="95">
        <v>0.9572014767</v>
      </c>
      <c r="F986" s="18">
        <v>9572014.7699999996</v>
      </c>
      <c r="G986" s="18">
        <v>0.03</v>
      </c>
      <c r="H986" s="13"/>
      <c r="I986" s="13"/>
    </row>
    <row r="987" spans="1:9">
      <c r="A987" s="13" t="s">
        <v>1639</v>
      </c>
      <c r="B987" s="145" t="s">
        <v>509</v>
      </c>
      <c r="C987" s="145" t="s">
        <v>400</v>
      </c>
      <c r="D987" s="15">
        <v>5000000</v>
      </c>
      <c r="E987" s="95">
        <v>0.93226412489999999</v>
      </c>
      <c r="F987" s="18">
        <v>4661320.62</v>
      </c>
      <c r="G987" s="18">
        <v>0.01</v>
      </c>
      <c r="H987" s="13"/>
      <c r="I987" s="13"/>
    </row>
    <row r="988" spans="1:9">
      <c r="A988" s="13" t="s">
        <v>1640</v>
      </c>
      <c r="B988" s="145" t="s">
        <v>479</v>
      </c>
      <c r="C988" s="145" t="s">
        <v>400</v>
      </c>
      <c r="D988" s="15">
        <v>100000000</v>
      </c>
      <c r="E988" s="95">
        <v>0.99563563649999998</v>
      </c>
      <c r="F988" s="18">
        <v>99563563.650000006</v>
      </c>
      <c r="G988" s="18">
        <v>0.26</v>
      </c>
      <c r="H988" s="13"/>
      <c r="I988" s="13"/>
    </row>
    <row r="989" spans="1:9">
      <c r="A989" s="13" t="s">
        <v>1641</v>
      </c>
      <c r="B989" s="145" t="s">
        <v>230</v>
      </c>
      <c r="C989" s="145" t="s">
        <v>400</v>
      </c>
      <c r="D989" s="15">
        <v>100000000</v>
      </c>
      <c r="E989" s="95">
        <v>0.97960293809999999</v>
      </c>
      <c r="F989" s="18">
        <v>97960293.810000002</v>
      </c>
      <c r="G989" s="18">
        <v>0.26</v>
      </c>
      <c r="H989" s="13"/>
      <c r="I989" s="13"/>
    </row>
    <row r="990" spans="1:9">
      <c r="A990" s="13" t="s">
        <v>1642</v>
      </c>
      <c r="B990" s="145" t="s">
        <v>794</v>
      </c>
      <c r="C990" s="145" t="s">
        <v>400</v>
      </c>
      <c r="D990" s="15">
        <v>16800000</v>
      </c>
      <c r="E990" s="95">
        <v>0.92433148129999998</v>
      </c>
      <c r="F990" s="18">
        <v>15528768.890000001</v>
      </c>
      <c r="G990" s="18">
        <v>0.04</v>
      </c>
      <c r="H990" s="13"/>
      <c r="I990" s="13"/>
    </row>
    <row r="991" spans="1:9">
      <c r="A991" s="13" t="s">
        <v>1646</v>
      </c>
      <c r="B991" s="145" t="s">
        <v>1394</v>
      </c>
      <c r="C991" s="145" t="s">
        <v>428</v>
      </c>
      <c r="D991" s="15">
        <v>17118303</v>
      </c>
      <c r="E991" s="95">
        <v>0.87366562650000001</v>
      </c>
      <c r="F991" s="18">
        <v>14955672.92</v>
      </c>
      <c r="G991" s="18">
        <v>0.04</v>
      </c>
      <c r="H991" s="13"/>
      <c r="I991" s="13"/>
    </row>
    <row r="992" spans="1:9">
      <c r="A992" s="13" t="s">
        <v>1647</v>
      </c>
      <c r="B992" s="145" t="s">
        <v>511</v>
      </c>
      <c r="C992" s="145" t="s">
        <v>428</v>
      </c>
      <c r="D992" s="15">
        <v>1040000</v>
      </c>
      <c r="E992" s="96">
        <v>0.92969965099999996</v>
      </c>
      <c r="F992" s="18">
        <v>966887.64</v>
      </c>
      <c r="G992" s="15">
        <v>0</v>
      </c>
      <c r="H992" s="13"/>
      <c r="I992" s="13"/>
    </row>
    <row r="993" spans="1:9">
      <c r="A993" s="13" t="s">
        <v>1648</v>
      </c>
      <c r="B993" s="145" t="s">
        <v>1163</v>
      </c>
      <c r="C993" s="145" t="s">
        <v>428</v>
      </c>
      <c r="D993" s="15">
        <v>1040000</v>
      </c>
      <c r="E993" s="95">
        <v>0.92125204530000004</v>
      </c>
      <c r="F993" s="18">
        <v>958102.13</v>
      </c>
      <c r="G993" s="15">
        <v>0</v>
      </c>
      <c r="H993" s="13"/>
      <c r="I993" s="13"/>
    </row>
    <row r="994" spans="1:9">
      <c r="A994" s="13" t="s">
        <v>1649</v>
      </c>
      <c r="B994" s="145" t="s">
        <v>1091</v>
      </c>
      <c r="C994" s="145" t="s">
        <v>428</v>
      </c>
      <c r="D994" s="15">
        <v>1040000</v>
      </c>
      <c r="E994" s="95">
        <v>0.92545646989999997</v>
      </c>
      <c r="F994" s="18">
        <v>962474.73</v>
      </c>
      <c r="G994" s="15">
        <v>0</v>
      </c>
      <c r="H994" s="13"/>
      <c r="I994" s="13"/>
    </row>
    <row r="995" spans="1:9">
      <c r="A995" s="13" t="s">
        <v>1650</v>
      </c>
      <c r="B995" s="145" t="s">
        <v>614</v>
      </c>
      <c r="C995" s="145" t="s">
        <v>428</v>
      </c>
      <c r="D995" s="15">
        <v>1040000</v>
      </c>
      <c r="E995" s="95">
        <v>0.94120690350000002</v>
      </c>
      <c r="F995" s="18">
        <v>978855.18</v>
      </c>
      <c r="G995" s="15">
        <v>0</v>
      </c>
      <c r="H995" s="13"/>
      <c r="I995" s="13"/>
    </row>
    <row r="996" spans="1:9">
      <c r="A996" s="13" t="s">
        <v>1651</v>
      </c>
      <c r="B996" s="145" t="s">
        <v>611</v>
      </c>
      <c r="C996" s="145" t="s">
        <v>428</v>
      </c>
      <c r="D996" s="15">
        <v>1040000</v>
      </c>
      <c r="E996" s="95">
        <v>0.9448616594</v>
      </c>
      <c r="F996" s="18">
        <v>982656.13</v>
      </c>
      <c r="G996" s="15">
        <v>0</v>
      </c>
      <c r="H996" s="13"/>
      <c r="I996" s="13"/>
    </row>
    <row r="997" spans="1:9">
      <c r="A997" s="13" t="s">
        <v>1652</v>
      </c>
      <c r="B997" s="145" t="s">
        <v>1542</v>
      </c>
      <c r="C997" s="145" t="s">
        <v>428</v>
      </c>
      <c r="D997" s="15">
        <v>1040000</v>
      </c>
      <c r="E997" s="95">
        <v>0.93254983790000001</v>
      </c>
      <c r="F997" s="18">
        <v>969851.83</v>
      </c>
      <c r="G997" s="15">
        <v>0</v>
      </c>
      <c r="H997" s="13"/>
      <c r="I997" s="13"/>
    </row>
    <row r="998" spans="1:9">
      <c r="A998" s="13" t="s">
        <v>1653</v>
      </c>
      <c r="B998" s="145" t="s">
        <v>626</v>
      </c>
      <c r="C998" s="145" t="s">
        <v>428</v>
      </c>
      <c r="D998" s="15">
        <v>1040000</v>
      </c>
      <c r="E998" s="95">
        <v>0.94193562610000003</v>
      </c>
      <c r="F998" s="18">
        <v>979613.05</v>
      </c>
      <c r="G998" s="15">
        <v>0</v>
      </c>
      <c r="H998" s="13"/>
      <c r="I998" s="13"/>
    </row>
    <row r="999" spans="1:9">
      <c r="A999" s="13" t="s">
        <v>1654</v>
      </c>
      <c r="B999" s="145" t="s">
        <v>509</v>
      </c>
      <c r="C999" s="145" t="s">
        <v>428</v>
      </c>
      <c r="D999" s="15">
        <v>1040000</v>
      </c>
      <c r="E999" s="95">
        <v>0.93975300390000005</v>
      </c>
      <c r="F999" s="18">
        <v>977343.12</v>
      </c>
      <c r="G999" s="15">
        <v>0</v>
      </c>
      <c r="H999" s="13"/>
      <c r="I999" s="13"/>
    </row>
    <row r="1000" spans="1:9">
      <c r="A1000" s="13" t="s">
        <v>1655</v>
      </c>
      <c r="B1000" s="145" t="s">
        <v>1091</v>
      </c>
      <c r="C1000" s="145" t="s">
        <v>428</v>
      </c>
      <c r="D1000" s="15">
        <v>1040000</v>
      </c>
      <c r="E1000" s="95">
        <v>0.92545646989999997</v>
      </c>
      <c r="F1000" s="18">
        <v>962474.73</v>
      </c>
      <c r="G1000" s="15">
        <v>0</v>
      </c>
      <c r="H1000" s="13"/>
      <c r="I1000" s="13"/>
    </row>
    <row r="1001" spans="1:9">
      <c r="A1001" s="13" t="s">
        <v>1656</v>
      </c>
      <c r="B1001" s="145" t="s">
        <v>509</v>
      </c>
      <c r="C1001" s="145" t="s">
        <v>428</v>
      </c>
      <c r="D1001" s="15">
        <v>5000000</v>
      </c>
      <c r="E1001" s="95">
        <v>0.9416440505</v>
      </c>
      <c r="F1001" s="18">
        <v>4708220.25</v>
      </c>
      <c r="G1001" s="18">
        <v>0.01</v>
      </c>
      <c r="H1001" s="13"/>
      <c r="I1001" s="13"/>
    </row>
    <row r="1002" spans="1:9">
      <c r="A1002" s="13" t="s">
        <v>1657</v>
      </c>
      <c r="B1002" s="145" t="s">
        <v>413</v>
      </c>
      <c r="C1002" s="145" t="s">
        <v>428</v>
      </c>
      <c r="D1002" s="15">
        <v>5000000</v>
      </c>
      <c r="E1002" s="95">
        <v>0.94234891639999996</v>
      </c>
      <c r="F1002" s="18">
        <v>4711744.58</v>
      </c>
      <c r="G1002" s="18">
        <v>0.01</v>
      </c>
      <c r="H1002" s="13"/>
      <c r="I1002" s="13"/>
    </row>
    <row r="1003" spans="1:9">
      <c r="A1003" s="13" t="s">
        <v>1658</v>
      </c>
      <c r="B1003" s="145" t="s">
        <v>614</v>
      </c>
      <c r="C1003" s="145" t="s">
        <v>428</v>
      </c>
      <c r="D1003" s="15">
        <v>5000000</v>
      </c>
      <c r="E1003" s="95">
        <v>0.94305505730000005</v>
      </c>
      <c r="F1003" s="18">
        <v>4715275.29</v>
      </c>
      <c r="G1003" s="18">
        <v>0.01</v>
      </c>
      <c r="H1003" s="13"/>
      <c r="I1003" s="13"/>
    </row>
    <row r="1004" spans="1:9">
      <c r="A1004" s="13" t="s">
        <v>1659</v>
      </c>
      <c r="B1004" s="145" t="s">
        <v>611</v>
      </c>
      <c r="C1004" s="145" t="s">
        <v>428</v>
      </c>
      <c r="D1004" s="15">
        <v>5000000</v>
      </c>
      <c r="E1004" s="95">
        <v>0.94660146909999998</v>
      </c>
      <c r="F1004" s="18">
        <v>4733007.3499999996</v>
      </c>
      <c r="G1004" s="18">
        <v>0.01</v>
      </c>
      <c r="H1004" s="13"/>
      <c r="I1004" s="13"/>
    </row>
    <row r="1005" spans="1:9">
      <c r="A1005" s="13" t="s">
        <v>1660</v>
      </c>
      <c r="B1005" s="145" t="s">
        <v>1166</v>
      </c>
      <c r="C1005" s="145" t="s">
        <v>428</v>
      </c>
      <c r="D1005" s="15">
        <v>5000000</v>
      </c>
      <c r="E1005" s="95">
        <v>0.94731399490000001</v>
      </c>
      <c r="F1005" s="18">
        <v>4736569.97</v>
      </c>
      <c r="G1005" s="18">
        <v>0.01</v>
      </c>
      <c r="H1005" s="13"/>
      <c r="I1005" s="13"/>
    </row>
    <row r="1006" spans="1:9">
      <c r="A1006" s="13" t="s">
        <v>1661</v>
      </c>
      <c r="B1006" s="145" t="s">
        <v>609</v>
      </c>
      <c r="C1006" s="145" t="s">
        <v>428</v>
      </c>
      <c r="D1006" s="15">
        <v>5000000</v>
      </c>
      <c r="E1006" s="96">
        <v>0.94945781399999996</v>
      </c>
      <c r="F1006" s="18">
        <v>4747289.07</v>
      </c>
      <c r="G1006" s="18">
        <v>0.01</v>
      </c>
      <c r="H1006" s="13"/>
      <c r="I1006" s="13"/>
    </row>
    <row r="1007" spans="1:9">
      <c r="A1007" s="13" t="s">
        <v>1662</v>
      </c>
      <c r="B1007" s="145" t="s">
        <v>513</v>
      </c>
      <c r="C1007" s="145" t="s">
        <v>428</v>
      </c>
      <c r="D1007" s="15">
        <v>5000000</v>
      </c>
      <c r="E1007" s="95">
        <v>0.95305241569999999</v>
      </c>
      <c r="F1007" s="18">
        <v>4765262.08</v>
      </c>
      <c r="G1007" s="18">
        <v>0.01</v>
      </c>
      <c r="H1007" s="13"/>
      <c r="I1007" s="13"/>
    </row>
    <row r="1008" spans="1:9">
      <c r="A1008" s="13" t="s">
        <v>1663</v>
      </c>
      <c r="B1008" s="145" t="s">
        <v>862</v>
      </c>
      <c r="C1008" s="145" t="s">
        <v>428</v>
      </c>
      <c r="D1008" s="15">
        <v>5000000</v>
      </c>
      <c r="E1008" s="95">
        <v>0.95813100910000004</v>
      </c>
      <c r="F1008" s="18">
        <v>4790655.05</v>
      </c>
      <c r="G1008" s="18">
        <v>0.01</v>
      </c>
      <c r="H1008" s="13"/>
      <c r="I1008" s="13"/>
    </row>
    <row r="1009" spans="1:9">
      <c r="A1009" s="13" t="s">
        <v>1664</v>
      </c>
      <c r="B1009" s="145" t="s">
        <v>805</v>
      </c>
      <c r="C1009" s="145" t="s">
        <v>428</v>
      </c>
      <c r="D1009" s="15">
        <v>5000000</v>
      </c>
      <c r="E1009" s="95">
        <v>0.95886100470000002</v>
      </c>
      <c r="F1009" s="18">
        <v>4794305.0199999996</v>
      </c>
      <c r="G1009" s="18">
        <v>0.01</v>
      </c>
      <c r="H1009" s="13"/>
      <c r="I1009" s="13"/>
    </row>
    <row r="1010" spans="1:9">
      <c r="A1010" s="13" t="s">
        <v>1665</v>
      </c>
      <c r="B1010" s="145" t="s">
        <v>597</v>
      </c>
      <c r="C1010" s="145" t="s">
        <v>428</v>
      </c>
      <c r="D1010" s="15">
        <v>5000000</v>
      </c>
      <c r="E1010" s="95">
        <v>0.96179192889999998</v>
      </c>
      <c r="F1010" s="18">
        <v>4808959.6399999997</v>
      </c>
      <c r="G1010" s="18">
        <v>0.01</v>
      </c>
      <c r="H1010" s="13"/>
      <c r="I1010" s="13"/>
    </row>
    <row r="1011" spans="1:9">
      <c r="A1011" s="13" t="s">
        <v>1666</v>
      </c>
      <c r="B1011" s="145" t="s">
        <v>1054</v>
      </c>
      <c r="C1011" s="145" t="s">
        <v>428</v>
      </c>
      <c r="D1011" s="15">
        <v>5000000</v>
      </c>
      <c r="E1011" s="95">
        <v>0.9150163415</v>
      </c>
      <c r="F1011" s="18">
        <v>4575081.71</v>
      </c>
      <c r="G1011" s="18">
        <v>0.01</v>
      </c>
      <c r="H1011" s="13"/>
      <c r="I1011" s="13"/>
    </row>
    <row r="1012" spans="1:9">
      <c r="A1012" s="13" t="s">
        <v>1667</v>
      </c>
      <c r="B1012" s="145" t="s">
        <v>580</v>
      </c>
      <c r="C1012" s="145" t="s">
        <v>428</v>
      </c>
      <c r="D1012" s="15">
        <v>40000000</v>
      </c>
      <c r="E1012" s="95">
        <v>0.92232276430000004</v>
      </c>
      <c r="F1012" s="18">
        <v>36892910.57</v>
      </c>
      <c r="G1012" s="94">
        <v>0.1</v>
      </c>
      <c r="H1012" s="13"/>
      <c r="I1012" s="13"/>
    </row>
    <row r="1013" spans="1:9">
      <c r="A1013" s="13" t="s">
        <v>1668</v>
      </c>
      <c r="B1013" s="145" t="s">
        <v>1462</v>
      </c>
      <c r="C1013" s="145" t="s">
        <v>428</v>
      </c>
      <c r="D1013" s="15">
        <v>40000000</v>
      </c>
      <c r="E1013" s="95">
        <v>0.92299920069999997</v>
      </c>
      <c r="F1013" s="18">
        <v>36919968.030000001</v>
      </c>
      <c r="G1013" s="94">
        <v>0.1</v>
      </c>
      <c r="H1013" s="13"/>
      <c r="I1013" s="13"/>
    </row>
    <row r="1014" spans="1:9">
      <c r="A1014" s="13" t="s">
        <v>1669</v>
      </c>
      <c r="B1014" s="145" t="s">
        <v>1095</v>
      </c>
      <c r="C1014" s="145" t="s">
        <v>428</v>
      </c>
      <c r="D1014" s="18">
        <v>11923076.92</v>
      </c>
      <c r="E1014" s="95">
        <v>0.9250342614</v>
      </c>
      <c r="F1014" s="18">
        <v>11029254.65</v>
      </c>
      <c r="G1014" s="18">
        <v>0.03</v>
      </c>
      <c r="H1014" s="13"/>
      <c r="I1014" s="13"/>
    </row>
    <row r="1015" spans="1:9">
      <c r="A1015" s="13" t="s">
        <v>1670</v>
      </c>
      <c r="B1015" s="145" t="s">
        <v>1117</v>
      </c>
      <c r="C1015" s="145" t="s">
        <v>428</v>
      </c>
      <c r="D1015" s="18">
        <v>11923076.92</v>
      </c>
      <c r="E1015" s="95">
        <v>0.91494750869999997</v>
      </c>
      <c r="F1015" s="18">
        <v>10908989.52</v>
      </c>
      <c r="G1015" s="18">
        <v>0.03</v>
      </c>
      <c r="H1015" s="13"/>
      <c r="I1015" s="13"/>
    </row>
    <row r="1016" spans="1:9">
      <c r="A1016" s="13" t="s">
        <v>1671</v>
      </c>
      <c r="B1016" s="145" t="s">
        <v>856</v>
      </c>
      <c r="C1016" s="145" t="s">
        <v>428</v>
      </c>
      <c r="D1016" s="15">
        <v>40000000</v>
      </c>
      <c r="E1016" s="95">
        <v>0.92435505829999998</v>
      </c>
      <c r="F1016" s="18">
        <v>36974202.329999998</v>
      </c>
      <c r="G1016" s="94">
        <v>0.1</v>
      </c>
      <c r="H1016" s="13"/>
      <c r="I1016" s="13"/>
    </row>
    <row r="1017" spans="1:9">
      <c r="A1017" s="13" t="s">
        <v>1672</v>
      </c>
      <c r="B1017" s="145" t="s">
        <v>230</v>
      </c>
      <c r="C1017" s="145" t="s">
        <v>428</v>
      </c>
      <c r="D1017" s="15">
        <v>11000000</v>
      </c>
      <c r="E1017" s="95">
        <v>0.9861401501</v>
      </c>
      <c r="F1017" s="18">
        <v>10847541.65</v>
      </c>
      <c r="G1017" s="18">
        <v>0.03</v>
      </c>
      <c r="H1017" s="13"/>
      <c r="I1017" s="13"/>
    </row>
    <row r="1018" spans="1:9">
      <c r="A1018" s="13" t="s">
        <v>1673</v>
      </c>
      <c r="B1018" s="145" t="s">
        <v>770</v>
      </c>
      <c r="C1018" s="145" t="s">
        <v>428</v>
      </c>
      <c r="D1018" s="15">
        <v>15200000</v>
      </c>
      <c r="E1018" s="95">
        <v>0.98113005360000005</v>
      </c>
      <c r="F1018" s="18">
        <v>14913176.810000001</v>
      </c>
      <c r="G1018" s="18">
        <v>0.04</v>
      </c>
      <c r="H1018" s="13"/>
      <c r="I1018" s="13"/>
    </row>
    <row r="1019" spans="1:9">
      <c r="A1019" s="13" t="s">
        <v>1674</v>
      </c>
      <c r="B1019" s="145" t="s">
        <v>450</v>
      </c>
      <c r="C1019" s="145" t="s">
        <v>428</v>
      </c>
      <c r="D1019" s="15">
        <v>15200000</v>
      </c>
      <c r="E1019" s="95">
        <v>0.98542127170000005</v>
      </c>
      <c r="F1019" s="18">
        <v>14978403.33</v>
      </c>
      <c r="G1019" s="18">
        <v>0.04</v>
      </c>
      <c r="H1019" s="13"/>
      <c r="I1019" s="13"/>
    </row>
    <row r="1020" spans="1:9">
      <c r="A1020" s="13" t="s">
        <v>1675</v>
      </c>
      <c r="B1020" s="145" t="s">
        <v>226</v>
      </c>
      <c r="C1020" s="145" t="s">
        <v>428</v>
      </c>
      <c r="D1020" s="15">
        <v>15200000</v>
      </c>
      <c r="E1020" s="95">
        <v>0.97546650729999995</v>
      </c>
      <c r="F1020" s="18">
        <v>14827090.91</v>
      </c>
      <c r="G1020" s="18">
        <v>0.04</v>
      </c>
      <c r="H1020" s="13"/>
      <c r="I1020" s="13"/>
    </row>
    <row r="1021" spans="1:9">
      <c r="A1021" s="13" t="s">
        <v>1676</v>
      </c>
      <c r="B1021" s="145" t="s">
        <v>535</v>
      </c>
      <c r="C1021" s="145" t="s">
        <v>428</v>
      </c>
      <c r="D1021" s="15">
        <v>15200000</v>
      </c>
      <c r="E1021" s="95">
        <v>0.97970805189999999</v>
      </c>
      <c r="F1021" s="18">
        <v>14891562.390000001</v>
      </c>
      <c r="G1021" s="18">
        <v>0.04</v>
      </c>
      <c r="H1021" s="13"/>
      <c r="I1021" s="13"/>
    </row>
    <row r="1022" spans="1:9">
      <c r="A1022" s="13" t="s">
        <v>1677</v>
      </c>
      <c r="B1022" s="145" t="s">
        <v>524</v>
      </c>
      <c r="C1022" s="145" t="s">
        <v>428</v>
      </c>
      <c r="D1022" s="15">
        <v>15200000</v>
      </c>
      <c r="E1022" s="95">
        <v>0.97476309139999995</v>
      </c>
      <c r="F1022" s="18">
        <v>14816398.99</v>
      </c>
      <c r="G1022" s="18">
        <v>0.04</v>
      </c>
      <c r="H1022" s="13"/>
      <c r="I1022" s="13"/>
    </row>
    <row r="1023" spans="1:9">
      <c r="A1023" s="13" t="s">
        <v>1678</v>
      </c>
      <c r="B1023" s="145" t="s">
        <v>611</v>
      </c>
      <c r="C1023" s="145" t="s">
        <v>428</v>
      </c>
      <c r="D1023" s="94">
        <v>6013017.5</v>
      </c>
      <c r="E1023" s="95">
        <v>0.94486166640000002</v>
      </c>
      <c r="F1023" s="18">
        <v>5681469.7400000002</v>
      </c>
      <c r="G1023" s="18">
        <v>0.01</v>
      </c>
      <c r="H1023" s="13"/>
      <c r="I1023" s="13"/>
    </row>
    <row r="1024" spans="1:9">
      <c r="A1024" s="13" t="s">
        <v>1679</v>
      </c>
      <c r="B1024" s="145" t="s">
        <v>611</v>
      </c>
      <c r="C1024" s="145" t="s">
        <v>428</v>
      </c>
      <c r="D1024" s="94">
        <v>6013017.5</v>
      </c>
      <c r="E1024" s="95">
        <v>0.94486166640000002</v>
      </c>
      <c r="F1024" s="18">
        <v>5681469.7400000002</v>
      </c>
      <c r="G1024" s="18">
        <v>0.01</v>
      </c>
      <c r="H1024" s="13"/>
      <c r="I1024" s="13"/>
    </row>
    <row r="1025" spans="1:9">
      <c r="A1025" s="13" t="s">
        <v>1680</v>
      </c>
      <c r="B1025" s="145" t="s">
        <v>611</v>
      </c>
      <c r="C1025" s="145" t="s">
        <v>428</v>
      </c>
      <c r="D1025" s="94">
        <v>6013017.5</v>
      </c>
      <c r="E1025" s="95">
        <v>0.94486166640000002</v>
      </c>
      <c r="F1025" s="18">
        <v>5681469.7400000002</v>
      </c>
      <c r="G1025" s="18">
        <v>0.01</v>
      </c>
      <c r="H1025" s="13"/>
      <c r="I1025" s="13"/>
    </row>
    <row r="1026" spans="1:9">
      <c r="A1026" s="13" t="s">
        <v>1681</v>
      </c>
      <c r="B1026" s="145" t="s">
        <v>1204</v>
      </c>
      <c r="C1026" s="145" t="s">
        <v>428</v>
      </c>
      <c r="D1026" s="15">
        <v>35000000</v>
      </c>
      <c r="E1026" s="95">
        <v>0.92283582409999998</v>
      </c>
      <c r="F1026" s="18">
        <v>32299253.84</v>
      </c>
      <c r="G1026" s="18">
        <v>0.09</v>
      </c>
      <c r="H1026" s="13"/>
      <c r="I1026" s="13"/>
    </row>
    <row r="1027" spans="1:9">
      <c r="A1027" s="13" t="s">
        <v>1682</v>
      </c>
      <c r="B1027" s="145" t="s">
        <v>1409</v>
      </c>
      <c r="C1027" s="145" t="s">
        <v>428</v>
      </c>
      <c r="D1027" s="15">
        <v>35000000</v>
      </c>
      <c r="E1027" s="95">
        <v>0.90364430149999997</v>
      </c>
      <c r="F1027" s="18">
        <v>31627550.550000001</v>
      </c>
      <c r="G1027" s="18">
        <v>0.08</v>
      </c>
      <c r="H1027" s="13"/>
      <c r="I1027" s="13"/>
    </row>
    <row r="1028" spans="1:9">
      <c r="A1028" s="13" t="s">
        <v>1683</v>
      </c>
      <c r="B1028" s="145" t="s">
        <v>1423</v>
      </c>
      <c r="C1028" s="145" t="s">
        <v>428</v>
      </c>
      <c r="D1028" s="15">
        <v>30000000</v>
      </c>
      <c r="E1028" s="95">
        <v>0.88643878480000005</v>
      </c>
      <c r="F1028" s="18">
        <v>26593163.539999999</v>
      </c>
      <c r="G1028" s="18">
        <v>7.0000000000000007E-2</v>
      </c>
      <c r="H1028" s="13"/>
      <c r="I1028" s="13"/>
    </row>
    <row r="1029" spans="1:9">
      <c r="A1029" s="13" t="s">
        <v>1684</v>
      </c>
      <c r="B1029" s="145" t="s">
        <v>770</v>
      </c>
      <c r="C1029" s="145" t="s">
        <v>428</v>
      </c>
      <c r="D1029" s="15">
        <v>20000000</v>
      </c>
      <c r="E1029" s="95">
        <v>0.98181623240000004</v>
      </c>
      <c r="F1029" s="18">
        <v>19636324.649999999</v>
      </c>
      <c r="G1029" s="18">
        <v>0.05</v>
      </c>
      <c r="H1029" s="13"/>
      <c r="I1029" s="13"/>
    </row>
    <row r="1030" spans="1:9">
      <c r="A1030" s="13" t="s">
        <v>1685</v>
      </c>
      <c r="B1030" s="145" t="s">
        <v>226</v>
      </c>
      <c r="C1030" s="145" t="s">
        <v>428</v>
      </c>
      <c r="D1030" s="15">
        <v>25000000</v>
      </c>
      <c r="E1030" s="95">
        <v>0.97635366940000001</v>
      </c>
      <c r="F1030" s="18">
        <v>24408841.739999998</v>
      </c>
      <c r="G1030" s="18">
        <v>0.06</v>
      </c>
      <c r="H1030" s="13"/>
      <c r="I1030" s="13"/>
    </row>
    <row r="1031" spans="1:9">
      <c r="A1031" s="13" t="s">
        <v>1686</v>
      </c>
      <c r="B1031" s="145" t="s">
        <v>862</v>
      </c>
      <c r="C1031" s="145" t="s">
        <v>428</v>
      </c>
      <c r="D1031" s="15">
        <v>7000000</v>
      </c>
      <c r="E1031" s="95">
        <v>0.95813100770000004</v>
      </c>
      <c r="F1031" s="18">
        <v>6706917.0499999998</v>
      </c>
      <c r="G1031" s="18">
        <v>0.02</v>
      </c>
      <c r="H1031" s="13"/>
      <c r="I1031" s="13"/>
    </row>
    <row r="1032" spans="1:9">
      <c r="A1032" s="13" t="s">
        <v>1687</v>
      </c>
      <c r="B1032" s="145" t="s">
        <v>513</v>
      </c>
      <c r="C1032" s="145" t="s">
        <v>428</v>
      </c>
      <c r="D1032" s="15">
        <v>25000000</v>
      </c>
      <c r="E1032" s="95">
        <v>0.95305241730000001</v>
      </c>
      <c r="F1032" s="18">
        <v>23826310.43</v>
      </c>
      <c r="G1032" s="18">
        <v>0.06</v>
      </c>
      <c r="H1032" s="13"/>
      <c r="I1032" s="13"/>
    </row>
    <row r="1033" spans="1:9">
      <c r="A1033" s="13" t="s">
        <v>1688</v>
      </c>
      <c r="B1033" s="145" t="s">
        <v>1166</v>
      </c>
      <c r="C1033" s="145" t="s">
        <v>428</v>
      </c>
      <c r="D1033" s="15">
        <v>25000000</v>
      </c>
      <c r="E1033" s="95">
        <v>0.94731399490000001</v>
      </c>
      <c r="F1033" s="18">
        <v>23682849.870000001</v>
      </c>
      <c r="G1033" s="18">
        <v>0.06</v>
      </c>
      <c r="H1033" s="13"/>
      <c r="I1033" s="13"/>
    </row>
    <row r="1034" spans="1:9">
      <c r="A1034" s="13" t="s">
        <v>1689</v>
      </c>
      <c r="B1034" s="145" t="s">
        <v>474</v>
      </c>
      <c r="C1034" s="145" t="s">
        <v>428</v>
      </c>
      <c r="D1034" s="15">
        <v>25000000</v>
      </c>
      <c r="E1034" s="96">
        <v>0.963264016</v>
      </c>
      <c r="F1034" s="94">
        <v>24081600.399999999</v>
      </c>
      <c r="G1034" s="18">
        <v>0.06</v>
      </c>
      <c r="H1034" s="13"/>
      <c r="I1034" s="13"/>
    </row>
    <row r="1035" spans="1:9">
      <c r="A1035" s="13" t="s">
        <v>1690</v>
      </c>
      <c r="B1035" s="145" t="s">
        <v>1442</v>
      </c>
      <c r="C1035" s="145" t="s">
        <v>428</v>
      </c>
      <c r="D1035" s="15">
        <v>20000000</v>
      </c>
      <c r="E1035" s="95">
        <v>0.95449806370000001</v>
      </c>
      <c r="F1035" s="18">
        <v>19089961.27</v>
      </c>
      <c r="G1035" s="18">
        <v>0.05</v>
      </c>
      <c r="H1035" s="13"/>
      <c r="I1035" s="13"/>
    </row>
    <row r="1036" spans="1:9">
      <c r="A1036" s="13" t="s">
        <v>1691</v>
      </c>
      <c r="B1036" s="145" t="s">
        <v>808</v>
      </c>
      <c r="C1036" s="145" t="s">
        <v>428</v>
      </c>
      <c r="D1036" s="15">
        <v>20000000</v>
      </c>
      <c r="E1036" s="95">
        <v>0.95377469290000005</v>
      </c>
      <c r="F1036" s="18">
        <v>19075493.859999999</v>
      </c>
      <c r="G1036" s="18">
        <v>0.05</v>
      </c>
      <c r="H1036" s="13"/>
      <c r="I1036" s="13"/>
    </row>
    <row r="1037" spans="1:9">
      <c r="A1037" s="13" t="s">
        <v>1692</v>
      </c>
      <c r="B1037" s="145" t="s">
        <v>794</v>
      </c>
      <c r="C1037" s="145" t="s">
        <v>428</v>
      </c>
      <c r="D1037" s="18">
        <v>4166666.66</v>
      </c>
      <c r="E1037" s="96">
        <v>0.93813461600000003</v>
      </c>
      <c r="F1037" s="18">
        <v>3908894.23</v>
      </c>
      <c r="G1037" s="18">
        <v>0.01</v>
      </c>
      <c r="H1037" s="13"/>
      <c r="I1037" s="13"/>
    </row>
    <row r="1038" spans="1:9">
      <c r="A1038" s="13" t="s">
        <v>1693</v>
      </c>
      <c r="B1038" s="145" t="s">
        <v>524</v>
      </c>
      <c r="C1038" s="145" t="s">
        <v>428</v>
      </c>
      <c r="D1038" s="18">
        <v>4166666.66</v>
      </c>
      <c r="E1038" s="95">
        <v>0.97294426639999998</v>
      </c>
      <c r="F1038" s="18">
        <v>4053934.44</v>
      </c>
      <c r="G1038" s="18">
        <v>0.01</v>
      </c>
      <c r="H1038" s="13"/>
      <c r="I1038" s="13"/>
    </row>
    <row r="1039" spans="1:9">
      <c r="A1039" s="13" t="s">
        <v>1694</v>
      </c>
      <c r="B1039" s="145" t="s">
        <v>466</v>
      </c>
      <c r="C1039" s="145" t="s">
        <v>428</v>
      </c>
      <c r="D1039" s="18">
        <v>4166666.66</v>
      </c>
      <c r="E1039" s="95">
        <v>0.99525553879999995</v>
      </c>
      <c r="F1039" s="18">
        <v>4146898.07</v>
      </c>
      <c r="G1039" s="18">
        <v>0.01</v>
      </c>
      <c r="H1039" s="13"/>
      <c r="I1039" s="13"/>
    </row>
    <row r="1040" spans="1:9">
      <c r="A1040" s="13" t="s">
        <v>1695</v>
      </c>
      <c r="B1040" s="145" t="s">
        <v>624</v>
      </c>
      <c r="C1040" s="145" t="s">
        <v>428</v>
      </c>
      <c r="D1040" s="94">
        <v>4166666.7</v>
      </c>
      <c r="E1040" s="95">
        <v>0.9480273817</v>
      </c>
      <c r="F1040" s="18">
        <v>3950114.12</v>
      </c>
      <c r="G1040" s="18">
        <v>0.01</v>
      </c>
      <c r="H1040" s="13"/>
      <c r="I1040" s="13"/>
    </row>
    <row r="1041" spans="1:9">
      <c r="A1041" s="13" t="s">
        <v>1696</v>
      </c>
      <c r="B1041" s="145" t="s">
        <v>745</v>
      </c>
      <c r="C1041" s="145" t="s">
        <v>428</v>
      </c>
      <c r="D1041" s="18">
        <v>4166666.66</v>
      </c>
      <c r="E1041" s="95">
        <v>0.96845252640000001</v>
      </c>
      <c r="F1041" s="18">
        <v>4035218.85</v>
      </c>
      <c r="G1041" s="18">
        <v>0.01</v>
      </c>
      <c r="H1041" s="13"/>
      <c r="I1041" s="13"/>
    </row>
    <row r="1042" spans="1:9">
      <c r="A1042" s="13" t="s">
        <v>1697</v>
      </c>
      <c r="B1042" s="145" t="s">
        <v>530</v>
      </c>
      <c r="C1042" s="145" t="s">
        <v>428</v>
      </c>
      <c r="D1042" s="18">
        <v>4166666.66</v>
      </c>
      <c r="E1042" s="95">
        <v>0.98899912489999997</v>
      </c>
      <c r="F1042" s="18">
        <v>4120829.68</v>
      </c>
      <c r="G1042" s="18">
        <v>0.01</v>
      </c>
      <c r="H1042" s="13"/>
      <c r="I1042" s="13"/>
    </row>
    <row r="1043" spans="1:9">
      <c r="A1043" s="13" t="s">
        <v>1698</v>
      </c>
      <c r="B1043" s="145" t="s">
        <v>745</v>
      </c>
      <c r="C1043" s="145" t="s">
        <v>428</v>
      </c>
      <c r="D1043" s="15">
        <v>10000000</v>
      </c>
      <c r="E1043" s="95">
        <v>0.9684525222</v>
      </c>
      <c r="F1043" s="18">
        <v>9684525.2200000007</v>
      </c>
      <c r="G1043" s="18">
        <v>0.03</v>
      </c>
      <c r="H1043" s="13"/>
      <c r="I1043" s="13"/>
    </row>
    <row r="1044" spans="1:9">
      <c r="A1044" s="13" t="s">
        <v>1699</v>
      </c>
      <c r="B1044" s="145" t="s">
        <v>624</v>
      </c>
      <c r="C1044" s="145" t="s">
        <v>428</v>
      </c>
      <c r="D1044" s="15">
        <v>10000000</v>
      </c>
      <c r="E1044" s="28">
        <v>0.94802737999999998</v>
      </c>
      <c r="F1044" s="94">
        <v>9480273.8000000007</v>
      </c>
      <c r="G1044" s="18">
        <v>0.02</v>
      </c>
      <c r="H1044" s="13"/>
      <c r="I1044" s="13"/>
    </row>
    <row r="1045" spans="1:9">
      <c r="A1045" s="13" t="s">
        <v>1700</v>
      </c>
      <c r="B1045" s="145" t="s">
        <v>745</v>
      </c>
      <c r="C1045" s="145" t="s">
        <v>428</v>
      </c>
      <c r="D1045" s="15">
        <v>10000000</v>
      </c>
      <c r="E1045" s="95">
        <v>0.9684525222</v>
      </c>
      <c r="F1045" s="18">
        <v>9684525.2200000007</v>
      </c>
      <c r="G1045" s="18">
        <v>0.03</v>
      </c>
      <c r="H1045" s="13"/>
      <c r="I1045" s="13"/>
    </row>
    <row r="1046" spans="1:9">
      <c r="A1046" s="13" t="s">
        <v>1701</v>
      </c>
      <c r="B1046" s="145" t="s">
        <v>1166</v>
      </c>
      <c r="C1046" s="145" t="s">
        <v>428</v>
      </c>
      <c r="D1046" s="15">
        <v>10000000</v>
      </c>
      <c r="E1046" s="95">
        <v>0.94731399490000001</v>
      </c>
      <c r="F1046" s="18">
        <v>9473139.9499999993</v>
      </c>
      <c r="G1046" s="18">
        <v>0.02</v>
      </c>
      <c r="H1046" s="13"/>
      <c r="I1046" s="13"/>
    </row>
    <row r="1047" spans="1:9">
      <c r="A1047" s="13" t="s">
        <v>1702</v>
      </c>
      <c r="B1047" s="145" t="s">
        <v>1054</v>
      </c>
      <c r="C1047" s="145" t="s">
        <v>428</v>
      </c>
      <c r="D1047" s="15">
        <v>10000000</v>
      </c>
      <c r="E1047" s="95">
        <v>0.9176157519</v>
      </c>
      <c r="F1047" s="18">
        <v>9176157.5199999996</v>
      </c>
      <c r="G1047" s="18">
        <v>0.02</v>
      </c>
      <c r="H1047" s="13"/>
      <c r="I1047" s="13"/>
    </row>
    <row r="1048" spans="1:9">
      <c r="A1048" s="13" t="s">
        <v>1703</v>
      </c>
      <c r="B1048" s="145" t="s">
        <v>1117</v>
      </c>
      <c r="C1048" s="145" t="s">
        <v>428</v>
      </c>
      <c r="D1048" s="15">
        <v>10000000</v>
      </c>
      <c r="E1048" s="95">
        <v>0.91494750869999997</v>
      </c>
      <c r="F1048" s="18">
        <v>9149475.0899999999</v>
      </c>
      <c r="G1048" s="18">
        <v>0.02</v>
      </c>
      <c r="H1048" s="13"/>
      <c r="I1048" s="13"/>
    </row>
    <row r="1049" spans="1:9">
      <c r="A1049" s="13" t="s">
        <v>1704</v>
      </c>
      <c r="B1049" s="145" t="s">
        <v>1486</v>
      </c>
      <c r="C1049" s="145" t="s">
        <v>428</v>
      </c>
      <c r="D1049" s="15">
        <v>10000000</v>
      </c>
      <c r="E1049" s="95">
        <v>0.91428303259999999</v>
      </c>
      <c r="F1049" s="18">
        <v>9142830.3300000001</v>
      </c>
      <c r="G1049" s="18">
        <v>0.02</v>
      </c>
      <c r="H1049" s="13"/>
      <c r="I1049" s="13"/>
    </row>
    <row r="1050" spans="1:9">
      <c r="A1050" s="13" t="s">
        <v>1705</v>
      </c>
      <c r="B1050" s="145" t="s">
        <v>1442</v>
      </c>
      <c r="C1050" s="145" t="s">
        <v>428</v>
      </c>
      <c r="D1050" s="15">
        <v>6500000</v>
      </c>
      <c r="E1050" s="95">
        <v>0.95449806520000002</v>
      </c>
      <c r="F1050" s="18">
        <v>6204237.4199999999</v>
      </c>
      <c r="G1050" s="18">
        <v>0.02</v>
      </c>
      <c r="H1050" s="13"/>
      <c r="I1050" s="13"/>
    </row>
    <row r="1051" spans="1:9">
      <c r="A1051" s="13" t="s">
        <v>1706</v>
      </c>
      <c r="B1051" s="145" t="s">
        <v>1326</v>
      </c>
      <c r="C1051" s="145" t="s">
        <v>428</v>
      </c>
      <c r="D1051" s="15">
        <v>10000000</v>
      </c>
      <c r="E1051" s="95">
        <v>0.91974303710000005</v>
      </c>
      <c r="F1051" s="18">
        <v>9197430.3699999992</v>
      </c>
      <c r="G1051" s="18">
        <v>0.02</v>
      </c>
      <c r="H1051" s="13"/>
      <c r="I1051" s="13"/>
    </row>
    <row r="1052" spans="1:9">
      <c r="A1052" s="13" t="s">
        <v>1707</v>
      </c>
      <c r="B1052" s="145" t="s">
        <v>1204</v>
      </c>
      <c r="C1052" s="145" t="s">
        <v>428</v>
      </c>
      <c r="D1052" s="15">
        <v>10000000</v>
      </c>
      <c r="E1052" s="95">
        <v>0.90537028549999998</v>
      </c>
      <c r="F1052" s="18">
        <v>9053702.8599999994</v>
      </c>
      <c r="G1052" s="18">
        <v>0.02</v>
      </c>
      <c r="H1052" s="13"/>
      <c r="I1052" s="13"/>
    </row>
    <row r="1053" spans="1:9">
      <c r="A1053" s="13" t="s">
        <v>1708</v>
      </c>
      <c r="B1053" s="145" t="s">
        <v>800</v>
      </c>
      <c r="C1053" s="145" t="s">
        <v>428</v>
      </c>
      <c r="D1053" s="15">
        <v>1000000000</v>
      </c>
      <c r="E1053" s="96">
        <v>0.963620166</v>
      </c>
      <c r="F1053" s="15">
        <v>963620166</v>
      </c>
      <c r="G1053" s="18">
        <v>2.54</v>
      </c>
      <c r="H1053" s="13"/>
      <c r="I1053" s="13"/>
    </row>
    <row r="1054" spans="1:9">
      <c r="A1054" s="13" t="s">
        <v>1709</v>
      </c>
      <c r="B1054" s="145" t="s">
        <v>549</v>
      </c>
      <c r="C1054" s="145" t="s">
        <v>428</v>
      </c>
      <c r="D1054" s="15">
        <v>1000000000</v>
      </c>
      <c r="E1054" s="96">
        <v>0.96627323700000001</v>
      </c>
      <c r="F1054" s="15">
        <v>966273237</v>
      </c>
      <c r="G1054" s="18">
        <v>2.5499999999999998</v>
      </c>
      <c r="H1054" s="13"/>
      <c r="I1054" s="13"/>
    </row>
    <row r="1055" spans="1:9">
      <c r="A1055" s="13" t="s">
        <v>1710</v>
      </c>
      <c r="B1055" s="145" t="s">
        <v>624</v>
      </c>
      <c r="C1055" s="145" t="s">
        <v>428</v>
      </c>
      <c r="D1055" s="15">
        <v>1809446</v>
      </c>
      <c r="E1055" s="95">
        <v>0.94295759540000001</v>
      </c>
      <c r="F1055" s="18">
        <v>1706230.85</v>
      </c>
      <c r="G1055" s="15">
        <v>0</v>
      </c>
      <c r="H1055" s="13"/>
      <c r="I1055" s="13"/>
    </row>
    <row r="1056" spans="1:9">
      <c r="A1056" s="13" t="s">
        <v>1711</v>
      </c>
      <c r="B1056" s="145" t="s">
        <v>745</v>
      </c>
      <c r="C1056" s="145" t="s">
        <v>428</v>
      </c>
      <c r="D1056" s="94">
        <v>1659905.2</v>
      </c>
      <c r="E1056" s="95">
        <v>0.96530222779999997</v>
      </c>
      <c r="F1056" s="18">
        <v>1602310.19</v>
      </c>
      <c r="G1056" s="15">
        <v>0</v>
      </c>
      <c r="H1056" s="13"/>
      <c r="I1056" s="13"/>
    </row>
    <row r="1057" spans="1:9">
      <c r="A1057" s="13" t="s">
        <v>1712</v>
      </c>
      <c r="B1057" s="145" t="s">
        <v>474</v>
      </c>
      <c r="C1057" s="145" t="s">
        <v>428</v>
      </c>
      <c r="D1057" s="15">
        <v>2433059</v>
      </c>
      <c r="E1057" s="95">
        <v>0.95961721440000003</v>
      </c>
      <c r="F1057" s="94">
        <v>2334805.2999999998</v>
      </c>
      <c r="G1057" s="18">
        <v>0.01</v>
      </c>
      <c r="H1057" s="13"/>
      <c r="I1057" s="13"/>
    </row>
    <row r="1058" spans="1:9">
      <c r="A1058" s="13" t="s">
        <v>1715</v>
      </c>
      <c r="B1058" s="145" t="s">
        <v>1423</v>
      </c>
      <c r="C1058" s="145" t="s">
        <v>462</v>
      </c>
      <c r="D1058" s="15">
        <v>100000000</v>
      </c>
      <c r="E1058" s="95">
        <v>0.88643880639999995</v>
      </c>
      <c r="F1058" s="18">
        <v>88643880.640000001</v>
      </c>
      <c r="G1058" s="18">
        <v>0.23</v>
      </c>
      <c r="H1058" s="13"/>
      <c r="I1058" s="13"/>
    </row>
    <row r="1059" spans="1:9">
      <c r="A1059" s="13" t="s">
        <v>1716</v>
      </c>
      <c r="B1059" s="145" t="s">
        <v>590</v>
      </c>
      <c r="C1059" s="145" t="s">
        <v>462</v>
      </c>
      <c r="D1059" s="15">
        <v>30000000</v>
      </c>
      <c r="E1059" s="95">
        <v>0.99465885769999995</v>
      </c>
      <c r="F1059" s="18">
        <v>29839765.73</v>
      </c>
      <c r="G1059" s="18">
        <v>0.08</v>
      </c>
      <c r="H1059" s="13"/>
      <c r="I1059" s="13"/>
    </row>
    <row r="1060" spans="1:9">
      <c r="A1060" s="13" t="s">
        <v>1717</v>
      </c>
      <c r="B1060" s="145" t="s">
        <v>488</v>
      </c>
      <c r="C1060" s="145" t="s">
        <v>462</v>
      </c>
      <c r="D1060" s="15">
        <v>8700000</v>
      </c>
      <c r="E1060" s="95">
        <v>0.98414590729999996</v>
      </c>
      <c r="F1060" s="18">
        <v>8562069.3900000006</v>
      </c>
      <c r="G1060" s="18">
        <v>0.02</v>
      </c>
      <c r="H1060" s="13"/>
      <c r="I1060" s="13"/>
    </row>
    <row r="1061" spans="1:9">
      <c r="A1061" s="13" t="s">
        <v>1718</v>
      </c>
      <c r="B1061" s="145" t="s">
        <v>543</v>
      </c>
      <c r="C1061" s="145" t="s">
        <v>462</v>
      </c>
      <c r="D1061" s="15">
        <v>5000000</v>
      </c>
      <c r="E1061" s="95">
        <v>0.97970813690000003</v>
      </c>
      <c r="F1061" s="18">
        <v>4898540.68</v>
      </c>
      <c r="G1061" s="18">
        <v>0.01</v>
      </c>
      <c r="H1061" s="13"/>
      <c r="I1061" s="13"/>
    </row>
    <row r="1062" spans="1:9">
      <c r="A1062" s="13" t="s">
        <v>1719</v>
      </c>
      <c r="B1062" s="145" t="s">
        <v>535</v>
      </c>
      <c r="C1062" s="145" t="s">
        <v>462</v>
      </c>
      <c r="D1062" s="15">
        <v>5000000</v>
      </c>
      <c r="E1062" s="95">
        <v>0.97897233090000002</v>
      </c>
      <c r="F1062" s="18">
        <v>4894861.6500000004</v>
      </c>
      <c r="G1062" s="18">
        <v>0.01</v>
      </c>
      <c r="H1062" s="13"/>
      <c r="I1062" s="13"/>
    </row>
    <row r="1063" spans="1:9">
      <c r="A1063" s="13" t="s">
        <v>1720</v>
      </c>
      <c r="B1063" s="145" t="s">
        <v>524</v>
      </c>
      <c r="C1063" s="145" t="s">
        <v>462</v>
      </c>
      <c r="D1063" s="15">
        <v>5000000</v>
      </c>
      <c r="E1063" s="95">
        <v>0.97385285880000005</v>
      </c>
      <c r="F1063" s="18">
        <v>4869264.29</v>
      </c>
      <c r="G1063" s="18">
        <v>0.01</v>
      </c>
      <c r="H1063" s="13"/>
      <c r="I1063" s="13"/>
    </row>
    <row r="1064" spans="1:9">
      <c r="A1064" s="13" t="s">
        <v>1721</v>
      </c>
      <c r="B1064" s="145" t="s">
        <v>524</v>
      </c>
      <c r="C1064" s="145" t="s">
        <v>462</v>
      </c>
      <c r="D1064" s="15">
        <v>5000000</v>
      </c>
      <c r="E1064" s="95">
        <v>0.97385285880000005</v>
      </c>
      <c r="F1064" s="18">
        <v>4869264.29</v>
      </c>
      <c r="G1064" s="18">
        <v>0.01</v>
      </c>
      <c r="H1064" s="13"/>
      <c r="I1064" s="13"/>
    </row>
    <row r="1065" spans="1:9">
      <c r="A1065" s="13" t="s">
        <v>1722</v>
      </c>
      <c r="B1065" s="145" t="s">
        <v>745</v>
      </c>
      <c r="C1065" s="145" t="s">
        <v>462</v>
      </c>
      <c r="D1065" s="15">
        <v>5000000</v>
      </c>
      <c r="E1065" s="95">
        <v>0.9695070187</v>
      </c>
      <c r="F1065" s="18">
        <v>4847535.09</v>
      </c>
      <c r="G1065" s="18">
        <v>0.01</v>
      </c>
      <c r="H1065" s="13"/>
      <c r="I1065" s="13"/>
    </row>
    <row r="1066" spans="1:9">
      <c r="A1066" s="13" t="s">
        <v>1723</v>
      </c>
      <c r="B1066" s="145" t="s">
        <v>634</v>
      </c>
      <c r="C1066" s="145" t="s">
        <v>462</v>
      </c>
      <c r="D1066" s="15">
        <v>5000000</v>
      </c>
      <c r="E1066" s="95">
        <v>0.96878665310000001</v>
      </c>
      <c r="F1066" s="18">
        <v>4843933.2699999996</v>
      </c>
      <c r="G1066" s="18">
        <v>0.01</v>
      </c>
      <c r="H1066" s="13"/>
      <c r="I1066" s="13"/>
    </row>
    <row r="1067" spans="1:9">
      <c r="A1067" s="13" t="s">
        <v>1724</v>
      </c>
      <c r="B1067" s="145" t="s">
        <v>474</v>
      </c>
      <c r="C1067" s="145" t="s">
        <v>462</v>
      </c>
      <c r="D1067" s="15">
        <v>5000000</v>
      </c>
      <c r="E1067" s="96">
        <v>0.96448580699999997</v>
      </c>
      <c r="F1067" s="18">
        <v>4822429.04</v>
      </c>
      <c r="G1067" s="18">
        <v>0.01</v>
      </c>
      <c r="H1067" s="13"/>
      <c r="I1067" s="13"/>
    </row>
    <row r="1068" spans="1:9">
      <c r="A1068" s="13" t="s">
        <v>1725</v>
      </c>
      <c r="B1068" s="145" t="s">
        <v>549</v>
      </c>
      <c r="C1068" s="145" t="s">
        <v>462</v>
      </c>
      <c r="D1068" s="15">
        <v>5000000</v>
      </c>
      <c r="E1068" s="95">
        <v>0.96377288890000001</v>
      </c>
      <c r="F1068" s="18">
        <v>4818864.4400000004</v>
      </c>
      <c r="G1068" s="18">
        <v>0.01</v>
      </c>
      <c r="H1068" s="13"/>
      <c r="I1068" s="13"/>
    </row>
    <row r="1069" spans="1:9">
      <c r="A1069" s="13" t="s">
        <v>1726</v>
      </c>
      <c r="B1069" s="145" t="s">
        <v>450</v>
      </c>
      <c r="C1069" s="145" t="s">
        <v>462</v>
      </c>
      <c r="D1069" s="15">
        <v>8000000</v>
      </c>
      <c r="E1069" s="95">
        <v>0.98488950890000004</v>
      </c>
      <c r="F1069" s="18">
        <v>7879116.0700000003</v>
      </c>
      <c r="G1069" s="18">
        <v>0.02</v>
      </c>
      <c r="H1069" s="13"/>
      <c r="I1069" s="13"/>
    </row>
    <row r="1070" spans="1:9">
      <c r="A1070" s="13" t="s">
        <v>1727</v>
      </c>
      <c r="B1070" s="145" t="s">
        <v>1191</v>
      </c>
      <c r="C1070" s="145" t="s">
        <v>462</v>
      </c>
      <c r="D1070" s="15">
        <v>6500000</v>
      </c>
      <c r="E1070" s="95">
        <v>0.93946263080000003</v>
      </c>
      <c r="F1070" s="94">
        <v>6106507.0999999996</v>
      </c>
      <c r="G1070" s="18">
        <v>0.02</v>
      </c>
      <c r="H1070" s="13"/>
      <c r="I1070" s="13"/>
    </row>
    <row r="1071" spans="1:9">
      <c r="A1071" s="13" t="s">
        <v>1728</v>
      </c>
      <c r="B1071" s="145" t="s">
        <v>862</v>
      </c>
      <c r="C1071" s="145" t="s">
        <v>462</v>
      </c>
      <c r="D1071" s="15">
        <v>6500000</v>
      </c>
      <c r="E1071" s="95">
        <v>0.95951634029999999</v>
      </c>
      <c r="F1071" s="18">
        <v>6236856.21</v>
      </c>
      <c r="G1071" s="18">
        <v>0.02</v>
      </c>
      <c r="H1071" s="13"/>
      <c r="I1071" s="13"/>
    </row>
    <row r="1072" spans="1:9">
      <c r="A1072" s="13" t="s">
        <v>1729</v>
      </c>
      <c r="B1072" s="145" t="s">
        <v>1442</v>
      </c>
      <c r="C1072" s="145" t="s">
        <v>462</v>
      </c>
      <c r="D1072" s="15">
        <v>6500000</v>
      </c>
      <c r="E1072" s="95">
        <v>0.95599808490000004</v>
      </c>
      <c r="F1072" s="18">
        <v>6213987.5499999998</v>
      </c>
      <c r="G1072" s="18">
        <v>0.02</v>
      </c>
      <c r="H1072" s="13"/>
      <c r="I1072" s="13"/>
    </row>
    <row r="1073" spans="1:9">
      <c r="A1073" s="13" t="s">
        <v>1730</v>
      </c>
      <c r="B1073" s="145" t="s">
        <v>1003</v>
      </c>
      <c r="C1073" s="145" t="s">
        <v>462</v>
      </c>
      <c r="D1073" s="15">
        <v>7000000</v>
      </c>
      <c r="E1073" s="95">
        <v>0.9354178661</v>
      </c>
      <c r="F1073" s="18">
        <v>6547925.0599999996</v>
      </c>
      <c r="G1073" s="18">
        <v>0.02</v>
      </c>
      <c r="H1073" s="13"/>
      <c r="I1073" s="13"/>
    </row>
    <row r="1074" spans="1:9">
      <c r="A1074" s="13" t="s">
        <v>1731</v>
      </c>
      <c r="B1074" s="145" t="s">
        <v>1326</v>
      </c>
      <c r="C1074" s="145" t="s">
        <v>462</v>
      </c>
      <c r="D1074" s="15">
        <v>7000000</v>
      </c>
      <c r="E1074" s="28">
        <v>0.93474705000000002</v>
      </c>
      <c r="F1074" s="18">
        <v>6543229.3499999996</v>
      </c>
      <c r="G1074" s="18">
        <v>0.02</v>
      </c>
      <c r="H1074" s="13"/>
      <c r="I1074" s="13"/>
    </row>
    <row r="1075" spans="1:9">
      <c r="A1075" s="13" t="s">
        <v>1732</v>
      </c>
      <c r="B1075" s="145" t="s">
        <v>513</v>
      </c>
      <c r="C1075" s="145" t="s">
        <v>462</v>
      </c>
      <c r="D1075" s="15">
        <v>6500000</v>
      </c>
      <c r="E1075" s="95">
        <v>0.95459782159999995</v>
      </c>
      <c r="F1075" s="18">
        <v>6204885.8399999999</v>
      </c>
      <c r="G1075" s="18">
        <v>0.02</v>
      </c>
      <c r="H1075" s="13"/>
      <c r="I1075" s="13"/>
    </row>
    <row r="1076" spans="1:9">
      <c r="A1076" s="13" t="s">
        <v>1733</v>
      </c>
      <c r="B1076" s="145" t="s">
        <v>520</v>
      </c>
      <c r="C1076" s="145" t="s">
        <v>462</v>
      </c>
      <c r="D1076" s="15">
        <v>6500000</v>
      </c>
      <c r="E1076" s="95">
        <v>0.95389922640000002</v>
      </c>
      <c r="F1076" s="18">
        <v>6200344.9699999997</v>
      </c>
      <c r="G1076" s="18">
        <v>0.02</v>
      </c>
      <c r="H1076" s="13"/>
      <c r="I1076" s="13"/>
    </row>
    <row r="1077" spans="1:9">
      <c r="A1077" s="13" t="s">
        <v>1734</v>
      </c>
      <c r="B1077" s="145" t="s">
        <v>1091</v>
      </c>
      <c r="C1077" s="145" t="s">
        <v>462</v>
      </c>
      <c r="D1077" s="15">
        <v>5000000</v>
      </c>
      <c r="E1077" s="95">
        <v>0.93007857390000004</v>
      </c>
      <c r="F1077" s="18">
        <v>4650392.87</v>
      </c>
      <c r="G1077" s="18">
        <v>0.01</v>
      </c>
      <c r="H1077" s="13"/>
      <c r="I1077" s="13"/>
    </row>
    <row r="1078" spans="1:9">
      <c r="A1078" s="13" t="s">
        <v>1735</v>
      </c>
      <c r="B1078" s="145" t="s">
        <v>794</v>
      </c>
      <c r="C1078" s="145" t="s">
        <v>462</v>
      </c>
      <c r="D1078" s="15">
        <v>6500000</v>
      </c>
      <c r="E1078" s="95">
        <v>0.94014023410000003</v>
      </c>
      <c r="F1078" s="18">
        <v>6110911.5199999996</v>
      </c>
      <c r="G1078" s="18">
        <v>0.02</v>
      </c>
      <c r="H1078" s="13"/>
      <c r="I1078" s="13"/>
    </row>
    <row r="1079" spans="1:9">
      <c r="A1079" s="13" t="s">
        <v>1736</v>
      </c>
      <c r="B1079" s="145" t="s">
        <v>624</v>
      </c>
      <c r="C1079" s="145" t="s">
        <v>462</v>
      </c>
      <c r="D1079" s="15">
        <v>6500000</v>
      </c>
      <c r="E1079" s="95">
        <v>0.94972947060000001</v>
      </c>
      <c r="F1079" s="18">
        <v>6173241.5599999996</v>
      </c>
      <c r="G1079" s="18">
        <v>0.02</v>
      </c>
      <c r="H1079" s="13"/>
      <c r="I1079" s="13"/>
    </row>
    <row r="1080" spans="1:9">
      <c r="A1080" s="13" t="s">
        <v>1737</v>
      </c>
      <c r="B1080" s="145" t="s">
        <v>1166</v>
      </c>
      <c r="C1080" s="145" t="s">
        <v>462</v>
      </c>
      <c r="D1080" s="15">
        <v>6500000</v>
      </c>
      <c r="E1080" s="95">
        <v>0.94903798049999999</v>
      </c>
      <c r="F1080" s="18">
        <v>6168746.8700000001</v>
      </c>
      <c r="G1080" s="18">
        <v>0.02</v>
      </c>
      <c r="H1080" s="13"/>
      <c r="I1080" s="13"/>
    </row>
    <row r="1081" spans="1:9">
      <c r="A1081" s="13" t="s">
        <v>1738</v>
      </c>
      <c r="B1081" s="145" t="s">
        <v>1163</v>
      </c>
      <c r="C1081" s="145" t="s">
        <v>462</v>
      </c>
      <c r="D1081" s="15">
        <v>5000000</v>
      </c>
      <c r="E1081" s="95">
        <v>0.92611404259999996</v>
      </c>
      <c r="F1081" s="18">
        <v>4630570.21</v>
      </c>
      <c r="G1081" s="18">
        <v>0.01</v>
      </c>
      <c r="H1081" s="13"/>
      <c r="I1081" s="13"/>
    </row>
    <row r="1082" spans="1:9">
      <c r="A1082" s="13" t="s">
        <v>1739</v>
      </c>
      <c r="B1082" s="145" t="s">
        <v>1462</v>
      </c>
      <c r="C1082" s="145" t="s">
        <v>462</v>
      </c>
      <c r="D1082" s="15">
        <v>5000000</v>
      </c>
      <c r="E1082" s="95">
        <v>0.92545649789999995</v>
      </c>
      <c r="F1082" s="18">
        <v>4627282.49</v>
      </c>
      <c r="G1082" s="18">
        <v>0.01</v>
      </c>
      <c r="H1082" s="13"/>
      <c r="I1082" s="13"/>
    </row>
    <row r="1083" spans="1:9">
      <c r="A1083" s="13" t="s">
        <v>1740</v>
      </c>
      <c r="B1083" s="145" t="s">
        <v>614</v>
      </c>
      <c r="C1083" s="145" t="s">
        <v>462</v>
      </c>
      <c r="D1083" s="15">
        <v>6500000</v>
      </c>
      <c r="E1083" s="95">
        <v>0.9449105243</v>
      </c>
      <c r="F1083" s="18">
        <v>6141918.4100000001</v>
      </c>
      <c r="G1083" s="18">
        <v>0.02</v>
      </c>
      <c r="H1083" s="13"/>
      <c r="I1083" s="13"/>
    </row>
    <row r="1084" spans="1:9">
      <c r="A1084" s="13" t="s">
        <v>1741</v>
      </c>
      <c r="B1084" s="145" t="s">
        <v>413</v>
      </c>
      <c r="C1084" s="145" t="s">
        <v>462</v>
      </c>
      <c r="D1084" s="15">
        <v>6500000</v>
      </c>
      <c r="E1084" s="95">
        <v>0.94422602909999998</v>
      </c>
      <c r="F1084" s="18">
        <v>6137469.1900000004</v>
      </c>
      <c r="G1084" s="18">
        <v>0.02</v>
      </c>
      <c r="H1084" s="13"/>
      <c r="I1084" s="13"/>
    </row>
    <row r="1085" spans="1:9">
      <c r="A1085" s="13" t="s">
        <v>1742</v>
      </c>
      <c r="B1085" s="145" t="s">
        <v>1091</v>
      </c>
      <c r="C1085" s="145" t="s">
        <v>462</v>
      </c>
      <c r="D1085" s="15">
        <v>5000000</v>
      </c>
      <c r="E1085" s="95">
        <v>0.93007857390000004</v>
      </c>
      <c r="F1085" s="18">
        <v>4650392.87</v>
      </c>
      <c r="G1085" s="18">
        <v>0.01</v>
      </c>
      <c r="H1085" s="13"/>
      <c r="I1085" s="13"/>
    </row>
    <row r="1086" spans="1:9">
      <c r="A1086" s="13" t="s">
        <v>1743</v>
      </c>
      <c r="B1086" s="145" t="s">
        <v>582</v>
      </c>
      <c r="C1086" s="145" t="s">
        <v>462</v>
      </c>
      <c r="D1086" s="15">
        <v>8000000</v>
      </c>
      <c r="E1086" s="95">
        <v>0.93469933159999996</v>
      </c>
      <c r="F1086" s="18">
        <v>7477594.6500000004</v>
      </c>
      <c r="G1086" s="18">
        <v>0.02</v>
      </c>
      <c r="H1086" s="13"/>
      <c r="I1086" s="13"/>
    </row>
    <row r="1087" spans="1:9">
      <c r="A1087" s="13" t="s">
        <v>1744</v>
      </c>
      <c r="B1087" s="145" t="s">
        <v>770</v>
      </c>
      <c r="C1087" s="145" t="s">
        <v>462</v>
      </c>
      <c r="D1087" s="15">
        <v>12000000</v>
      </c>
      <c r="E1087" s="95">
        <v>0.98044485179999996</v>
      </c>
      <c r="F1087" s="18">
        <v>11765338.220000001</v>
      </c>
      <c r="G1087" s="18">
        <v>0.03</v>
      </c>
      <c r="H1087" s="13"/>
      <c r="I1087" s="13"/>
    </row>
    <row r="1088" spans="1:9">
      <c r="A1088" s="13" t="s">
        <v>1745</v>
      </c>
      <c r="B1088" s="145" t="s">
        <v>805</v>
      </c>
      <c r="C1088" s="145" t="s">
        <v>462</v>
      </c>
      <c r="D1088" s="15">
        <v>12000000</v>
      </c>
      <c r="E1088" s="95">
        <v>0.95886103050000004</v>
      </c>
      <c r="F1088" s="18">
        <v>11506332.369999999</v>
      </c>
      <c r="G1088" s="18">
        <v>0.03</v>
      </c>
      <c r="H1088" s="13"/>
      <c r="I1088" s="13"/>
    </row>
    <row r="1089" spans="1:9">
      <c r="A1089" s="13" t="s">
        <v>1746</v>
      </c>
      <c r="B1089" s="145" t="s">
        <v>524</v>
      </c>
      <c r="C1089" s="145" t="s">
        <v>462</v>
      </c>
      <c r="D1089" s="94">
        <v>2131442.7999999998</v>
      </c>
      <c r="E1089" s="95">
        <v>0.97022875710000001</v>
      </c>
      <c r="F1089" s="94">
        <v>2067987.1</v>
      </c>
      <c r="G1089" s="18">
        <v>0.01</v>
      </c>
      <c r="H1089" s="13"/>
      <c r="I1089" s="13"/>
    </row>
    <row r="1090" spans="1:9">
      <c r="A1090" s="13" t="s">
        <v>1747</v>
      </c>
      <c r="B1090" s="145" t="s">
        <v>520</v>
      </c>
      <c r="C1090" s="145" t="s">
        <v>462</v>
      </c>
      <c r="D1090" s="94">
        <v>96959948.799999997</v>
      </c>
      <c r="E1090" s="95">
        <v>0.95705071060000002</v>
      </c>
      <c r="F1090" s="94">
        <v>92795587.900000006</v>
      </c>
      <c r="G1090" s="18">
        <v>0.24</v>
      </c>
      <c r="H1090" s="13"/>
      <c r="I1090" s="13"/>
    </row>
    <row r="1091" spans="1:9">
      <c r="A1091" s="13" t="s">
        <v>1748</v>
      </c>
      <c r="B1091" s="145" t="s">
        <v>474</v>
      </c>
      <c r="C1091" s="145" t="s">
        <v>462</v>
      </c>
      <c r="D1091" s="15">
        <v>19183831</v>
      </c>
      <c r="E1091" s="95">
        <v>0.96693866790000005</v>
      </c>
      <c r="F1091" s="18">
        <v>18549587.989999998</v>
      </c>
      <c r="G1091" s="18">
        <v>0.05</v>
      </c>
      <c r="H1091" s="13"/>
      <c r="I1091" s="13"/>
    </row>
    <row r="1092" spans="1:9">
      <c r="A1092" s="13" t="s">
        <v>1749</v>
      </c>
      <c r="B1092" s="145" t="s">
        <v>230</v>
      </c>
      <c r="C1092" s="145" t="s">
        <v>462</v>
      </c>
      <c r="D1092" s="15">
        <v>19183831</v>
      </c>
      <c r="E1092" s="95">
        <v>0.98664649230000001</v>
      </c>
      <c r="F1092" s="18">
        <v>18927659.57</v>
      </c>
      <c r="G1092" s="18">
        <v>0.05</v>
      </c>
      <c r="H1092" s="13"/>
      <c r="I1092" s="13"/>
    </row>
    <row r="1093" spans="1:9">
      <c r="A1093" s="13" t="s">
        <v>1750</v>
      </c>
      <c r="B1093" s="145" t="s">
        <v>530</v>
      </c>
      <c r="C1093" s="145" t="s">
        <v>462</v>
      </c>
      <c r="D1093" s="18">
        <v>36057385.119999997</v>
      </c>
      <c r="E1093" s="95">
        <v>0.99012593120000003</v>
      </c>
      <c r="F1093" s="18">
        <v>35701352.020000003</v>
      </c>
      <c r="G1093" s="18">
        <v>0.09</v>
      </c>
      <c r="H1093" s="13"/>
      <c r="I1093" s="13"/>
    </row>
    <row r="1094" spans="1:9">
      <c r="A1094" s="13" t="s">
        <v>1751</v>
      </c>
      <c r="B1094" s="145" t="s">
        <v>634</v>
      </c>
      <c r="C1094" s="145" t="s">
        <v>462</v>
      </c>
      <c r="D1094" s="18">
        <v>36057385.109999999</v>
      </c>
      <c r="E1094" s="95">
        <v>0.97095141480000002</v>
      </c>
      <c r="F1094" s="18">
        <v>35009969.090000004</v>
      </c>
      <c r="G1094" s="18">
        <v>0.09</v>
      </c>
      <c r="H1094" s="13"/>
      <c r="I1094" s="13"/>
    </row>
    <row r="1095" spans="1:9">
      <c r="A1095" s="13" t="s">
        <v>1752</v>
      </c>
      <c r="B1095" s="145" t="s">
        <v>745</v>
      </c>
      <c r="C1095" s="145" t="s">
        <v>462</v>
      </c>
      <c r="D1095" s="18">
        <v>44732891.780000001</v>
      </c>
      <c r="E1095" s="95">
        <v>0.97162328170000001</v>
      </c>
      <c r="F1095" s="18">
        <v>43463519.109999999</v>
      </c>
      <c r="G1095" s="18">
        <v>0.11</v>
      </c>
      <c r="H1095" s="13"/>
      <c r="I1095" s="13"/>
    </row>
    <row r="1096" spans="1:9">
      <c r="A1096" s="13" t="s">
        <v>1753</v>
      </c>
      <c r="B1096" s="145" t="s">
        <v>745</v>
      </c>
      <c r="C1096" s="145" t="s">
        <v>462</v>
      </c>
      <c r="D1096" s="18">
        <v>44732891.770000003</v>
      </c>
      <c r="E1096" s="95">
        <v>0.97162328170000001</v>
      </c>
      <c r="F1096" s="94">
        <v>43463519.100000001</v>
      </c>
      <c r="G1096" s="18">
        <v>0.11</v>
      </c>
      <c r="H1096" s="13"/>
      <c r="I1096" s="13"/>
    </row>
    <row r="1097" spans="1:9">
      <c r="A1097" s="13" t="s">
        <v>1754</v>
      </c>
      <c r="B1097" s="145" t="s">
        <v>535</v>
      </c>
      <c r="C1097" s="145" t="s">
        <v>462</v>
      </c>
      <c r="D1097" s="15">
        <v>19618198</v>
      </c>
      <c r="E1097" s="95">
        <v>0.96878666670000002</v>
      </c>
      <c r="F1097" s="18">
        <v>19005848.649999999</v>
      </c>
      <c r="G1097" s="18">
        <v>0.05</v>
      </c>
      <c r="H1097" s="13"/>
      <c r="I1097" s="13"/>
    </row>
    <row r="1098" spans="1:9">
      <c r="A1098" s="13" t="s">
        <v>1755</v>
      </c>
      <c r="B1098" s="145" t="s">
        <v>501</v>
      </c>
      <c r="C1098" s="145" t="s">
        <v>462</v>
      </c>
      <c r="D1098" s="15">
        <v>19618198</v>
      </c>
      <c r="E1098" s="96">
        <v>0.96770781800000005</v>
      </c>
      <c r="F1098" s="18">
        <v>18984683.579999998</v>
      </c>
      <c r="G1098" s="18">
        <v>0.05</v>
      </c>
      <c r="H1098" s="13"/>
      <c r="I1098" s="13"/>
    </row>
    <row r="1099" spans="1:9">
      <c r="A1099" s="13" t="s">
        <v>1756</v>
      </c>
      <c r="B1099" s="145" t="s">
        <v>248</v>
      </c>
      <c r="C1099" s="145" t="s">
        <v>462</v>
      </c>
      <c r="D1099" s="94">
        <v>27789080.199999999</v>
      </c>
      <c r="E1099" s="95">
        <v>0.94281155579999998</v>
      </c>
      <c r="F1099" s="18">
        <v>26199865.940000001</v>
      </c>
      <c r="G1099" s="18">
        <v>7.0000000000000007E-2</v>
      </c>
      <c r="H1099" s="13"/>
      <c r="I1099" s="13"/>
    </row>
    <row r="1100" spans="1:9">
      <c r="A1100" s="13" t="s">
        <v>1757</v>
      </c>
      <c r="B1100" s="145" t="s">
        <v>1003</v>
      </c>
      <c r="C1100" s="145" t="s">
        <v>462</v>
      </c>
      <c r="D1100" s="15">
        <v>16800000</v>
      </c>
      <c r="E1100" s="95">
        <v>0.93112259009999998</v>
      </c>
      <c r="F1100" s="18">
        <v>15642859.51</v>
      </c>
      <c r="G1100" s="18">
        <v>0.04</v>
      </c>
      <c r="H1100" s="13"/>
      <c r="I1100" s="13"/>
    </row>
    <row r="1101" spans="1:9">
      <c r="A1101" s="13" t="s">
        <v>1758</v>
      </c>
      <c r="B1101" s="145" t="s">
        <v>513</v>
      </c>
      <c r="C1101" s="145" t="s">
        <v>462</v>
      </c>
      <c r="D1101" s="15">
        <v>10250000</v>
      </c>
      <c r="E1101" s="95">
        <v>0.95151205620000001</v>
      </c>
      <c r="F1101" s="18">
        <v>9752998.5800000001</v>
      </c>
      <c r="G1101" s="18">
        <v>0.03</v>
      </c>
      <c r="H1101" s="13"/>
      <c r="I1101" s="13"/>
    </row>
    <row r="1102" spans="1:9">
      <c r="A1102" s="13" t="s">
        <v>1759</v>
      </c>
      <c r="B1102" s="145" t="s">
        <v>224</v>
      </c>
      <c r="C1102" s="145" t="s">
        <v>462</v>
      </c>
      <c r="D1102" s="15">
        <v>10250000</v>
      </c>
      <c r="E1102" s="95">
        <v>0.94706812839999999</v>
      </c>
      <c r="F1102" s="18">
        <v>9707448.3200000003</v>
      </c>
      <c r="G1102" s="18">
        <v>0.03</v>
      </c>
      <c r="H1102" s="13"/>
      <c r="I1102" s="13"/>
    </row>
    <row r="1103" spans="1:9">
      <c r="A1103" s="13" t="s">
        <v>1760</v>
      </c>
      <c r="B1103" s="145" t="s">
        <v>520</v>
      </c>
      <c r="C1103" s="145" t="s">
        <v>462</v>
      </c>
      <c r="D1103" s="15">
        <v>3214300</v>
      </c>
      <c r="E1103" s="95">
        <v>0.94149814590000003</v>
      </c>
      <c r="F1103" s="18">
        <v>3026257.49</v>
      </c>
      <c r="G1103" s="18">
        <v>0.01</v>
      </c>
      <c r="H1103" s="13"/>
      <c r="I1103" s="13"/>
    </row>
    <row r="1104" spans="1:9">
      <c r="A1104" s="13" t="s">
        <v>1761</v>
      </c>
      <c r="B1104" s="145" t="s">
        <v>792</v>
      </c>
      <c r="C1104" s="145" t="s">
        <v>462</v>
      </c>
      <c r="D1104" s="15">
        <v>50000000</v>
      </c>
      <c r="E1104" s="96">
        <v>0.91639487399999997</v>
      </c>
      <c r="F1104" s="94">
        <v>45819743.700000003</v>
      </c>
      <c r="G1104" s="18">
        <v>0.12</v>
      </c>
      <c r="H1104" s="13"/>
      <c r="I1104" s="13"/>
    </row>
    <row r="1105" spans="1:9">
      <c r="A1105" s="13" t="s">
        <v>1762</v>
      </c>
      <c r="B1105" s="145" t="s">
        <v>792</v>
      </c>
      <c r="C1105" s="145" t="s">
        <v>462</v>
      </c>
      <c r="D1105" s="15">
        <v>50000000</v>
      </c>
      <c r="E1105" s="96">
        <v>0.91639487399999997</v>
      </c>
      <c r="F1105" s="94">
        <v>45819743.700000003</v>
      </c>
      <c r="G1105" s="18">
        <v>0.12</v>
      </c>
      <c r="H1105" s="13"/>
      <c r="I1105" s="13"/>
    </row>
    <row r="1106" spans="1:9">
      <c r="A1106" s="13" t="s">
        <v>1784</v>
      </c>
      <c r="B1106" s="145" t="s">
        <v>1542</v>
      </c>
      <c r="C1106" s="145" t="s">
        <v>410</v>
      </c>
      <c r="D1106" s="15">
        <v>10000000</v>
      </c>
      <c r="E1106" s="95">
        <v>0.93254992179999996</v>
      </c>
      <c r="F1106" s="18">
        <v>9325499.2200000007</v>
      </c>
      <c r="G1106" s="18">
        <v>0.02</v>
      </c>
      <c r="H1106" s="13"/>
      <c r="I1106" s="13"/>
    </row>
    <row r="1107" spans="1:9">
      <c r="A1107" s="13" t="s">
        <v>1775</v>
      </c>
      <c r="B1107" s="145" t="s">
        <v>1077</v>
      </c>
      <c r="C1107" s="145" t="s">
        <v>410</v>
      </c>
      <c r="D1107" s="15">
        <v>10000000</v>
      </c>
      <c r="E1107" s="95">
        <v>0.91250006269999995</v>
      </c>
      <c r="F1107" s="18">
        <v>9125000.6300000008</v>
      </c>
      <c r="G1107" s="18">
        <v>0.02</v>
      </c>
      <c r="H1107" s="13"/>
      <c r="I1107" s="13"/>
    </row>
    <row r="1108" spans="1:9">
      <c r="A1108" s="13" t="s">
        <v>1776</v>
      </c>
      <c r="B1108" s="145" t="s">
        <v>1279</v>
      </c>
      <c r="C1108" s="145" t="s">
        <v>410</v>
      </c>
      <c r="D1108" s="15">
        <v>10000000</v>
      </c>
      <c r="E1108" s="95">
        <v>0.90805063279999998</v>
      </c>
      <c r="F1108" s="18">
        <v>9080506.3300000001</v>
      </c>
      <c r="G1108" s="18">
        <v>0.02</v>
      </c>
      <c r="H1108" s="13"/>
      <c r="I1108" s="13"/>
    </row>
    <row r="1109" spans="1:9">
      <c r="A1109" s="13" t="s">
        <v>1777</v>
      </c>
      <c r="B1109" s="145" t="s">
        <v>1409</v>
      </c>
      <c r="C1109" s="145" t="s">
        <v>410</v>
      </c>
      <c r="D1109" s="15">
        <v>10000000</v>
      </c>
      <c r="E1109" s="95">
        <v>0.9005453605</v>
      </c>
      <c r="F1109" s="18">
        <v>9005453.6099999994</v>
      </c>
      <c r="G1109" s="18">
        <v>0.02</v>
      </c>
      <c r="H1109" s="13"/>
      <c r="I1109" s="13"/>
    </row>
    <row r="1110" spans="1:9">
      <c r="A1110" s="13" t="s">
        <v>1778</v>
      </c>
      <c r="B1110" s="145" t="s">
        <v>1283</v>
      </c>
      <c r="C1110" s="145" t="s">
        <v>410</v>
      </c>
      <c r="D1110" s="15">
        <v>10000000</v>
      </c>
      <c r="E1110" s="95">
        <v>0.89925861969999998</v>
      </c>
      <c r="F1110" s="94">
        <v>8992586.1999999993</v>
      </c>
      <c r="G1110" s="18">
        <v>0.02</v>
      </c>
      <c r="H1110" s="13"/>
      <c r="I1110" s="13"/>
    </row>
    <row r="1111" spans="1:9">
      <c r="A1111" s="13" t="s">
        <v>1766</v>
      </c>
      <c r="B1111" s="145" t="s">
        <v>224</v>
      </c>
      <c r="C1111" s="145" t="s">
        <v>410</v>
      </c>
      <c r="D1111" s="15">
        <v>5000000</v>
      </c>
      <c r="E1111" s="95">
        <v>0.93551389630000004</v>
      </c>
      <c r="F1111" s="18">
        <v>4677569.4800000004</v>
      </c>
      <c r="G1111" s="18">
        <v>0.01</v>
      </c>
      <c r="H1111" s="13"/>
      <c r="I1111" s="13"/>
    </row>
    <row r="1112" spans="1:9">
      <c r="A1112" s="13" t="s">
        <v>1767</v>
      </c>
      <c r="B1112" s="145" t="s">
        <v>513</v>
      </c>
      <c r="C1112" s="145" t="s">
        <v>410</v>
      </c>
      <c r="D1112" s="15">
        <v>5000000</v>
      </c>
      <c r="E1112" s="95">
        <v>0.94086730080000003</v>
      </c>
      <c r="F1112" s="94">
        <v>4704336.5</v>
      </c>
      <c r="G1112" s="18">
        <v>0.01</v>
      </c>
      <c r="H1112" s="13"/>
      <c r="I1112" s="13"/>
    </row>
    <row r="1113" spans="1:9">
      <c r="A1113" s="13" t="s">
        <v>1768</v>
      </c>
      <c r="B1113" s="145" t="s">
        <v>504</v>
      </c>
      <c r="C1113" s="145" t="s">
        <v>410</v>
      </c>
      <c r="D1113" s="15">
        <v>5000000</v>
      </c>
      <c r="E1113" s="95">
        <v>0.93907584489999996</v>
      </c>
      <c r="F1113" s="18">
        <v>4695379.22</v>
      </c>
      <c r="G1113" s="18">
        <v>0.01</v>
      </c>
      <c r="H1113" s="13"/>
      <c r="I1113" s="13"/>
    </row>
    <row r="1114" spans="1:9">
      <c r="A1114" s="13" t="s">
        <v>1769</v>
      </c>
      <c r="B1114" s="145" t="s">
        <v>720</v>
      </c>
      <c r="C1114" s="145" t="s">
        <v>410</v>
      </c>
      <c r="D1114" s="94">
        <v>105680999.8</v>
      </c>
      <c r="E1114" s="95">
        <v>0.97499746190000003</v>
      </c>
      <c r="F1114" s="18">
        <v>103038706.58</v>
      </c>
      <c r="G1114" s="18">
        <v>0.27</v>
      </c>
      <c r="H1114" s="13"/>
      <c r="I1114" s="13"/>
    </row>
    <row r="1115" spans="1:9">
      <c r="A1115" s="13" t="s">
        <v>1783</v>
      </c>
      <c r="B1115" s="145" t="s">
        <v>794</v>
      </c>
      <c r="C1115" s="145" t="s">
        <v>410</v>
      </c>
      <c r="D1115" s="15">
        <v>15000000</v>
      </c>
      <c r="E1115" s="95">
        <v>0.93613765849999997</v>
      </c>
      <c r="F1115" s="18">
        <v>14042064.880000001</v>
      </c>
      <c r="G1115" s="18">
        <v>0.04</v>
      </c>
      <c r="H1115" s="13"/>
      <c r="I1115" s="13"/>
    </row>
    <row r="1116" spans="1:9">
      <c r="A1116" s="13" t="s">
        <v>1781</v>
      </c>
      <c r="B1116" s="145" t="s">
        <v>800</v>
      </c>
      <c r="C1116" s="145" t="s">
        <v>410</v>
      </c>
      <c r="D1116" s="15">
        <v>42000000</v>
      </c>
      <c r="E1116" s="95">
        <v>0.95692525760000002</v>
      </c>
      <c r="F1116" s="18">
        <v>40190860.82</v>
      </c>
      <c r="G1116" s="18">
        <v>0.11</v>
      </c>
      <c r="H1116" s="13"/>
      <c r="I1116" s="13"/>
    </row>
    <row r="1117" spans="1:9">
      <c r="A1117" s="13" t="s">
        <v>1782</v>
      </c>
      <c r="B1117" s="145" t="s">
        <v>597</v>
      </c>
      <c r="C1117" s="145" t="s">
        <v>410</v>
      </c>
      <c r="D1117" s="15">
        <v>15000000</v>
      </c>
      <c r="E1117" s="95">
        <v>0.95926432780000004</v>
      </c>
      <c r="F1117" s="18">
        <v>14388964.92</v>
      </c>
      <c r="G1117" s="18">
        <v>0.04</v>
      </c>
      <c r="H1117" s="13"/>
      <c r="I1117" s="13"/>
    </row>
    <row r="1118" spans="1:9">
      <c r="A1118" s="13" t="s">
        <v>1787</v>
      </c>
      <c r="B1118" s="145" t="s">
        <v>1117</v>
      </c>
      <c r="C1118" s="145" t="s">
        <v>410</v>
      </c>
      <c r="D1118" s="15">
        <v>60000000</v>
      </c>
      <c r="E1118" s="95">
        <v>0.91227204409999996</v>
      </c>
      <c r="F1118" s="18">
        <v>54736322.649999999</v>
      </c>
      <c r="G1118" s="18">
        <v>0.14000000000000001</v>
      </c>
      <c r="H1118" s="13"/>
      <c r="I1118" s="13"/>
    </row>
    <row r="1119" spans="1:9">
      <c r="A1119" s="13" t="s">
        <v>1788</v>
      </c>
      <c r="B1119" s="145" t="s">
        <v>513</v>
      </c>
      <c r="C1119" s="145" t="s">
        <v>410</v>
      </c>
      <c r="D1119" s="15">
        <v>60000000</v>
      </c>
      <c r="E1119" s="95">
        <v>0.95151212240000005</v>
      </c>
      <c r="F1119" s="18">
        <v>57090727.340000004</v>
      </c>
      <c r="G1119" s="18">
        <v>0.15</v>
      </c>
      <c r="H1119" s="13"/>
      <c r="I1119" s="13"/>
    </row>
    <row r="1120" spans="1:9">
      <c r="A1120" s="13" t="s">
        <v>1789</v>
      </c>
      <c r="B1120" s="145" t="s">
        <v>226</v>
      </c>
      <c r="C1120" s="145" t="s">
        <v>410</v>
      </c>
      <c r="D1120" s="15">
        <v>60000000</v>
      </c>
      <c r="E1120" s="95">
        <v>0.97281454830000003</v>
      </c>
      <c r="F1120" s="94">
        <v>58368872.899999999</v>
      </c>
      <c r="G1120" s="18">
        <v>0.15</v>
      </c>
      <c r="H1120" s="13"/>
      <c r="I1120" s="13"/>
    </row>
    <row r="1121" spans="1:9">
      <c r="A1121" s="13" t="s">
        <v>1790</v>
      </c>
      <c r="B1121" s="145" t="s">
        <v>244</v>
      </c>
      <c r="C1121" s="145" t="s">
        <v>410</v>
      </c>
      <c r="D1121" s="15">
        <v>60000000</v>
      </c>
      <c r="E1121" s="95">
        <v>0.92616109859999995</v>
      </c>
      <c r="F1121" s="18">
        <v>55569665.920000002</v>
      </c>
      <c r="G1121" s="18">
        <v>0.15</v>
      </c>
      <c r="H1121" s="13"/>
      <c r="I1121" s="13"/>
    </row>
    <row r="1122" spans="1:9">
      <c r="A1122" s="13" t="s">
        <v>1791</v>
      </c>
      <c r="B1122" s="145" t="s">
        <v>582</v>
      </c>
      <c r="C1122" s="145" t="s">
        <v>410</v>
      </c>
      <c r="D1122" s="15">
        <v>10000000</v>
      </c>
      <c r="E1122" s="95">
        <v>0.93469916269999997</v>
      </c>
      <c r="F1122" s="18">
        <v>9346991.6300000008</v>
      </c>
      <c r="G1122" s="18">
        <v>0.02</v>
      </c>
      <c r="H1122" s="13"/>
      <c r="I1122" s="13"/>
    </row>
    <row r="1123" spans="1:9">
      <c r="A1123" s="13" t="s">
        <v>1785</v>
      </c>
      <c r="B1123" s="145" t="s">
        <v>1166</v>
      </c>
      <c r="C1123" s="145" t="s">
        <v>410</v>
      </c>
      <c r="D1123" s="15">
        <v>50000000</v>
      </c>
      <c r="E1123" s="96">
        <v>0.949038041</v>
      </c>
      <c r="F1123" s="18">
        <v>47451902.049999997</v>
      </c>
      <c r="G1123" s="18">
        <v>0.13</v>
      </c>
      <c r="H1123" s="13"/>
      <c r="I1123" s="13"/>
    </row>
    <row r="1124" spans="1:9">
      <c r="A1124" s="13" t="s">
        <v>1786</v>
      </c>
      <c r="B1124" s="145" t="s">
        <v>248</v>
      </c>
      <c r="C1124" s="145" t="s">
        <v>410</v>
      </c>
      <c r="D1124" s="15">
        <v>50000000</v>
      </c>
      <c r="E1124" s="96">
        <v>0.940818657</v>
      </c>
      <c r="F1124" s="18">
        <v>47040932.850000001</v>
      </c>
      <c r="G1124" s="18">
        <v>0.12</v>
      </c>
      <c r="H1124" s="13"/>
      <c r="I1124" s="13"/>
    </row>
    <row r="1125" spans="1:9">
      <c r="A1125" s="13" t="s">
        <v>1774</v>
      </c>
      <c r="B1125" s="145" t="s">
        <v>1542</v>
      </c>
      <c r="C1125" s="145" t="s">
        <v>410</v>
      </c>
      <c r="D1125" s="15">
        <v>50000000</v>
      </c>
      <c r="E1125" s="95">
        <v>0.92837532219999996</v>
      </c>
      <c r="F1125" s="18">
        <v>46418766.109999999</v>
      </c>
      <c r="G1125" s="18">
        <v>0.12</v>
      </c>
      <c r="H1125" s="13"/>
      <c r="I1125" s="13"/>
    </row>
    <row r="1126" spans="1:9">
      <c r="A1126" s="13" t="s">
        <v>1780</v>
      </c>
      <c r="B1126" s="145" t="s">
        <v>228</v>
      </c>
      <c r="C1126" s="145" t="s">
        <v>410</v>
      </c>
      <c r="D1126" s="15">
        <v>2000000</v>
      </c>
      <c r="E1126" s="95">
        <v>0.95923909269999996</v>
      </c>
      <c r="F1126" s="18">
        <v>1918478.19</v>
      </c>
      <c r="G1126" s="18">
        <v>0.01</v>
      </c>
      <c r="H1126" s="13"/>
      <c r="I1126" s="13"/>
    </row>
    <row r="1127" spans="1:9">
      <c r="A1127" s="13" t="s">
        <v>1771</v>
      </c>
      <c r="B1127" s="145" t="s">
        <v>805</v>
      </c>
      <c r="C1127" s="145" t="s">
        <v>410</v>
      </c>
      <c r="D1127" s="18">
        <v>1862351.88</v>
      </c>
      <c r="E1127" s="95">
        <v>0.95345090020000001</v>
      </c>
      <c r="F1127" s="18">
        <v>1775661.08</v>
      </c>
      <c r="G1127" s="15">
        <v>0</v>
      </c>
      <c r="H1127" s="13"/>
      <c r="I1127" s="13"/>
    </row>
    <row r="1128" spans="1:9">
      <c r="A1128" s="13" t="s">
        <v>1773</v>
      </c>
      <c r="B1128" s="145" t="s">
        <v>1442</v>
      </c>
      <c r="C1128" s="145" t="s">
        <v>410</v>
      </c>
      <c r="D1128" s="15">
        <v>1100000</v>
      </c>
      <c r="E1128" s="95">
        <v>0.9485447266</v>
      </c>
      <c r="F1128" s="94">
        <v>1043399.2</v>
      </c>
      <c r="G1128" s="15">
        <v>0</v>
      </c>
      <c r="H1128" s="13"/>
      <c r="I1128" s="13"/>
    </row>
    <row r="1129" spans="1:9">
      <c r="A1129" s="13" t="s">
        <v>1793</v>
      </c>
      <c r="B1129" s="145" t="s">
        <v>1091</v>
      </c>
      <c r="C1129" s="145" t="s">
        <v>429</v>
      </c>
      <c r="D1129" s="18">
        <v>17969542.75</v>
      </c>
      <c r="E1129" s="95">
        <v>0.92545661710000005</v>
      </c>
      <c r="F1129" s="18">
        <v>16630032.24</v>
      </c>
      <c r="G1129" s="18">
        <v>0.04</v>
      </c>
      <c r="H1129" s="13"/>
      <c r="I1129" s="13"/>
    </row>
    <row r="1130" spans="1:9">
      <c r="A1130" s="13" t="s">
        <v>1794</v>
      </c>
      <c r="B1130" s="145" t="s">
        <v>794</v>
      </c>
      <c r="C1130" s="145" t="s">
        <v>429</v>
      </c>
      <c r="D1130" s="18">
        <v>6060681.79</v>
      </c>
      <c r="E1130" s="96">
        <v>0.94215432300000002</v>
      </c>
      <c r="F1130" s="18">
        <v>5710097.5499999998</v>
      </c>
      <c r="G1130" s="18">
        <v>0.02</v>
      </c>
      <c r="H1130" s="13"/>
      <c r="I1130" s="13"/>
    </row>
    <row r="1131" spans="1:9">
      <c r="A1131" s="13" t="s">
        <v>1798</v>
      </c>
      <c r="B1131" s="145" t="s">
        <v>745</v>
      </c>
      <c r="C1131" s="145" t="s">
        <v>591</v>
      </c>
      <c r="D1131" s="15">
        <v>1500000000</v>
      </c>
      <c r="E1131" s="95">
        <v>0.96740015089999998</v>
      </c>
      <c r="F1131" s="18">
        <v>1451100226.3499999</v>
      </c>
      <c r="G1131" s="18">
        <v>3.82</v>
      </c>
      <c r="H1131" s="13"/>
      <c r="I1131" s="13"/>
    </row>
    <row r="1132" spans="1:9">
      <c r="A1132" s="13" t="s">
        <v>1799</v>
      </c>
      <c r="B1132" s="145" t="s">
        <v>656</v>
      </c>
      <c r="C1132" s="145" t="s">
        <v>591</v>
      </c>
      <c r="D1132" s="15">
        <v>192000000</v>
      </c>
      <c r="E1132" s="95">
        <v>0.95086765760000003</v>
      </c>
      <c r="F1132" s="18">
        <v>182566590.25999999</v>
      </c>
      <c r="G1132" s="18">
        <v>0.48</v>
      </c>
      <c r="H1132" s="13"/>
      <c r="I1132" s="13"/>
    </row>
    <row r="1133" spans="1:9">
      <c r="A1133" s="13" t="s">
        <v>1800</v>
      </c>
      <c r="B1133" s="145" t="s">
        <v>456</v>
      </c>
      <c r="C1133" s="145" t="s">
        <v>591</v>
      </c>
      <c r="D1133" s="15">
        <v>64000000</v>
      </c>
      <c r="E1133" s="95">
        <v>0.95700056349999996</v>
      </c>
      <c r="F1133" s="18">
        <v>61248036.060000002</v>
      </c>
      <c r="G1133" s="18">
        <v>0.16</v>
      </c>
      <c r="H1133" s="13"/>
      <c r="I1133" s="13"/>
    </row>
    <row r="1134" spans="1:9">
      <c r="A1134" s="13" t="s">
        <v>1801</v>
      </c>
      <c r="B1134" s="145" t="s">
        <v>1442</v>
      </c>
      <c r="C1134" s="145" t="s">
        <v>591</v>
      </c>
      <c r="D1134" s="15">
        <v>42000000</v>
      </c>
      <c r="E1134" s="95">
        <v>0.95151215389999999</v>
      </c>
      <c r="F1134" s="18">
        <v>39963510.460000001</v>
      </c>
      <c r="G1134" s="18">
        <v>0.11</v>
      </c>
      <c r="H1134" s="13"/>
      <c r="I1134" s="13"/>
    </row>
    <row r="1135" spans="1:9">
      <c r="A1135" s="13" t="s">
        <v>1802</v>
      </c>
      <c r="B1135" s="145" t="s">
        <v>597</v>
      </c>
      <c r="C1135" s="145" t="s">
        <v>591</v>
      </c>
      <c r="D1135" s="15">
        <v>25000000</v>
      </c>
      <c r="E1135" s="96">
        <v>0.95926422200000006</v>
      </c>
      <c r="F1135" s="18">
        <v>23981605.550000001</v>
      </c>
      <c r="G1135" s="18">
        <v>0.06</v>
      </c>
      <c r="H1135" s="13"/>
      <c r="I1135" s="13"/>
    </row>
    <row r="1136" spans="1:9">
      <c r="A1136" s="13" t="s">
        <v>1803</v>
      </c>
      <c r="B1136" s="145" t="s">
        <v>862</v>
      </c>
      <c r="C1136" s="145" t="s">
        <v>591</v>
      </c>
      <c r="D1136" s="15">
        <v>25000000</v>
      </c>
      <c r="E1136" s="95">
        <v>0.95537233619999995</v>
      </c>
      <c r="F1136" s="18">
        <v>23884308.41</v>
      </c>
      <c r="G1136" s="18">
        <v>0.06</v>
      </c>
      <c r="H1136" s="13"/>
      <c r="I1136" s="13"/>
    </row>
    <row r="1137" spans="1:9">
      <c r="A1137" s="13" t="s">
        <v>1804</v>
      </c>
      <c r="B1137" s="145" t="s">
        <v>1442</v>
      </c>
      <c r="C1137" s="145" t="s">
        <v>591</v>
      </c>
      <c r="D1137" s="15">
        <v>25000000</v>
      </c>
      <c r="E1137" s="95">
        <v>0.95151215389999999</v>
      </c>
      <c r="F1137" s="18">
        <v>23787803.850000001</v>
      </c>
      <c r="G1137" s="18">
        <v>0.06</v>
      </c>
      <c r="H1137" s="13"/>
      <c r="I1137" s="13"/>
    </row>
    <row r="1138" spans="1:9">
      <c r="A1138" s="13" t="s">
        <v>1805</v>
      </c>
      <c r="B1138" s="145" t="s">
        <v>808</v>
      </c>
      <c r="C1138" s="145" t="s">
        <v>591</v>
      </c>
      <c r="D1138" s="15">
        <v>30000000</v>
      </c>
      <c r="E1138" s="95">
        <v>0.95074375749999995</v>
      </c>
      <c r="F1138" s="18">
        <v>28522312.73</v>
      </c>
      <c r="G1138" s="18">
        <v>0.08</v>
      </c>
      <c r="H1138" s="13"/>
      <c r="I1138" s="13"/>
    </row>
    <row r="1139" spans="1:9">
      <c r="A1139" s="13" t="s">
        <v>1806</v>
      </c>
      <c r="B1139" s="145" t="s">
        <v>1091</v>
      </c>
      <c r="C1139" s="145" t="s">
        <v>591</v>
      </c>
      <c r="D1139" s="15">
        <v>13500000</v>
      </c>
      <c r="E1139" s="95">
        <v>0.92545644459999998</v>
      </c>
      <c r="F1139" s="15">
        <v>12493662</v>
      </c>
      <c r="G1139" s="18">
        <v>0.03</v>
      </c>
      <c r="H1139" s="13"/>
      <c r="I1139" s="13"/>
    </row>
    <row r="1140" spans="1:9">
      <c r="A1140" s="13" t="s">
        <v>1807</v>
      </c>
      <c r="B1140" s="145" t="s">
        <v>456</v>
      </c>
      <c r="C1140" s="145" t="s">
        <v>591</v>
      </c>
      <c r="D1140" s="15">
        <v>625000000</v>
      </c>
      <c r="E1140" s="95">
        <v>0.96407821640000002</v>
      </c>
      <c r="F1140" s="18">
        <v>602548885.25</v>
      </c>
      <c r="G1140" s="18">
        <v>1.59</v>
      </c>
      <c r="H1140" s="13"/>
      <c r="I1140" s="13"/>
    </row>
    <row r="1141" spans="1:9">
      <c r="A1141" s="13" t="s">
        <v>1808</v>
      </c>
      <c r="B1141" s="145" t="s">
        <v>456</v>
      </c>
      <c r="C1141" s="145" t="s">
        <v>591</v>
      </c>
      <c r="D1141" s="15">
        <v>625000000</v>
      </c>
      <c r="E1141" s="95">
        <v>0.96407821640000002</v>
      </c>
      <c r="F1141" s="18">
        <v>602548885.25</v>
      </c>
      <c r="G1141" s="18">
        <v>1.59</v>
      </c>
      <c r="H1141" s="13"/>
      <c r="I1141" s="13"/>
    </row>
    <row r="1142" spans="1:9">
      <c r="A1142" s="13" t="s">
        <v>1810</v>
      </c>
      <c r="B1142" s="145" t="s">
        <v>479</v>
      </c>
      <c r="C1142" s="145" t="s">
        <v>464</v>
      </c>
      <c r="D1142" s="18">
        <v>15573828.67</v>
      </c>
      <c r="E1142" s="95">
        <v>0.9959616188</v>
      </c>
      <c r="F1142" s="18">
        <v>15510935.609999999</v>
      </c>
      <c r="G1142" s="18">
        <v>0.04</v>
      </c>
      <c r="H1142" s="13"/>
      <c r="I1142" s="13"/>
    </row>
    <row r="1143" spans="1:9">
      <c r="A1143" s="13" t="s">
        <v>1811</v>
      </c>
      <c r="B1143" s="145" t="s">
        <v>1486</v>
      </c>
      <c r="C1143" s="145" t="s">
        <v>464</v>
      </c>
      <c r="D1143" s="15">
        <v>25000000</v>
      </c>
      <c r="E1143" s="95">
        <v>0.9062469044</v>
      </c>
      <c r="F1143" s="18">
        <v>22656172.609999999</v>
      </c>
      <c r="G1143" s="18">
        <v>0.06</v>
      </c>
      <c r="H1143" s="13"/>
      <c r="I1143" s="13"/>
    </row>
    <row r="1144" spans="1:9">
      <c r="A1144" s="13" t="s">
        <v>1812</v>
      </c>
      <c r="B1144" s="145" t="s">
        <v>597</v>
      </c>
      <c r="C1144" s="145" t="s">
        <v>464</v>
      </c>
      <c r="D1144" s="15">
        <v>2000000</v>
      </c>
      <c r="E1144" s="95">
        <v>0.95424855689999999</v>
      </c>
      <c r="F1144" s="18">
        <v>1908497.11</v>
      </c>
      <c r="G1144" s="18">
        <v>0.01</v>
      </c>
      <c r="H1144" s="13"/>
      <c r="I1144" s="13"/>
    </row>
    <row r="1145" spans="1:9">
      <c r="A1145" s="13" t="s">
        <v>1813</v>
      </c>
      <c r="B1145" s="145" t="s">
        <v>800</v>
      </c>
      <c r="C1145" s="145" t="s">
        <v>464</v>
      </c>
      <c r="D1145" s="15">
        <v>2000000</v>
      </c>
      <c r="E1145" s="95">
        <v>0.95163626850000005</v>
      </c>
      <c r="F1145" s="18">
        <v>1903272.54</v>
      </c>
      <c r="G1145" s="18">
        <v>0.01</v>
      </c>
      <c r="H1145" s="13"/>
      <c r="I1145" s="13"/>
    </row>
    <row r="1146" spans="1:9">
      <c r="A1146" s="13" t="s">
        <v>1814</v>
      </c>
      <c r="B1146" s="145" t="s">
        <v>805</v>
      </c>
      <c r="C1146" s="145" t="s">
        <v>464</v>
      </c>
      <c r="D1146" s="15">
        <v>2000000</v>
      </c>
      <c r="E1146" s="95">
        <v>0.95076858980000001</v>
      </c>
      <c r="F1146" s="18">
        <v>1901537.18</v>
      </c>
      <c r="G1146" s="18">
        <v>0.01</v>
      </c>
      <c r="H1146" s="13"/>
      <c r="I1146" s="13"/>
    </row>
    <row r="1147" spans="1:9">
      <c r="A1147" s="13" t="s">
        <v>1815</v>
      </c>
      <c r="B1147" s="145" t="s">
        <v>515</v>
      </c>
      <c r="C1147" s="145" t="s">
        <v>464</v>
      </c>
      <c r="D1147" s="15">
        <v>2000000</v>
      </c>
      <c r="E1147" s="95">
        <v>0.96932686670000001</v>
      </c>
      <c r="F1147" s="18">
        <v>1938653.73</v>
      </c>
      <c r="G1147" s="18">
        <v>0.01</v>
      </c>
      <c r="H1147" s="13"/>
      <c r="I1147" s="13"/>
    </row>
    <row r="1148" spans="1:9">
      <c r="A1148" s="13" t="s">
        <v>1816</v>
      </c>
      <c r="B1148" s="145" t="s">
        <v>456</v>
      </c>
      <c r="C1148" s="145" t="s">
        <v>464</v>
      </c>
      <c r="D1148" s="15">
        <v>2000000</v>
      </c>
      <c r="E1148" s="95">
        <v>0.96306080189999999</v>
      </c>
      <c r="F1148" s="94">
        <v>1926121.6</v>
      </c>
      <c r="G1148" s="18">
        <v>0.01</v>
      </c>
      <c r="H1148" s="13"/>
      <c r="I1148" s="13"/>
    </row>
    <row r="1149" spans="1:9">
      <c r="A1149" s="13" t="s">
        <v>1817</v>
      </c>
      <c r="B1149" s="145" t="s">
        <v>543</v>
      </c>
      <c r="C1149" s="145" t="s">
        <v>464</v>
      </c>
      <c r="D1149" s="15">
        <v>2000000</v>
      </c>
      <c r="E1149" s="28">
        <v>0.97476324999999997</v>
      </c>
      <c r="F1149" s="94">
        <v>1949526.5</v>
      </c>
      <c r="G1149" s="18">
        <v>0.01</v>
      </c>
      <c r="H1149" s="13"/>
      <c r="I1149" s="13"/>
    </row>
    <row r="1150" spans="1:9">
      <c r="A1150" s="13" t="s">
        <v>1818</v>
      </c>
      <c r="B1150" s="145" t="s">
        <v>1442</v>
      </c>
      <c r="C1150" s="145" t="s">
        <v>464</v>
      </c>
      <c r="D1150" s="15">
        <v>2000000</v>
      </c>
      <c r="E1150" s="95">
        <v>0.94559611509999997</v>
      </c>
      <c r="F1150" s="18">
        <v>1891192.23</v>
      </c>
      <c r="G1150" s="15">
        <v>0</v>
      </c>
      <c r="H1150" s="13"/>
      <c r="I1150" s="13"/>
    </row>
    <row r="1151" spans="1:9">
      <c r="A1151" s="13" t="s">
        <v>1819</v>
      </c>
      <c r="B1151" s="145" t="s">
        <v>745</v>
      </c>
      <c r="C1151" s="145" t="s">
        <v>464</v>
      </c>
      <c r="D1151" s="15">
        <v>2000000</v>
      </c>
      <c r="E1151" s="95">
        <v>0.96217217089999996</v>
      </c>
      <c r="F1151" s="18">
        <v>1924344.34</v>
      </c>
      <c r="G1151" s="18">
        <v>0.01</v>
      </c>
      <c r="H1151" s="13"/>
      <c r="I1151" s="13"/>
    </row>
    <row r="1152" spans="1:9">
      <c r="A1152" s="13" t="s">
        <v>1820</v>
      </c>
      <c r="B1152" s="145" t="s">
        <v>656</v>
      </c>
      <c r="C1152" s="145" t="s">
        <v>464</v>
      </c>
      <c r="D1152" s="15">
        <v>2000000</v>
      </c>
      <c r="E1152" s="95">
        <v>0.95775408419999997</v>
      </c>
      <c r="F1152" s="18">
        <v>1915508.17</v>
      </c>
      <c r="G1152" s="18">
        <v>0.01</v>
      </c>
      <c r="H1152" s="13"/>
      <c r="I1152" s="13"/>
    </row>
    <row r="1153" spans="1:9">
      <c r="A1153" s="13" t="s">
        <v>1821</v>
      </c>
      <c r="B1153" s="145" t="s">
        <v>228</v>
      </c>
      <c r="C1153" s="145" t="s">
        <v>464</v>
      </c>
      <c r="D1153" s="15">
        <v>2000000</v>
      </c>
      <c r="E1153" s="95">
        <v>0.95687521990000002</v>
      </c>
      <c r="F1153" s="18">
        <v>1913750.44</v>
      </c>
      <c r="G1153" s="18">
        <v>0.01</v>
      </c>
      <c r="H1153" s="13"/>
      <c r="I1153" s="13"/>
    </row>
    <row r="1154" spans="1:9">
      <c r="A1154" s="13" t="s">
        <v>1823</v>
      </c>
      <c r="B1154" s="145" t="s">
        <v>1824</v>
      </c>
      <c r="C1154" s="145" t="s">
        <v>460</v>
      </c>
      <c r="D1154" s="18">
        <v>11923076.92</v>
      </c>
      <c r="E1154" s="95">
        <v>0.87425154829999996</v>
      </c>
      <c r="F1154" s="18">
        <v>10423768.460000001</v>
      </c>
      <c r="G1154" s="18">
        <v>0.03</v>
      </c>
      <c r="H1154" s="13"/>
      <c r="I1154" s="13"/>
    </row>
    <row r="1155" spans="1:9">
      <c r="A1155" s="13" t="s">
        <v>1825</v>
      </c>
      <c r="B1155" s="145" t="s">
        <v>1354</v>
      </c>
      <c r="C1155" s="145" t="s">
        <v>460</v>
      </c>
      <c r="D1155" s="18">
        <v>11923076.92</v>
      </c>
      <c r="E1155" s="95">
        <v>0.88377731849999996</v>
      </c>
      <c r="F1155" s="18">
        <v>10537344.949999999</v>
      </c>
      <c r="G1155" s="18">
        <v>0.03</v>
      </c>
      <c r="H1155" s="13"/>
      <c r="I1155" s="13"/>
    </row>
    <row r="1156" spans="1:9">
      <c r="A1156" s="13" t="s">
        <v>1826</v>
      </c>
      <c r="B1156" s="145" t="s">
        <v>1003</v>
      </c>
      <c r="C1156" s="145" t="s">
        <v>460</v>
      </c>
      <c r="D1156" s="15">
        <v>10000000</v>
      </c>
      <c r="E1156" s="95">
        <v>0.93112257939999998</v>
      </c>
      <c r="F1156" s="18">
        <v>9311225.7899999991</v>
      </c>
      <c r="G1156" s="18">
        <v>0.02</v>
      </c>
      <c r="H1156" s="13"/>
      <c r="I1156" s="13"/>
    </row>
    <row r="1157" spans="1:9">
      <c r="A1157" s="13" t="s">
        <v>1827</v>
      </c>
      <c r="B1157" s="145" t="s">
        <v>1319</v>
      </c>
      <c r="C1157" s="145" t="s">
        <v>460</v>
      </c>
      <c r="D1157" s="15">
        <v>10000000</v>
      </c>
      <c r="E1157" s="95">
        <v>0.91090605260000002</v>
      </c>
      <c r="F1157" s="18">
        <v>9109060.5299999993</v>
      </c>
      <c r="G1157" s="18">
        <v>0.02</v>
      </c>
      <c r="H1157" s="13"/>
      <c r="I1157" s="13"/>
    </row>
    <row r="1158" spans="1:9">
      <c r="A1158" s="13" t="s">
        <v>1828</v>
      </c>
      <c r="B1158" s="145" t="s">
        <v>543</v>
      </c>
      <c r="C1158" s="145" t="s">
        <v>460</v>
      </c>
      <c r="D1158" s="15">
        <v>138969390</v>
      </c>
      <c r="E1158" s="95">
        <v>0.98113022270000005</v>
      </c>
      <c r="F1158" s="18">
        <v>136347068.56</v>
      </c>
      <c r="G1158" s="18">
        <v>0.36</v>
      </c>
      <c r="H1158" s="13"/>
      <c r="I1158" s="13"/>
    </row>
    <row r="1159" spans="1:9">
      <c r="A1159" s="13" t="s">
        <v>1829</v>
      </c>
      <c r="B1159" s="145" t="s">
        <v>543</v>
      </c>
      <c r="C1159" s="145" t="s">
        <v>460</v>
      </c>
      <c r="D1159" s="94">
        <v>409578017.30000001</v>
      </c>
      <c r="E1159" s="95">
        <v>0.98113022270000005</v>
      </c>
      <c r="F1159" s="18">
        <v>401849371.32999998</v>
      </c>
      <c r="G1159" s="18">
        <v>1.06</v>
      </c>
      <c r="H1159" s="13"/>
      <c r="I1159" s="13"/>
    </row>
    <row r="1160" spans="1:9">
      <c r="A1160" s="13" t="s">
        <v>1830</v>
      </c>
      <c r="B1160" s="145" t="s">
        <v>543</v>
      </c>
      <c r="C1160" s="145" t="s">
        <v>460</v>
      </c>
      <c r="D1160" s="15">
        <v>285628140</v>
      </c>
      <c r="E1160" s="95">
        <v>0.98113022270000005</v>
      </c>
      <c r="F1160" s="18">
        <v>280238400.61000001</v>
      </c>
      <c r="G1160" s="18">
        <v>0.74</v>
      </c>
      <c r="H1160" s="13"/>
      <c r="I1160" s="13"/>
    </row>
    <row r="1161" spans="1:9">
      <c r="A1161" s="13" t="s">
        <v>1831</v>
      </c>
      <c r="B1161" s="145" t="s">
        <v>543</v>
      </c>
      <c r="C1161" s="145" t="s">
        <v>460</v>
      </c>
      <c r="D1161" s="18">
        <v>18466213.440000001</v>
      </c>
      <c r="E1161" s="95">
        <v>0.98113022270000005</v>
      </c>
      <c r="F1161" s="94">
        <v>18117760.100000001</v>
      </c>
      <c r="G1161" s="18">
        <v>0.05</v>
      </c>
      <c r="H1161" s="13"/>
      <c r="I1161" s="13"/>
    </row>
    <row r="1162" spans="1:9">
      <c r="A1162" s="13" t="s">
        <v>1832</v>
      </c>
      <c r="B1162" s="145" t="s">
        <v>1442</v>
      </c>
      <c r="C1162" s="145" t="s">
        <v>460</v>
      </c>
      <c r="D1162" s="15">
        <v>25000000</v>
      </c>
      <c r="E1162" s="95">
        <v>0.95151218959999995</v>
      </c>
      <c r="F1162" s="18">
        <v>23787804.739999998</v>
      </c>
      <c r="G1162" s="18">
        <v>0.06</v>
      </c>
      <c r="H1162" s="13"/>
      <c r="I1162" s="13"/>
    </row>
    <row r="1163" spans="1:9">
      <c r="A1163" s="13" t="s">
        <v>1833</v>
      </c>
      <c r="B1163" s="145" t="s">
        <v>808</v>
      </c>
      <c r="C1163" s="145" t="s">
        <v>460</v>
      </c>
      <c r="D1163" s="15">
        <v>3200000</v>
      </c>
      <c r="E1163" s="95">
        <v>0.95074378930000003</v>
      </c>
      <c r="F1163" s="18">
        <v>3042380.13</v>
      </c>
      <c r="G1163" s="18">
        <v>0.01</v>
      </c>
      <c r="H1163" s="13"/>
      <c r="I1163" s="13"/>
    </row>
    <row r="1164" spans="1:9">
      <c r="A1164" s="13" t="s">
        <v>1834</v>
      </c>
      <c r="B1164" s="145" t="s">
        <v>808</v>
      </c>
      <c r="C1164" s="145" t="s">
        <v>460</v>
      </c>
      <c r="D1164" s="15">
        <v>25000000</v>
      </c>
      <c r="E1164" s="95">
        <v>0.95074378780000002</v>
      </c>
      <c r="F1164" s="94">
        <v>23768594.699999999</v>
      </c>
      <c r="G1164" s="18">
        <v>0.06</v>
      </c>
      <c r="H1164" s="13"/>
      <c r="I1164" s="13"/>
    </row>
    <row r="1165" spans="1:9">
      <c r="A1165" s="13" t="s">
        <v>1835</v>
      </c>
      <c r="B1165" s="145" t="s">
        <v>609</v>
      </c>
      <c r="C1165" s="145" t="s">
        <v>460</v>
      </c>
      <c r="D1165" s="15">
        <v>15000000</v>
      </c>
      <c r="E1165" s="95">
        <v>0.94615984740000003</v>
      </c>
      <c r="F1165" s="18">
        <v>14192397.710000001</v>
      </c>
      <c r="G1165" s="18">
        <v>0.04</v>
      </c>
      <c r="H1165" s="13"/>
      <c r="I1165" s="13"/>
    </row>
    <row r="1166" spans="1:9">
      <c r="A1166" s="13" t="s">
        <v>1836</v>
      </c>
      <c r="B1166" s="145" t="s">
        <v>226</v>
      </c>
      <c r="C1166" s="145" t="s">
        <v>446</v>
      </c>
      <c r="D1166" s="15">
        <v>100000000</v>
      </c>
      <c r="E1166" s="95">
        <v>0.96494479379999998</v>
      </c>
      <c r="F1166" s="18">
        <v>96494479.379999995</v>
      </c>
      <c r="G1166" s="18">
        <v>0.25</v>
      </c>
      <c r="H1166" s="13"/>
      <c r="I1166" s="13"/>
    </row>
    <row r="1167" spans="1:9">
      <c r="A1167" s="13" t="s">
        <v>1837</v>
      </c>
      <c r="B1167" s="145" t="s">
        <v>1083</v>
      </c>
      <c r="C1167" s="145" t="s">
        <v>446</v>
      </c>
      <c r="D1167" s="15">
        <v>150000000</v>
      </c>
      <c r="E1167" s="95">
        <v>0.91598083220000004</v>
      </c>
      <c r="F1167" s="18">
        <v>137397124.83000001</v>
      </c>
      <c r="G1167" s="18">
        <v>0.36</v>
      </c>
      <c r="H1167" s="13"/>
      <c r="I1167" s="13"/>
    </row>
    <row r="1168" spans="1:9">
      <c r="A1168" s="13" t="s">
        <v>1838</v>
      </c>
      <c r="B1168" s="145" t="s">
        <v>513</v>
      </c>
      <c r="C1168" s="145" t="s">
        <v>446</v>
      </c>
      <c r="D1168" s="15">
        <v>50000000</v>
      </c>
      <c r="E1168" s="95">
        <v>0.95614827550000003</v>
      </c>
      <c r="F1168" s="18">
        <v>47807413.780000001</v>
      </c>
      <c r="G1168" s="18">
        <v>0.13</v>
      </c>
      <c r="H1168" s="13"/>
      <c r="I1168" s="13"/>
    </row>
    <row r="1169" spans="1:9">
      <c r="A1169" s="13" t="s">
        <v>1839</v>
      </c>
      <c r="B1169" s="145" t="s">
        <v>1326</v>
      </c>
      <c r="C1169" s="145" t="s">
        <v>446</v>
      </c>
      <c r="D1169" s="15">
        <v>150000000</v>
      </c>
      <c r="E1169" s="95">
        <v>0.93693058220000003</v>
      </c>
      <c r="F1169" s="18">
        <v>140539587.33000001</v>
      </c>
      <c r="G1169" s="18">
        <v>0.37</v>
      </c>
      <c r="H1169" s="13"/>
      <c r="I1169" s="13"/>
    </row>
    <row r="1170" spans="1:9">
      <c r="A1170" s="13" t="s">
        <v>1840</v>
      </c>
      <c r="B1170" s="145" t="s">
        <v>1117</v>
      </c>
      <c r="C1170" s="145" t="s">
        <v>446</v>
      </c>
      <c r="D1170" s="15">
        <v>12166667</v>
      </c>
      <c r="E1170" s="95">
        <v>0.88635272170000001</v>
      </c>
      <c r="F1170" s="18">
        <v>10783958.41</v>
      </c>
      <c r="G1170" s="18">
        <v>0.03</v>
      </c>
      <c r="H1170" s="13"/>
      <c r="I1170" s="13"/>
    </row>
    <row r="1171" spans="1:9">
      <c r="A1171" s="13" t="s">
        <v>1841</v>
      </c>
      <c r="B1171" s="145" t="s">
        <v>1486</v>
      </c>
      <c r="C1171" s="145" t="s">
        <v>446</v>
      </c>
      <c r="D1171" s="15">
        <v>15166667</v>
      </c>
      <c r="E1171" s="95">
        <v>0.88549251740000001</v>
      </c>
      <c r="F1171" s="18">
        <v>13429970.140000001</v>
      </c>
      <c r="G1171" s="18">
        <v>0.04</v>
      </c>
      <c r="H1171" s="13"/>
      <c r="I1171" s="13"/>
    </row>
    <row r="1172" spans="1:9">
      <c r="A1172" s="13" t="s">
        <v>1842</v>
      </c>
      <c r="B1172" s="145" t="s">
        <v>1079</v>
      </c>
      <c r="C1172" s="145" t="s">
        <v>446</v>
      </c>
      <c r="D1172" s="15">
        <v>12166667</v>
      </c>
      <c r="E1172" s="95">
        <v>0.89067861829999995</v>
      </c>
      <c r="F1172" s="18">
        <v>10836590.15</v>
      </c>
      <c r="G1172" s="18">
        <v>0.03</v>
      </c>
      <c r="H1172" s="13"/>
      <c r="I1172" s="13"/>
    </row>
    <row r="1173" spans="1:9">
      <c r="A1173" s="13" t="s">
        <v>1843</v>
      </c>
      <c r="B1173" s="145" t="s">
        <v>1054</v>
      </c>
      <c r="C1173" s="145" t="s">
        <v>446</v>
      </c>
      <c r="D1173" s="15">
        <v>15166667</v>
      </c>
      <c r="E1173" s="95">
        <v>0.88981000330000004</v>
      </c>
      <c r="F1173" s="18">
        <v>13495452.01</v>
      </c>
      <c r="G1173" s="18">
        <v>0.04</v>
      </c>
      <c r="H1173" s="13"/>
      <c r="I1173" s="13"/>
    </row>
    <row r="1174" spans="1:9">
      <c r="A1174" s="13" t="s">
        <v>1844</v>
      </c>
      <c r="B1174" s="145" t="s">
        <v>770</v>
      </c>
      <c r="C1174" s="145" t="s">
        <v>446</v>
      </c>
      <c r="D1174" s="15">
        <v>240000000</v>
      </c>
      <c r="E1174" s="95">
        <v>0.97364500980000002</v>
      </c>
      <c r="F1174" s="18">
        <v>233674802.34999999</v>
      </c>
      <c r="G1174" s="18">
        <v>0.62</v>
      </c>
      <c r="H1174" s="13"/>
      <c r="I1174" s="13"/>
    </row>
    <row r="1175" spans="1:9">
      <c r="A1175" s="13" t="s">
        <v>1845</v>
      </c>
      <c r="B1175" s="145" t="s">
        <v>745</v>
      </c>
      <c r="C1175" s="145" t="s">
        <v>446</v>
      </c>
      <c r="D1175" s="18">
        <v>3665841.29</v>
      </c>
      <c r="E1175" s="95">
        <v>0.96950706720000002</v>
      </c>
      <c r="F1175" s="18">
        <v>3554059.04</v>
      </c>
      <c r="G1175" s="18">
        <v>0.01</v>
      </c>
      <c r="H1175" s="13"/>
      <c r="I1175" s="13"/>
    </row>
    <row r="1176" spans="1:9">
      <c r="A1176" s="13" t="s">
        <v>1846</v>
      </c>
      <c r="B1176" s="145" t="s">
        <v>513</v>
      </c>
      <c r="C1176" s="145" t="s">
        <v>446</v>
      </c>
      <c r="D1176" s="15">
        <v>10000000</v>
      </c>
      <c r="E1176" s="95">
        <v>0.95151211469999997</v>
      </c>
      <c r="F1176" s="18">
        <v>9515121.1500000004</v>
      </c>
      <c r="G1176" s="18">
        <v>0.03</v>
      </c>
      <c r="H1176" s="13"/>
      <c r="I1176" s="13"/>
    </row>
    <row r="1177" spans="1:9">
      <c r="A1177" s="13" t="s">
        <v>1847</v>
      </c>
      <c r="B1177" s="145" t="s">
        <v>1163</v>
      </c>
      <c r="C1177" s="145" t="s">
        <v>446</v>
      </c>
      <c r="D1177" s="15">
        <v>10000000</v>
      </c>
      <c r="E1177" s="95">
        <v>0.92125213240000003</v>
      </c>
      <c r="F1177" s="18">
        <v>9212521.3200000003</v>
      </c>
      <c r="G1177" s="18">
        <v>0.02</v>
      </c>
      <c r="H1177" s="13"/>
      <c r="I1177" s="13"/>
    </row>
    <row r="1178" spans="1:9">
      <c r="A1178" s="13" t="s">
        <v>1848</v>
      </c>
      <c r="B1178" s="145" t="s">
        <v>620</v>
      </c>
      <c r="C1178" s="145" t="s">
        <v>446</v>
      </c>
      <c r="D1178" s="15">
        <v>10000000</v>
      </c>
      <c r="E1178" s="95">
        <v>0.94266533610000003</v>
      </c>
      <c r="F1178" s="18">
        <v>9426653.3599999994</v>
      </c>
      <c r="G1178" s="18">
        <v>0.02</v>
      </c>
      <c r="H1178" s="13"/>
      <c r="I1178" s="13"/>
    </row>
    <row r="1179" spans="1:9">
      <c r="A1179" s="13" t="s">
        <v>1849</v>
      </c>
      <c r="B1179" s="145" t="s">
        <v>1091</v>
      </c>
      <c r="C1179" s="145" t="s">
        <v>446</v>
      </c>
      <c r="D1179" s="15">
        <v>10000000</v>
      </c>
      <c r="E1179" s="95">
        <v>0.92545654119999998</v>
      </c>
      <c r="F1179" s="18">
        <v>9254565.4100000001</v>
      </c>
      <c r="G1179" s="18">
        <v>0.02</v>
      </c>
      <c r="H1179" s="13"/>
      <c r="I1179" s="13"/>
    </row>
    <row r="1180" spans="1:9">
      <c r="A1180" s="13" t="s">
        <v>1850</v>
      </c>
      <c r="B1180" s="145" t="s">
        <v>456</v>
      </c>
      <c r="C1180" s="145" t="s">
        <v>446</v>
      </c>
      <c r="D1180" s="15">
        <v>50000000</v>
      </c>
      <c r="E1180" s="95">
        <v>0.97022872559999995</v>
      </c>
      <c r="F1180" s="18">
        <v>48511436.280000001</v>
      </c>
      <c r="G1180" s="18">
        <v>0.13</v>
      </c>
      <c r="H1180" s="13"/>
      <c r="I1180" s="13"/>
    </row>
    <row r="1181" spans="1:9">
      <c r="A1181" s="13" t="s">
        <v>1851</v>
      </c>
      <c r="B1181" s="145" t="s">
        <v>611</v>
      </c>
      <c r="C1181" s="145" t="s">
        <v>446</v>
      </c>
      <c r="D1181" s="15">
        <v>50000000</v>
      </c>
      <c r="E1181" s="95">
        <v>0.94834753689999995</v>
      </c>
      <c r="F1181" s="18">
        <v>47417376.850000001</v>
      </c>
      <c r="G1181" s="18">
        <v>0.12</v>
      </c>
      <c r="H1181" s="13"/>
      <c r="I1181" s="13"/>
    </row>
    <row r="1182" spans="1:9">
      <c r="A1182" s="13" t="s">
        <v>1852</v>
      </c>
      <c r="B1182" s="145" t="s">
        <v>852</v>
      </c>
      <c r="C1182" s="145" t="s">
        <v>446</v>
      </c>
      <c r="D1182" s="15">
        <v>50000000</v>
      </c>
      <c r="E1182" s="95">
        <v>0.92762022830000002</v>
      </c>
      <c r="F1182" s="18">
        <v>46381011.420000002</v>
      </c>
      <c r="G1182" s="18">
        <v>0.12</v>
      </c>
      <c r="H1182" s="13"/>
      <c r="I1182" s="13"/>
    </row>
    <row r="1183" spans="1:9">
      <c r="A1183" s="13" t="s">
        <v>1853</v>
      </c>
      <c r="B1183" s="145" t="s">
        <v>1326</v>
      </c>
      <c r="C1183" s="145" t="s">
        <v>446</v>
      </c>
      <c r="D1183" s="15">
        <v>50000000</v>
      </c>
      <c r="E1183" s="95">
        <v>0.92611401289999995</v>
      </c>
      <c r="F1183" s="18">
        <v>46305700.649999999</v>
      </c>
      <c r="G1183" s="18">
        <v>0.12</v>
      </c>
      <c r="H1183" s="13"/>
      <c r="I1183" s="13"/>
    </row>
    <row r="1184" spans="1:9">
      <c r="A1184" s="13" t="s">
        <v>1854</v>
      </c>
      <c r="B1184" s="145" t="s">
        <v>805</v>
      </c>
      <c r="C1184" s="145" t="s">
        <v>446</v>
      </c>
      <c r="D1184" s="15">
        <v>267500000</v>
      </c>
      <c r="E1184" s="95">
        <v>0.94412852349999998</v>
      </c>
      <c r="F1184" s="18">
        <v>252554380.03999999</v>
      </c>
      <c r="G1184" s="18">
        <v>0.67</v>
      </c>
      <c r="H1184" s="13"/>
      <c r="I1184" s="13"/>
    </row>
    <row r="1185" spans="1:9">
      <c r="A1185" s="13" t="s">
        <v>1855</v>
      </c>
      <c r="B1185" s="145" t="s">
        <v>862</v>
      </c>
      <c r="C1185" s="145" t="s">
        <v>446</v>
      </c>
      <c r="D1185" s="18">
        <v>38136774.549999997</v>
      </c>
      <c r="E1185" s="95">
        <v>0.95262962920000005</v>
      </c>
      <c r="F1185" s="94">
        <v>36330221.399999999</v>
      </c>
      <c r="G1185" s="94">
        <v>0.1</v>
      </c>
      <c r="H1185" s="13"/>
      <c r="I1185" s="13"/>
    </row>
    <row r="1186" spans="1:9">
      <c r="A1186" s="13" t="s">
        <v>1860</v>
      </c>
      <c r="B1186" s="145" t="s">
        <v>248</v>
      </c>
      <c r="C1186" s="145" t="s">
        <v>470</v>
      </c>
      <c r="D1186" s="15">
        <v>10000000</v>
      </c>
      <c r="E1186" s="95">
        <v>0.93685838519999998</v>
      </c>
      <c r="F1186" s="18">
        <v>9368583.8499999996</v>
      </c>
      <c r="G1186" s="18">
        <v>0.02</v>
      </c>
      <c r="H1186" s="13"/>
      <c r="I1186" s="13"/>
    </row>
    <row r="1187" spans="1:9">
      <c r="A1187" s="13" t="s">
        <v>1861</v>
      </c>
      <c r="B1187" s="145" t="s">
        <v>792</v>
      </c>
      <c r="C1187" s="145" t="s">
        <v>470</v>
      </c>
      <c r="D1187" s="15">
        <v>10000000</v>
      </c>
      <c r="E1187" s="95">
        <v>0.91639475650000002</v>
      </c>
      <c r="F1187" s="18">
        <v>9163947.5700000003</v>
      </c>
      <c r="G1187" s="18">
        <v>0.02</v>
      </c>
      <c r="H1187" s="13"/>
      <c r="I1187" s="13"/>
    </row>
    <row r="1188" spans="1:9">
      <c r="A1188" s="13" t="s">
        <v>1862</v>
      </c>
      <c r="B1188" s="145" t="s">
        <v>1206</v>
      </c>
      <c r="C1188" s="145" t="s">
        <v>470</v>
      </c>
      <c r="D1188" s="15">
        <v>3750000</v>
      </c>
      <c r="E1188" s="95">
        <v>0.86425320459999999</v>
      </c>
      <c r="F1188" s="18">
        <v>3240949.52</v>
      </c>
      <c r="G1188" s="18">
        <v>0.01</v>
      </c>
      <c r="H1188" s="13"/>
      <c r="I1188" s="13"/>
    </row>
    <row r="1189" spans="1:9">
      <c r="A1189" s="13" t="s">
        <v>1863</v>
      </c>
      <c r="B1189" s="145" t="s">
        <v>1864</v>
      </c>
      <c r="C1189" s="145" t="s">
        <v>470</v>
      </c>
      <c r="D1189" s="15">
        <v>3750000</v>
      </c>
      <c r="E1189" s="95">
        <v>0.86028097120000002</v>
      </c>
      <c r="F1189" s="18">
        <v>3226053.64</v>
      </c>
      <c r="G1189" s="18">
        <v>0.01</v>
      </c>
      <c r="H1189" s="13"/>
      <c r="I1189" s="13"/>
    </row>
    <row r="1190" spans="1:9">
      <c r="A1190" s="13" t="s">
        <v>1865</v>
      </c>
      <c r="B1190" s="145" t="s">
        <v>1216</v>
      </c>
      <c r="C1190" s="145" t="s">
        <v>470</v>
      </c>
      <c r="D1190" s="15">
        <v>3750000</v>
      </c>
      <c r="E1190" s="95">
        <v>0.85791522060000003</v>
      </c>
      <c r="F1190" s="18">
        <v>3217182.08</v>
      </c>
      <c r="G1190" s="18">
        <v>0.01</v>
      </c>
      <c r="H1190" s="13"/>
      <c r="I1190" s="13"/>
    </row>
    <row r="1191" spans="1:9">
      <c r="A1191" s="13" t="s">
        <v>1866</v>
      </c>
      <c r="B1191" s="145" t="s">
        <v>1867</v>
      </c>
      <c r="C1191" s="145" t="s">
        <v>470</v>
      </c>
      <c r="D1191" s="15">
        <v>3750000</v>
      </c>
      <c r="E1191" s="95">
        <v>0.83198493679999996</v>
      </c>
      <c r="F1191" s="18">
        <v>3119943.51</v>
      </c>
      <c r="G1191" s="18">
        <v>0.01</v>
      </c>
      <c r="H1191" s="13"/>
      <c r="I1191" s="13"/>
    </row>
    <row r="1192" spans="1:9">
      <c r="A1192" s="13" t="s">
        <v>1868</v>
      </c>
      <c r="B1192" s="145" t="s">
        <v>1432</v>
      </c>
      <c r="C1192" s="145" t="s">
        <v>470</v>
      </c>
      <c r="D1192" s="15">
        <v>3750000</v>
      </c>
      <c r="E1192" s="95">
        <v>0.85556245070000003</v>
      </c>
      <c r="F1192" s="18">
        <v>3208359.19</v>
      </c>
      <c r="G1192" s="18">
        <v>0.01</v>
      </c>
      <c r="H1192" s="13"/>
      <c r="I1192" s="13"/>
    </row>
    <row r="1193" spans="1:9">
      <c r="A1193" s="13" t="s">
        <v>1869</v>
      </c>
      <c r="B1193" s="145" t="s">
        <v>1394</v>
      </c>
      <c r="C1193" s="145" t="s">
        <v>470</v>
      </c>
      <c r="D1193" s="15">
        <v>3750000</v>
      </c>
      <c r="E1193" s="95">
        <v>0.83719460089999997</v>
      </c>
      <c r="F1193" s="18">
        <v>3139479.75</v>
      </c>
      <c r="G1193" s="18">
        <v>0.01</v>
      </c>
      <c r="H1193" s="13"/>
      <c r="I1193" s="13"/>
    </row>
    <row r="1194" spans="1:9">
      <c r="A1194" s="13" t="s">
        <v>1870</v>
      </c>
      <c r="B1194" s="145" t="s">
        <v>1871</v>
      </c>
      <c r="C1194" s="145" t="s">
        <v>470</v>
      </c>
      <c r="D1194" s="15">
        <v>3750000</v>
      </c>
      <c r="E1194" s="95">
        <v>0.83420965290000004</v>
      </c>
      <c r="F1194" s="94">
        <v>3128286.2</v>
      </c>
      <c r="G1194" s="18">
        <v>0.01</v>
      </c>
      <c r="H1194" s="13"/>
      <c r="I1194" s="13"/>
    </row>
    <row r="1195" spans="1:9">
      <c r="A1195" s="13" t="s">
        <v>1872</v>
      </c>
      <c r="B1195" s="145" t="s">
        <v>1417</v>
      </c>
      <c r="C1195" s="145" t="s">
        <v>470</v>
      </c>
      <c r="D1195" s="15">
        <v>3750000</v>
      </c>
      <c r="E1195" s="95">
        <v>0.85322254890000004</v>
      </c>
      <c r="F1195" s="18">
        <v>3199584.56</v>
      </c>
      <c r="G1195" s="18">
        <v>0.01</v>
      </c>
      <c r="H1195" s="13"/>
      <c r="I1195" s="13"/>
    </row>
    <row r="1196" spans="1:9">
      <c r="A1196" s="13" t="s">
        <v>1873</v>
      </c>
      <c r="B1196" s="145" t="s">
        <v>1421</v>
      </c>
      <c r="C1196" s="145" t="s">
        <v>470</v>
      </c>
      <c r="D1196" s="15">
        <v>3750000</v>
      </c>
      <c r="E1196" s="95">
        <v>0.85012242490000001</v>
      </c>
      <c r="F1196" s="18">
        <v>3187959.09</v>
      </c>
      <c r="G1196" s="18">
        <v>0.01</v>
      </c>
      <c r="H1196" s="13"/>
      <c r="I1196" s="13"/>
    </row>
    <row r="1197" spans="1:9">
      <c r="A1197" s="13" t="s">
        <v>1874</v>
      </c>
      <c r="B1197" s="145" t="s">
        <v>1427</v>
      </c>
      <c r="C1197" s="145" t="s">
        <v>470</v>
      </c>
      <c r="D1197" s="15">
        <v>3750000</v>
      </c>
      <c r="E1197" s="95">
        <v>0.84475114019999997</v>
      </c>
      <c r="F1197" s="18">
        <v>3167816.78</v>
      </c>
      <c r="G1197" s="18">
        <v>0.01</v>
      </c>
      <c r="H1197" s="13"/>
      <c r="I1197" s="13"/>
    </row>
    <row r="1198" spans="1:9">
      <c r="A1198" s="13" t="s">
        <v>1875</v>
      </c>
      <c r="B1198" s="145" t="s">
        <v>1824</v>
      </c>
      <c r="C1198" s="145" t="s">
        <v>470</v>
      </c>
      <c r="D1198" s="15">
        <v>3750000</v>
      </c>
      <c r="E1198" s="95">
        <v>0.84246992009999999</v>
      </c>
      <c r="F1198" s="94">
        <v>3159262.2</v>
      </c>
      <c r="G1198" s="18">
        <v>0.01</v>
      </c>
      <c r="H1198" s="13"/>
      <c r="I1198" s="13"/>
    </row>
    <row r="1199" spans="1:9">
      <c r="A1199" s="13" t="s">
        <v>1876</v>
      </c>
      <c r="B1199" s="145" t="s">
        <v>1877</v>
      </c>
      <c r="C1199" s="145" t="s">
        <v>470</v>
      </c>
      <c r="D1199" s="15">
        <v>3750000</v>
      </c>
      <c r="E1199" s="95">
        <v>0.83869496389999998</v>
      </c>
      <c r="F1199" s="18">
        <v>3145106.11</v>
      </c>
      <c r="G1199" s="18">
        <v>0.01</v>
      </c>
      <c r="H1199" s="13"/>
      <c r="I1199" s="13"/>
    </row>
    <row r="1200" spans="1:9">
      <c r="A1200" s="13" t="s">
        <v>1878</v>
      </c>
      <c r="B1200" s="145" t="s">
        <v>1425</v>
      </c>
      <c r="C1200" s="145" t="s">
        <v>470</v>
      </c>
      <c r="D1200" s="15">
        <v>3750000</v>
      </c>
      <c r="E1200" s="95">
        <v>0.8478121435</v>
      </c>
      <c r="F1200" s="18">
        <v>3179295.54</v>
      </c>
      <c r="G1200" s="18">
        <v>0.01</v>
      </c>
      <c r="H1200" s="13"/>
      <c r="I1200" s="13"/>
    </row>
    <row r="1201" spans="1:9">
      <c r="A1201" s="13" t="s">
        <v>1879</v>
      </c>
      <c r="B1201" s="145" t="s">
        <v>614</v>
      </c>
      <c r="C1201" s="145" t="s">
        <v>470</v>
      </c>
      <c r="D1201" s="15">
        <v>50000000</v>
      </c>
      <c r="E1201" s="95">
        <v>0.93570575339999995</v>
      </c>
      <c r="F1201" s="18">
        <v>46785287.670000002</v>
      </c>
      <c r="G1201" s="18">
        <v>0.12</v>
      </c>
      <c r="H1201" s="13"/>
      <c r="I1201" s="13"/>
    </row>
    <row r="1202" spans="1:9">
      <c r="A1202" s="13" t="s">
        <v>1880</v>
      </c>
      <c r="B1202" s="145" t="s">
        <v>794</v>
      </c>
      <c r="C1202" s="145" t="s">
        <v>470</v>
      </c>
      <c r="D1202" s="15">
        <v>50000000</v>
      </c>
      <c r="E1202" s="95">
        <v>0.93019727529999996</v>
      </c>
      <c r="F1202" s="18">
        <v>46509863.770000003</v>
      </c>
      <c r="G1202" s="18">
        <v>0.12</v>
      </c>
      <c r="H1202" s="13"/>
      <c r="I1202" s="13"/>
    </row>
    <row r="1203" spans="1:9">
      <c r="A1203" s="13" t="s">
        <v>1881</v>
      </c>
      <c r="B1203" s="145" t="s">
        <v>513</v>
      </c>
      <c r="C1203" s="145" t="s">
        <v>470</v>
      </c>
      <c r="D1203" s="15">
        <v>50000000</v>
      </c>
      <c r="E1203" s="95">
        <v>0.94692077720000001</v>
      </c>
      <c r="F1203" s="18">
        <v>47346038.859999999</v>
      </c>
      <c r="G1203" s="18">
        <v>0.12</v>
      </c>
      <c r="H1203" s="13"/>
      <c r="I1203" s="13"/>
    </row>
    <row r="1204" spans="1:9">
      <c r="A1204" s="13" t="s">
        <v>1882</v>
      </c>
      <c r="B1204" s="145" t="s">
        <v>624</v>
      </c>
      <c r="C1204" s="145" t="s">
        <v>470</v>
      </c>
      <c r="D1204" s="15">
        <v>50000000</v>
      </c>
      <c r="E1204" s="95">
        <v>0.94127986070000003</v>
      </c>
      <c r="F1204" s="18">
        <v>47063993.039999999</v>
      </c>
      <c r="G1204" s="18">
        <v>0.12</v>
      </c>
      <c r="H1204" s="13"/>
      <c r="I1204" s="13"/>
    </row>
    <row r="1205" spans="1:9">
      <c r="A1205" s="13" t="s">
        <v>1883</v>
      </c>
      <c r="B1205" s="145" t="s">
        <v>224</v>
      </c>
      <c r="C1205" s="145" t="s">
        <v>470</v>
      </c>
      <c r="D1205" s="15">
        <v>5000000</v>
      </c>
      <c r="E1205" s="95">
        <v>0.9355136664</v>
      </c>
      <c r="F1205" s="18">
        <v>4677568.33</v>
      </c>
      <c r="G1205" s="18">
        <v>0.01</v>
      </c>
      <c r="H1205" s="13"/>
      <c r="I1205" s="13"/>
    </row>
    <row r="1206" spans="1:9">
      <c r="A1206" s="13" t="s">
        <v>1884</v>
      </c>
      <c r="B1206" s="145" t="s">
        <v>624</v>
      </c>
      <c r="C1206" s="145" t="s">
        <v>470</v>
      </c>
      <c r="D1206" s="18">
        <v>5454223.6600000001</v>
      </c>
      <c r="E1206" s="95">
        <v>0.93462756229999999</v>
      </c>
      <c r="F1206" s="18">
        <v>5097667.76</v>
      </c>
      <c r="G1206" s="18">
        <v>0.01</v>
      </c>
      <c r="H1206" s="13"/>
      <c r="I1206" s="13"/>
    </row>
    <row r="1207" spans="1:9">
      <c r="A1207" s="13" t="s">
        <v>1885</v>
      </c>
      <c r="B1207" s="145" t="s">
        <v>862</v>
      </c>
      <c r="C1207" s="145" t="s">
        <v>470</v>
      </c>
      <c r="D1207" s="15">
        <v>50000000</v>
      </c>
      <c r="E1207" s="95">
        <v>0.9471910804</v>
      </c>
      <c r="F1207" s="18">
        <v>47359554.020000003</v>
      </c>
      <c r="G1207" s="18">
        <v>0.12</v>
      </c>
      <c r="H1207" s="13"/>
      <c r="I1207" s="13"/>
    </row>
    <row r="1208" spans="1:9">
      <c r="A1208" s="13" t="s">
        <v>1886</v>
      </c>
      <c r="B1208" s="145" t="s">
        <v>513</v>
      </c>
      <c r="C1208" s="145" t="s">
        <v>470</v>
      </c>
      <c r="D1208" s="15">
        <v>50000000</v>
      </c>
      <c r="E1208" s="95">
        <v>0.94086738349999999</v>
      </c>
      <c r="F1208" s="18">
        <v>47043369.18</v>
      </c>
      <c r="G1208" s="18">
        <v>0.12</v>
      </c>
      <c r="H1208" s="13"/>
      <c r="I1208" s="13"/>
    </row>
    <row r="1209" spans="1:9">
      <c r="A1209" s="13" t="s">
        <v>1887</v>
      </c>
      <c r="B1209" s="145" t="s">
        <v>805</v>
      </c>
      <c r="C1209" s="145" t="s">
        <v>470</v>
      </c>
      <c r="D1209" s="15">
        <v>9500000</v>
      </c>
      <c r="E1209" s="95">
        <v>0.94810150459999998</v>
      </c>
      <c r="F1209" s="18">
        <v>9006964.2899999991</v>
      </c>
      <c r="G1209" s="18">
        <v>0.02</v>
      </c>
      <c r="H1209" s="13"/>
      <c r="I1209" s="13"/>
    </row>
    <row r="1210" spans="1:9">
      <c r="A1210" s="13" t="s">
        <v>1888</v>
      </c>
      <c r="B1210" s="145" t="s">
        <v>513</v>
      </c>
      <c r="C1210" s="145" t="s">
        <v>470</v>
      </c>
      <c r="D1210" s="15">
        <v>9500000</v>
      </c>
      <c r="E1210" s="95">
        <v>0.94086738349999999</v>
      </c>
      <c r="F1210" s="18">
        <v>8938240.1400000006</v>
      </c>
      <c r="G1210" s="18">
        <v>0.02</v>
      </c>
      <c r="H1210" s="13"/>
      <c r="I1210" s="13"/>
    </row>
    <row r="1211" spans="1:9">
      <c r="A1211" s="13" t="s">
        <v>1889</v>
      </c>
      <c r="B1211" s="145" t="s">
        <v>862</v>
      </c>
      <c r="C1211" s="145" t="s">
        <v>470</v>
      </c>
      <c r="D1211" s="94">
        <v>28270320.699999999</v>
      </c>
      <c r="E1211" s="95">
        <v>0.9471910804</v>
      </c>
      <c r="F1211" s="18">
        <v>26777395.609999999</v>
      </c>
      <c r="G1211" s="18">
        <v>7.0000000000000007E-2</v>
      </c>
      <c r="H1211" s="13"/>
      <c r="I1211" s="13"/>
    </row>
    <row r="1212" spans="1:9">
      <c r="A1212" s="13" t="s">
        <v>1890</v>
      </c>
      <c r="B1212" s="145" t="s">
        <v>248</v>
      </c>
      <c r="C1212" s="145" t="s">
        <v>470</v>
      </c>
      <c r="D1212" s="18">
        <v>6598885.3799999999</v>
      </c>
      <c r="E1212" s="95">
        <v>0.92325601390000001</v>
      </c>
      <c r="F1212" s="18">
        <v>6092460.6100000003</v>
      </c>
      <c r="G1212" s="18">
        <v>0.02</v>
      </c>
      <c r="H1212" s="13"/>
      <c r="I1212" s="13"/>
    </row>
    <row r="1213" spans="1:9">
      <c r="A1213" s="13" t="s">
        <v>1891</v>
      </c>
      <c r="B1213" s="145" t="s">
        <v>450</v>
      </c>
      <c r="C1213" s="145" t="s">
        <v>470</v>
      </c>
      <c r="D1213" s="18">
        <v>45748279.530000001</v>
      </c>
      <c r="E1213" s="95">
        <v>0.98276797770000002</v>
      </c>
      <c r="F1213" s="18">
        <v>44959944.159999996</v>
      </c>
      <c r="G1213" s="18">
        <v>0.12</v>
      </c>
      <c r="H1213" s="13"/>
      <c r="I1213" s="13"/>
    </row>
    <row r="1214" spans="1:9">
      <c r="A1214" s="13" t="s">
        <v>1892</v>
      </c>
      <c r="B1214" s="145" t="s">
        <v>450</v>
      </c>
      <c r="C1214" s="145" t="s">
        <v>470</v>
      </c>
      <c r="D1214" s="18">
        <v>45748279.530000001</v>
      </c>
      <c r="E1214" s="95">
        <v>0.98276797770000002</v>
      </c>
      <c r="F1214" s="18">
        <v>44959944.159999996</v>
      </c>
      <c r="G1214" s="18">
        <v>0.12</v>
      </c>
      <c r="H1214" s="13"/>
      <c r="I1214" s="13"/>
    </row>
    <row r="1215" spans="1:9">
      <c r="A1215" s="13" t="s">
        <v>1904</v>
      </c>
      <c r="B1215" s="145" t="s">
        <v>1557</v>
      </c>
      <c r="C1215" s="145" t="s">
        <v>469</v>
      </c>
      <c r="D1215" s="15">
        <v>10000000</v>
      </c>
      <c r="E1215" s="95">
        <v>0.91022446889999997</v>
      </c>
      <c r="F1215" s="18">
        <v>9102244.6899999995</v>
      </c>
      <c r="G1215" s="18">
        <v>0.02</v>
      </c>
      <c r="H1215" s="13"/>
      <c r="I1215" s="13"/>
    </row>
    <row r="1216" spans="1:9">
      <c r="A1216" s="13" t="s">
        <v>1905</v>
      </c>
      <c r="B1216" s="145" t="s">
        <v>1091</v>
      </c>
      <c r="C1216" s="145" t="s">
        <v>469</v>
      </c>
      <c r="D1216" s="15">
        <v>10000000</v>
      </c>
      <c r="E1216" s="95">
        <v>0.92545642849999998</v>
      </c>
      <c r="F1216" s="18">
        <v>9254564.2899999991</v>
      </c>
      <c r="G1216" s="18">
        <v>0.02</v>
      </c>
      <c r="H1216" s="13"/>
      <c r="I1216" s="13"/>
    </row>
    <row r="1217" spans="1:9">
      <c r="A1217" s="13" t="s">
        <v>1906</v>
      </c>
      <c r="B1217" s="145" t="s">
        <v>792</v>
      </c>
      <c r="C1217" s="145" t="s">
        <v>469</v>
      </c>
      <c r="D1217" s="15">
        <v>10000000</v>
      </c>
      <c r="E1217" s="95">
        <v>0.91639482549999995</v>
      </c>
      <c r="F1217" s="18">
        <v>9163948.2599999998</v>
      </c>
      <c r="G1217" s="18">
        <v>0.02</v>
      </c>
      <c r="H1217" s="13"/>
      <c r="I1217" s="13"/>
    </row>
    <row r="1218" spans="1:9">
      <c r="A1218" s="13" t="s">
        <v>1907</v>
      </c>
      <c r="B1218" s="145" t="s">
        <v>1003</v>
      </c>
      <c r="C1218" s="145" t="s">
        <v>469</v>
      </c>
      <c r="D1218" s="15">
        <v>10000000</v>
      </c>
      <c r="E1218" s="95">
        <v>0.93112253879999995</v>
      </c>
      <c r="F1218" s="18">
        <v>9311225.3900000006</v>
      </c>
      <c r="G1218" s="18">
        <v>0.02</v>
      </c>
      <c r="H1218" s="13"/>
      <c r="I1218" s="13"/>
    </row>
    <row r="1219" spans="1:9">
      <c r="A1219" s="13" t="s">
        <v>1908</v>
      </c>
      <c r="B1219" s="145" t="s">
        <v>1163</v>
      </c>
      <c r="C1219" s="145" t="s">
        <v>469</v>
      </c>
      <c r="D1219" s="15">
        <v>10000000</v>
      </c>
      <c r="E1219" s="95">
        <v>0.92125202110000004</v>
      </c>
      <c r="F1219" s="18">
        <v>9212520.2100000009</v>
      </c>
      <c r="G1219" s="18">
        <v>0.02</v>
      </c>
      <c r="H1219" s="13"/>
      <c r="I1219" s="13"/>
    </row>
    <row r="1220" spans="1:9">
      <c r="A1220" s="13" t="s">
        <v>1909</v>
      </c>
      <c r="B1220" s="145" t="s">
        <v>509</v>
      </c>
      <c r="C1220" s="145" t="s">
        <v>469</v>
      </c>
      <c r="D1220" s="15">
        <v>10000000</v>
      </c>
      <c r="E1220" s="95">
        <v>0.93975299820000002</v>
      </c>
      <c r="F1220" s="18">
        <v>9397529.9800000004</v>
      </c>
      <c r="G1220" s="18">
        <v>0.02</v>
      </c>
      <c r="H1220" s="13"/>
      <c r="I1220" s="13"/>
    </row>
    <row r="1221" spans="1:9">
      <c r="A1221" s="13" t="s">
        <v>1910</v>
      </c>
      <c r="B1221" s="145" t="s">
        <v>1319</v>
      </c>
      <c r="C1221" s="145" t="s">
        <v>469</v>
      </c>
      <c r="D1221" s="15">
        <v>10000000</v>
      </c>
      <c r="E1221" s="96">
        <v>0.90286205500000005</v>
      </c>
      <c r="F1221" s="18">
        <v>9028620.5500000007</v>
      </c>
      <c r="G1221" s="18">
        <v>0.02</v>
      </c>
      <c r="H1221" s="13"/>
      <c r="I1221" s="13"/>
    </row>
    <row r="1222" spans="1:9">
      <c r="A1222" s="13" t="s">
        <v>1911</v>
      </c>
      <c r="B1222" s="145" t="s">
        <v>1081</v>
      </c>
      <c r="C1222" s="145" t="s">
        <v>469</v>
      </c>
      <c r="D1222" s="15">
        <v>10000000</v>
      </c>
      <c r="E1222" s="95">
        <v>0.89773243160000005</v>
      </c>
      <c r="F1222" s="18">
        <v>8977324.3200000003</v>
      </c>
      <c r="G1222" s="18">
        <v>0.02</v>
      </c>
      <c r="H1222" s="13"/>
      <c r="I1222" s="13"/>
    </row>
    <row r="1223" spans="1:9">
      <c r="A1223" s="13" t="s">
        <v>1912</v>
      </c>
      <c r="B1223" s="145" t="s">
        <v>720</v>
      </c>
      <c r="C1223" s="145" t="s">
        <v>469</v>
      </c>
      <c r="D1223" s="15">
        <v>100000000</v>
      </c>
      <c r="E1223" s="95">
        <v>0.96940405650000006</v>
      </c>
      <c r="F1223" s="18">
        <v>96940405.650000006</v>
      </c>
      <c r="G1223" s="18">
        <v>0.26</v>
      </c>
      <c r="H1223" s="13"/>
      <c r="I1223" s="13"/>
    </row>
    <row r="1224" spans="1:9">
      <c r="A1224" s="13" t="s">
        <v>1913</v>
      </c>
      <c r="B1224" s="145" t="s">
        <v>524</v>
      </c>
      <c r="C1224" s="145" t="s">
        <v>469</v>
      </c>
      <c r="D1224" s="15">
        <v>100000000</v>
      </c>
      <c r="E1224" s="95">
        <v>0.97022872550000006</v>
      </c>
      <c r="F1224" s="18">
        <v>97022872.549999997</v>
      </c>
      <c r="G1224" s="18">
        <v>0.26</v>
      </c>
      <c r="H1224" s="13"/>
      <c r="I1224" s="13"/>
    </row>
    <row r="1225" spans="1:9">
      <c r="A1225" s="13" t="s">
        <v>1914</v>
      </c>
      <c r="B1225" s="145" t="s">
        <v>507</v>
      </c>
      <c r="C1225" s="145" t="s">
        <v>469</v>
      </c>
      <c r="D1225" s="15">
        <v>150000000</v>
      </c>
      <c r="E1225" s="95">
        <v>0.96693873969999999</v>
      </c>
      <c r="F1225" s="18">
        <v>145040810.96000001</v>
      </c>
      <c r="G1225" s="18">
        <v>0.38</v>
      </c>
      <c r="H1225" s="13"/>
      <c r="I1225" s="13"/>
    </row>
    <row r="1226" spans="1:9">
      <c r="A1226" s="13"/>
      <c r="B1226" s="13"/>
      <c r="C1226" s="13" t="s">
        <v>28</v>
      </c>
      <c r="D1226" s="13" t="s">
        <v>28</v>
      </c>
      <c r="E1226" s="13" t="s">
        <v>28</v>
      </c>
      <c r="F1226" s="94">
        <v>30384609257.599998</v>
      </c>
      <c r="G1226" s="18">
        <v>80.739999999999995</v>
      </c>
      <c r="H1226" s="13"/>
      <c r="I1226" s="13"/>
    </row>
    <row r="1227" spans="1:9">
      <c r="A1227" s="13" t="s">
        <v>28</v>
      </c>
      <c r="B1227" s="13"/>
      <c r="C1227" s="13"/>
      <c r="D1227" s="13"/>
      <c r="E1227" s="13"/>
      <c r="F1227" s="13"/>
      <c r="G1227" s="13"/>
      <c r="H1227" s="13"/>
      <c r="I1227" s="13"/>
    </row>
    <row r="1228" spans="1:9">
      <c r="A1228" s="13" t="s">
        <v>148</v>
      </c>
      <c r="B1228" s="13"/>
      <c r="C1228" s="13"/>
      <c r="D1228" s="13"/>
      <c r="E1228" s="13"/>
      <c r="F1228" s="13"/>
      <c r="G1228" s="13"/>
      <c r="H1228" s="13"/>
      <c r="I1228" s="13"/>
    </row>
    <row r="1229" spans="1:9">
      <c r="A1229" s="14" t="s">
        <v>9</v>
      </c>
      <c r="B1229" s="14" t="s">
        <v>113</v>
      </c>
      <c r="C1229" s="14" t="s">
        <v>16</v>
      </c>
      <c r="D1229" s="14" t="s">
        <v>115</v>
      </c>
      <c r="E1229" s="14" t="s">
        <v>32</v>
      </c>
      <c r="F1229" s="14" t="s">
        <v>116</v>
      </c>
      <c r="G1229" s="14" t="s">
        <v>4</v>
      </c>
      <c r="H1229" s="14"/>
      <c r="I1229" s="14"/>
    </row>
    <row r="1230" spans="1:9">
      <c r="A1230" s="13" t="s">
        <v>414</v>
      </c>
      <c r="B1230" s="145" t="s">
        <v>415</v>
      </c>
      <c r="C1230" s="145" t="s">
        <v>198</v>
      </c>
      <c r="D1230" s="15">
        <v>20856</v>
      </c>
      <c r="E1230" s="95">
        <v>1190.0978928198001</v>
      </c>
      <c r="F1230" s="18">
        <v>24820684.039999999</v>
      </c>
      <c r="G1230" s="18">
        <v>7.0000000000000007E-2</v>
      </c>
      <c r="H1230" s="13"/>
      <c r="I1230" s="13"/>
    </row>
    <row r="1231" spans="1:9">
      <c r="A1231" s="13" t="s">
        <v>416</v>
      </c>
      <c r="B1231" s="145" t="s">
        <v>417</v>
      </c>
      <c r="C1231" s="145" t="s">
        <v>198</v>
      </c>
      <c r="D1231" s="15">
        <v>20856</v>
      </c>
      <c r="E1231" s="96">
        <v>1243.3488961559999</v>
      </c>
      <c r="F1231" s="18">
        <v>25931285.23</v>
      </c>
      <c r="G1231" s="18">
        <v>7.0000000000000007E-2</v>
      </c>
      <c r="H1231" s="13"/>
      <c r="I1231" s="13"/>
    </row>
    <row r="1232" spans="1:9">
      <c r="A1232" s="13" t="s">
        <v>418</v>
      </c>
      <c r="B1232" s="145" t="s">
        <v>419</v>
      </c>
      <c r="C1232" s="145" t="s">
        <v>198</v>
      </c>
      <c r="D1232" s="15">
        <v>20856</v>
      </c>
      <c r="E1232" s="95">
        <v>1141.4828162909</v>
      </c>
      <c r="F1232" s="18">
        <v>23806759.239999998</v>
      </c>
      <c r="G1232" s="18">
        <v>0.06</v>
      </c>
      <c r="H1232" s="13"/>
      <c r="I1232" s="13"/>
    </row>
    <row r="1233" spans="1:9">
      <c r="A1233" s="13" t="s">
        <v>420</v>
      </c>
      <c r="B1233" s="145" t="s">
        <v>421</v>
      </c>
      <c r="C1233" s="145" t="s">
        <v>198</v>
      </c>
      <c r="D1233" s="15">
        <v>13904</v>
      </c>
      <c r="E1233" s="95">
        <v>1301.2555158763</v>
      </c>
      <c r="F1233" s="18">
        <v>18092653.850000001</v>
      </c>
      <c r="G1233" s="18">
        <v>0.05</v>
      </c>
      <c r="H1233" s="13"/>
      <c r="I1233" s="13"/>
    </row>
    <row r="1234" spans="1:9">
      <c r="A1234" s="13" t="s">
        <v>449</v>
      </c>
      <c r="B1234" s="145" t="s">
        <v>450</v>
      </c>
      <c r="C1234" s="145" t="s">
        <v>207</v>
      </c>
      <c r="D1234" s="15">
        <v>40000</v>
      </c>
      <c r="E1234" s="95">
        <v>1385.6394284180999</v>
      </c>
      <c r="F1234" s="18">
        <v>55425580.920000002</v>
      </c>
      <c r="G1234" s="18">
        <v>0.15</v>
      </c>
      <c r="H1234" s="13"/>
      <c r="I1234" s="13"/>
    </row>
    <row r="1235" spans="1:9">
      <c r="A1235" s="13" t="s">
        <v>596</v>
      </c>
      <c r="B1235" s="145" t="s">
        <v>597</v>
      </c>
      <c r="C1235" s="145" t="s">
        <v>320</v>
      </c>
      <c r="D1235" s="15">
        <v>50000</v>
      </c>
      <c r="E1235" s="95">
        <v>1374.4046358968999</v>
      </c>
      <c r="F1235" s="18">
        <v>68720235.329999998</v>
      </c>
      <c r="G1235" s="18">
        <v>0.18</v>
      </c>
      <c r="H1235" s="13"/>
      <c r="I1235" s="13"/>
    </row>
    <row r="1236" spans="1:9">
      <c r="A1236" s="13" t="s">
        <v>673</v>
      </c>
      <c r="B1236" s="145" t="s">
        <v>597</v>
      </c>
      <c r="C1236" s="145" t="s">
        <v>377</v>
      </c>
      <c r="D1236" s="15">
        <v>50000</v>
      </c>
      <c r="E1236" s="95">
        <v>1374.4049088311001</v>
      </c>
      <c r="F1236" s="18">
        <v>68720249.269999996</v>
      </c>
      <c r="G1236" s="18">
        <v>0.18</v>
      </c>
      <c r="H1236" s="13"/>
      <c r="I1236" s="13"/>
    </row>
    <row r="1237" spans="1:9">
      <c r="A1237" s="13" t="s">
        <v>793</v>
      </c>
      <c r="B1237" s="145" t="s">
        <v>794</v>
      </c>
      <c r="C1237" s="145" t="s">
        <v>447</v>
      </c>
      <c r="D1237" s="15">
        <v>50000</v>
      </c>
      <c r="E1237" s="95">
        <v>1368.3399248546</v>
      </c>
      <c r="F1237" s="18">
        <v>68416998.329999998</v>
      </c>
      <c r="G1237" s="18">
        <v>0.18</v>
      </c>
      <c r="H1237" s="13"/>
      <c r="I1237" s="13"/>
    </row>
    <row r="1238" spans="1:9">
      <c r="A1238" s="13" t="s">
        <v>937</v>
      </c>
      <c r="B1238" s="145" t="s">
        <v>597</v>
      </c>
      <c r="C1238" s="145" t="s">
        <v>291</v>
      </c>
      <c r="D1238" s="15">
        <v>50000</v>
      </c>
      <c r="E1238" s="95">
        <v>1376.2645996115</v>
      </c>
      <c r="F1238" s="18">
        <v>68813233.590000004</v>
      </c>
      <c r="G1238" s="18">
        <v>0.18</v>
      </c>
      <c r="H1238" s="13"/>
      <c r="I1238" s="13"/>
    </row>
    <row r="1239" spans="1:9">
      <c r="A1239" s="13" t="s">
        <v>938</v>
      </c>
      <c r="B1239" s="145" t="s">
        <v>794</v>
      </c>
      <c r="C1239" s="145" t="s">
        <v>291</v>
      </c>
      <c r="D1239" s="15">
        <v>50000</v>
      </c>
      <c r="E1239" s="95">
        <v>1365.2906356399001</v>
      </c>
      <c r="F1239" s="18">
        <v>68264536.920000002</v>
      </c>
      <c r="G1239" s="18">
        <v>0.18</v>
      </c>
      <c r="H1239" s="13"/>
      <c r="I1239" s="13"/>
    </row>
    <row r="1240" spans="1:9">
      <c r="A1240" s="13" t="s">
        <v>1213</v>
      </c>
      <c r="B1240" s="145" t="s">
        <v>1214</v>
      </c>
      <c r="C1240" s="145" t="s">
        <v>461</v>
      </c>
      <c r="D1240" s="15">
        <v>18230</v>
      </c>
      <c r="E1240" s="95">
        <v>1338.3755075894001</v>
      </c>
      <c r="F1240" s="18">
        <v>24398590.379999999</v>
      </c>
      <c r="G1240" s="18">
        <v>0.06</v>
      </c>
      <c r="H1240" s="13"/>
      <c r="I1240" s="13"/>
    </row>
    <row r="1241" spans="1:9">
      <c r="A1241" s="13" t="s">
        <v>1215</v>
      </c>
      <c r="B1241" s="145" t="s">
        <v>1216</v>
      </c>
      <c r="C1241" s="145" t="s">
        <v>461</v>
      </c>
      <c r="D1241" s="15">
        <v>18230</v>
      </c>
      <c r="E1241" s="95">
        <v>1347.4540803176001</v>
      </c>
      <c r="F1241" s="18">
        <v>24564092.449999999</v>
      </c>
      <c r="G1241" s="18">
        <v>0.06</v>
      </c>
      <c r="H1241" s="13"/>
      <c r="I1241" s="13"/>
    </row>
    <row r="1242" spans="1:9">
      <c r="A1242" s="13" t="s">
        <v>1217</v>
      </c>
      <c r="B1242" s="145" t="s">
        <v>1218</v>
      </c>
      <c r="C1242" s="145" t="s">
        <v>461</v>
      </c>
      <c r="D1242" s="15">
        <v>18230</v>
      </c>
      <c r="E1242" s="95">
        <v>1330.2549610911999</v>
      </c>
      <c r="F1242" s="18">
        <v>24250545.52</v>
      </c>
      <c r="G1242" s="18">
        <v>0.06</v>
      </c>
      <c r="H1242" s="13"/>
      <c r="I1242" s="13"/>
    </row>
    <row r="1243" spans="1:9">
      <c r="A1243" s="13" t="s">
        <v>1219</v>
      </c>
      <c r="B1243" s="145" t="s">
        <v>1220</v>
      </c>
      <c r="C1243" s="145" t="s">
        <v>461</v>
      </c>
      <c r="D1243" s="15">
        <v>18230</v>
      </c>
      <c r="E1243" s="95">
        <v>1281.7057602074999</v>
      </c>
      <c r="F1243" s="18">
        <v>23365494.710000001</v>
      </c>
      <c r="G1243" s="18">
        <v>0.06</v>
      </c>
      <c r="H1243" s="13"/>
      <c r="I1243" s="13"/>
    </row>
    <row r="1244" spans="1:9">
      <c r="A1244" s="13" t="s">
        <v>1221</v>
      </c>
      <c r="B1244" s="145" t="s">
        <v>1222</v>
      </c>
      <c r="C1244" s="145" t="s">
        <v>461</v>
      </c>
      <c r="D1244" s="15">
        <v>18230</v>
      </c>
      <c r="E1244" s="95">
        <v>1305.3957551556</v>
      </c>
      <c r="F1244" s="18">
        <v>23797368.850000001</v>
      </c>
      <c r="G1244" s="18">
        <v>0.06</v>
      </c>
      <c r="H1244" s="13"/>
      <c r="I1244" s="13"/>
    </row>
    <row r="1245" spans="1:9">
      <c r="A1245" s="13" t="s">
        <v>1223</v>
      </c>
      <c r="B1245" s="145" t="s">
        <v>1224</v>
      </c>
      <c r="C1245" s="145" t="s">
        <v>461</v>
      </c>
      <c r="D1245" s="15">
        <v>18230</v>
      </c>
      <c r="E1245" s="95">
        <v>1290.0295402863001</v>
      </c>
      <c r="F1245" s="18">
        <v>23517231.640000001</v>
      </c>
      <c r="G1245" s="18">
        <v>0.06</v>
      </c>
      <c r="H1245" s="13"/>
      <c r="I1245" s="13"/>
    </row>
    <row r="1246" spans="1:9">
      <c r="A1246" s="13" t="s">
        <v>1225</v>
      </c>
      <c r="B1246" s="145" t="s">
        <v>1226</v>
      </c>
      <c r="C1246" s="145" t="s">
        <v>461</v>
      </c>
      <c r="D1246" s="15">
        <v>18230</v>
      </c>
      <c r="E1246" s="96">
        <v>1297.9320726809999</v>
      </c>
      <c r="F1246" s="18">
        <v>23661305.789999999</v>
      </c>
      <c r="G1246" s="18">
        <v>0.06</v>
      </c>
      <c r="H1246" s="13"/>
      <c r="I1246" s="13"/>
    </row>
    <row r="1247" spans="1:9">
      <c r="A1247" s="13" t="s">
        <v>1227</v>
      </c>
      <c r="B1247" s="145" t="s">
        <v>1228</v>
      </c>
      <c r="C1247" s="145" t="s">
        <v>461</v>
      </c>
      <c r="D1247" s="15">
        <v>18230</v>
      </c>
      <c r="E1247" s="95">
        <v>1322.2307878143999</v>
      </c>
      <c r="F1247" s="18">
        <v>24104270.059999999</v>
      </c>
      <c r="G1247" s="18">
        <v>0.06</v>
      </c>
      <c r="H1247" s="13"/>
      <c r="I1247" s="13"/>
    </row>
    <row r="1248" spans="1:9">
      <c r="A1248" s="13" t="s">
        <v>1229</v>
      </c>
      <c r="B1248" s="145" t="s">
        <v>1230</v>
      </c>
      <c r="C1248" s="145" t="s">
        <v>461</v>
      </c>
      <c r="D1248" s="15">
        <v>18230</v>
      </c>
      <c r="E1248" s="95">
        <v>1313.4879372554999</v>
      </c>
      <c r="F1248" s="18">
        <v>23944884.289999999</v>
      </c>
      <c r="G1248" s="18">
        <v>0.06</v>
      </c>
      <c r="H1248" s="13"/>
      <c r="I1248" s="13"/>
    </row>
    <row r="1249" spans="1:9">
      <c r="A1249" s="13" t="s">
        <v>1526</v>
      </c>
      <c r="B1249" s="145" t="s">
        <v>794</v>
      </c>
      <c r="C1249" s="145" t="s">
        <v>533</v>
      </c>
      <c r="D1249" s="15">
        <v>100000</v>
      </c>
      <c r="E1249" s="95">
        <v>1371.4026841176999</v>
      </c>
      <c r="F1249" s="18">
        <v>137140270.91</v>
      </c>
      <c r="G1249" s="18">
        <v>0.36</v>
      </c>
      <c r="H1249" s="13"/>
      <c r="I1249" s="13"/>
    </row>
    <row r="1250" spans="1:9">
      <c r="A1250" s="13" t="s">
        <v>1527</v>
      </c>
      <c r="B1250" s="145" t="s">
        <v>1079</v>
      </c>
      <c r="C1250" s="145" t="s">
        <v>533</v>
      </c>
      <c r="D1250" s="15">
        <v>100000</v>
      </c>
      <c r="E1250" s="95">
        <v>1363.9357728273999</v>
      </c>
      <c r="F1250" s="18">
        <v>136393581.99000001</v>
      </c>
      <c r="G1250" s="18">
        <v>0.36</v>
      </c>
      <c r="H1250" s="13"/>
      <c r="I1250" s="13"/>
    </row>
    <row r="1251" spans="1:9">
      <c r="A1251" s="13"/>
      <c r="B1251" s="13"/>
      <c r="C1251" s="13" t="s">
        <v>28</v>
      </c>
      <c r="D1251" s="13" t="s">
        <v>28</v>
      </c>
      <c r="E1251" s="13" t="s">
        <v>28</v>
      </c>
      <c r="F1251" s="18">
        <v>980149853.30999994</v>
      </c>
      <c r="G1251" s="18">
        <v>2.58</v>
      </c>
      <c r="H1251" s="13"/>
      <c r="I1251" s="13"/>
    </row>
    <row r="1252" spans="1:9">
      <c r="A1252" s="13" t="s">
        <v>28</v>
      </c>
      <c r="B1252" s="13"/>
      <c r="C1252" s="13"/>
      <c r="D1252" s="13"/>
      <c r="E1252" s="13"/>
      <c r="F1252" s="13"/>
      <c r="G1252" s="13"/>
      <c r="H1252" s="13"/>
      <c r="I1252" s="13"/>
    </row>
    <row r="1253" spans="1:9">
      <c r="A1253" s="13" t="s">
        <v>7</v>
      </c>
      <c r="B1253" s="13"/>
      <c r="C1253" s="13"/>
      <c r="D1253" s="13"/>
      <c r="E1253" s="13"/>
      <c r="F1253" s="13"/>
      <c r="G1253" s="13"/>
      <c r="H1253" s="13"/>
      <c r="I1253" s="13"/>
    </row>
    <row r="1254" spans="1:9">
      <c r="A1254" s="14" t="s">
        <v>8</v>
      </c>
      <c r="B1254" s="14" t="s">
        <v>2</v>
      </c>
      <c r="C1254" s="14" t="s">
        <v>4</v>
      </c>
      <c r="D1254" s="14"/>
      <c r="E1254" s="14"/>
      <c r="F1254" s="14"/>
      <c r="G1254" s="14"/>
      <c r="H1254" s="14"/>
      <c r="I1254" s="14"/>
    </row>
    <row r="1255" spans="1:9">
      <c r="A1255" s="13" t="s">
        <v>103</v>
      </c>
      <c r="B1255" s="18">
        <v>1973719.69</v>
      </c>
      <c r="C1255" s="18">
        <v>0.01</v>
      </c>
      <c r="D1255" s="13"/>
      <c r="E1255" s="13"/>
      <c r="F1255" s="13"/>
      <c r="G1255" s="13"/>
      <c r="H1255" s="13"/>
      <c r="I1255" s="13"/>
    </row>
    <row r="1256" spans="1:9">
      <c r="A1256" s="13" t="s">
        <v>28</v>
      </c>
      <c r="B1256" s="18">
        <v>1973719.69</v>
      </c>
      <c r="C1256" s="18">
        <v>0.01</v>
      </c>
      <c r="D1256" s="13"/>
      <c r="E1256" s="13"/>
      <c r="F1256" s="13"/>
      <c r="G1256" s="13"/>
      <c r="H1256" s="13"/>
      <c r="I1256" s="13"/>
    </row>
    <row r="1257" spans="1:9">
      <c r="A1257" s="13" t="s">
        <v>28</v>
      </c>
      <c r="B1257" s="13"/>
      <c r="C1257" s="13"/>
      <c r="D1257" s="13"/>
      <c r="E1257" s="13"/>
      <c r="F1257" s="13"/>
      <c r="G1257" s="13"/>
      <c r="H1257" s="13"/>
      <c r="I1257" s="13"/>
    </row>
    <row r="1258" spans="1:9">
      <c r="A1258" s="13" t="s">
        <v>1915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3" t="s">
        <v>28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149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3" t="s">
        <v>674</v>
      </c>
      <c r="B1261" s="13"/>
      <c r="C1261" s="13"/>
      <c r="D1261" s="13"/>
      <c r="E1261" s="13"/>
      <c r="F1261" s="13"/>
      <c r="G1261" s="13"/>
      <c r="H1261" s="13"/>
      <c r="I1261" s="13"/>
    </row>
    <row r="1262" spans="1:9">
      <c r="A1262" s="14" t="s">
        <v>8</v>
      </c>
      <c r="B1262" s="14" t="s">
        <v>150</v>
      </c>
      <c r="C1262" s="14" t="s">
        <v>151</v>
      </c>
      <c r="D1262" s="14"/>
      <c r="E1262" s="14"/>
      <c r="F1262" s="14"/>
      <c r="G1262" s="14"/>
      <c r="H1262" s="14"/>
      <c r="I1262" s="14"/>
    </row>
    <row r="1263" spans="1:9">
      <c r="A1263" s="13" t="s">
        <v>393</v>
      </c>
      <c r="B1263" s="15">
        <v>300000000</v>
      </c>
      <c r="C1263" s="15">
        <v>310145394</v>
      </c>
      <c r="D1263" s="13"/>
      <c r="E1263" s="13"/>
      <c r="F1263" s="13"/>
      <c r="G1263" s="13"/>
      <c r="H1263" s="13"/>
      <c r="I1263" s="13"/>
    </row>
    <row r="1264" spans="1:9">
      <c r="A1264" s="13" t="s">
        <v>1795</v>
      </c>
      <c r="B1264" s="15">
        <v>200000000</v>
      </c>
      <c r="C1264" s="15">
        <v>230366940</v>
      </c>
      <c r="D1264" s="13"/>
      <c r="E1264" s="13"/>
      <c r="F1264" s="13"/>
      <c r="G1264" s="13"/>
      <c r="H1264" s="13"/>
      <c r="I1264" s="13"/>
    </row>
    <row r="1265" spans="1:9">
      <c r="A1265" s="13" t="s">
        <v>28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12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3" t="s">
        <v>20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4" t="s">
        <v>9</v>
      </c>
      <c r="B1268" s="14" t="s">
        <v>30</v>
      </c>
      <c r="C1268" s="14" t="s">
        <v>25</v>
      </c>
      <c r="D1268" s="14" t="s">
        <v>21</v>
      </c>
      <c r="E1268" s="14"/>
      <c r="F1268" s="14"/>
      <c r="G1268" s="14"/>
      <c r="H1268" s="14"/>
      <c r="I1268" s="14"/>
    </row>
    <row r="1269" spans="1:9">
      <c r="A1269" s="13" t="s">
        <v>31</v>
      </c>
      <c r="B1269" s="145" t="s">
        <v>469</v>
      </c>
      <c r="C1269" s="97">
        <v>1379.086</v>
      </c>
      <c r="D1269" s="13" t="s">
        <v>28</v>
      </c>
      <c r="E1269" s="13"/>
      <c r="F1269" s="13"/>
      <c r="G1269" s="13"/>
      <c r="H1269" s="13"/>
      <c r="I1269" s="13"/>
    </row>
    <row r="1270" spans="1:9">
      <c r="A1270" s="13" t="s">
        <v>13</v>
      </c>
      <c r="B1270" s="145" t="s">
        <v>470</v>
      </c>
      <c r="C1270" s="18">
        <v>1377.87</v>
      </c>
      <c r="D1270" s="18">
        <v>0.09</v>
      </c>
      <c r="E1270" s="13"/>
      <c r="F1270" s="13"/>
      <c r="G1270" s="13"/>
      <c r="H1270" s="13"/>
      <c r="I1270" s="13"/>
    </row>
    <row r="1271" spans="1:9">
      <c r="A1271" s="13" t="s">
        <v>0</v>
      </c>
      <c r="B1271" s="145" t="s">
        <v>428</v>
      </c>
      <c r="C1271" s="97">
        <v>1364.6089999999999</v>
      </c>
      <c r="D1271" s="18">
        <v>1.06</v>
      </c>
      <c r="E1271" s="13"/>
      <c r="F1271" s="13"/>
      <c r="G1271" s="13"/>
      <c r="H1271" s="13"/>
      <c r="I1271" s="13"/>
    </row>
    <row r="1272" spans="1:9">
      <c r="A1272" s="13" t="s">
        <v>40</v>
      </c>
      <c r="B1272" s="145" t="s">
        <v>198</v>
      </c>
      <c r="C1272" s="97">
        <v>1231.2270000000001</v>
      </c>
      <c r="D1272" s="18">
        <v>12.01</v>
      </c>
      <c r="E1272" s="13"/>
      <c r="F1272" s="13"/>
      <c r="G1272" s="13"/>
      <c r="H1272" s="13"/>
      <c r="I1272" s="13"/>
    </row>
    <row r="1273" spans="1:9">
      <c r="A1273" s="13" t="s">
        <v>5</v>
      </c>
      <c r="B1273" s="145" t="s">
        <v>104</v>
      </c>
      <c r="C1273" s="15">
        <v>1000</v>
      </c>
      <c r="D1273" s="18">
        <v>37.909999999999997</v>
      </c>
      <c r="E1273" s="13"/>
      <c r="F1273" s="13"/>
      <c r="G1273" s="13"/>
      <c r="H1273" s="13"/>
      <c r="I1273" s="13"/>
    </row>
    <row r="1274" spans="1:9">
      <c r="A1274" s="13" t="s">
        <v>28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3" t="s">
        <v>23</v>
      </c>
      <c r="B1275" s="13"/>
      <c r="C1275" s="13"/>
      <c r="D1275" s="13"/>
      <c r="E1275" s="13"/>
      <c r="F1275" s="13"/>
      <c r="G1275" s="13"/>
      <c r="H1275" s="13"/>
      <c r="I1275" s="13"/>
    </row>
    <row r="1276" spans="1:9">
      <c r="A1276" s="14" t="s">
        <v>9</v>
      </c>
      <c r="B1276" s="14" t="s">
        <v>30</v>
      </c>
      <c r="C1276" s="14" t="s">
        <v>25</v>
      </c>
      <c r="D1276" s="14" t="s">
        <v>21</v>
      </c>
      <c r="E1276" s="14"/>
      <c r="F1276" s="14"/>
      <c r="G1276" s="14"/>
      <c r="H1276" s="14"/>
      <c r="I1276" s="14"/>
    </row>
    <row r="1277" spans="1:9">
      <c r="A1277" s="13" t="s">
        <v>31</v>
      </c>
      <c r="B1277" s="145" t="s">
        <v>469</v>
      </c>
      <c r="C1277" s="97">
        <v>1652.5170000000001</v>
      </c>
      <c r="D1277" s="13" t="s">
        <v>28</v>
      </c>
      <c r="E1277" s="13"/>
      <c r="F1277" s="13"/>
      <c r="G1277" s="13"/>
      <c r="H1277" s="13"/>
      <c r="I1277" s="13"/>
    </row>
    <row r="1278" spans="1:9">
      <c r="A1278" s="13" t="s">
        <v>13</v>
      </c>
      <c r="B1278" s="145" t="s">
        <v>470</v>
      </c>
      <c r="C1278" s="18">
        <v>1651.06</v>
      </c>
      <c r="D1278" s="18">
        <v>0.09</v>
      </c>
      <c r="E1278" s="13"/>
      <c r="F1278" s="13"/>
      <c r="G1278" s="13"/>
      <c r="H1278" s="13"/>
      <c r="I1278" s="13"/>
    </row>
    <row r="1279" spans="1:9">
      <c r="A1279" s="13" t="s">
        <v>0</v>
      </c>
      <c r="B1279" s="145" t="s">
        <v>428</v>
      </c>
      <c r="C1279" s="18">
        <v>1635.17</v>
      </c>
      <c r="D1279" s="18">
        <v>1.06</v>
      </c>
      <c r="E1279" s="13"/>
      <c r="F1279" s="13"/>
      <c r="G1279" s="13"/>
      <c r="H1279" s="13"/>
      <c r="I1279" s="13"/>
    </row>
    <row r="1280" spans="1:9">
      <c r="A1280" s="13" t="s">
        <v>40</v>
      </c>
      <c r="B1280" s="145" t="s">
        <v>198</v>
      </c>
      <c r="C1280" s="97">
        <v>1475.3389999999999</v>
      </c>
      <c r="D1280" s="18">
        <v>12.01</v>
      </c>
      <c r="E1280" s="13"/>
      <c r="F1280" s="13"/>
      <c r="G1280" s="13"/>
      <c r="H1280" s="13"/>
      <c r="I1280" s="13"/>
    </row>
    <row r="1281" spans="1:9">
      <c r="A1281" s="13" t="s">
        <v>5</v>
      </c>
      <c r="B1281" s="145" t="s">
        <v>104</v>
      </c>
      <c r="C1281" s="15">
        <v>1000</v>
      </c>
      <c r="D1281" s="18">
        <v>65.25</v>
      </c>
      <c r="E1281" s="13"/>
      <c r="F1281" s="13"/>
      <c r="G1281" s="13"/>
      <c r="H1281" s="13"/>
      <c r="I1281" s="13"/>
    </row>
    <row r="1282" spans="1:9">
      <c r="A1282" s="13" t="s">
        <v>28</v>
      </c>
      <c r="B1282" s="13"/>
      <c r="C1282" s="13"/>
      <c r="D1282" s="13"/>
      <c r="E1282" s="13"/>
      <c r="F1282" s="13"/>
      <c r="G1282" s="13"/>
      <c r="H1282" s="13"/>
      <c r="I1282" s="13"/>
    </row>
    <row r="1283" spans="1:9">
      <c r="A1283" s="13" t="s">
        <v>22</v>
      </c>
      <c r="B1283" s="13"/>
      <c r="C1283" s="13"/>
      <c r="D1283" s="13"/>
      <c r="E1283" s="13"/>
      <c r="F1283" s="13"/>
      <c r="G1283" s="13"/>
      <c r="H1283" s="13"/>
      <c r="I1283" s="13"/>
    </row>
    <row r="1284" spans="1:9">
      <c r="A1284" s="14" t="s">
        <v>9</v>
      </c>
      <c r="B1284" s="14" t="s">
        <v>30</v>
      </c>
      <c r="C1284" s="14" t="s">
        <v>25</v>
      </c>
      <c r="D1284" s="14" t="s">
        <v>21</v>
      </c>
      <c r="E1284" s="14"/>
      <c r="F1284" s="14"/>
      <c r="G1284" s="14"/>
      <c r="H1284" s="14"/>
      <c r="I1284" s="14"/>
    </row>
    <row r="1285" spans="1:9">
      <c r="A1285" s="13" t="s">
        <v>31</v>
      </c>
      <c r="B1285" s="145" t="s">
        <v>469</v>
      </c>
      <c r="C1285" s="97">
        <v>1664.7919999999999</v>
      </c>
      <c r="D1285" s="13" t="s">
        <v>28</v>
      </c>
      <c r="E1285" s="13"/>
      <c r="F1285" s="13"/>
      <c r="G1285" s="13"/>
      <c r="H1285" s="13"/>
      <c r="I1285" s="13"/>
    </row>
    <row r="1286" spans="1:9">
      <c r="A1286" s="13" t="s">
        <v>13</v>
      </c>
      <c r="B1286" s="145" t="s">
        <v>470</v>
      </c>
      <c r="C1286" s="97">
        <v>1663.3240000000001</v>
      </c>
      <c r="D1286" s="18">
        <v>0.09</v>
      </c>
      <c r="E1286" s="13"/>
      <c r="F1286" s="13"/>
      <c r="G1286" s="13"/>
      <c r="H1286" s="13"/>
      <c r="I1286" s="13"/>
    </row>
    <row r="1287" spans="1:9">
      <c r="A1287" s="13" t="s">
        <v>0</v>
      </c>
      <c r="B1287" s="145" t="s">
        <v>428</v>
      </c>
      <c r="C1287" s="97">
        <v>1647.3150000000001</v>
      </c>
      <c r="D1287" s="18">
        <v>1.06</v>
      </c>
      <c r="E1287" s="13"/>
      <c r="F1287" s="13"/>
      <c r="G1287" s="13"/>
      <c r="H1287" s="13"/>
      <c r="I1287" s="13"/>
    </row>
    <row r="1288" spans="1:9">
      <c r="A1288" s="13" t="s">
        <v>40</v>
      </c>
      <c r="B1288" s="145" t="s">
        <v>198</v>
      </c>
      <c r="C1288" s="94">
        <v>1486.3</v>
      </c>
      <c r="D1288" s="18">
        <v>12.01</v>
      </c>
      <c r="E1288" s="13"/>
      <c r="F1288" s="13"/>
      <c r="G1288" s="13"/>
      <c r="H1288" s="13"/>
      <c r="I1288" s="13"/>
    </row>
    <row r="1289" spans="1:9">
      <c r="A1289" s="13" t="s">
        <v>5</v>
      </c>
      <c r="B1289" s="145" t="s">
        <v>104</v>
      </c>
      <c r="C1289" s="15">
        <v>1000</v>
      </c>
      <c r="D1289" s="18">
        <v>66.48</v>
      </c>
      <c r="E1289" s="13"/>
      <c r="F1289" s="13"/>
      <c r="G1289" s="13"/>
      <c r="H1289" s="13"/>
      <c r="I1289" s="13"/>
    </row>
    <row r="1290" spans="1:9">
      <c r="A1290" s="13" t="s">
        <v>28</v>
      </c>
      <c r="B1290" s="13"/>
      <c r="C1290" s="13"/>
      <c r="D1290" s="13"/>
      <c r="E1290" s="13"/>
      <c r="F1290" s="13"/>
      <c r="G1290" s="13"/>
      <c r="H1290" s="13"/>
      <c r="I1290" s="13"/>
    </row>
    <row r="1291" spans="1:9">
      <c r="A1291" s="13" t="s">
        <v>329</v>
      </c>
      <c r="B1291" s="13"/>
      <c r="C1291" s="13"/>
      <c r="D1291" s="13"/>
      <c r="E1291" s="13"/>
      <c r="F1291" s="13"/>
      <c r="G1291" s="13"/>
      <c r="H1291" s="13"/>
      <c r="I1291" s="13"/>
    </row>
    <row r="1292" spans="1:9">
      <c r="A1292" s="14" t="s">
        <v>9</v>
      </c>
      <c r="B1292" s="14" t="s">
        <v>30</v>
      </c>
      <c r="C1292" s="14" t="s">
        <v>25</v>
      </c>
      <c r="D1292" s="14" t="s">
        <v>21</v>
      </c>
      <c r="E1292" s="14"/>
      <c r="F1292" s="14"/>
      <c r="G1292" s="14"/>
      <c r="H1292" s="14"/>
      <c r="I1292" s="14"/>
    </row>
    <row r="1293" spans="1:9">
      <c r="A1293" s="13" t="s">
        <v>31</v>
      </c>
      <c r="B1293" s="145" t="s">
        <v>469</v>
      </c>
      <c r="C1293" s="97">
        <v>1102.4880000000001</v>
      </c>
      <c r="D1293" s="13" t="s">
        <v>28</v>
      </c>
      <c r="E1293" s="13"/>
      <c r="F1293" s="13"/>
      <c r="G1293" s="13"/>
      <c r="H1293" s="13"/>
      <c r="I1293" s="13"/>
    </row>
    <row r="1294" spans="1:9">
      <c r="A1294" s="13" t="s">
        <v>13</v>
      </c>
      <c r="B1294" s="145" t="s">
        <v>470</v>
      </c>
      <c r="C1294" s="97">
        <v>1102.4880000000001</v>
      </c>
      <c r="D1294" s="15">
        <v>0</v>
      </c>
      <c r="E1294" s="13"/>
      <c r="F1294" s="13"/>
      <c r="G1294" s="13"/>
      <c r="H1294" s="13"/>
      <c r="I1294" s="13"/>
    </row>
    <row r="1295" spans="1:9">
      <c r="A1295" s="13" t="s">
        <v>0</v>
      </c>
      <c r="B1295" s="145" t="s">
        <v>428</v>
      </c>
      <c r="C1295" s="97">
        <v>1102.4880000000001</v>
      </c>
      <c r="D1295" s="15">
        <v>0</v>
      </c>
      <c r="E1295" s="13"/>
      <c r="F1295" s="13"/>
      <c r="G1295" s="13"/>
      <c r="H1295" s="13"/>
      <c r="I1295" s="13"/>
    </row>
    <row r="1296" spans="1:9">
      <c r="A1296" s="13" t="s">
        <v>40</v>
      </c>
      <c r="B1296" s="145" t="s">
        <v>198</v>
      </c>
      <c r="C1296" s="18">
        <v>1047.33</v>
      </c>
      <c r="D1296" s="18">
        <v>5.27</v>
      </c>
      <c r="E1296" s="13"/>
      <c r="F1296" s="13"/>
      <c r="G1296" s="13"/>
      <c r="H1296" s="13"/>
      <c r="I1296" s="13"/>
    </row>
    <row r="1297" spans="1:9">
      <c r="A1297" s="13" t="s">
        <v>5</v>
      </c>
      <c r="B1297" s="145" t="s">
        <v>171</v>
      </c>
      <c r="C1297" s="15">
        <v>1000</v>
      </c>
      <c r="D1297" s="18">
        <v>10.25</v>
      </c>
      <c r="E1297" s="13"/>
      <c r="F1297" s="13"/>
      <c r="G1297" s="13"/>
      <c r="H1297" s="13"/>
      <c r="I1297" s="13"/>
    </row>
    <row r="1298" spans="1:9">
      <c r="A1298" s="13" t="s">
        <v>28</v>
      </c>
      <c r="B1298" s="13"/>
      <c r="C1298" s="13"/>
      <c r="D1298" s="13"/>
      <c r="E1298" s="13"/>
      <c r="F1298" s="13"/>
      <c r="G1298" s="13"/>
      <c r="H1298" s="13"/>
      <c r="I1298" s="13"/>
    </row>
    <row r="1299" spans="1:9">
      <c r="A1299" s="13" t="s">
        <v>12</v>
      </c>
      <c r="B1299" s="13"/>
      <c r="C1299" s="13"/>
      <c r="D1299" s="13"/>
      <c r="E1299" s="13"/>
      <c r="F1299" s="13"/>
      <c r="G1299" s="13"/>
      <c r="H1299" s="13"/>
      <c r="I1299" s="13"/>
    </row>
    <row r="1300" spans="1:9">
      <c r="A1300" s="13"/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3" t="s">
        <v>96</v>
      </c>
      <c r="B1301" s="15">
        <v>90000000</v>
      </c>
      <c r="C1301" s="15">
        <v>1</v>
      </c>
      <c r="D1301" s="13"/>
      <c r="E1301" s="13"/>
      <c r="F1301" s="13"/>
      <c r="G1301" s="13"/>
      <c r="H1301" s="13"/>
      <c r="I1301" s="13"/>
    </row>
    <row r="1302" spans="1:9">
      <c r="A1302" s="13" t="s">
        <v>80</v>
      </c>
      <c r="B1302" s="15">
        <v>50000000</v>
      </c>
      <c r="C1302" s="15">
        <v>1</v>
      </c>
      <c r="D1302" s="13"/>
      <c r="E1302" s="13"/>
      <c r="F1302" s="13"/>
      <c r="G1302" s="13"/>
      <c r="H1302" s="13"/>
      <c r="I1302" s="13"/>
    </row>
    <row r="1303" spans="1:9">
      <c r="A1303" s="13" t="s">
        <v>81</v>
      </c>
      <c r="B1303" s="99">
        <v>3643678563.708334</v>
      </c>
      <c r="C1303" s="13" t="s">
        <v>28</v>
      </c>
      <c r="D1303" s="13"/>
      <c r="E1303" s="13"/>
      <c r="F1303" s="13"/>
      <c r="G1303" s="13"/>
      <c r="H1303" s="13"/>
      <c r="I1303" s="13"/>
    </row>
    <row r="1304" spans="1:9">
      <c r="A1304" s="13" t="s">
        <v>82</v>
      </c>
      <c r="B1304" s="15">
        <v>0</v>
      </c>
      <c r="C1304" s="15">
        <v>0</v>
      </c>
      <c r="D1304" s="13"/>
      <c r="E1304" s="13"/>
      <c r="F1304" s="13"/>
      <c r="G1304" s="13"/>
      <c r="H1304" s="13"/>
      <c r="I1304" s="13"/>
    </row>
    <row r="1305" spans="1:9">
      <c r="A1305" s="13" t="s">
        <v>83</v>
      </c>
      <c r="B1305" s="15">
        <v>0</v>
      </c>
      <c r="C1305" s="15">
        <v>0</v>
      </c>
      <c r="D1305" s="13"/>
      <c r="E1305" s="13"/>
      <c r="F1305" s="13"/>
      <c r="G1305" s="13"/>
      <c r="H1305" s="13"/>
      <c r="I1305" s="13"/>
    </row>
    <row r="1306" spans="1:9">
      <c r="A1306" s="13" t="s">
        <v>84</v>
      </c>
      <c r="B1306" s="99">
        <v>2815777165.4796553</v>
      </c>
      <c r="C1306" s="13" t="s">
        <v>28</v>
      </c>
      <c r="D1306" s="13"/>
      <c r="E1306" s="13"/>
      <c r="F1306" s="13"/>
      <c r="G1306" s="13"/>
      <c r="H1306" s="13"/>
      <c r="I1306" s="13"/>
    </row>
    <row r="1307" spans="1:9">
      <c r="A1307" s="13" t="s">
        <v>85</v>
      </c>
      <c r="B1307" s="15">
        <v>0</v>
      </c>
      <c r="C1307" s="15">
        <v>0</v>
      </c>
      <c r="D1307" s="13"/>
      <c r="E1307" s="13"/>
      <c r="F1307" s="13"/>
      <c r="G1307" s="13"/>
      <c r="H1307" s="13"/>
      <c r="I1307" s="13"/>
    </row>
    <row r="1308" spans="1:9">
      <c r="A1308" s="13" t="s">
        <v>86</v>
      </c>
      <c r="B1308" s="15">
        <v>0</v>
      </c>
      <c r="C1308" s="15">
        <v>0</v>
      </c>
      <c r="D1308" s="13"/>
      <c r="E1308" s="13"/>
      <c r="F1308" s="13"/>
      <c r="G1308" s="13"/>
      <c r="H1308" s="13"/>
      <c r="I1308" s="13"/>
    </row>
    <row r="1309" spans="1:9">
      <c r="A1309" s="13" t="s">
        <v>87</v>
      </c>
      <c r="B1309" s="99">
        <v>16977433951.782694</v>
      </c>
      <c r="C1309" s="13" t="s">
        <v>28</v>
      </c>
      <c r="D1309" s="13"/>
      <c r="E1309" s="13"/>
      <c r="F1309" s="13"/>
      <c r="G1309" s="13"/>
      <c r="H1309" s="13"/>
      <c r="I1309" s="13"/>
    </row>
    <row r="1310" spans="1:9">
      <c r="A1310" s="13" t="s">
        <v>330</v>
      </c>
      <c r="B1310" s="15">
        <v>0</v>
      </c>
      <c r="C1310" s="15">
        <v>0</v>
      </c>
      <c r="D1310" s="13"/>
      <c r="E1310" s="13"/>
      <c r="F1310" s="13"/>
      <c r="G1310" s="13"/>
      <c r="H1310" s="13"/>
      <c r="I1310" s="13"/>
    </row>
    <row r="1311" spans="1:9">
      <c r="A1311" s="13" t="s">
        <v>331</v>
      </c>
      <c r="B1311" s="15">
        <v>0</v>
      </c>
      <c r="C1311" s="15">
        <v>0</v>
      </c>
      <c r="D1311" s="13"/>
      <c r="E1311" s="13"/>
      <c r="F1311" s="13"/>
      <c r="G1311" s="13"/>
      <c r="H1311" s="13"/>
      <c r="I1311" s="13"/>
    </row>
    <row r="1312" spans="1:9">
      <c r="A1312" s="13" t="s">
        <v>332</v>
      </c>
      <c r="B1312" s="15">
        <v>0</v>
      </c>
      <c r="C1312" s="13" t="s">
        <v>28</v>
      </c>
      <c r="D1312" s="13"/>
      <c r="E1312" s="13"/>
      <c r="F1312" s="13"/>
      <c r="G1312" s="13"/>
      <c r="H1312" s="13"/>
      <c r="I1312" s="13"/>
    </row>
    <row r="1313" spans="1:9">
      <c r="A1313" s="13" t="s">
        <v>28</v>
      </c>
      <c r="B1313" s="13"/>
      <c r="C1313" s="13"/>
      <c r="D1313" s="13"/>
      <c r="E1313" s="13"/>
      <c r="F1313" s="13"/>
      <c r="G1313" s="13"/>
      <c r="H1313" s="13"/>
      <c r="I1313" s="13"/>
    </row>
    <row r="1314" spans="1:9">
      <c r="A1314" s="13" t="s">
        <v>12</v>
      </c>
      <c r="B1314" s="13"/>
      <c r="C1314" s="13"/>
      <c r="D1314" s="13"/>
      <c r="E1314" s="13"/>
      <c r="F1314" s="13"/>
      <c r="G1314" s="13"/>
      <c r="H1314" s="13"/>
      <c r="I1314" s="13"/>
    </row>
    <row r="1315" spans="1:9">
      <c r="A1315" s="13"/>
      <c r="B1315" s="13"/>
      <c r="C1315" s="13"/>
      <c r="D1315" s="13"/>
      <c r="E1315" s="13"/>
      <c r="F1315" s="13"/>
      <c r="G1315" s="13"/>
      <c r="H1315" s="13"/>
      <c r="I1315" s="13"/>
    </row>
    <row r="1316" spans="1:9">
      <c r="A1316" s="13" t="s">
        <v>88</v>
      </c>
      <c r="B1316" s="13" t="s">
        <v>28</v>
      </c>
      <c r="C1316" s="15">
        <v>4</v>
      </c>
      <c r="D1316" s="13"/>
      <c r="E1316" s="13"/>
      <c r="F1316" s="13"/>
      <c r="G1316" s="13"/>
      <c r="H1316" s="13"/>
      <c r="I1316" s="13"/>
    </row>
    <row r="1317" spans="1:9">
      <c r="A1317" s="13" t="s">
        <v>28</v>
      </c>
      <c r="B1317" s="13"/>
      <c r="C1317" s="13"/>
      <c r="D1317" s="13"/>
      <c r="E1317" s="13"/>
      <c r="F1317" s="13"/>
      <c r="G1317" s="13"/>
      <c r="H1317" s="13"/>
      <c r="I1317" s="13"/>
    </row>
    <row r="1318" spans="1:9">
      <c r="A1318" s="13" t="s">
        <v>1856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12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 t="s">
        <v>89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90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 t="s">
        <v>91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92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93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94</v>
      </c>
      <c r="B1325" s="13"/>
      <c r="C1325" s="13"/>
      <c r="D1325" s="13"/>
      <c r="E1325" s="13"/>
      <c r="F1325" s="13"/>
      <c r="G1325" s="13"/>
      <c r="H1325" s="13"/>
      <c r="I1325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F28" sqref="F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28456471952.872501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1897098130.1915002</v>
      </c>
      <c r="E2" s="68"/>
      <c r="F2" s="68"/>
      <c r="G2" s="84">
        <f>VLOOKUP(E1,'GESTION MOMENTUM'!A8:B32,2,0)</f>
        <v>37941962603.830002</v>
      </c>
      <c r="H2" s="22">
        <v>-2E-3</v>
      </c>
      <c r="I2" s="23">
        <f>+G2*(1+H2)</f>
        <v>37866078678.622345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7588392520.7660007</v>
      </c>
      <c r="E3" s="68"/>
      <c r="F3" s="68"/>
      <c r="G3" s="68" t="s">
        <v>37</v>
      </c>
      <c r="H3" s="25">
        <v>0.05</v>
      </c>
      <c r="I3" s="26">
        <f>+I2*H3</f>
        <v>1893303933.9311173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7588392520.7660007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9485490650.9575005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570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565</v>
      </c>
      <c r="C9" s="127" t="s">
        <v>566</v>
      </c>
      <c r="D9" s="127" t="s">
        <v>32</v>
      </c>
      <c r="E9" s="127" t="s">
        <v>567</v>
      </c>
      <c r="F9" s="127" t="s">
        <v>146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1795</v>
      </c>
      <c r="C10" s="121">
        <v>200000000</v>
      </c>
      <c r="D10" s="138">
        <f>+VLOOKUP(B10,'GESTION MOMENTUM'!A:D,4,0)</f>
        <v>1.1517999999999999</v>
      </c>
      <c r="E10" s="139">
        <v>0.8</v>
      </c>
      <c r="F10" s="140">
        <f>C10*D10*E10</f>
        <v>184288000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393</v>
      </c>
      <c r="C11" s="121">
        <v>300000000</v>
      </c>
      <c r="D11" s="138">
        <f>+VLOOKUP(B11,'GESTION MOMENTUM'!A:D,4,0)</f>
        <v>1.0338000000000001</v>
      </c>
      <c r="E11" s="139">
        <v>0.6</v>
      </c>
      <c r="F11" s="140">
        <f>C11*D11*E11</f>
        <v>186084000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574</v>
      </c>
      <c r="F13" s="144">
        <f>SUM(F10:F12)</f>
        <v>370372000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557</v>
      </c>
      <c r="C15" s="118" t="s">
        <v>569</v>
      </c>
      <c r="D15" s="118" t="s">
        <v>558</v>
      </c>
      <c r="E15" s="118" t="s">
        <v>559</v>
      </c>
      <c r="F15" s="118" t="s">
        <v>568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427</v>
      </c>
      <c r="B16" s="119" t="s">
        <v>560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451</v>
      </c>
      <c r="B17" s="119" t="s">
        <v>561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594</v>
      </c>
      <c r="B18" s="119" t="s">
        <v>562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412</v>
      </c>
      <c r="B19" s="119" t="s">
        <v>563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564</v>
      </c>
      <c r="C23" s="123">
        <f>+F13-F22</f>
        <v>268392000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topLeftCell="A94" zoomScale="90" zoomScaleNormal="90" workbookViewId="0">
      <selection activeCell="J122" sqref="J12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146</v>
      </c>
      <c r="E2" s="65">
        <v>3406250</v>
      </c>
      <c r="F2" s="65"/>
      <c r="G2" s="63" t="s">
        <v>158</v>
      </c>
      <c r="H2" s="63" t="s">
        <v>130</v>
      </c>
      <c r="I2" s="66">
        <f ca="1">+TODAY()-C2</f>
        <v>434</v>
      </c>
      <c r="U2" s="111" t="s">
        <v>497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146</v>
      </c>
      <c r="E3" s="65">
        <v>3406250</v>
      </c>
      <c r="F3" s="65"/>
      <c r="G3" s="63" t="s">
        <v>158</v>
      </c>
      <c r="H3" s="63" t="s">
        <v>130</v>
      </c>
      <c r="I3" s="66">
        <f t="shared" ref="I3:I15" ca="1" si="0">+TODAY()-C3</f>
        <v>429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146</v>
      </c>
      <c r="E4" s="37">
        <v>20000000</v>
      </c>
      <c r="F4" s="37"/>
      <c r="G4" s="27" t="s">
        <v>147</v>
      </c>
      <c r="H4" s="27" t="s">
        <v>138</v>
      </c>
      <c r="I4" s="36">
        <f t="shared" ca="1" si="0"/>
        <v>381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146</v>
      </c>
      <c r="E5" s="45">
        <v>20000000</v>
      </c>
      <c r="F5" s="45"/>
      <c r="G5" s="27" t="s">
        <v>147</v>
      </c>
      <c r="H5" s="27" t="s">
        <v>138</v>
      </c>
      <c r="I5" s="36">
        <f t="shared" ca="1" si="0"/>
        <v>380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146</v>
      </c>
      <c r="E6" s="45">
        <v>20000000</v>
      </c>
      <c r="F6" s="45"/>
      <c r="G6" s="27" t="s">
        <v>147</v>
      </c>
      <c r="H6" s="27" t="s">
        <v>138</v>
      </c>
      <c r="I6" s="36">
        <f t="shared" ca="1" si="0"/>
        <v>380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146</v>
      </c>
      <c r="E7" s="45">
        <v>20000000</v>
      </c>
      <c r="F7" s="45"/>
      <c r="G7" s="27" t="s">
        <v>147</v>
      </c>
      <c r="H7" s="27" t="s">
        <v>138</v>
      </c>
      <c r="I7" s="36">
        <f t="shared" ca="1" si="0"/>
        <v>380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146</v>
      </c>
      <c r="E8" s="45">
        <v>129185000</v>
      </c>
      <c r="F8" s="27"/>
      <c r="G8" s="27" t="s">
        <v>147</v>
      </c>
      <c r="H8" s="27" t="s">
        <v>121</v>
      </c>
      <c r="I8" s="36">
        <f t="shared" ca="1" si="0"/>
        <v>358</v>
      </c>
      <c r="J8" s="74"/>
      <c r="K8" s="108" t="s">
        <v>29</v>
      </c>
      <c r="L8" s="109">
        <f>+VLOOKUP(K8,'GESTION MOMENTUM'!A:B,2,0)</f>
        <v>37941962603.830002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146</v>
      </c>
      <c r="E9" s="45">
        <v>129185000</v>
      </c>
      <c r="F9" s="27"/>
      <c r="G9" s="27" t="s">
        <v>147</v>
      </c>
      <c r="H9" s="27" t="s">
        <v>121</v>
      </c>
      <c r="I9" s="36">
        <f t="shared" ca="1" si="0"/>
        <v>346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180</v>
      </c>
      <c r="C10" s="48">
        <v>45855</v>
      </c>
      <c r="D10" s="27" t="s">
        <v>146</v>
      </c>
      <c r="E10" s="37">
        <v>22500000</v>
      </c>
      <c r="F10" s="27"/>
      <c r="G10" s="27" t="s">
        <v>147</v>
      </c>
      <c r="H10" s="27" t="s">
        <v>138</v>
      </c>
      <c r="I10" s="36">
        <f t="shared" ca="1" si="0"/>
        <v>302</v>
      </c>
      <c r="L10" s="90" t="s">
        <v>146</v>
      </c>
      <c r="M10" s="90" t="s">
        <v>495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181</v>
      </c>
      <c r="C11" s="48">
        <v>45855</v>
      </c>
      <c r="D11" s="27" t="s">
        <v>146</v>
      </c>
      <c r="E11" s="37">
        <v>22510000</v>
      </c>
      <c r="F11" s="27"/>
      <c r="G11" s="27" t="s">
        <v>147</v>
      </c>
      <c r="H11" s="27" t="s">
        <v>138</v>
      </c>
      <c r="I11" s="36">
        <f t="shared" ca="1" si="0"/>
        <v>302</v>
      </c>
      <c r="K11" s="91" t="s">
        <v>156</v>
      </c>
      <c r="L11" s="87">
        <f>+VLOOKUP(K11,'GESTION MOMENTUM'!A:B,2,0)</f>
        <v>-169002716.27000001</v>
      </c>
      <c r="M11" s="110">
        <f>+L11/L8</f>
        <v>-4.4542428665232054E-3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182</v>
      </c>
      <c r="C12" s="48">
        <v>45856</v>
      </c>
      <c r="D12" s="27" t="s">
        <v>146</v>
      </c>
      <c r="E12" s="37">
        <v>22482000</v>
      </c>
      <c r="F12" s="27"/>
      <c r="G12" s="27" t="s">
        <v>147</v>
      </c>
      <c r="H12" s="27" t="s">
        <v>138</v>
      </c>
      <c r="I12" s="36">
        <f t="shared" ca="1" si="0"/>
        <v>301</v>
      </c>
      <c r="K12" s="31" t="s">
        <v>158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183</v>
      </c>
      <c r="C13" s="48">
        <v>45861</v>
      </c>
      <c r="D13" s="27" t="s">
        <v>146</v>
      </c>
      <c r="E13" s="37">
        <v>22646000</v>
      </c>
      <c r="F13" s="27"/>
      <c r="G13" s="27" t="s">
        <v>147</v>
      </c>
      <c r="H13" s="27" t="s">
        <v>138</v>
      </c>
      <c r="I13" s="36">
        <f t="shared" ca="1" si="0"/>
        <v>296</v>
      </c>
      <c r="K13" s="68" t="s">
        <v>496</v>
      </c>
      <c r="L13" s="92">
        <f>+L11+L12</f>
        <v>-24490216.270000011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184</v>
      </c>
      <c r="C14" s="48">
        <v>45862</v>
      </c>
      <c r="D14" s="27" t="s">
        <v>146</v>
      </c>
      <c r="E14" s="37">
        <v>22690000</v>
      </c>
      <c r="F14" s="27"/>
      <c r="G14" s="27" t="s">
        <v>147</v>
      </c>
      <c r="H14" s="27" t="s">
        <v>138</v>
      </c>
      <c r="I14" s="36">
        <f t="shared" ca="1" si="0"/>
        <v>295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187</v>
      </c>
      <c r="C15" s="48">
        <v>45863</v>
      </c>
      <c r="D15" s="27" t="s">
        <v>146</v>
      </c>
      <c r="E15" s="37">
        <v>22617000</v>
      </c>
      <c r="F15" s="27"/>
      <c r="G15" s="27" t="s">
        <v>147</v>
      </c>
      <c r="H15" s="27" t="s">
        <v>138</v>
      </c>
      <c r="I15" s="36">
        <f t="shared" ca="1" si="0"/>
        <v>294</v>
      </c>
      <c r="K15" s="68" t="s">
        <v>147</v>
      </c>
      <c r="L15" s="87">
        <f>+SUMIF(G:G,K15,E:E)+E2</f>
        <v>2087556550</v>
      </c>
      <c r="M15" s="110">
        <f>+SUMIF(G:G,K15,E:E)/$L$8</f>
        <v>5.4929955041113719E-2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200</v>
      </c>
      <c r="C16" s="64">
        <v>45943</v>
      </c>
      <c r="D16" s="63" t="s">
        <v>146</v>
      </c>
      <c r="E16" s="65">
        <v>20000000</v>
      </c>
      <c r="F16" s="65"/>
      <c r="G16" s="63" t="s">
        <v>158</v>
      </c>
      <c r="H16" s="63" t="s">
        <v>140</v>
      </c>
      <c r="I16" s="66">
        <f t="shared" ref="I16:I17" ca="1" si="2">+TODAY()-C16</f>
        <v>214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199</v>
      </c>
      <c r="C17" s="48">
        <v>45943</v>
      </c>
      <c r="D17" s="27" t="s">
        <v>146</v>
      </c>
      <c r="E17" s="71">
        <v>12500000</v>
      </c>
      <c r="F17" s="27"/>
      <c r="G17" s="27" t="s">
        <v>147</v>
      </c>
      <c r="H17" s="27" t="s">
        <v>139</v>
      </c>
      <c r="I17" s="36">
        <f t="shared" ca="1" si="2"/>
        <v>214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236</v>
      </c>
      <c r="C18" s="48">
        <v>45947</v>
      </c>
      <c r="D18" s="27" t="s">
        <v>146</v>
      </c>
      <c r="E18" s="71">
        <v>5000000</v>
      </c>
      <c r="F18" s="27"/>
      <c r="G18" s="27" t="s">
        <v>147</v>
      </c>
      <c r="H18" s="27" t="s">
        <v>127</v>
      </c>
      <c r="I18" s="36">
        <f ca="1">+TODAY()-C18</f>
        <v>210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232</v>
      </c>
      <c r="C19" s="48">
        <v>45952</v>
      </c>
      <c r="D19" s="27" t="s">
        <v>146</v>
      </c>
      <c r="E19" s="71">
        <v>5000000</v>
      </c>
      <c r="F19" s="27"/>
      <c r="G19" s="27" t="s">
        <v>147</v>
      </c>
      <c r="H19" s="27" t="s">
        <v>127</v>
      </c>
      <c r="I19" s="36">
        <f t="shared" ref="I19:I21" ca="1" si="3">+TODAY()-C19</f>
        <v>205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250</v>
      </c>
      <c r="C20" s="64">
        <v>45954</v>
      </c>
      <c r="D20" s="63" t="s">
        <v>146</v>
      </c>
      <c r="E20" s="65">
        <v>18700000</v>
      </c>
      <c r="F20" s="65"/>
      <c r="G20" s="63" t="s">
        <v>158</v>
      </c>
      <c r="H20" s="63" t="s">
        <v>140</v>
      </c>
      <c r="I20" s="66">
        <f t="shared" ca="1" si="3"/>
        <v>203</v>
      </c>
      <c r="K20" s="114" t="s">
        <v>498</v>
      </c>
      <c r="L20" s="114" t="s">
        <v>146</v>
      </c>
      <c r="M20" s="114" t="s">
        <v>495</v>
      </c>
      <c r="O20" s="117" t="s">
        <v>499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237</v>
      </c>
      <c r="C21" s="48">
        <v>45957</v>
      </c>
      <c r="D21" s="27" t="s">
        <v>146</v>
      </c>
      <c r="E21" s="71">
        <v>5000000</v>
      </c>
      <c r="F21" s="27"/>
      <c r="G21" s="27" t="s">
        <v>147</v>
      </c>
      <c r="H21" s="27" t="s">
        <v>127</v>
      </c>
      <c r="I21" s="36">
        <f t="shared" ca="1" si="3"/>
        <v>200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8.7502062944547487E-3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233</v>
      </c>
      <c r="C22" s="48">
        <v>45959</v>
      </c>
      <c r="D22" s="27" t="s">
        <v>146</v>
      </c>
      <c r="E22" s="71">
        <v>5000000</v>
      </c>
      <c r="F22" s="27"/>
      <c r="G22" s="27" t="s">
        <v>147</v>
      </c>
      <c r="H22" s="27" t="s">
        <v>127</v>
      </c>
      <c r="I22" s="36">
        <f t="shared" ref="I22" ca="1" si="4">+TODAY()-C22</f>
        <v>198</v>
      </c>
      <c r="K22" s="68" t="str">
        <v>NIRO CONSTRUYE S. A.</v>
      </c>
      <c r="L22" s="87">
        <v>258370000</v>
      </c>
      <c r="M22" s="110">
        <f t="shared" ref="M22:M52" si="5">+L22/$L$8</f>
        <v>6.8096108442719083E-3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234</v>
      </c>
      <c r="C23" s="48">
        <v>45964</v>
      </c>
      <c r="D23" s="27" t="s">
        <v>146</v>
      </c>
      <c r="E23" s="71">
        <v>5000000</v>
      </c>
      <c r="F23" s="27"/>
      <c r="G23" s="27" t="s">
        <v>147</v>
      </c>
      <c r="H23" s="27" t="s">
        <v>127</v>
      </c>
      <c r="I23" s="36">
        <f t="shared" ref="I23:I26" ca="1" si="6">+TODAY()-C23</f>
        <v>193</v>
      </c>
      <c r="K23" s="68" t="str">
        <v>FRIGORIFICO H V S A</v>
      </c>
      <c r="L23" s="87">
        <v>215445000</v>
      </c>
      <c r="M23" s="110">
        <f t="shared" si="5"/>
        <v>5.6782776961108537E-3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235</v>
      </c>
      <c r="C24" s="48">
        <v>45966</v>
      </c>
      <c r="D24" s="27" t="s">
        <v>146</v>
      </c>
      <c r="E24" s="71">
        <v>5000000</v>
      </c>
      <c r="F24" s="27"/>
      <c r="G24" s="27" t="s">
        <v>147</v>
      </c>
      <c r="H24" s="27" t="s">
        <v>127</v>
      </c>
      <c r="I24" s="36">
        <f t="shared" ca="1" si="6"/>
        <v>191</v>
      </c>
      <c r="K24" s="68" t="str">
        <v>COOPERATIVA TAMBERA LAS CAÑITAS LIMITADA</v>
      </c>
      <c r="L24" s="87">
        <v>190000000</v>
      </c>
      <c r="M24" s="110">
        <f t="shared" si="5"/>
        <v>5.0076481805614529E-3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256</v>
      </c>
      <c r="C25" s="48">
        <v>45966</v>
      </c>
      <c r="D25" s="27" t="s">
        <v>146</v>
      </c>
      <c r="E25" s="71">
        <v>4400000</v>
      </c>
      <c r="F25" s="27"/>
      <c r="G25" s="27" t="s">
        <v>147</v>
      </c>
      <c r="H25" s="27" t="s">
        <v>191</v>
      </c>
      <c r="I25" s="36">
        <f t="shared" ca="1" si="6"/>
        <v>191</v>
      </c>
      <c r="K25" s="68" t="str">
        <v>PORT PLA S.R.L.</v>
      </c>
      <c r="L25" s="87">
        <v>150000000</v>
      </c>
      <c r="M25" s="110">
        <f t="shared" si="5"/>
        <v>3.9534064583379895E-3</v>
      </c>
      <c r="O25" s="115">
        <f>+SUMIF('Reporte de Cheques'!A:A,'Cheques pendientes'!K25,'Reporte de Cheques'!I:I)</f>
        <v>0</v>
      </c>
      <c r="P25" s="116"/>
      <c r="U25" s="68" t="s">
        <v>266</v>
      </c>
      <c r="V25" s="107">
        <f t="shared" si="1"/>
        <v>0</v>
      </c>
    </row>
    <row r="26" spans="1:22">
      <c r="A26" s="27" t="s">
        <v>117</v>
      </c>
      <c r="B26" s="27" t="s">
        <v>257</v>
      </c>
      <c r="C26" s="48">
        <v>45968</v>
      </c>
      <c r="D26" s="27" t="s">
        <v>146</v>
      </c>
      <c r="E26" s="71">
        <v>4400000</v>
      </c>
      <c r="F26" s="27"/>
      <c r="G26" s="27" t="s">
        <v>147</v>
      </c>
      <c r="H26" s="27" t="s">
        <v>191</v>
      </c>
      <c r="I26" s="36">
        <f t="shared" ca="1" si="6"/>
        <v>189</v>
      </c>
      <c r="K26" s="68" t="str">
        <v>Maradona Wines</v>
      </c>
      <c r="L26" s="87">
        <v>119500000</v>
      </c>
      <c r="M26" s="110">
        <f t="shared" si="5"/>
        <v>3.149547145142598E-3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193</v>
      </c>
      <c r="C27" s="48">
        <v>45971</v>
      </c>
      <c r="D27" s="27" t="s">
        <v>146</v>
      </c>
      <c r="E27" s="71">
        <v>25000000</v>
      </c>
      <c r="F27" s="27"/>
      <c r="G27" s="27" t="s">
        <v>147</v>
      </c>
      <c r="H27" s="27" t="s">
        <v>139</v>
      </c>
      <c r="I27" s="36">
        <f t="shared" ref="I27:I47" ca="1" si="7">+TODAY()-C27</f>
        <v>186</v>
      </c>
      <c r="K27" s="68" t="str">
        <v>EL GUAYMALLEN SA</v>
      </c>
      <c r="L27" s="87">
        <v>113700000</v>
      </c>
      <c r="M27" s="110">
        <f t="shared" si="5"/>
        <v>2.9966820954201957E-3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192</v>
      </c>
      <c r="C28" s="64">
        <v>45971</v>
      </c>
      <c r="D28" s="63" t="s">
        <v>146</v>
      </c>
      <c r="E28" s="65">
        <v>37500000</v>
      </c>
      <c r="F28" s="65"/>
      <c r="G28" s="63" t="s">
        <v>158</v>
      </c>
      <c r="H28" s="63" t="s">
        <v>140</v>
      </c>
      <c r="I28" s="66">
        <f t="shared" ca="1" si="7"/>
        <v>186</v>
      </c>
      <c r="K28" s="68" t="str">
        <v>FRIGORIFICO GENERAL PICO S A</v>
      </c>
      <c r="L28" s="87">
        <v>70000000</v>
      </c>
      <c r="M28" s="110">
        <f t="shared" si="5"/>
        <v>1.8449230138910617E-3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258</v>
      </c>
      <c r="C29" s="48">
        <v>45971</v>
      </c>
      <c r="D29" s="27" t="s">
        <v>146</v>
      </c>
      <c r="E29" s="71">
        <v>4400000</v>
      </c>
      <c r="F29" s="27"/>
      <c r="G29" s="27" t="s">
        <v>147</v>
      </c>
      <c r="H29" s="27" t="s">
        <v>191</v>
      </c>
      <c r="I29" s="36">
        <f t="shared" ca="1" si="7"/>
        <v>186</v>
      </c>
      <c r="K29" s="68" t="str">
        <v>MERCOL RAUL ALBERTO Y MERCOL MAURICIO EDUARDO.</v>
      </c>
      <c r="L29" s="87">
        <v>62500000</v>
      </c>
      <c r="M29" s="110">
        <f t="shared" si="5"/>
        <v>1.6472526909741621E-3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259</v>
      </c>
      <c r="C30" s="48">
        <v>45972</v>
      </c>
      <c r="D30" s="27" t="s">
        <v>146</v>
      </c>
      <c r="E30" s="71">
        <v>4400000</v>
      </c>
      <c r="F30" s="27"/>
      <c r="G30" s="27" t="s">
        <v>147</v>
      </c>
      <c r="H30" s="27" t="s">
        <v>191</v>
      </c>
      <c r="I30" s="36">
        <f t="shared" ca="1" si="7"/>
        <v>185</v>
      </c>
      <c r="K30" s="68" t="str">
        <v>FINEX CABA S. A.</v>
      </c>
      <c r="L30" s="87">
        <v>55300000</v>
      </c>
      <c r="M30" s="110">
        <f t="shared" si="5"/>
        <v>1.4574891809739387E-3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231</v>
      </c>
      <c r="C31" s="48">
        <v>45972</v>
      </c>
      <c r="D31" s="27" t="s">
        <v>146</v>
      </c>
      <c r="E31" s="71">
        <v>5000000</v>
      </c>
      <c r="F31" s="27"/>
      <c r="G31" s="27" t="s">
        <v>147</v>
      </c>
      <c r="H31" s="27" t="s">
        <v>127</v>
      </c>
      <c r="I31" s="36">
        <f t="shared" ca="1" si="7"/>
        <v>185</v>
      </c>
      <c r="K31" s="68" t="str">
        <v>AKAI ENERGY LED SRL</v>
      </c>
      <c r="L31" s="87">
        <v>44963000</v>
      </c>
      <c r="M31" s="110">
        <f t="shared" si="5"/>
        <v>1.1850467639083402E-3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179</v>
      </c>
      <c r="C32" s="48">
        <v>45974</v>
      </c>
      <c r="D32" s="27" t="s">
        <v>146</v>
      </c>
      <c r="E32" s="71">
        <v>10000000</v>
      </c>
      <c r="F32" s="27"/>
      <c r="G32" s="27" t="s">
        <v>147</v>
      </c>
      <c r="H32" s="27" t="s">
        <v>157</v>
      </c>
      <c r="I32" s="36">
        <f t="shared" ca="1" si="7"/>
        <v>183</v>
      </c>
      <c r="K32" s="68" t="str">
        <v>F G SANITARIOS S R L</v>
      </c>
      <c r="L32" s="87">
        <v>35000000</v>
      </c>
      <c r="M32" s="110">
        <f t="shared" si="5"/>
        <v>9.2246150694553087E-4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174</v>
      </c>
      <c r="C33" s="48">
        <v>45974</v>
      </c>
      <c r="D33" s="27" t="s">
        <v>146</v>
      </c>
      <c r="E33" s="71">
        <v>10000000</v>
      </c>
      <c r="F33" s="27"/>
      <c r="G33" s="27" t="s">
        <v>147</v>
      </c>
      <c r="H33" s="27" t="s">
        <v>157</v>
      </c>
      <c r="I33" s="36">
        <f t="shared" ca="1" si="7"/>
        <v>183</v>
      </c>
      <c r="K33" s="68" t="str">
        <v>CONEXION SALUD SRL</v>
      </c>
      <c r="L33" s="87">
        <v>27000000</v>
      </c>
      <c r="M33" s="110">
        <f t="shared" si="5"/>
        <v>7.1161316250083803E-4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202</v>
      </c>
      <c r="C34" s="48">
        <v>45974</v>
      </c>
      <c r="D34" s="27" t="s">
        <v>146</v>
      </c>
      <c r="E34" s="71">
        <v>963000</v>
      </c>
      <c r="F34" s="27"/>
      <c r="G34" s="27" t="s">
        <v>147</v>
      </c>
      <c r="H34" s="27" t="s">
        <v>191</v>
      </c>
      <c r="I34" s="36">
        <f t="shared" ca="1" si="7"/>
        <v>183</v>
      </c>
      <c r="K34" s="68" t="str">
        <v>TRADICION VALORES S.A.</v>
      </c>
      <c r="L34" s="87">
        <v>25000000</v>
      </c>
      <c r="M34" s="110">
        <f t="shared" si="5"/>
        <v>6.5890107638966492E-4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170</v>
      </c>
      <c r="C35" s="48">
        <v>45974</v>
      </c>
      <c r="D35" s="27" t="s">
        <v>146</v>
      </c>
      <c r="E35" s="71">
        <v>10000000</v>
      </c>
      <c r="F35" s="27"/>
      <c r="G35" s="27" t="s">
        <v>147</v>
      </c>
      <c r="H35" s="27" t="s">
        <v>157</v>
      </c>
      <c r="I35" s="36">
        <f t="shared" ca="1" si="7"/>
        <v>183</v>
      </c>
      <c r="K35" s="68" t="str">
        <v>BUNYAR S.R.L.</v>
      </c>
      <c r="L35" s="87">
        <v>24800000</v>
      </c>
      <c r="M35" s="110">
        <f t="shared" si="5"/>
        <v>6.5362986777854756E-4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172</v>
      </c>
      <c r="C36" s="48">
        <v>45974</v>
      </c>
      <c r="D36" s="27" t="s">
        <v>146</v>
      </c>
      <c r="E36" s="71">
        <v>10000000</v>
      </c>
      <c r="F36" s="27"/>
      <c r="G36" s="27" t="s">
        <v>147</v>
      </c>
      <c r="H36" s="27" t="s">
        <v>157</v>
      </c>
      <c r="I36" s="36">
        <f t="shared" ca="1" si="7"/>
        <v>183</v>
      </c>
      <c r="K36" s="68" t="str">
        <v>MASTER DESIGN HOME SRL</v>
      </c>
      <c r="L36" s="87">
        <v>24000000</v>
      </c>
      <c r="M36" s="110">
        <f t="shared" si="5"/>
        <v>6.3254503333407832E-4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173</v>
      </c>
      <c r="C37" s="48">
        <v>45974</v>
      </c>
      <c r="D37" s="27" t="s">
        <v>146</v>
      </c>
      <c r="E37" s="71">
        <v>10000000</v>
      </c>
      <c r="F37" s="27"/>
      <c r="G37" s="27" t="s">
        <v>147</v>
      </c>
      <c r="H37" s="27" t="s">
        <v>157</v>
      </c>
      <c r="I37" s="36">
        <f t="shared" ca="1" si="7"/>
        <v>183</v>
      </c>
      <c r="K37" s="68" t="str">
        <v>GROCAL S.A.</v>
      </c>
      <c r="L37" s="87">
        <v>15000000</v>
      </c>
      <c r="M37" s="110">
        <f t="shared" si="5"/>
        <v>3.9534064583379892E-4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175</v>
      </c>
      <c r="C38" s="48">
        <v>45974</v>
      </c>
      <c r="D38" s="27" t="s">
        <v>146</v>
      </c>
      <c r="E38" s="71">
        <v>10000000</v>
      </c>
      <c r="F38" s="27"/>
      <c r="G38" s="27" t="s">
        <v>147</v>
      </c>
      <c r="H38" s="27" t="s">
        <v>157</v>
      </c>
      <c r="I38" s="36">
        <f t="shared" ca="1" si="7"/>
        <v>183</v>
      </c>
      <c r="K38" s="68" t="str">
        <v>Paccioli Group Sociedad Anonima</v>
      </c>
      <c r="L38" s="87">
        <v>13958000</v>
      </c>
      <c r="M38" s="110">
        <f t="shared" si="5"/>
        <v>3.6787764896987769E-4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176</v>
      </c>
      <c r="C39" s="48">
        <v>45974</v>
      </c>
      <c r="D39" s="27" t="s">
        <v>146</v>
      </c>
      <c r="E39" s="71">
        <v>10000000</v>
      </c>
      <c r="F39" s="27"/>
      <c r="G39" s="27" t="s">
        <v>147</v>
      </c>
      <c r="H39" s="27" t="s">
        <v>157</v>
      </c>
      <c r="I39" s="36">
        <f t="shared" ca="1" si="7"/>
        <v>183</v>
      </c>
      <c r="K39" s="68" t="str">
        <v>RABU INVERSIONES SRL</v>
      </c>
      <c r="L39" s="87">
        <v>7194300</v>
      </c>
      <c r="M39" s="110">
        <f t="shared" si="5"/>
        <v>1.8961328055480664E-4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177</v>
      </c>
      <c r="C40" s="48">
        <v>45974</v>
      </c>
      <c r="D40" s="27" t="s">
        <v>146</v>
      </c>
      <c r="E40" s="71">
        <v>10000000</v>
      </c>
      <c r="F40" s="27"/>
      <c r="G40" s="27" t="s">
        <v>147</v>
      </c>
      <c r="H40" s="27" t="s">
        <v>157</v>
      </c>
      <c r="I40" s="36">
        <f t="shared" ca="1" si="7"/>
        <v>183</v>
      </c>
      <c r="K40" s="68" t="str">
        <v>UKUMARI SOCIEDAD ANONIMA.</v>
      </c>
      <c r="L40" s="87">
        <v>6812500</v>
      </c>
      <c r="M40" s="110">
        <f t="shared" si="5"/>
        <v>1.7955054331618368E-4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178</v>
      </c>
      <c r="C41" s="48">
        <v>45974</v>
      </c>
      <c r="D41" s="27" t="s">
        <v>146</v>
      </c>
      <c r="E41" s="71">
        <v>10000000</v>
      </c>
      <c r="F41" s="27"/>
      <c r="G41" s="27" t="s">
        <v>147</v>
      </c>
      <c r="H41" s="27" t="s">
        <v>157</v>
      </c>
      <c r="I41" s="36">
        <f t="shared" ca="1" si="7"/>
        <v>183</v>
      </c>
      <c r="K41" s="68" t="str">
        <v>MIANI CLARA A Y MIANI ADA CLELIA</v>
      </c>
      <c r="L41" s="87">
        <v>3125000</v>
      </c>
      <c r="M41" s="110">
        <f t="shared" si="5"/>
        <v>8.2362634548708116E-5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260</v>
      </c>
      <c r="C42" s="48">
        <v>45975</v>
      </c>
      <c r="D42" s="27" t="s">
        <v>146</v>
      </c>
      <c r="E42" s="71">
        <v>4400000</v>
      </c>
      <c r="F42" s="27"/>
      <c r="G42" s="27" t="s">
        <v>147</v>
      </c>
      <c r="H42" s="27" t="s">
        <v>191</v>
      </c>
      <c r="I42" s="36">
        <f t="shared" ca="1" si="7"/>
        <v>182</v>
      </c>
      <c r="K42" s="68" t="str">
        <v>LOPEZ LUCIA SOLEDAD</v>
      </c>
      <c r="L42" s="87">
        <v>995000</v>
      </c>
      <c r="M42" s="110">
        <f t="shared" si="5"/>
        <v>2.6224262840308663E-5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195</v>
      </c>
      <c r="C43" s="48">
        <v>45975</v>
      </c>
      <c r="D43" s="27" t="s">
        <v>146</v>
      </c>
      <c r="E43" s="71">
        <v>25000000</v>
      </c>
      <c r="F43" s="27"/>
      <c r="G43" s="27" t="s">
        <v>147</v>
      </c>
      <c r="H43" s="27" t="s">
        <v>139</v>
      </c>
      <c r="I43" s="36">
        <f t="shared" ca="1" si="7"/>
        <v>182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547895311.52999997</v>
      </c>
      <c r="P43" s="116"/>
    </row>
    <row r="44" spans="1:22">
      <c r="A44" s="63" t="s">
        <v>117</v>
      </c>
      <c r="B44" s="63" t="s">
        <v>194</v>
      </c>
      <c r="C44" s="64">
        <v>45975</v>
      </c>
      <c r="D44" s="63" t="s">
        <v>146</v>
      </c>
      <c r="E44" s="149">
        <v>37500000</v>
      </c>
      <c r="F44" s="63"/>
      <c r="G44" s="63" t="s">
        <v>158</v>
      </c>
      <c r="H44" s="63" t="s">
        <v>140</v>
      </c>
      <c r="I44" s="66">
        <f t="shared" ca="1" si="7"/>
        <v>182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261</v>
      </c>
      <c r="C45" s="48">
        <v>45979</v>
      </c>
      <c r="D45" s="27" t="s">
        <v>146</v>
      </c>
      <c r="E45" s="71">
        <v>4400000</v>
      </c>
      <c r="F45" s="27"/>
      <c r="G45" s="27" t="s">
        <v>147</v>
      </c>
      <c r="H45" s="27" t="s">
        <v>191</v>
      </c>
      <c r="I45" s="36">
        <f t="shared" ca="1" si="7"/>
        <v>178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262</v>
      </c>
      <c r="C46" s="48">
        <v>45979</v>
      </c>
      <c r="D46" s="27" t="s">
        <v>146</v>
      </c>
      <c r="E46" s="71">
        <v>4400000</v>
      </c>
      <c r="F46" s="27"/>
      <c r="G46" s="27" t="s">
        <v>147</v>
      </c>
      <c r="H46" s="27" t="s">
        <v>191</v>
      </c>
      <c r="I46" s="36">
        <f t="shared" ca="1" si="7"/>
        <v>178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264</v>
      </c>
      <c r="C47" s="48">
        <v>45980</v>
      </c>
      <c r="D47" s="27" t="s">
        <v>146</v>
      </c>
      <c r="E47" s="71">
        <v>4400000</v>
      </c>
      <c r="F47" s="27"/>
      <c r="G47" s="27" t="s">
        <v>147</v>
      </c>
      <c r="H47" s="27" t="s">
        <v>191</v>
      </c>
      <c r="I47" s="36">
        <f t="shared" ca="1" si="7"/>
        <v>177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263</v>
      </c>
      <c r="C48" s="48">
        <v>45980</v>
      </c>
      <c r="D48" s="27" t="s">
        <v>146</v>
      </c>
      <c r="E48" s="71">
        <v>4400000</v>
      </c>
      <c r="F48" s="27"/>
      <c r="G48" s="27" t="s">
        <v>147</v>
      </c>
      <c r="H48" s="27" t="s">
        <v>191</v>
      </c>
      <c r="I48" s="36">
        <f t="shared" ref="I48:I59" ca="1" si="8">+TODAY()-C48</f>
        <v>177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161</v>
      </c>
      <c r="C49" s="48">
        <v>45981</v>
      </c>
      <c r="D49" s="27" t="s">
        <v>146</v>
      </c>
      <c r="E49" s="71">
        <v>10000000</v>
      </c>
      <c r="F49" s="27"/>
      <c r="G49" s="27" t="s">
        <v>147</v>
      </c>
      <c r="H49" s="27" t="s">
        <v>157</v>
      </c>
      <c r="I49" s="36">
        <f t="shared" ca="1" si="8"/>
        <v>176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162</v>
      </c>
      <c r="C50" s="48">
        <v>45981</v>
      </c>
      <c r="D50" s="27" t="s">
        <v>146</v>
      </c>
      <c r="E50" s="71">
        <v>10000000</v>
      </c>
      <c r="F50" s="27"/>
      <c r="G50" s="27" t="s">
        <v>147</v>
      </c>
      <c r="H50" s="27" t="s">
        <v>157</v>
      </c>
      <c r="I50" s="36">
        <f t="shared" ca="1" si="8"/>
        <v>176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163</v>
      </c>
      <c r="C51" s="48">
        <v>45981</v>
      </c>
      <c r="D51" s="27" t="s">
        <v>146</v>
      </c>
      <c r="E51" s="71">
        <v>10000000</v>
      </c>
      <c r="F51" s="27"/>
      <c r="G51" s="27" t="s">
        <v>147</v>
      </c>
      <c r="H51" s="27" t="s">
        <v>157</v>
      </c>
      <c r="I51" s="36">
        <f t="shared" ca="1" si="8"/>
        <v>176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164</v>
      </c>
      <c r="C52" s="48">
        <v>45981</v>
      </c>
      <c r="D52" s="27" t="s">
        <v>146</v>
      </c>
      <c r="E52" s="71">
        <v>10000000</v>
      </c>
      <c r="F52" s="27"/>
      <c r="G52" s="27" t="s">
        <v>147</v>
      </c>
      <c r="H52" s="27" t="s">
        <v>157</v>
      </c>
      <c r="I52" s="36">
        <f t="shared" ca="1" si="8"/>
        <v>176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166</v>
      </c>
      <c r="C53" s="48">
        <v>45981</v>
      </c>
      <c r="D53" s="27" t="s">
        <v>146</v>
      </c>
      <c r="E53" s="71">
        <v>10000000</v>
      </c>
      <c r="F53" s="27"/>
      <c r="G53" s="27" t="s">
        <v>147</v>
      </c>
      <c r="H53" s="27" t="s">
        <v>157</v>
      </c>
      <c r="I53" s="36">
        <f t="shared" ca="1" si="8"/>
        <v>176</v>
      </c>
      <c r="O53" s="116"/>
      <c r="P53" s="116"/>
    </row>
    <row r="54" spans="1:16">
      <c r="A54" s="27" t="s">
        <v>117</v>
      </c>
      <c r="B54" s="27" t="s">
        <v>167</v>
      </c>
      <c r="C54" s="48">
        <v>45981</v>
      </c>
      <c r="D54" s="27" t="s">
        <v>146</v>
      </c>
      <c r="E54" s="71">
        <v>10000000</v>
      </c>
      <c r="F54" s="27"/>
      <c r="G54" s="27" t="s">
        <v>147</v>
      </c>
      <c r="H54" s="27" t="s">
        <v>157</v>
      </c>
      <c r="I54" s="36">
        <f t="shared" ca="1" si="8"/>
        <v>176</v>
      </c>
    </row>
    <row r="55" spans="1:16">
      <c r="A55" s="27" t="s">
        <v>117</v>
      </c>
      <c r="B55" s="27" t="s">
        <v>168</v>
      </c>
      <c r="C55" s="48">
        <v>45981</v>
      </c>
      <c r="D55" s="27" t="s">
        <v>146</v>
      </c>
      <c r="E55" s="71">
        <v>10000000</v>
      </c>
      <c r="F55" s="27"/>
      <c r="G55" s="27" t="s">
        <v>147</v>
      </c>
      <c r="H55" s="27" t="s">
        <v>157</v>
      </c>
      <c r="I55" s="36">
        <f t="shared" ca="1" si="8"/>
        <v>176</v>
      </c>
    </row>
    <row r="56" spans="1:16">
      <c r="A56" s="27" t="s">
        <v>117</v>
      </c>
      <c r="B56" s="27" t="s">
        <v>169</v>
      </c>
      <c r="C56" s="48">
        <v>45981</v>
      </c>
      <c r="D56" s="27" t="s">
        <v>146</v>
      </c>
      <c r="E56" s="71">
        <v>10000000</v>
      </c>
      <c r="F56" s="27"/>
      <c r="G56" s="27" t="s">
        <v>147</v>
      </c>
      <c r="H56" s="27" t="s">
        <v>157</v>
      </c>
      <c r="I56" s="36">
        <f t="shared" ca="1" si="8"/>
        <v>176</v>
      </c>
    </row>
    <row r="57" spans="1:16">
      <c r="A57" s="27" t="s">
        <v>117</v>
      </c>
      <c r="B57" s="27" t="s">
        <v>255</v>
      </c>
      <c r="C57" s="48">
        <v>45981</v>
      </c>
      <c r="D57" s="27" t="s">
        <v>146</v>
      </c>
      <c r="E57" s="71">
        <v>4400000</v>
      </c>
      <c r="F57" s="27"/>
      <c r="G57" s="27" t="s">
        <v>147</v>
      </c>
      <c r="H57" s="27" t="s">
        <v>191</v>
      </c>
      <c r="I57" s="36">
        <f t="shared" ca="1" si="8"/>
        <v>176</v>
      </c>
    </row>
    <row r="58" spans="1:16">
      <c r="A58" s="27" t="s">
        <v>117</v>
      </c>
      <c r="B58" s="27" t="s">
        <v>160</v>
      </c>
      <c r="C58" s="48">
        <v>45981</v>
      </c>
      <c r="D58" s="27" t="s">
        <v>146</v>
      </c>
      <c r="E58" s="71">
        <v>10000000</v>
      </c>
      <c r="F58" s="27"/>
      <c r="G58" s="27" t="s">
        <v>147</v>
      </c>
      <c r="H58" s="27" t="s">
        <v>157</v>
      </c>
      <c r="I58" s="36">
        <f t="shared" ca="1" si="8"/>
        <v>176</v>
      </c>
    </row>
    <row r="59" spans="1:16">
      <c r="A59" s="27" t="s">
        <v>117</v>
      </c>
      <c r="B59" s="27" t="s">
        <v>211</v>
      </c>
      <c r="C59" s="48">
        <v>45981</v>
      </c>
      <c r="D59" s="27" t="s">
        <v>146</v>
      </c>
      <c r="E59" s="71">
        <v>20000000</v>
      </c>
      <c r="F59" s="27"/>
      <c r="G59" s="27" t="s">
        <v>147</v>
      </c>
      <c r="H59" s="27" t="s">
        <v>131</v>
      </c>
      <c r="I59" s="36">
        <f t="shared" ca="1" si="8"/>
        <v>176</v>
      </c>
    </row>
    <row r="60" spans="1:16">
      <c r="A60" s="27" t="s">
        <v>117</v>
      </c>
      <c r="B60" s="27" t="s">
        <v>165</v>
      </c>
      <c r="C60" s="48">
        <v>45981</v>
      </c>
      <c r="D60" s="27" t="s">
        <v>146</v>
      </c>
      <c r="E60" s="71">
        <v>10000000</v>
      </c>
      <c r="F60" s="27"/>
      <c r="G60" s="27" t="s">
        <v>147</v>
      </c>
      <c r="H60" s="27" t="s">
        <v>157</v>
      </c>
      <c r="I60" s="36">
        <f ca="1">+TODAY()-C60</f>
        <v>176</v>
      </c>
    </row>
    <row r="61" spans="1:16">
      <c r="A61" s="27" t="s">
        <v>117</v>
      </c>
      <c r="B61" s="27" t="s">
        <v>212</v>
      </c>
      <c r="C61" s="48">
        <v>45986</v>
      </c>
      <c r="D61" s="27" t="s">
        <v>146</v>
      </c>
      <c r="E61" s="71">
        <v>20000000</v>
      </c>
      <c r="F61" s="27"/>
      <c r="G61" s="27" t="s">
        <v>147</v>
      </c>
      <c r="H61" s="27" t="s">
        <v>131</v>
      </c>
      <c r="I61" s="36">
        <f t="shared" ref="I61:I67" ca="1" si="9">+TODAY()-C61</f>
        <v>171</v>
      </c>
    </row>
    <row r="62" spans="1:16">
      <c r="A62" s="27" t="s">
        <v>117</v>
      </c>
      <c r="B62" s="27" t="s">
        <v>213</v>
      </c>
      <c r="C62" s="48">
        <v>45987</v>
      </c>
      <c r="D62" s="27" t="s">
        <v>146</v>
      </c>
      <c r="E62" s="71">
        <v>10000000</v>
      </c>
      <c r="F62" s="27"/>
      <c r="G62" s="27" t="s">
        <v>147</v>
      </c>
      <c r="H62" s="27" t="s">
        <v>131</v>
      </c>
      <c r="I62" s="36">
        <f t="shared" ca="1" si="9"/>
        <v>170</v>
      </c>
    </row>
    <row r="63" spans="1:16">
      <c r="A63" s="27" t="s">
        <v>117</v>
      </c>
      <c r="B63" s="27" t="s">
        <v>214</v>
      </c>
      <c r="C63" s="48">
        <v>45988</v>
      </c>
      <c r="D63" s="27" t="s">
        <v>146</v>
      </c>
      <c r="E63" s="71">
        <v>10000000</v>
      </c>
      <c r="F63" s="27"/>
      <c r="G63" s="27" t="s">
        <v>147</v>
      </c>
      <c r="H63" s="27" t="s">
        <v>131</v>
      </c>
      <c r="I63" s="36">
        <f t="shared" ca="1" si="9"/>
        <v>169</v>
      </c>
    </row>
    <row r="64" spans="1:16">
      <c r="A64" s="27" t="s">
        <v>117</v>
      </c>
      <c r="B64" s="27" t="s">
        <v>215</v>
      </c>
      <c r="C64" s="48">
        <v>45988</v>
      </c>
      <c r="D64" s="27" t="s">
        <v>146</v>
      </c>
      <c r="E64" s="71">
        <v>10000000</v>
      </c>
      <c r="F64" s="27"/>
      <c r="G64" s="27" t="s">
        <v>147</v>
      </c>
      <c r="H64" s="27" t="s">
        <v>131</v>
      </c>
      <c r="I64" s="36">
        <f t="shared" ca="1" si="9"/>
        <v>169</v>
      </c>
    </row>
    <row r="65" spans="1:9">
      <c r="A65" s="27" t="s">
        <v>117</v>
      </c>
      <c r="B65" s="27" t="s">
        <v>204</v>
      </c>
      <c r="C65" s="48">
        <v>45992</v>
      </c>
      <c r="D65" s="27" t="s">
        <v>146</v>
      </c>
      <c r="E65" s="71">
        <v>3125000</v>
      </c>
      <c r="F65" s="27"/>
      <c r="G65" s="27" t="s">
        <v>147</v>
      </c>
      <c r="H65" s="27" t="s">
        <v>154</v>
      </c>
      <c r="I65" s="36">
        <f t="shared" ca="1" si="9"/>
        <v>165</v>
      </c>
    </row>
    <row r="66" spans="1:9">
      <c r="A66" s="27" t="s">
        <v>117</v>
      </c>
      <c r="B66" s="27" t="s">
        <v>297</v>
      </c>
      <c r="C66" s="48">
        <v>45994</v>
      </c>
      <c r="D66" s="27" t="s">
        <v>146</v>
      </c>
      <c r="E66" s="71">
        <v>25000000</v>
      </c>
      <c r="F66" s="27"/>
      <c r="G66" s="27" t="s">
        <v>147</v>
      </c>
      <c r="H66" s="27" t="s">
        <v>301</v>
      </c>
      <c r="I66" s="36">
        <f t="shared" ca="1" si="9"/>
        <v>163</v>
      </c>
    </row>
    <row r="67" spans="1:9">
      <c r="A67" s="27" t="s">
        <v>117</v>
      </c>
      <c r="B67" s="27" t="s">
        <v>287</v>
      </c>
      <c r="C67" s="48">
        <v>45994</v>
      </c>
      <c r="D67" s="27" t="s">
        <v>146</v>
      </c>
      <c r="E67" s="71">
        <v>332000000</v>
      </c>
      <c r="F67" s="27"/>
      <c r="G67" s="27" t="s">
        <v>147</v>
      </c>
      <c r="H67" s="27" t="s">
        <v>119</v>
      </c>
      <c r="I67" s="36">
        <f t="shared" ca="1" si="9"/>
        <v>163</v>
      </c>
    </row>
    <row r="68" spans="1:9">
      <c r="A68" s="27" t="s">
        <v>117</v>
      </c>
      <c r="B68" s="27" t="s">
        <v>292</v>
      </c>
      <c r="C68" s="48">
        <v>46008</v>
      </c>
      <c r="D68" s="27" t="s">
        <v>146</v>
      </c>
      <c r="E68" s="71">
        <v>27000000</v>
      </c>
      <c r="F68" s="27"/>
      <c r="G68" s="27" t="s">
        <v>147</v>
      </c>
      <c r="H68" s="27" t="s">
        <v>120</v>
      </c>
      <c r="I68" s="36">
        <f t="shared" ref="I68:I78" ca="1" si="10">+TODAY()-C68</f>
        <v>149</v>
      </c>
    </row>
    <row r="69" spans="1:9">
      <c r="A69" s="63" t="s">
        <v>117</v>
      </c>
      <c r="B69" s="63" t="s">
        <v>272</v>
      </c>
      <c r="C69" s="64">
        <v>46010</v>
      </c>
      <c r="D69" s="63" t="s">
        <v>146</v>
      </c>
      <c r="E69" s="149">
        <v>6000000</v>
      </c>
      <c r="F69" s="63"/>
      <c r="G69" s="63" t="s">
        <v>158</v>
      </c>
      <c r="H69" s="63" t="s">
        <v>185</v>
      </c>
      <c r="I69" s="66">
        <f t="shared" ca="1" si="10"/>
        <v>147</v>
      </c>
    </row>
    <row r="70" spans="1:9">
      <c r="A70" s="27" t="s">
        <v>117</v>
      </c>
      <c r="B70" s="27" t="s">
        <v>366</v>
      </c>
      <c r="C70" s="48">
        <v>46013</v>
      </c>
      <c r="D70" s="27" t="s">
        <v>146</v>
      </c>
      <c r="E70" s="71">
        <v>24800000</v>
      </c>
      <c r="F70" s="27"/>
      <c r="G70" s="27" t="s">
        <v>147</v>
      </c>
      <c r="H70" s="27" t="s">
        <v>369</v>
      </c>
      <c r="I70" s="36">
        <f t="shared" ca="1" si="10"/>
        <v>144</v>
      </c>
    </row>
    <row r="71" spans="1:9">
      <c r="A71" s="27" t="s">
        <v>117</v>
      </c>
      <c r="B71" s="27" t="s">
        <v>298</v>
      </c>
      <c r="C71" s="48">
        <v>46024</v>
      </c>
      <c r="D71" s="27" t="s">
        <v>146</v>
      </c>
      <c r="E71" s="71">
        <v>25000000</v>
      </c>
      <c r="F71" s="27"/>
      <c r="G71" s="27" t="s">
        <v>147</v>
      </c>
      <c r="H71" s="27" t="s">
        <v>301</v>
      </c>
      <c r="I71" s="36">
        <f t="shared" ca="1" si="10"/>
        <v>133</v>
      </c>
    </row>
    <row r="72" spans="1:9">
      <c r="A72" s="27" t="s">
        <v>117</v>
      </c>
      <c r="B72" s="27" t="s">
        <v>309</v>
      </c>
      <c r="C72" s="48">
        <v>46028</v>
      </c>
      <c r="D72" s="27" t="s">
        <v>146</v>
      </c>
      <c r="E72" s="71">
        <v>10000000</v>
      </c>
      <c r="F72" s="27"/>
      <c r="G72" s="27" t="s">
        <v>147</v>
      </c>
      <c r="H72" s="27" t="s">
        <v>301</v>
      </c>
      <c r="I72" s="36">
        <f t="shared" ca="1" si="10"/>
        <v>129</v>
      </c>
    </row>
    <row r="73" spans="1:9">
      <c r="A73" s="63" t="s">
        <v>117</v>
      </c>
      <c r="B73" s="63" t="s">
        <v>273</v>
      </c>
      <c r="C73" s="64">
        <v>46028</v>
      </c>
      <c r="D73" s="63" t="s">
        <v>146</v>
      </c>
      <c r="E73" s="149">
        <v>6000000</v>
      </c>
      <c r="F73" s="63"/>
      <c r="G73" s="63" t="s">
        <v>158</v>
      </c>
      <c r="H73" s="63" t="s">
        <v>185</v>
      </c>
      <c r="I73" s="66">
        <f t="shared" ca="1" si="10"/>
        <v>129</v>
      </c>
    </row>
    <row r="74" spans="1:9">
      <c r="A74" s="27" t="s">
        <v>117</v>
      </c>
      <c r="B74" s="27" t="s">
        <v>311</v>
      </c>
      <c r="C74" s="48">
        <v>46029</v>
      </c>
      <c r="D74" s="27" t="s">
        <v>146</v>
      </c>
      <c r="E74" s="71">
        <v>10000000</v>
      </c>
      <c r="F74" s="27"/>
      <c r="G74" s="27" t="s">
        <v>147</v>
      </c>
      <c r="H74" s="27" t="s">
        <v>301</v>
      </c>
      <c r="I74" s="36">
        <f t="shared" ca="1" si="10"/>
        <v>128</v>
      </c>
    </row>
    <row r="75" spans="1:9">
      <c r="A75" s="27" t="s">
        <v>117</v>
      </c>
      <c r="B75" s="27" t="s">
        <v>312</v>
      </c>
      <c r="C75" s="48">
        <v>46035</v>
      </c>
      <c r="D75" s="27" t="s">
        <v>146</v>
      </c>
      <c r="E75" s="71">
        <v>10000000</v>
      </c>
      <c r="F75" s="27"/>
      <c r="G75" s="27" t="s">
        <v>147</v>
      </c>
      <c r="H75" s="27" t="s">
        <v>301</v>
      </c>
      <c r="I75" s="36">
        <f t="shared" ca="1" si="10"/>
        <v>122</v>
      </c>
    </row>
    <row r="76" spans="1:9">
      <c r="A76" s="27" t="s">
        <v>117</v>
      </c>
      <c r="B76" s="27" t="s">
        <v>313</v>
      </c>
      <c r="C76" s="48">
        <v>46036</v>
      </c>
      <c r="D76" s="27" t="s">
        <v>146</v>
      </c>
      <c r="E76" s="71">
        <v>10000000</v>
      </c>
      <c r="F76" s="27"/>
      <c r="G76" s="27" t="s">
        <v>147</v>
      </c>
      <c r="H76" s="27" t="s">
        <v>301</v>
      </c>
      <c r="I76" s="36">
        <f t="shared" ca="1" si="10"/>
        <v>121</v>
      </c>
    </row>
    <row r="77" spans="1:9">
      <c r="A77" s="27" t="s">
        <v>117</v>
      </c>
      <c r="B77" s="27" t="s">
        <v>325</v>
      </c>
      <c r="C77" s="48">
        <v>46036</v>
      </c>
      <c r="D77" s="27" t="s">
        <v>146</v>
      </c>
      <c r="E77" s="71">
        <v>5000000</v>
      </c>
      <c r="F77" s="27"/>
      <c r="G77" s="27" t="s">
        <v>147</v>
      </c>
      <c r="H77" s="27" t="s">
        <v>280</v>
      </c>
      <c r="I77" s="36">
        <f t="shared" ca="1" si="10"/>
        <v>121</v>
      </c>
    </row>
    <row r="78" spans="1:9">
      <c r="A78" s="27" t="s">
        <v>117</v>
      </c>
      <c r="B78" s="27" t="s">
        <v>326</v>
      </c>
      <c r="C78" s="48">
        <v>46038</v>
      </c>
      <c r="D78" s="27" t="s">
        <v>146</v>
      </c>
      <c r="E78" s="71">
        <v>5000000</v>
      </c>
      <c r="F78" s="27"/>
      <c r="G78" s="27" t="s">
        <v>147</v>
      </c>
      <c r="H78" s="27" t="s">
        <v>280</v>
      </c>
      <c r="I78" s="36">
        <f t="shared" ca="1" si="10"/>
        <v>119</v>
      </c>
    </row>
    <row r="79" spans="1:9">
      <c r="A79" s="27" t="s">
        <v>117</v>
      </c>
      <c r="B79" s="27" t="s">
        <v>314</v>
      </c>
      <c r="C79" s="48">
        <v>46042</v>
      </c>
      <c r="D79" s="27" t="s">
        <v>146</v>
      </c>
      <c r="E79" s="71">
        <v>10000000</v>
      </c>
      <c r="F79" s="27"/>
      <c r="G79" s="27" t="s">
        <v>147</v>
      </c>
      <c r="H79" s="27" t="s">
        <v>301</v>
      </c>
      <c r="I79" s="36">
        <f ca="1">+TODAY()-C79</f>
        <v>115</v>
      </c>
    </row>
    <row r="80" spans="1:9">
      <c r="A80" s="63" t="s">
        <v>117</v>
      </c>
      <c r="B80" s="63" t="s">
        <v>275</v>
      </c>
      <c r="C80" s="64">
        <v>46042</v>
      </c>
      <c r="D80" s="63" t="s">
        <v>146</v>
      </c>
      <c r="E80" s="149">
        <v>4000000</v>
      </c>
      <c r="F80" s="63"/>
      <c r="G80" s="63" t="s">
        <v>158</v>
      </c>
      <c r="H80" s="63" t="s">
        <v>185</v>
      </c>
      <c r="I80" s="66">
        <f ca="1">+TODAY()-C80</f>
        <v>115</v>
      </c>
    </row>
    <row r="81" spans="1:9">
      <c r="A81" s="27" t="s">
        <v>117</v>
      </c>
      <c r="B81" s="27" t="s">
        <v>315</v>
      </c>
      <c r="C81" s="48">
        <v>46043</v>
      </c>
      <c r="D81" s="27" t="s">
        <v>146</v>
      </c>
      <c r="E81" s="71">
        <v>10000000</v>
      </c>
      <c r="F81" s="27"/>
      <c r="G81" s="27" t="s">
        <v>147</v>
      </c>
      <c r="H81" s="27" t="s">
        <v>301</v>
      </c>
      <c r="I81" s="36">
        <f ca="1">+TODAY()-C81</f>
        <v>114</v>
      </c>
    </row>
    <row r="82" spans="1:9">
      <c r="A82" s="27" t="s">
        <v>117</v>
      </c>
      <c r="B82" s="27" t="s">
        <v>353</v>
      </c>
      <c r="C82" s="48">
        <v>46044</v>
      </c>
      <c r="D82" s="27" t="s">
        <v>146</v>
      </c>
      <c r="E82" s="71">
        <v>1395800</v>
      </c>
      <c r="F82" s="27"/>
      <c r="G82" s="27" t="s">
        <v>147</v>
      </c>
      <c r="H82" s="27" t="s">
        <v>363</v>
      </c>
      <c r="I82" s="36">
        <f t="shared" ref="I82:I89" ca="1" si="11">+TODAY()-C82</f>
        <v>113</v>
      </c>
    </row>
    <row r="83" spans="1:9">
      <c r="A83" s="27" t="s">
        <v>117</v>
      </c>
      <c r="B83" s="27" t="s">
        <v>354</v>
      </c>
      <c r="C83" s="48">
        <v>46044</v>
      </c>
      <c r="D83" s="27" t="s">
        <v>146</v>
      </c>
      <c r="E83" s="71">
        <v>1395800</v>
      </c>
      <c r="F83" s="27"/>
      <c r="G83" s="27" t="s">
        <v>147</v>
      </c>
      <c r="H83" s="27" t="s">
        <v>363</v>
      </c>
      <c r="I83" s="36">
        <f t="shared" ca="1" si="11"/>
        <v>113</v>
      </c>
    </row>
    <row r="84" spans="1:9">
      <c r="A84" s="27" t="s">
        <v>117</v>
      </c>
      <c r="B84" s="27" t="s">
        <v>355</v>
      </c>
      <c r="C84" s="48">
        <v>46044</v>
      </c>
      <c r="D84" s="27" t="s">
        <v>146</v>
      </c>
      <c r="E84" s="71">
        <v>1395800</v>
      </c>
      <c r="F84" s="27"/>
      <c r="G84" s="27" t="s">
        <v>147</v>
      </c>
      <c r="H84" s="27" t="s">
        <v>363</v>
      </c>
      <c r="I84" s="36">
        <f t="shared" ca="1" si="11"/>
        <v>113</v>
      </c>
    </row>
    <row r="85" spans="1:9">
      <c r="A85" s="27" t="s">
        <v>117</v>
      </c>
      <c r="B85" s="27" t="s">
        <v>356</v>
      </c>
      <c r="C85" s="48">
        <v>46044</v>
      </c>
      <c r="D85" s="27" t="s">
        <v>146</v>
      </c>
      <c r="E85" s="71">
        <v>1395800</v>
      </c>
      <c r="F85" s="27"/>
      <c r="G85" s="27" t="s">
        <v>147</v>
      </c>
      <c r="H85" s="27" t="s">
        <v>363</v>
      </c>
      <c r="I85" s="36">
        <f t="shared" ca="1" si="11"/>
        <v>113</v>
      </c>
    </row>
    <row r="86" spans="1:9">
      <c r="A86" s="27" t="s">
        <v>117</v>
      </c>
      <c r="B86" s="27" t="s">
        <v>357</v>
      </c>
      <c r="C86" s="48">
        <v>46045</v>
      </c>
      <c r="D86" s="27" t="s">
        <v>146</v>
      </c>
      <c r="E86" s="71">
        <v>1395800</v>
      </c>
      <c r="F86" s="27"/>
      <c r="G86" s="27" t="s">
        <v>147</v>
      </c>
      <c r="H86" s="27" t="s">
        <v>363</v>
      </c>
      <c r="I86" s="36">
        <f t="shared" ca="1" si="11"/>
        <v>112</v>
      </c>
    </row>
    <row r="87" spans="1:9">
      <c r="A87" s="63" t="s">
        <v>117</v>
      </c>
      <c r="B87" s="63" t="s">
        <v>276</v>
      </c>
      <c r="C87" s="64">
        <v>46045</v>
      </c>
      <c r="D87" s="63" t="s">
        <v>146</v>
      </c>
      <c r="E87" s="149">
        <v>4000000</v>
      </c>
      <c r="F87" s="63"/>
      <c r="G87" s="63" t="s">
        <v>158</v>
      </c>
      <c r="H87" s="63" t="s">
        <v>185</v>
      </c>
      <c r="I87" s="66">
        <f t="shared" ca="1" si="11"/>
        <v>112</v>
      </c>
    </row>
    <row r="88" spans="1:9">
      <c r="A88" s="27" t="s">
        <v>117</v>
      </c>
      <c r="B88" s="27" t="s">
        <v>336</v>
      </c>
      <c r="C88" s="48">
        <v>46045</v>
      </c>
      <c r="D88" s="27" t="s">
        <v>146</v>
      </c>
      <c r="E88" s="71">
        <v>15900000</v>
      </c>
      <c r="F88" s="27"/>
      <c r="G88" s="27" t="s">
        <v>147</v>
      </c>
      <c r="H88" s="27" t="s">
        <v>337</v>
      </c>
      <c r="I88" s="36">
        <f t="shared" ca="1" si="11"/>
        <v>112</v>
      </c>
    </row>
    <row r="89" spans="1:9">
      <c r="A89" s="27" t="s">
        <v>117</v>
      </c>
      <c r="B89" s="27" t="s">
        <v>279</v>
      </c>
      <c r="C89" s="48">
        <v>46045</v>
      </c>
      <c r="D89" s="27" t="s">
        <v>146</v>
      </c>
      <c r="E89" s="71">
        <v>5000000</v>
      </c>
      <c r="F89" s="27"/>
      <c r="G89" s="27" t="s">
        <v>147</v>
      </c>
      <c r="H89" s="27" t="s">
        <v>280</v>
      </c>
      <c r="I89" s="36">
        <f t="shared" ca="1" si="11"/>
        <v>112</v>
      </c>
    </row>
    <row r="90" spans="1:9">
      <c r="A90" s="27" t="s">
        <v>117</v>
      </c>
      <c r="B90" s="27" t="s">
        <v>358</v>
      </c>
      <c r="C90" s="48">
        <v>46048</v>
      </c>
      <c r="D90" s="27" t="s">
        <v>146</v>
      </c>
      <c r="E90" s="71">
        <v>1395800</v>
      </c>
      <c r="F90" s="27"/>
      <c r="G90" s="27" t="s">
        <v>147</v>
      </c>
      <c r="H90" s="27" t="s">
        <v>363</v>
      </c>
      <c r="I90" s="36">
        <f t="shared" ref="I90:I119" ca="1" si="12">+TODAY()-C90</f>
        <v>109</v>
      </c>
    </row>
    <row r="91" spans="1:9">
      <c r="A91" s="27" t="s">
        <v>117</v>
      </c>
      <c r="B91" s="27" t="s">
        <v>316</v>
      </c>
      <c r="C91" s="48">
        <v>46049</v>
      </c>
      <c r="D91" s="27" t="s">
        <v>146</v>
      </c>
      <c r="E91" s="71">
        <v>10000000</v>
      </c>
      <c r="F91" s="27"/>
      <c r="G91" s="27" t="s">
        <v>147</v>
      </c>
      <c r="H91" s="27" t="s">
        <v>301</v>
      </c>
      <c r="I91" s="36">
        <f t="shared" ca="1" si="12"/>
        <v>108</v>
      </c>
    </row>
    <row r="92" spans="1:9">
      <c r="A92" s="27" t="s">
        <v>117</v>
      </c>
      <c r="B92" s="27" t="s">
        <v>359</v>
      </c>
      <c r="C92" s="48">
        <v>46049</v>
      </c>
      <c r="D92" s="27" t="s">
        <v>146</v>
      </c>
      <c r="E92" s="71">
        <v>1395800</v>
      </c>
      <c r="F92" s="27"/>
      <c r="G92" s="27" t="s">
        <v>147</v>
      </c>
      <c r="H92" s="27" t="s">
        <v>363</v>
      </c>
      <c r="I92" s="36">
        <f t="shared" ca="1" si="12"/>
        <v>108</v>
      </c>
    </row>
    <row r="93" spans="1:9">
      <c r="A93" s="27" t="s">
        <v>117</v>
      </c>
      <c r="B93" s="27" t="s">
        <v>360</v>
      </c>
      <c r="C93" s="48">
        <v>46049</v>
      </c>
      <c r="D93" s="27" t="s">
        <v>146</v>
      </c>
      <c r="E93" s="71">
        <v>1395800</v>
      </c>
      <c r="F93" s="27"/>
      <c r="G93" s="27" t="s">
        <v>147</v>
      </c>
      <c r="H93" s="27" t="s">
        <v>363</v>
      </c>
      <c r="I93" s="36">
        <f t="shared" ca="1" si="12"/>
        <v>108</v>
      </c>
    </row>
    <row r="94" spans="1:9">
      <c r="A94" s="27" t="s">
        <v>117</v>
      </c>
      <c r="B94" s="27" t="s">
        <v>361</v>
      </c>
      <c r="C94" s="48">
        <v>46049</v>
      </c>
      <c r="D94" s="27" t="s">
        <v>146</v>
      </c>
      <c r="E94" s="71">
        <v>1395800</v>
      </c>
      <c r="F94" s="27"/>
      <c r="G94" s="27" t="s">
        <v>147</v>
      </c>
      <c r="H94" s="27" t="s">
        <v>363</v>
      </c>
      <c r="I94" s="36">
        <f t="shared" ca="1" si="12"/>
        <v>108</v>
      </c>
    </row>
    <row r="95" spans="1:9">
      <c r="A95" s="27" t="s">
        <v>117</v>
      </c>
      <c r="B95" s="27" t="s">
        <v>362</v>
      </c>
      <c r="C95" s="48">
        <v>46049</v>
      </c>
      <c r="D95" s="27" t="s">
        <v>146</v>
      </c>
      <c r="E95" s="71">
        <v>1395800</v>
      </c>
      <c r="F95" s="27"/>
      <c r="G95" s="27" t="s">
        <v>147</v>
      </c>
      <c r="H95" s="27" t="s">
        <v>363</v>
      </c>
      <c r="I95" s="36">
        <f t="shared" ca="1" si="12"/>
        <v>108</v>
      </c>
    </row>
    <row r="96" spans="1:9">
      <c r="A96" s="27" t="s">
        <v>117</v>
      </c>
      <c r="B96" s="27" t="s">
        <v>282</v>
      </c>
      <c r="C96" s="48">
        <v>46050</v>
      </c>
      <c r="D96" s="27" t="s">
        <v>146</v>
      </c>
      <c r="E96" s="71">
        <v>6250000</v>
      </c>
      <c r="F96" s="27"/>
      <c r="G96" s="27" t="s">
        <v>147</v>
      </c>
      <c r="H96" s="27" t="s">
        <v>281</v>
      </c>
      <c r="I96" s="36">
        <f t="shared" ca="1" si="12"/>
        <v>107</v>
      </c>
    </row>
    <row r="97" spans="1:9">
      <c r="A97" s="63" t="s">
        <v>117</v>
      </c>
      <c r="B97" s="63" t="s">
        <v>278</v>
      </c>
      <c r="C97" s="64">
        <v>46050</v>
      </c>
      <c r="D97" s="63" t="s">
        <v>146</v>
      </c>
      <c r="E97" s="149">
        <v>4000000</v>
      </c>
      <c r="F97" s="63"/>
      <c r="G97" s="63" t="s">
        <v>158</v>
      </c>
      <c r="H97" s="63" t="s">
        <v>185</v>
      </c>
      <c r="I97" s="66">
        <f t="shared" ca="1" si="12"/>
        <v>107</v>
      </c>
    </row>
    <row r="98" spans="1:9">
      <c r="A98" s="27" t="s">
        <v>117</v>
      </c>
      <c r="B98" s="27" t="s">
        <v>380</v>
      </c>
      <c r="C98" s="48">
        <v>46050</v>
      </c>
      <c r="D98" s="27" t="s">
        <v>146</v>
      </c>
      <c r="E98" s="71">
        <v>22000000</v>
      </c>
      <c r="F98" s="27"/>
      <c r="G98" s="27" t="s">
        <v>147</v>
      </c>
      <c r="H98" s="27" t="s">
        <v>189</v>
      </c>
      <c r="I98" s="36">
        <f t="shared" ca="1" si="12"/>
        <v>107</v>
      </c>
    </row>
    <row r="99" spans="1:9">
      <c r="A99" s="27" t="s">
        <v>117</v>
      </c>
      <c r="B99" s="27" t="s">
        <v>317</v>
      </c>
      <c r="C99" s="48">
        <v>46051</v>
      </c>
      <c r="D99" s="27" t="s">
        <v>146</v>
      </c>
      <c r="E99" s="71">
        <v>10000000</v>
      </c>
      <c r="F99" s="27"/>
      <c r="G99" s="27" t="s">
        <v>147</v>
      </c>
      <c r="H99" s="27" t="s">
        <v>301</v>
      </c>
      <c r="I99" s="36">
        <f t="shared" ca="1" si="12"/>
        <v>106</v>
      </c>
    </row>
    <row r="100" spans="1:9">
      <c r="A100" s="27" t="s">
        <v>117</v>
      </c>
      <c r="B100" s="27" t="s">
        <v>284</v>
      </c>
      <c r="C100" s="48">
        <v>46052</v>
      </c>
      <c r="D100" s="27" t="s">
        <v>146</v>
      </c>
      <c r="E100" s="71">
        <v>6250000</v>
      </c>
      <c r="F100" s="27"/>
      <c r="G100" s="27" t="s">
        <v>147</v>
      </c>
      <c r="H100" s="27" t="s">
        <v>281</v>
      </c>
      <c r="I100" s="36">
        <f t="shared" ca="1" si="12"/>
        <v>105</v>
      </c>
    </row>
    <row r="101" spans="1:9">
      <c r="A101" s="27" t="s">
        <v>117</v>
      </c>
      <c r="B101" s="27" t="s">
        <v>285</v>
      </c>
      <c r="C101" s="48">
        <v>46056</v>
      </c>
      <c r="D101" s="27" t="s">
        <v>146</v>
      </c>
      <c r="E101" s="71">
        <v>6250000</v>
      </c>
      <c r="F101" s="27"/>
      <c r="G101" s="27" t="s">
        <v>147</v>
      </c>
      <c r="H101" s="27" t="s">
        <v>281</v>
      </c>
      <c r="I101" s="36">
        <f t="shared" ca="1" si="12"/>
        <v>101</v>
      </c>
    </row>
    <row r="102" spans="1:9">
      <c r="A102" s="27" t="s">
        <v>117</v>
      </c>
      <c r="B102" s="27" t="s">
        <v>296</v>
      </c>
      <c r="C102" s="48">
        <v>46056</v>
      </c>
      <c r="D102" s="27" t="s">
        <v>146</v>
      </c>
      <c r="E102" s="71">
        <v>995000</v>
      </c>
      <c r="F102" s="27"/>
      <c r="G102" s="27" t="s">
        <v>147</v>
      </c>
      <c r="H102" s="27" t="s">
        <v>300</v>
      </c>
      <c r="I102" s="36">
        <f t="shared" ca="1" si="12"/>
        <v>101</v>
      </c>
    </row>
    <row r="103" spans="1:9">
      <c r="A103" s="27" t="s">
        <v>117</v>
      </c>
      <c r="B103" s="27" t="s">
        <v>295</v>
      </c>
      <c r="C103" s="48">
        <v>46056</v>
      </c>
      <c r="D103" s="27" t="s">
        <v>146</v>
      </c>
      <c r="E103" s="71">
        <v>2398100</v>
      </c>
      <c r="F103" s="27"/>
      <c r="G103" s="27" t="s">
        <v>147</v>
      </c>
      <c r="H103" s="27" t="s">
        <v>299</v>
      </c>
      <c r="I103" s="36">
        <f t="shared" ca="1" si="12"/>
        <v>101</v>
      </c>
    </row>
    <row r="104" spans="1:9">
      <c r="A104" s="27" t="s">
        <v>117</v>
      </c>
      <c r="B104" s="27" t="s">
        <v>319</v>
      </c>
      <c r="C104" s="48">
        <v>46056</v>
      </c>
      <c r="D104" s="27" t="s">
        <v>146</v>
      </c>
      <c r="E104" s="71">
        <v>10000000</v>
      </c>
      <c r="F104" s="27"/>
      <c r="G104" s="27" t="s">
        <v>147</v>
      </c>
      <c r="H104" s="27" t="s">
        <v>301</v>
      </c>
      <c r="I104" s="36">
        <f t="shared" ca="1" si="12"/>
        <v>101</v>
      </c>
    </row>
    <row r="105" spans="1:9">
      <c r="A105" s="27" t="s">
        <v>117</v>
      </c>
      <c r="B105" s="27" t="s">
        <v>286</v>
      </c>
      <c r="C105" s="48">
        <v>46057</v>
      </c>
      <c r="D105" s="27" t="s">
        <v>146</v>
      </c>
      <c r="E105" s="71">
        <v>6250000</v>
      </c>
      <c r="F105" s="27"/>
      <c r="G105" s="27" t="s">
        <v>147</v>
      </c>
      <c r="H105" s="27" t="s">
        <v>281</v>
      </c>
      <c r="I105" s="36">
        <f t="shared" ca="1" si="12"/>
        <v>100</v>
      </c>
    </row>
    <row r="106" spans="1:9">
      <c r="A106" s="27" t="s">
        <v>117</v>
      </c>
      <c r="B106" s="27" t="s">
        <v>293</v>
      </c>
      <c r="C106" s="48">
        <v>46057</v>
      </c>
      <c r="D106" s="27" t="s">
        <v>146</v>
      </c>
      <c r="E106" s="71">
        <v>2398100</v>
      </c>
      <c r="F106" s="27"/>
      <c r="G106" s="27" t="s">
        <v>147</v>
      </c>
      <c r="H106" s="27" t="s">
        <v>299</v>
      </c>
      <c r="I106" s="36">
        <f t="shared" ca="1" si="12"/>
        <v>100</v>
      </c>
    </row>
    <row r="107" spans="1:9">
      <c r="A107" s="27" t="s">
        <v>117</v>
      </c>
      <c r="B107" s="27" t="s">
        <v>310</v>
      </c>
      <c r="C107" s="48">
        <v>46057</v>
      </c>
      <c r="D107" s="27" t="s">
        <v>146</v>
      </c>
      <c r="E107" s="71">
        <v>10000000</v>
      </c>
      <c r="F107" s="27"/>
      <c r="G107" s="27" t="s">
        <v>147</v>
      </c>
      <c r="H107" s="27" t="s">
        <v>301</v>
      </c>
      <c r="I107" s="36">
        <f t="shared" ca="1" si="12"/>
        <v>100</v>
      </c>
    </row>
    <row r="108" spans="1:9">
      <c r="A108" s="27" t="s">
        <v>117</v>
      </c>
      <c r="B108" s="27" t="s">
        <v>294</v>
      </c>
      <c r="C108" s="48">
        <v>46058</v>
      </c>
      <c r="D108" s="27" t="s">
        <v>146</v>
      </c>
      <c r="E108" s="71">
        <v>2398100</v>
      </c>
      <c r="F108" s="27"/>
      <c r="G108" s="27" t="s">
        <v>147</v>
      </c>
      <c r="H108" s="27" t="s">
        <v>299</v>
      </c>
      <c r="I108" s="36">
        <f t="shared" ca="1" si="12"/>
        <v>99</v>
      </c>
    </row>
    <row r="109" spans="1:9">
      <c r="A109" s="27" t="s">
        <v>117</v>
      </c>
      <c r="B109" s="27" t="s">
        <v>382</v>
      </c>
      <c r="C109" s="48">
        <v>46065</v>
      </c>
      <c r="D109" s="27" t="s">
        <v>146</v>
      </c>
      <c r="E109" s="71">
        <v>25000000</v>
      </c>
      <c r="F109" s="27"/>
      <c r="G109" s="27" t="s">
        <v>147</v>
      </c>
      <c r="H109" s="27" t="s">
        <v>189</v>
      </c>
      <c r="I109" s="36">
        <f t="shared" ca="1" si="12"/>
        <v>92</v>
      </c>
    </row>
    <row r="110" spans="1:9">
      <c r="A110" s="27" t="s">
        <v>117</v>
      </c>
      <c r="B110" s="27" t="s">
        <v>333</v>
      </c>
      <c r="C110" s="48">
        <v>46065</v>
      </c>
      <c r="D110" s="27" t="s">
        <v>146</v>
      </c>
      <c r="E110" s="71">
        <v>23700000</v>
      </c>
      <c r="F110" s="27"/>
      <c r="G110" s="27" t="s">
        <v>147</v>
      </c>
      <c r="H110" s="27" t="s">
        <v>337</v>
      </c>
      <c r="I110" s="36">
        <f t="shared" ca="1" si="12"/>
        <v>92</v>
      </c>
    </row>
    <row r="111" spans="1:9">
      <c r="A111" s="27" t="s">
        <v>117</v>
      </c>
      <c r="B111" s="27" t="s">
        <v>335</v>
      </c>
      <c r="C111" s="48">
        <v>46076</v>
      </c>
      <c r="D111" s="27" t="s">
        <v>146</v>
      </c>
      <c r="E111" s="71">
        <v>15700000</v>
      </c>
      <c r="F111" s="27"/>
      <c r="G111" s="27" t="s">
        <v>147</v>
      </c>
      <c r="H111" s="27" t="s">
        <v>337</v>
      </c>
      <c r="I111" s="36">
        <f t="shared" ca="1" si="12"/>
        <v>81</v>
      </c>
    </row>
    <row r="112" spans="1:9">
      <c r="A112" s="27" t="s">
        <v>117</v>
      </c>
      <c r="B112" s="27" t="s">
        <v>384</v>
      </c>
      <c r="C112" s="48">
        <v>46078</v>
      </c>
      <c r="D112" s="27" t="s">
        <v>146</v>
      </c>
      <c r="E112" s="71">
        <v>26000000</v>
      </c>
      <c r="F112" s="27"/>
      <c r="G112" s="27" t="s">
        <v>147</v>
      </c>
      <c r="H112" s="27" t="s">
        <v>189</v>
      </c>
      <c r="I112" s="36">
        <f t="shared" ca="1" si="12"/>
        <v>79</v>
      </c>
    </row>
    <row r="113" spans="1:9">
      <c r="A113" s="27" t="s">
        <v>117</v>
      </c>
      <c r="B113" s="27" t="s">
        <v>381</v>
      </c>
      <c r="C113" s="48">
        <v>46085</v>
      </c>
      <c r="D113" s="27" t="s">
        <v>146</v>
      </c>
      <c r="E113" s="71">
        <v>27000000</v>
      </c>
      <c r="F113" s="27"/>
      <c r="G113" s="27" t="s">
        <v>147</v>
      </c>
      <c r="H113" s="27" t="s">
        <v>189</v>
      </c>
      <c r="I113" s="36">
        <f t="shared" ca="1" si="12"/>
        <v>72</v>
      </c>
    </row>
    <row r="114" spans="1:9">
      <c r="A114" s="27" t="s">
        <v>117</v>
      </c>
      <c r="B114" s="27" t="s">
        <v>383</v>
      </c>
      <c r="C114" s="48">
        <v>46094</v>
      </c>
      <c r="D114" s="27" t="s">
        <v>146</v>
      </c>
      <c r="E114" s="71">
        <v>19500000</v>
      </c>
      <c r="F114" s="27"/>
      <c r="G114" s="27" t="s">
        <v>147</v>
      </c>
      <c r="H114" s="27" t="s">
        <v>189</v>
      </c>
      <c r="I114" s="36">
        <f t="shared" ca="1" si="12"/>
        <v>63</v>
      </c>
    </row>
    <row r="115" spans="1:9">
      <c r="A115" s="27" t="s">
        <v>117</v>
      </c>
      <c r="B115" s="27" t="s">
        <v>409</v>
      </c>
      <c r="C115" s="48">
        <v>46099</v>
      </c>
      <c r="D115" s="27" t="s">
        <v>146</v>
      </c>
      <c r="E115" s="71">
        <v>125000000</v>
      </c>
      <c r="F115" s="27"/>
      <c r="G115" s="27" t="s">
        <v>147</v>
      </c>
      <c r="H115" s="27" t="s">
        <v>188</v>
      </c>
      <c r="I115" s="36">
        <f t="shared" ca="1" si="12"/>
        <v>58</v>
      </c>
    </row>
    <row r="116" spans="1:9">
      <c r="A116" s="27" t="s">
        <v>117</v>
      </c>
      <c r="B116" s="27" t="s">
        <v>459</v>
      </c>
      <c r="C116" s="48">
        <v>46099</v>
      </c>
      <c r="D116" s="27" t="s">
        <v>146</v>
      </c>
      <c r="E116" s="71">
        <v>4000000</v>
      </c>
      <c r="F116" s="27"/>
      <c r="G116" s="146" t="s">
        <v>147</v>
      </c>
      <c r="H116" s="27" t="s">
        <v>253</v>
      </c>
      <c r="I116" s="36">
        <f t="shared" ca="1" si="12"/>
        <v>58</v>
      </c>
    </row>
    <row r="117" spans="1:9">
      <c r="A117" s="27" t="s">
        <v>117</v>
      </c>
      <c r="B117" s="27" t="s">
        <v>958</v>
      </c>
      <c r="C117" s="48">
        <v>46113</v>
      </c>
      <c r="D117" s="27" t="s">
        <v>146</v>
      </c>
      <c r="E117" s="71">
        <v>150000000</v>
      </c>
      <c r="F117" s="27"/>
      <c r="G117" s="27" t="s">
        <v>147</v>
      </c>
      <c r="H117" s="27" t="s">
        <v>188</v>
      </c>
      <c r="I117" s="36">
        <f t="shared" ca="1" si="12"/>
        <v>44</v>
      </c>
    </row>
    <row r="118" spans="1:9">
      <c r="A118" s="27" t="s">
        <v>117</v>
      </c>
      <c r="B118" s="27" t="s">
        <v>407</v>
      </c>
      <c r="C118" s="48">
        <v>46127</v>
      </c>
      <c r="D118" s="27" t="s">
        <v>146</v>
      </c>
      <c r="E118" s="71">
        <v>150000000</v>
      </c>
      <c r="F118" s="27"/>
      <c r="G118" s="27" t="s">
        <v>147</v>
      </c>
      <c r="H118" s="27" t="s">
        <v>188</v>
      </c>
      <c r="I118" s="36">
        <f t="shared" ca="1" si="12"/>
        <v>30</v>
      </c>
    </row>
    <row r="119" spans="1:9">
      <c r="A119" s="27" t="s">
        <v>117</v>
      </c>
      <c r="B119" s="27" t="s">
        <v>985</v>
      </c>
      <c r="C119" s="48">
        <v>46155</v>
      </c>
      <c r="D119" s="27" t="s">
        <v>146</v>
      </c>
      <c r="E119" s="71">
        <v>5000000</v>
      </c>
      <c r="F119" s="27"/>
      <c r="G119" s="27" t="s">
        <v>147</v>
      </c>
      <c r="H119" s="27" t="s">
        <v>196</v>
      </c>
      <c r="I119" s="36">
        <f t="shared" ca="1" si="12"/>
        <v>2</v>
      </c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7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6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5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4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3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2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4" sqref="A24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123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1713</v>
      </c>
      <c r="B6" s="159">
        <v>5.0864353622160532E-2</v>
      </c>
    </row>
    <row r="7" spans="1:2">
      <c r="A7" s="160" t="s">
        <v>406</v>
      </c>
      <c r="B7" s="161">
        <v>4.4706973797891306E-2</v>
      </c>
    </row>
    <row r="8" spans="1:2">
      <c r="A8" s="160" t="s">
        <v>399</v>
      </c>
      <c r="B8" s="161">
        <v>4.4297683535230191E-2</v>
      </c>
    </row>
    <row r="9" spans="1:2">
      <c r="A9" s="160" t="s">
        <v>734</v>
      </c>
      <c r="B9" s="161">
        <v>4.377208898867959E-2</v>
      </c>
    </row>
    <row r="10" spans="1:2">
      <c r="A10" s="160" t="s">
        <v>249</v>
      </c>
      <c r="B10" s="161">
        <v>3.8838026558785613E-2</v>
      </c>
    </row>
    <row r="11" spans="1:2">
      <c r="A11" s="160" t="s">
        <v>1809</v>
      </c>
      <c r="B11" s="161">
        <v>3.824526004365205E-2</v>
      </c>
    </row>
    <row r="12" spans="1:2">
      <c r="A12" s="160" t="s">
        <v>629</v>
      </c>
      <c r="B12" s="161">
        <v>3.1761608725489415E-2</v>
      </c>
    </row>
    <row r="13" spans="1:2">
      <c r="A13" s="160" t="s">
        <v>441</v>
      </c>
      <c r="B13" s="161">
        <v>2.5315675765887793E-2</v>
      </c>
    </row>
    <row r="14" spans="1:2">
      <c r="A14" s="160" t="s">
        <v>265</v>
      </c>
      <c r="B14" s="161">
        <v>2.5043458636324824E-2</v>
      </c>
    </row>
    <row r="15" spans="1:2">
      <c r="A15" s="160" t="s">
        <v>1330</v>
      </c>
      <c r="B15" s="161">
        <v>2.3718966839083765E-2</v>
      </c>
    </row>
    <row r="16" spans="1:2">
      <c r="A16" s="160" t="s">
        <v>556</v>
      </c>
      <c r="B16" s="161">
        <v>2.2789710518103651E-2</v>
      </c>
    </row>
    <row r="17" spans="1:11">
      <c r="A17" s="160" t="s">
        <v>550</v>
      </c>
      <c r="B17" s="161">
        <v>1.9833211177485027E-2</v>
      </c>
    </row>
    <row r="18" spans="1:11">
      <c r="A18" s="160" t="s">
        <v>405</v>
      </c>
      <c r="B18" s="161">
        <v>1.8822284976842778E-2</v>
      </c>
    </row>
    <row r="19" spans="1:11">
      <c r="A19" s="160" t="s">
        <v>203</v>
      </c>
      <c r="B19" s="161">
        <v>1.8497755774213788E-2</v>
      </c>
    </row>
    <row r="20" spans="1:11">
      <c r="A20" s="160" t="s">
        <v>677</v>
      </c>
      <c r="B20" s="161">
        <v>1.5975241259628854E-2</v>
      </c>
    </row>
    <row r="21" spans="1:11">
      <c r="A21" s="160" t="s">
        <v>190</v>
      </c>
      <c r="B21" s="161">
        <v>1.5098827019353275E-2</v>
      </c>
    </row>
    <row r="22" spans="1:11">
      <c r="A22" s="160" t="s">
        <v>471</v>
      </c>
      <c r="B22" s="161">
        <v>1.4203345981517602E-2</v>
      </c>
    </row>
    <row r="23" spans="1:11">
      <c r="A23" s="160" t="s">
        <v>266</v>
      </c>
      <c r="B23" s="161">
        <v>1.4152660252366469E-2</v>
      </c>
    </row>
    <row r="24" spans="1:11">
      <c r="A24" s="160" t="s">
        <v>780</v>
      </c>
      <c r="B24" s="161">
        <v>1.2758303840907155E-2</v>
      </c>
    </row>
    <row r="25" spans="1:11">
      <c r="A25" s="160" t="s">
        <v>864</v>
      </c>
      <c r="B25" s="161">
        <v>1.2631992700915778E-2</v>
      </c>
    </row>
    <row r="26" spans="1:11">
      <c r="A26" s="160" t="s">
        <v>951</v>
      </c>
      <c r="B26" s="161">
        <v>1.2264201442047387E-2</v>
      </c>
      <c r="I26" s="11"/>
    </row>
    <row r="27" spans="1:11">
      <c r="A27" s="160" t="s">
        <v>219</v>
      </c>
      <c r="B27" s="161">
        <v>1.1568606335764304E-2</v>
      </c>
    </row>
    <row r="28" spans="1:11">
      <c r="A28" s="160" t="s">
        <v>662</v>
      </c>
      <c r="B28" s="161">
        <v>1.1216965659204962E-2</v>
      </c>
      <c r="K28" s="19"/>
    </row>
    <row r="29" spans="1:11">
      <c r="A29" s="160" t="s">
        <v>1389</v>
      </c>
      <c r="B29" s="161">
        <v>1.0601601831197731E-2</v>
      </c>
    </row>
    <row r="30" spans="1:11">
      <c r="A30" s="160" t="s">
        <v>327</v>
      </c>
      <c r="B30" s="161">
        <v>1.0594704795777283E-2</v>
      </c>
    </row>
    <row r="31" spans="1:11">
      <c r="A31" s="160" t="s">
        <v>863</v>
      </c>
      <c r="B31" s="161">
        <v>1.0589066230576163E-2</v>
      </c>
    </row>
    <row r="32" spans="1:11">
      <c r="A32" s="160" t="s">
        <v>1101</v>
      </c>
      <c r="B32" s="161">
        <v>1.0319683213236723E-2</v>
      </c>
    </row>
    <row r="33" spans="1:2">
      <c r="A33" s="160" t="s">
        <v>323</v>
      </c>
      <c r="B33" s="161">
        <v>1.0085416266299645E-2</v>
      </c>
    </row>
    <row r="34" spans="1:2">
      <c r="A34" s="160" t="s">
        <v>391</v>
      </c>
      <c r="B34" s="161">
        <v>9.7646406926404326E-3</v>
      </c>
    </row>
    <row r="35" spans="1:2">
      <c r="A35" s="160" t="s">
        <v>717</v>
      </c>
      <c r="B35" s="161">
        <v>9.4164894273006013E-3</v>
      </c>
    </row>
    <row r="36" spans="1:2">
      <c r="A36" s="160" t="s">
        <v>722</v>
      </c>
      <c r="B36" s="161">
        <v>8.8548760175649385E-3</v>
      </c>
    </row>
    <row r="37" spans="1:2">
      <c r="A37" s="160" t="s">
        <v>1857</v>
      </c>
      <c r="B37" s="161">
        <v>8.585326208379063E-3</v>
      </c>
    </row>
    <row r="38" spans="1:2">
      <c r="A38" s="160" t="s">
        <v>1251</v>
      </c>
      <c r="B38" s="161">
        <v>8.4687823617633478E-3</v>
      </c>
    </row>
    <row r="39" spans="1:2">
      <c r="A39" s="160" t="s">
        <v>186</v>
      </c>
      <c r="B39" s="161">
        <v>7.7491599448870022E-3</v>
      </c>
    </row>
    <row r="40" spans="1:2">
      <c r="A40" s="160" t="s">
        <v>152</v>
      </c>
      <c r="B40" s="161">
        <v>7.227222456392378E-3</v>
      </c>
    </row>
    <row r="41" spans="1:2">
      <c r="A41" s="160" t="s">
        <v>1528</v>
      </c>
      <c r="B41" s="161">
        <v>7.2092700041928902E-3</v>
      </c>
    </row>
    <row r="42" spans="1:2">
      <c r="A42" s="160" t="s">
        <v>201</v>
      </c>
      <c r="B42" s="161">
        <v>7.0337638945187466E-3</v>
      </c>
    </row>
    <row r="43" spans="1:2">
      <c r="A43" s="160" t="s">
        <v>676</v>
      </c>
      <c r="B43" s="161">
        <v>6.9730245214909689E-3</v>
      </c>
    </row>
    <row r="44" spans="1:2">
      <c r="A44" s="160" t="s">
        <v>1235</v>
      </c>
      <c r="B44" s="161">
        <v>6.855412581998164E-3</v>
      </c>
    </row>
    <row r="45" spans="1:2">
      <c r="A45" s="160" t="s">
        <v>1392</v>
      </c>
      <c r="B45" s="161">
        <v>6.3519354812097166E-3</v>
      </c>
    </row>
    <row r="46" spans="1:2">
      <c r="A46" s="160" t="s">
        <v>1100</v>
      </c>
      <c r="B46" s="161">
        <v>5.978579338621298E-3</v>
      </c>
    </row>
    <row r="47" spans="1:2">
      <c r="A47" s="160" t="s">
        <v>573</v>
      </c>
      <c r="B47" s="161">
        <v>5.1639543021483568E-3</v>
      </c>
    </row>
    <row r="48" spans="1:2">
      <c r="A48" s="160" t="s">
        <v>1645</v>
      </c>
      <c r="B48" s="161">
        <v>5.0904630821733913E-3</v>
      </c>
    </row>
    <row r="49" spans="1:2">
      <c r="A49" s="160" t="s">
        <v>1893</v>
      </c>
      <c r="B49" s="161">
        <v>4.9471658938658163E-3</v>
      </c>
    </row>
    <row r="50" spans="1:2">
      <c r="A50" s="160" t="s">
        <v>155</v>
      </c>
      <c r="B50" s="161">
        <v>4.8187980661164856E-3</v>
      </c>
    </row>
    <row r="51" spans="1:2">
      <c r="A51" s="160" t="s">
        <v>957</v>
      </c>
      <c r="B51" s="161">
        <v>4.2464853345181453E-3</v>
      </c>
    </row>
    <row r="52" spans="1:2">
      <c r="A52" s="160" t="s">
        <v>592</v>
      </c>
      <c r="B52" s="161">
        <v>3.9377426463152549E-3</v>
      </c>
    </row>
    <row r="53" spans="1:2">
      <c r="A53" s="160" t="s">
        <v>1764</v>
      </c>
      <c r="B53" s="161">
        <v>3.91784003985589E-3</v>
      </c>
    </row>
    <row r="54" spans="1:2">
      <c r="A54" s="160" t="s">
        <v>463</v>
      </c>
      <c r="B54" s="161">
        <v>3.6473038678824384E-3</v>
      </c>
    </row>
    <row r="55" spans="1:2">
      <c r="A55" s="160" t="s">
        <v>1390</v>
      </c>
      <c r="B55" s="161">
        <v>3.2894763753575917E-3</v>
      </c>
    </row>
    <row r="56" spans="1:2">
      <c r="A56" s="160" t="s">
        <v>500</v>
      </c>
      <c r="B56" s="161">
        <v>3.0559236489863546E-3</v>
      </c>
    </row>
    <row r="57" spans="1:2">
      <c r="A57" s="160" t="s">
        <v>444</v>
      </c>
      <c r="B57" s="161">
        <v>2.9343328728799471E-3</v>
      </c>
    </row>
    <row r="58" spans="1:2">
      <c r="A58" s="160" t="s">
        <v>1510</v>
      </c>
      <c r="B58" s="161">
        <v>2.5523897630489031E-3</v>
      </c>
    </row>
    <row r="59" spans="1:2">
      <c r="A59" s="160" t="s">
        <v>254</v>
      </c>
      <c r="B59" s="161">
        <v>2.5368967028680713E-3</v>
      </c>
    </row>
    <row r="60" spans="1:2">
      <c r="A60" s="160" t="s">
        <v>1895</v>
      </c>
      <c r="B60" s="161">
        <v>2.488087508432435E-3</v>
      </c>
    </row>
    <row r="61" spans="1:2">
      <c r="A61" s="160" t="s">
        <v>422</v>
      </c>
      <c r="B61" s="161">
        <v>2.4419238226397765E-3</v>
      </c>
    </row>
    <row r="62" spans="1:2">
      <c r="A62" s="160" t="s">
        <v>1765</v>
      </c>
      <c r="B62" s="161">
        <v>2.4152542755062852E-3</v>
      </c>
    </row>
    <row r="63" spans="1:2">
      <c r="A63" s="160" t="s">
        <v>1894</v>
      </c>
      <c r="B63" s="161">
        <v>2.3699324481154579E-3</v>
      </c>
    </row>
    <row r="64" spans="1:2">
      <c r="A64" s="160" t="s">
        <v>865</v>
      </c>
      <c r="B64" s="161">
        <v>2.3568204463670357E-3</v>
      </c>
    </row>
    <row r="65" spans="1:2">
      <c r="A65" s="160" t="s">
        <v>1103</v>
      </c>
      <c r="B65" s="161">
        <v>2.3276781844986847E-3</v>
      </c>
    </row>
    <row r="66" spans="1:2">
      <c r="A66" s="160" t="s">
        <v>716</v>
      </c>
      <c r="B66" s="161">
        <v>2.2750542638320594E-3</v>
      </c>
    </row>
    <row r="67" spans="1:2">
      <c r="A67" s="160" t="s">
        <v>379</v>
      </c>
      <c r="B67" s="161">
        <v>2.2507476450725201E-3</v>
      </c>
    </row>
    <row r="68" spans="1:2">
      <c r="A68" s="160" t="s">
        <v>242</v>
      </c>
      <c r="B68" s="161">
        <v>2.1361425785027411E-3</v>
      </c>
    </row>
    <row r="69" spans="1:2">
      <c r="A69" s="160" t="s">
        <v>532</v>
      </c>
      <c r="B69" s="161">
        <v>2.0443619269228338E-3</v>
      </c>
    </row>
    <row r="70" spans="1:2">
      <c r="A70" s="160" t="s">
        <v>1391</v>
      </c>
      <c r="B70" s="161">
        <v>2.0419629917135407E-3</v>
      </c>
    </row>
    <row r="71" spans="1:2">
      <c r="A71" s="160" t="s">
        <v>145</v>
      </c>
      <c r="B71" s="161">
        <v>1.9195843198856557E-3</v>
      </c>
    </row>
    <row r="72" spans="1:2">
      <c r="A72" s="160" t="s">
        <v>1241</v>
      </c>
      <c r="B72" s="161">
        <v>1.6726483872922732E-3</v>
      </c>
    </row>
    <row r="73" spans="1:2">
      <c r="A73" s="160" t="s">
        <v>1104</v>
      </c>
      <c r="B73" s="161">
        <v>1.6656020712439569E-3</v>
      </c>
    </row>
    <row r="74" spans="1:2">
      <c r="A74" s="160" t="s">
        <v>376</v>
      </c>
      <c r="B74" s="161">
        <v>1.5304768294758233E-3</v>
      </c>
    </row>
    <row r="75" spans="1:2">
      <c r="A75" s="160" t="s">
        <v>1331</v>
      </c>
      <c r="B75" s="161">
        <v>1.5266492644255818E-3</v>
      </c>
    </row>
    <row r="76" spans="1:2">
      <c r="A76" s="160" t="s">
        <v>274</v>
      </c>
      <c r="B76" s="161">
        <v>1.5001847952444687E-3</v>
      </c>
    </row>
    <row r="77" spans="1:2">
      <c r="A77" s="160" t="s">
        <v>1509</v>
      </c>
      <c r="B77" s="161">
        <v>1.3394858381645699E-3</v>
      </c>
    </row>
    <row r="78" spans="1:2">
      <c r="A78" s="160" t="s">
        <v>1858</v>
      </c>
      <c r="B78" s="161">
        <v>1.2794796942080058E-3</v>
      </c>
    </row>
    <row r="79" spans="1:2">
      <c r="A79" s="160" t="s">
        <v>1248</v>
      </c>
      <c r="B79" s="161">
        <v>1.186027658080542E-3</v>
      </c>
    </row>
    <row r="80" spans="1:2">
      <c r="A80" s="160" t="s">
        <v>526</v>
      </c>
      <c r="B80" s="161">
        <v>1.1647206970136835E-3</v>
      </c>
    </row>
    <row r="81" spans="1:2">
      <c r="A81" s="160" t="s">
        <v>307</v>
      </c>
      <c r="B81" s="161">
        <v>1.1065067800620856E-3</v>
      </c>
    </row>
    <row r="82" spans="1:2">
      <c r="A82" s="160" t="s">
        <v>1896</v>
      </c>
      <c r="B82" s="161">
        <v>1.0890126744742793E-3</v>
      </c>
    </row>
    <row r="83" spans="1:2">
      <c r="A83" s="160" t="s">
        <v>1329</v>
      </c>
      <c r="B83" s="161">
        <v>1.0552987489887567E-3</v>
      </c>
    </row>
    <row r="84" spans="1:2">
      <c r="A84" s="160" t="s">
        <v>730</v>
      </c>
      <c r="B84" s="161">
        <v>1.0012801031585301E-3</v>
      </c>
    </row>
    <row r="85" spans="1:2">
      <c r="A85" s="160" t="s">
        <v>538</v>
      </c>
      <c r="B85" s="161">
        <v>9.2801235818111604E-4</v>
      </c>
    </row>
    <row r="86" spans="1:2">
      <c r="A86" s="160" t="s">
        <v>1231</v>
      </c>
      <c r="B86" s="161">
        <v>8.5000624576928117E-4</v>
      </c>
    </row>
    <row r="87" spans="1:2">
      <c r="A87" s="160" t="s">
        <v>554</v>
      </c>
      <c r="B87" s="161">
        <v>8.2025437442338376E-4</v>
      </c>
    </row>
    <row r="88" spans="1:2">
      <c r="A88" s="160" t="s">
        <v>196</v>
      </c>
      <c r="B88" s="161">
        <v>7.7262450511826836E-4</v>
      </c>
    </row>
    <row r="89" spans="1:2">
      <c r="A89" s="160" t="s">
        <v>1234</v>
      </c>
      <c r="B89" s="161">
        <v>7.419912239109679E-4</v>
      </c>
    </row>
    <row r="90" spans="1:2">
      <c r="A90" s="160" t="s">
        <v>458</v>
      </c>
      <c r="B90" s="161">
        <v>7.3632660997825848E-4</v>
      </c>
    </row>
    <row r="91" spans="1:2">
      <c r="A91" s="160" t="s">
        <v>1898</v>
      </c>
      <c r="B91" s="161">
        <v>7.0574619161363548E-4</v>
      </c>
    </row>
    <row r="92" spans="1:2">
      <c r="A92" s="160" t="s">
        <v>1643</v>
      </c>
      <c r="B92" s="161">
        <v>6.3411132816759848E-4</v>
      </c>
    </row>
    <row r="93" spans="1:2">
      <c r="A93" s="160" t="s">
        <v>491</v>
      </c>
      <c r="B93" s="161">
        <v>6.2592231714451996E-4</v>
      </c>
    </row>
    <row r="94" spans="1:2">
      <c r="A94" s="160" t="s">
        <v>1026</v>
      </c>
      <c r="B94" s="161">
        <v>6.2427255720316982E-4</v>
      </c>
    </row>
    <row r="95" spans="1:2">
      <c r="A95" s="160" t="s">
        <v>1249</v>
      </c>
      <c r="B95" s="161">
        <v>6.0770946644896203E-4</v>
      </c>
    </row>
    <row r="96" spans="1:2">
      <c r="A96" s="160" t="s">
        <v>1644</v>
      </c>
      <c r="B96" s="161">
        <v>5.7644125366862887E-4</v>
      </c>
    </row>
    <row r="97" spans="1:2">
      <c r="A97" s="160" t="s">
        <v>267</v>
      </c>
      <c r="B97" s="161">
        <v>5.5582275830589733E-4</v>
      </c>
    </row>
    <row r="98" spans="1:2">
      <c r="A98" s="160" t="s">
        <v>1236</v>
      </c>
      <c r="B98" s="161">
        <v>5.2575601105005448E-4</v>
      </c>
    </row>
    <row r="99" spans="1:2">
      <c r="A99" s="160" t="s">
        <v>483</v>
      </c>
      <c r="B99" s="161">
        <v>5.1290019610202215E-4</v>
      </c>
    </row>
    <row r="100" spans="1:2">
      <c r="A100" s="160" t="s">
        <v>1822</v>
      </c>
      <c r="B100" s="161">
        <v>5.0530870108613369E-4</v>
      </c>
    </row>
    <row r="101" spans="1:2">
      <c r="A101" s="160" t="s">
        <v>1332</v>
      </c>
      <c r="B101" s="161">
        <v>4.7641229471285542E-4</v>
      </c>
    </row>
    <row r="102" spans="1:2">
      <c r="A102" s="160" t="s">
        <v>1714</v>
      </c>
      <c r="B102" s="161">
        <v>4.4922318325935713E-4</v>
      </c>
    </row>
    <row r="103" spans="1:2">
      <c r="A103" s="160" t="s">
        <v>1792</v>
      </c>
      <c r="B103" s="161">
        <v>4.3830184573323322E-4</v>
      </c>
    </row>
    <row r="104" spans="1:2">
      <c r="A104" s="160" t="s">
        <v>1529</v>
      </c>
      <c r="B104" s="161">
        <v>4.088068867695913E-4</v>
      </c>
    </row>
    <row r="105" spans="1:2">
      <c r="A105" s="160" t="s">
        <v>939</v>
      </c>
      <c r="B105" s="161">
        <v>4.0726048626805067E-4</v>
      </c>
    </row>
    <row r="106" spans="1:2">
      <c r="A106" s="160" t="s">
        <v>795</v>
      </c>
      <c r="B106" s="161">
        <v>3.7706113833330948E-4</v>
      </c>
    </row>
    <row r="107" spans="1:2">
      <c r="A107" s="160" t="s">
        <v>712</v>
      </c>
      <c r="B107" s="161">
        <v>3.7410664514668968E-4</v>
      </c>
    </row>
    <row r="108" spans="1:2">
      <c r="A108" s="160" t="s">
        <v>424</v>
      </c>
      <c r="B108" s="161">
        <v>3.7102153483697194E-4</v>
      </c>
    </row>
    <row r="109" spans="1:2">
      <c r="A109" s="160" t="s">
        <v>448</v>
      </c>
      <c r="B109" s="161">
        <v>3.4074488910847605E-4</v>
      </c>
    </row>
    <row r="110" spans="1:2">
      <c r="A110" s="160" t="s">
        <v>1511</v>
      </c>
      <c r="B110" s="161">
        <v>3.3638142768902674E-4</v>
      </c>
    </row>
    <row r="111" spans="1:2">
      <c r="A111" s="160" t="s">
        <v>1102</v>
      </c>
      <c r="B111" s="161">
        <v>3.1823616627520352E-4</v>
      </c>
    </row>
    <row r="112" spans="1:2">
      <c r="A112" s="160" t="s">
        <v>1028</v>
      </c>
      <c r="B112" s="161">
        <v>3.0810299910052528E-4</v>
      </c>
    </row>
    <row r="113" spans="1:2">
      <c r="A113" s="160" t="s">
        <v>1244</v>
      </c>
      <c r="B113" s="161">
        <v>2.8281078556850492E-4</v>
      </c>
    </row>
    <row r="114" spans="1:2">
      <c r="A114" s="160" t="s">
        <v>1897</v>
      </c>
      <c r="B114" s="161">
        <v>2.5763654326656395E-4</v>
      </c>
    </row>
    <row r="115" spans="1:2">
      <c r="A115" s="160" t="s">
        <v>715</v>
      </c>
      <c r="B115" s="161">
        <v>2.5330920596684748E-4</v>
      </c>
    </row>
    <row r="116" spans="1:2">
      <c r="A116" s="160" t="s">
        <v>1250</v>
      </c>
      <c r="B116" s="161">
        <v>2.4252891807634416E-4</v>
      </c>
    </row>
    <row r="117" spans="1:2">
      <c r="A117" s="160" t="s">
        <v>493</v>
      </c>
      <c r="B117" s="161">
        <v>2.280010045955492E-4</v>
      </c>
    </row>
    <row r="118" spans="1:2">
      <c r="A118" s="160" t="s">
        <v>598</v>
      </c>
      <c r="B118" s="161">
        <v>2.115403879816644E-4</v>
      </c>
    </row>
    <row r="119" spans="1:2">
      <c r="A119" s="160" t="s">
        <v>1007</v>
      </c>
      <c r="B119" s="161">
        <v>2.0747352798258713E-4</v>
      </c>
    </row>
    <row r="120" spans="1:2">
      <c r="A120" s="160" t="s">
        <v>781</v>
      </c>
      <c r="B120" s="161">
        <v>2.014120914037428E-4</v>
      </c>
    </row>
    <row r="121" spans="1:2">
      <c r="A121" s="160" t="s">
        <v>1512</v>
      </c>
      <c r="B121" s="161">
        <v>1.9920526354735914E-4</v>
      </c>
    </row>
    <row r="122" spans="1:2">
      <c r="A122" s="160" t="s">
        <v>593</v>
      </c>
      <c r="B122" s="161">
        <v>1.941132285881423E-4</v>
      </c>
    </row>
    <row r="123" spans="1:2">
      <c r="A123" s="160" t="s">
        <v>1006</v>
      </c>
      <c r="B123" s="161">
        <v>1.8623241406301764E-4</v>
      </c>
    </row>
    <row r="124" spans="1:2">
      <c r="A124" s="160" t="s">
        <v>1899</v>
      </c>
      <c r="B124" s="161">
        <v>1.6057315415162537E-4</v>
      </c>
    </row>
    <row r="125" spans="1:2">
      <c r="A125" s="160" t="s">
        <v>785</v>
      </c>
      <c r="B125" s="161">
        <v>1.5705976183210039E-4</v>
      </c>
    </row>
    <row r="126" spans="1:2">
      <c r="A126" s="160" t="s">
        <v>782</v>
      </c>
      <c r="B126" s="161">
        <v>1.5466167581451481E-4</v>
      </c>
    </row>
    <row r="127" spans="1:2">
      <c r="A127" s="160" t="s">
        <v>1242</v>
      </c>
      <c r="B127" s="161">
        <v>1.5224372682864082E-4</v>
      </c>
    </row>
    <row r="128" spans="1:2">
      <c r="A128" s="160" t="s">
        <v>492</v>
      </c>
      <c r="B128" s="161">
        <v>1.4258002877937364E-4</v>
      </c>
    </row>
    <row r="129" spans="1:2">
      <c r="A129" s="160" t="s">
        <v>552</v>
      </c>
      <c r="B129" s="161">
        <v>1.3991738185583781E-4</v>
      </c>
    </row>
    <row r="130" spans="1:2">
      <c r="A130" s="160" t="s">
        <v>1584</v>
      </c>
      <c r="B130" s="161">
        <v>1.2570708557702658E-4</v>
      </c>
    </row>
    <row r="131" spans="1:2">
      <c r="A131" s="160" t="s">
        <v>1066</v>
      </c>
      <c r="B131" s="161">
        <v>1.2499944427021422E-4</v>
      </c>
    </row>
    <row r="132" spans="1:2">
      <c r="A132" s="160" t="s">
        <v>1237</v>
      </c>
      <c r="B132" s="161">
        <v>1.2269001207465468E-4</v>
      </c>
    </row>
    <row r="133" spans="1:2">
      <c r="A133" s="160" t="s">
        <v>1065</v>
      </c>
      <c r="B133" s="161">
        <v>1.1862842829183677E-4</v>
      </c>
    </row>
    <row r="134" spans="1:2">
      <c r="A134" s="160" t="s">
        <v>525</v>
      </c>
      <c r="B134" s="161">
        <v>9.8767128604510353E-5</v>
      </c>
    </row>
    <row r="135" spans="1:2">
      <c r="A135" s="160" t="s">
        <v>1859</v>
      </c>
      <c r="B135" s="161">
        <v>9.3670933080336767E-5</v>
      </c>
    </row>
    <row r="136" spans="1:2">
      <c r="A136" s="160" t="s">
        <v>1027</v>
      </c>
      <c r="B136" s="161">
        <v>9.202607430875334E-5</v>
      </c>
    </row>
    <row r="137" spans="1:2">
      <c r="A137" s="160" t="s">
        <v>787</v>
      </c>
      <c r="B137" s="161">
        <v>7.3227500090349525E-5</v>
      </c>
    </row>
    <row r="138" spans="1:2">
      <c r="A138" s="160" t="s">
        <v>786</v>
      </c>
      <c r="B138" s="161">
        <v>7.0335747991344383E-5</v>
      </c>
    </row>
    <row r="139" spans="1:2">
      <c r="A139" s="160" t="s">
        <v>714</v>
      </c>
      <c r="B139" s="161">
        <v>6.8577319975992714E-5</v>
      </c>
    </row>
    <row r="140" spans="1:2">
      <c r="A140" s="160" t="s">
        <v>1243</v>
      </c>
      <c r="B140" s="161">
        <v>6.6225452179069833E-5</v>
      </c>
    </row>
    <row r="141" spans="1:2">
      <c r="A141" s="160" t="s">
        <v>1245</v>
      </c>
      <c r="B141" s="161">
        <v>6.6004557701693651E-5</v>
      </c>
    </row>
    <row r="142" spans="1:2">
      <c r="A142" s="160" t="s">
        <v>784</v>
      </c>
      <c r="B142" s="161">
        <v>6.3685175572759792E-5</v>
      </c>
    </row>
    <row r="143" spans="1:2">
      <c r="A143" s="160" t="s">
        <v>551</v>
      </c>
      <c r="B143" s="161">
        <v>5.9302270509667098E-5</v>
      </c>
    </row>
    <row r="144" spans="1:2">
      <c r="A144" s="160" t="s">
        <v>1239</v>
      </c>
      <c r="B144" s="161">
        <v>5.4644179101866293E-5</v>
      </c>
    </row>
    <row r="145" spans="1:2">
      <c r="A145" s="160" t="s">
        <v>1233</v>
      </c>
      <c r="B145" s="161">
        <v>5.2547552450508791E-5</v>
      </c>
    </row>
    <row r="146" spans="1:2">
      <c r="A146" s="160" t="s">
        <v>1779</v>
      </c>
      <c r="B146" s="161">
        <v>5.0563493776843839E-5</v>
      </c>
    </row>
    <row r="147" spans="1:2">
      <c r="A147" s="160" t="s">
        <v>1770</v>
      </c>
      <c r="B147" s="161">
        <v>4.6799399876609395E-5</v>
      </c>
    </row>
    <row r="148" spans="1:2">
      <c r="A148" s="160" t="s">
        <v>783</v>
      </c>
      <c r="B148" s="161">
        <v>3.7365873104753121E-5</v>
      </c>
    </row>
    <row r="149" spans="1:2">
      <c r="A149" s="160" t="s">
        <v>1240</v>
      </c>
      <c r="B149" s="161">
        <v>3.3911278745241286E-5</v>
      </c>
    </row>
    <row r="150" spans="1:2">
      <c r="A150" s="160" t="s">
        <v>1247</v>
      </c>
      <c r="B150" s="161">
        <v>3.0432251279575204E-5</v>
      </c>
    </row>
    <row r="151" spans="1:2">
      <c r="A151" s="160" t="s">
        <v>940</v>
      </c>
      <c r="B151" s="161">
        <v>2.9731572975777695E-5</v>
      </c>
    </row>
    <row r="152" spans="1:2">
      <c r="A152" s="160" t="s">
        <v>941</v>
      </c>
      <c r="B152" s="161">
        <v>2.9150916402209302E-5</v>
      </c>
    </row>
    <row r="153" spans="1:2">
      <c r="A153" s="160" t="s">
        <v>494</v>
      </c>
      <c r="B153" s="161">
        <v>2.8721319489414005E-5</v>
      </c>
    </row>
    <row r="154" spans="1:2">
      <c r="A154" s="160" t="s">
        <v>1232</v>
      </c>
      <c r="B154" s="161">
        <v>2.8237649200883716E-5</v>
      </c>
    </row>
    <row r="155" spans="1:2">
      <c r="A155" s="160" t="s">
        <v>1772</v>
      </c>
      <c r="B155" s="161">
        <v>2.7499874239364609E-5</v>
      </c>
    </row>
    <row r="156" spans="1:2">
      <c r="A156" s="160" t="s">
        <v>1238</v>
      </c>
      <c r="B156" s="161">
        <v>2.7042823027199598E-5</v>
      </c>
    </row>
    <row r="157" spans="1:2">
      <c r="A157" s="160" t="s">
        <v>713</v>
      </c>
      <c r="B157" s="161">
        <v>2.7023883574659854E-5</v>
      </c>
    </row>
    <row r="158" spans="1:2">
      <c r="A158" s="160" t="s">
        <v>553</v>
      </c>
      <c r="B158" s="161">
        <v>2.622699200856707E-5</v>
      </c>
    </row>
    <row r="159" spans="1:2">
      <c r="A159" s="160" t="s">
        <v>1246</v>
      </c>
      <c r="B159" s="161">
        <v>4.0655498401769272E-6</v>
      </c>
    </row>
    <row r="160" spans="1:2">
      <c r="A160" s="162" t="s">
        <v>75</v>
      </c>
      <c r="B160" s="163">
        <v>0.83383783170395076</v>
      </c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2" zoomScaleNormal="100" workbookViewId="0">
      <selection activeCell="G18" sqref="G18:G3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37941962603.830002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1236</v>
      </c>
      <c r="B4" s="13" t="s">
        <v>675</v>
      </c>
      <c r="C4" s="145">
        <v>46156</v>
      </c>
      <c r="D4" s="145" t="s">
        <v>469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13445369</v>
      </c>
      <c r="L4" s="13" t="s">
        <v>117</v>
      </c>
      <c r="M4" s="13" t="s">
        <v>118</v>
      </c>
      <c r="N4" s="145" t="s">
        <v>461</v>
      </c>
      <c r="O4" s="145" t="s">
        <v>461</v>
      </c>
      <c r="P4" s="28">
        <v>38</v>
      </c>
      <c r="Q4" s="13" t="s">
        <v>54</v>
      </c>
      <c r="R4" s="13" t="s">
        <v>28</v>
      </c>
      <c r="S4" s="13"/>
      <c r="T4" s="13"/>
      <c r="U4" s="13" t="s">
        <v>1186</v>
      </c>
      <c r="V4" s="13" t="s">
        <v>1186</v>
      </c>
      <c r="W4" s="60">
        <f>+J4/$W$2</f>
        <v>2.6356043055586595E-4</v>
      </c>
    </row>
    <row r="5" spans="1:29">
      <c r="A5" s="13" t="s">
        <v>714</v>
      </c>
      <c r="B5" s="13" t="s">
        <v>675</v>
      </c>
      <c r="C5" s="145">
        <v>46156</v>
      </c>
      <c r="D5" s="145" t="s">
        <v>469</v>
      </c>
      <c r="E5" s="28">
        <v>1</v>
      </c>
      <c r="F5" s="13"/>
      <c r="G5" s="18">
        <v>2601958.11</v>
      </c>
      <c r="H5" s="18">
        <v>2601958.11</v>
      </c>
      <c r="I5" s="18">
        <v>2601958.11</v>
      </c>
      <c r="J5" s="18">
        <v>2601958.11</v>
      </c>
      <c r="K5" s="15">
        <v>123113</v>
      </c>
      <c r="L5" s="13" t="s">
        <v>117</v>
      </c>
      <c r="M5" s="13" t="s">
        <v>118</v>
      </c>
      <c r="N5" s="145" t="s">
        <v>206</v>
      </c>
      <c r="O5" s="145" t="s">
        <v>206</v>
      </c>
      <c r="P5" s="28">
        <v>43</v>
      </c>
      <c r="Q5" s="13" t="s">
        <v>54</v>
      </c>
      <c r="R5" s="13" t="s">
        <v>28</v>
      </c>
      <c r="S5" s="13"/>
      <c r="T5" s="13"/>
      <c r="U5" s="13" t="s">
        <v>696</v>
      </c>
      <c r="V5" s="13" t="s">
        <v>696</v>
      </c>
      <c r="W5" s="60">
        <f>+J5/$W$2</f>
        <v>6.8577319975992714E-5</v>
      </c>
    </row>
    <row r="6" spans="1:29">
      <c r="A6" s="13" t="s">
        <v>787</v>
      </c>
      <c r="B6" s="13" t="s">
        <v>675</v>
      </c>
      <c r="C6" s="145">
        <v>46156</v>
      </c>
      <c r="D6" s="145" t="s">
        <v>469</v>
      </c>
      <c r="E6" s="28">
        <v>1</v>
      </c>
      <c r="F6" s="13"/>
      <c r="G6" s="18">
        <v>2778395.07</v>
      </c>
      <c r="H6" s="18">
        <v>2778395.07</v>
      </c>
      <c r="I6" s="18">
        <v>2778395.07</v>
      </c>
      <c r="J6" s="18">
        <v>2778395.07</v>
      </c>
      <c r="K6" s="15">
        <v>65732098</v>
      </c>
      <c r="L6" s="13" t="s">
        <v>117</v>
      </c>
      <c r="M6" s="13" t="s">
        <v>118</v>
      </c>
      <c r="N6" s="145" t="s">
        <v>387</v>
      </c>
      <c r="O6" s="145" t="s">
        <v>387</v>
      </c>
      <c r="P6" s="28">
        <v>41</v>
      </c>
      <c r="Q6" s="13" t="s">
        <v>54</v>
      </c>
      <c r="R6" s="13" t="s">
        <v>28</v>
      </c>
      <c r="S6" s="13"/>
      <c r="T6" s="13"/>
      <c r="U6" s="13" t="s">
        <v>779</v>
      </c>
      <c r="V6" s="13" t="s">
        <v>779</v>
      </c>
      <c r="W6" s="60">
        <f>+J6/$W$2</f>
        <v>7.3227500090349525E-5</v>
      </c>
    </row>
    <row r="7" spans="1:29">
      <c r="A7" s="13" t="s">
        <v>865</v>
      </c>
      <c r="B7" s="13" t="s">
        <v>675</v>
      </c>
      <c r="C7" s="145">
        <v>46156</v>
      </c>
      <c r="D7" s="145" t="s">
        <v>469</v>
      </c>
      <c r="E7" s="28">
        <v>1</v>
      </c>
      <c r="F7" s="13"/>
      <c r="G7" s="18">
        <v>10000000</v>
      </c>
      <c r="H7" s="18">
        <v>10000000</v>
      </c>
      <c r="I7" s="18">
        <v>10000000</v>
      </c>
      <c r="J7" s="18">
        <v>10000000</v>
      </c>
      <c r="K7" s="15">
        <v>161</v>
      </c>
      <c r="L7" s="13" t="s">
        <v>117</v>
      </c>
      <c r="M7" s="13" t="s">
        <v>118</v>
      </c>
      <c r="N7" s="145" t="s">
        <v>209</v>
      </c>
      <c r="O7" s="145" t="s">
        <v>209</v>
      </c>
      <c r="P7" s="28">
        <v>38</v>
      </c>
      <c r="Q7" s="13" t="s">
        <v>54</v>
      </c>
      <c r="R7" s="13" t="s">
        <v>28</v>
      </c>
      <c r="S7" s="13"/>
      <c r="T7" s="13"/>
      <c r="U7" s="13" t="s">
        <v>841</v>
      </c>
      <c r="V7" s="13" t="s">
        <v>841</v>
      </c>
      <c r="W7" s="60">
        <f>+J7/$W$2</f>
        <v>2.6356043055586595E-4</v>
      </c>
    </row>
    <row r="8" spans="1:29">
      <c r="A8" s="13" t="s">
        <v>444</v>
      </c>
      <c r="B8" s="13" t="s">
        <v>675</v>
      </c>
      <c r="C8" s="145">
        <v>46156</v>
      </c>
      <c r="D8" s="145" t="s">
        <v>469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60524088</v>
      </c>
      <c r="L8" s="13" t="s">
        <v>117</v>
      </c>
      <c r="M8" s="13" t="s">
        <v>118</v>
      </c>
      <c r="N8" s="145" t="s">
        <v>378</v>
      </c>
      <c r="O8" s="145" t="s">
        <v>378</v>
      </c>
      <c r="P8" s="28">
        <v>38</v>
      </c>
      <c r="Q8" s="13" t="s">
        <v>54</v>
      </c>
      <c r="R8" s="13" t="s">
        <v>28</v>
      </c>
      <c r="S8" s="13"/>
      <c r="T8" s="13"/>
      <c r="U8" s="13" t="s">
        <v>727</v>
      </c>
      <c r="V8" s="13" t="s">
        <v>727</v>
      </c>
      <c r="W8" s="60">
        <f>+J8/$W$2</f>
        <v>1.3178021527793297E-4</v>
      </c>
      <c r="AC8" s="57"/>
    </row>
    <row r="9" spans="1:29">
      <c r="A9" s="13" t="s">
        <v>598</v>
      </c>
      <c r="B9" s="13" t="s">
        <v>675</v>
      </c>
      <c r="C9" s="145">
        <v>46156</v>
      </c>
      <c r="D9" s="145" t="s">
        <v>469</v>
      </c>
      <c r="E9" s="28">
        <v>1</v>
      </c>
      <c r="F9" s="13"/>
      <c r="G9" s="18">
        <v>5000000</v>
      </c>
      <c r="H9" s="18">
        <v>5000000</v>
      </c>
      <c r="I9" s="18">
        <v>5000000</v>
      </c>
      <c r="J9" s="18">
        <v>5000000</v>
      </c>
      <c r="K9" s="15">
        <v>2254</v>
      </c>
      <c r="L9" s="13" t="s">
        <v>117</v>
      </c>
      <c r="M9" s="13" t="s">
        <v>118</v>
      </c>
      <c r="N9" s="145" t="s">
        <v>320</v>
      </c>
      <c r="O9" s="145" t="s">
        <v>320</v>
      </c>
      <c r="P9" s="28">
        <v>40</v>
      </c>
      <c r="Q9" s="13" t="s">
        <v>54</v>
      </c>
      <c r="R9" s="13" t="s">
        <v>28</v>
      </c>
      <c r="S9" s="13"/>
      <c r="T9" s="13"/>
      <c r="U9" s="13" t="s">
        <v>595</v>
      </c>
      <c r="V9" s="13" t="s">
        <v>595</v>
      </c>
      <c r="W9" s="60">
        <f>+J9/$W$2</f>
        <v>1.3178021527793297E-4</v>
      </c>
      <c r="AC9" s="57"/>
    </row>
    <row r="10" spans="1:29">
      <c r="A10" s="13" t="s">
        <v>492</v>
      </c>
      <c r="B10" s="13" t="s">
        <v>675</v>
      </c>
      <c r="C10" s="145">
        <v>46156</v>
      </c>
      <c r="D10" s="145" t="s">
        <v>469</v>
      </c>
      <c r="E10" s="28">
        <v>1</v>
      </c>
      <c r="F10" s="13"/>
      <c r="G10" s="18">
        <v>2714500</v>
      </c>
      <c r="H10" s="18">
        <v>2714500</v>
      </c>
      <c r="I10" s="18">
        <v>2714500</v>
      </c>
      <c r="J10" s="18">
        <v>2714500</v>
      </c>
      <c r="K10" s="15">
        <v>8838125</v>
      </c>
      <c r="L10" s="13" t="s">
        <v>117</v>
      </c>
      <c r="M10" s="13" t="s">
        <v>118</v>
      </c>
      <c r="N10" s="145" t="s">
        <v>206</v>
      </c>
      <c r="O10" s="145" t="s">
        <v>206</v>
      </c>
      <c r="P10" s="28">
        <v>43</v>
      </c>
      <c r="Q10" s="13" t="s">
        <v>54</v>
      </c>
      <c r="R10" s="13" t="s">
        <v>28</v>
      </c>
      <c r="S10" s="13"/>
      <c r="T10" s="13"/>
      <c r="U10" s="13" t="s">
        <v>703</v>
      </c>
      <c r="V10" s="13" t="s">
        <v>703</v>
      </c>
      <c r="W10" s="60">
        <f>+J10/$W$2</f>
        <v>7.1543478874389811E-5</v>
      </c>
    </row>
    <row r="11" spans="1:29">
      <c r="A11" s="13" t="s">
        <v>203</v>
      </c>
      <c r="B11" s="13" t="s">
        <v>675</v>
      </c>
      <c r="C11" s="145">
        <v>46156</v>
      </c>
      <c r="D11" s="145" t="s">
        <v>469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90033755</v>
      </c>
      <c r="L11" s="13" t="s">
        <v>117</v>
      </c>
      <c r="M11" s="13" t="s">
        <v>118</v>
      </c>
      <c r="N11" s="145" t="s">
        <v>277</v>
      </c>
      <c r="O11" s="145" t="s">
        <v>277</v>
      </c>
      <c r="P11" s="28">
        <v>37</v>
      </c>
      <c r="Q11" s="13" t="s">
        <v>54</v>
      </c>
      <c r="R11" s="13" t="s">
        <v>28</v>
      </c>
      <c r="S11" s="13"/>
      <c r="T11" s="13"/>
      <c r="U11" s="13" t="s">
        <v>468</v>
      </c>
      <c r="V11" s="13" t="s">
        <v>468</v>
      </c>
      <c r="W11" s="60">
        <f>+J11/$W$2</f>
        <v>2.6356043055586595E-4</v>
      </c>
      <c r="AC11" s="57"/>
    </row>
    <row r="12" spans="1:29">
      <c r="A12" s="13" t="s">
        <v>550</v>
      </c>
      <c r="B12" s="13" t="s">
        <v>675</v>
      </c>
      <c r="C12" s="145">
        <v>46156</v>
      </c>
      <c r="D12" s="145" t="s">
        <v>469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13237773</v>
      </c>
      <c r="L12" s="13" t="s">
        <v>117</v>
      </c>
      <c r="M12" s="13" t="s">
        <v>118</v>
      </c>
      <c r="N12" s="145" t="s">
        <v>208</v>
      </c>
      <c r="O12" s="145" t="s">
        <v>208</v>
      </c>
      <c r="P12" s="28">
        <v>43</v>
      </c>
      <c r="Q12" s="13" t="s">
        <v>54</v>
      </c>
      <c r="R12" s="13" t="s">
        <v>28</v>
      </c>
      <c r="S12" s="13"/>
      <c r="T12" s="13"/>
      <c r="U12" s="13" t="s">
        <v>585</v>
      </c>
      <c r="V12" s="13" t="s">
        <v>585</v>
      </c>
      <c r="W12" s="60">
        <f>+J12/$W$2</f>
        <v>5.271208611117319E-4</v>
      </c>
    </row>
    <row r="13" spans="1:29">
      <c r="A13" s="13" t="s">
        <v>1101</v>
      </c>
      <c r="B13" s="13" t="s">
        <v>675</v>
      </c>
      <c r="C13" s="145">
        <v>46156</v>
      </c>
      <c r="D13" s="145" t="s">
        <v>469</v>
      </c>
      <c r="E13" s="28">
        <v>1</v>
      </c>
      <c r="F13" s="13"/>
      <c r="G13" s="18">
        <v>1221790.28</v>
      </c>
      <c r="H13" s="18">
        <v>1221790.28</v>
      </c>
      <c r="I13" s="18">
        <v>1221790.28</v>
      </c>
      <c r="J13" s="18">
        <v>1221790.28</v>
      </c>
      <c r="K13" s="15">
        <v>5719</v>
      </c>
      <c r="L13" s="13" t="s">
        <v>117</v>
      </c>
      <c r="M13" s="13" t="s">
        <v>118</v>
      </c>
      <c r="N13" s="145" t="s">
        <v>461</v>
      </c>
      <c r="O13" s="145" t="s">
        <v>461</v>
      </c>
      <c r="P13" s="28">
        <v>25</v>
      </c>
      <c r="Q13" s="13" t="s">
        <v>54</v>
      </c>
      <c r="R13" s="13" t="s">
        <v>28</v>
      </c>
      <c r="S13" s="13"/>
      <c r="T13" s="13"/>
      <c r="U13" s="13" t="s">
        <v>1132</v>
      </c>
      <c r="V13" s="13" t="s">
        <v>1132</v>
      </c>
      <c r="W13" s="60">
        <f>+J13/$W$2</f>
        <v>3.2201557224577202E-5</v>
      </c>
    </row>
    <row r="14" spans="1:29">
      <c r="A14" s="13" t="s">
        <v>1101</v>
      </c>
      <c r="B14" s="13" t="s">
        <v>675</v>
      </c>
      <c r="C14" s="145">
        <v>46156</v>
      </c>
      <c r="D14" s="145" t="s">
        <v>469</v>
      </c>
      <c r="E14" s="28">
        <v>1</v>
      </c>
      <c r="F14" s="13"/>
      <c r="G14" s="18">
        <v>2048050</v>
      </c>
      <c r="H14" s="18">
        <v>2048050</v>
      </c>
      <c r="I14" s="18">
        <v>2048050</v>
      </c>
      <c r="J14" s="18">
        <v>2048050</v>
      </c>
      <c r="K14" s="15">
        <v>2286</v>
      </c>
      <c r="L14" s="13" t="s">
        <v>117</v>
      </c>
      <c r="M14" s="13" t="s">
        <v>118</v>
      </c>
      <c r="N14" s="145" t="s">
        <v>461</v>
      </c>
      <c r="O14" s="145" t="s">
        <v>461</v>
      </c>
      <c r="P14" s="28">
        <v>25</v>
      </c>
      <c r="Q14" s="13" t="s">
        <v>54</v>
      </c>
      <c r="R14" s="13" t="s">
        <v>28</v>
      </c>
      <c r="S14" s="13"/>
      <c r="T14" s="13"/>
      <c r="U14" s="13" t="s">
        <v>1133</v>
      </c>
      <c r="V14" s="13" t="s">
        <v>1133</v>
      </c>
      <c r="W14" s="60">
        <f>+J14/$W$2</f>
        <v>5.3978493979994127E-5</v>
      </c>
    </row>
    <row r="15" spans="1:29">
      <c r="A15" s="13" t="s">
        <v>716</v>
      </c>
      <c r="B15" s="13" t="s">
        <v>675</v>
      </c>
      <c r="C15" s="145">
        <v>46156</v>
      </c>
      <c r="D15" s="145" t="s">
        <v>469</v>
      </c>
      <c r="E15" s="28">
        <v>1</v>
      </c>
      <c r="F15" s="13"/>
      <c r="G15" s="18">
        <v>86320023.799999997</v>
      </c>
      <c r="H15" s="18">
        <v>86320023.799999997</v>
      </c>
      <c r="I15" s="18">
        <v>86320023.799999997</v>
      </c>
      <c r="J15" s="18">
        <v>86320023.799999997</v>
      </c>
      <c r="K15" s="15">
        <v>304510</v>
      </c>
      <c r="L15" s="13" t="s">
        <v>117</v>
      </c>
      <c r="M15" s="13" t="s">
        <v>118</v>
      </c>
      <c r="N15" s="145" t="s">
        <v>206</v>
      </c>
      <c r="O15" s="145" t="s">
        <v>206</v>
      </c>
      <c r="P15" s="28">
        <v>43</v>
      </c>
      <c r="Q15" s="13" t="s">
        <v>54</v>
      </c>
      <c r="R15" s="13" t="s">
        <v>28</v>
      </c>
      <c r="S15" s="13"/>
      <c r="T15" s="13"/>
      <c r="U15" s="13" t="s">
        <v>706</v>
      </c>
      <c r="V15" s="13" t="s">
        <v>706</v>
      </c>
      <c r="W15" s="60">
        <f>+J15/$W$2</f>
        <v>2.2750542638320594E-3</v>
      </c>
    </row>
    <row r="16" spans="1:29">
      <c r="A16" s="13" t="s">
        <v>550</v>
      </c>
      <c r="B16" s="13" t="s">
        <v>675</v>
      </c>
      <c r="C16" s="145">
        <v>46156</v>
      </c>
      <c r="D16" s="145" t="s">
        <v>469</v>
      </c>
      <c r="E16" s="28">
        <v>1</v>
      </c>
      <c r="F16" s="13"/>
      <c r="G16" s="18">
        <v>15000000</v>
      </c>
      <c r="H16" s="18">
        <v>15000000</v>
      </c>
      <c r="I16" s="18">
        <v>15000000</v>
      </c>
      <c r="J16" s="18">
        <v>15000000</v>
      </c>
      <c r="K16" s="15">
        <v>13237795</v>
      </c>
      <c r="L16" s="13" t="s">
        <v>117</v>
      </c>
      <c r="M16" s="13" t="s">
        <v>118</v>
      </c>
      <c r="N16" s="145" t="s">
        <v>304</v>
      </c>
      <c r="O16" s="145" t="s">
        <v>304</v>
      </c>
      <c r="P16" s="28">
        <v>43</v>
      </c>
      <c r="Q16" s="13" t="s">
        <v>54</v>
      </c>
      <c r="R16" s="13" t="s">
        <v>28</v>
      </c>
      <c r="S16" s="13"/>
      <c r="T16" s="13"/>
      <c r="U16" s="13" t="s">
        <v>635</v>
      </c>
      <c r="V16" s="13" t="s">
        <v>635</v>
      </c>
      <c r="W16" s="60">
        <f>+J16/$W$2</f>
        <v>3.9534064583379892E-4</v>
      </c>
      <c r="AC16" s="57"/>
    </row>
    <row r="17" spans="1:29">
      <c r="A17" s="13" t="s">
        <v>471</v>
      </c>
      <c r="B17" s="13" t="s">
        <v>675</v>
      </c>
      <c r="C17" s="145">
        <v>46156</v>
      </c>
      <c r="D17" s="145" t="s">
        <v>469</v>
      </c>
      <c r="E17" s="28">
        <v>1</v>
      </c>
      <c r="F17" s="13"/>
      <c r="G17" s="18">
        <v>100000000</v>
      </c>
      <c r="H17" s="18">
        <v>100000000</v>
      </c>
      <c r="I17" s="18">
        <v>100000000</v>
      </c>
      <c r="J17" s="18">
        <v>100000000</v>
      </c>
      <c r="K17" s="15">
        <v>16751392</v>
      </c>
      <c r="L17" s="13" t="s">
        <v>117</v>
      </c>
      <c r="M17" s="13" t="s">
        <v>118</v>
      </c>
      <c r="N17" s="145" t="s">
        <v>425</v>
      </c>
      <c r="O17" s="145" t="s">
        <v>425</v>
      </c>
      <c r="P17" s="28">
        <v>37</v>
      </c>
      <c r="Q17" s="13" t="s">
        <v>54</v>
      </c>
      <c r="R17" s="13" t="s">
        <v>28</v>
      </c>
      <c r="S17" s="13"/>
      <c r="T17" s="13"/>
      <c r="U17" s="13" t="s">
        <v>980</v>
      </c>
      <c r="V17" s="13" t="s">
        <v>980</v>
      </c>
      <c r="W17" s="60">
        <f>+J17/$W$2</f>
        <v>2.6356043055586597E-3</v>
      </c>
    </row>
    <row r="18" spans="1:29">
      <c r="A18" s="13" t="s">
        <v>1237</v>
      </c>
      <c r="B18" s="13" t="s">
        <v>675</v>
      </c>
      <c r="C18" s="145">
        <v>46157</v>
      </c>
      <c r="D18" s="145" t="s">
        <v>469</v>
      </c>
      <c r="E18" s="28">
        <v>0.99895999000000002</v>
      </c>
      <c r="F18" s="13"/>
      <c r="G18" s="18">
        <v>4659946.24</v>
      </c>
      <c r="H18" s="18">
        <v>4655099.8499999996</v>
      </c>
      <c r="I18" s="18">
        <v>4659946.24</v>
      </c>
      <c r="J18" s="18">
        <v>4655099.8499999996</v>
      </c>
      <c r="K18" s="15">
        <v>65749877</v>
      </c>
      <c r="L18" s="13" t="s">
        <v>117</v>
      </c>
      <c r="M18" s="13" t="s">
        <v>118</v>
      </c>
      <c r="N18" s="145" t="s">
        <v>461</v>
      </c>
      <c r="O18" s="145" t="s">
        <v>461</v>
      </c>
      <c r="P18" s="28">
        <v>38</v>
      </c>
      <c r="Q18" s="13" t="s">
        <v>54</v>
      </c>
      <c r="R18" s="13" t="s">
        <v>28</v>
      </c>
      <c r="S18" s="13"/>
      <c r="T18" s="13"/>
      <c r="U18" s="13" t="s">
        <v>1184</v>
      </c>
      <c r="V18" s="13" t="s">
        <v>1184</v>
      </c>
      <c r="W18" s="60">
        <f>+J18/$W$2</f>
        <v>1.2269001207465468E-4</v>
      </c>
    </row>
    <row r="19" spans="1:29">
      <c r="A19" s="13" t="s">
        <v>1238</v>
      </c>
      <c r="B19" s="13" t="s">
        <v>675</v>
      </c>
      <c r="C19" s="145">
        <v>46157</v>
      </c>
      <c r="D19" s="145" t="s">
        <v>469</v>
      </c>
      <c r="E19" s="28">
        <v>0.99895999000000002</v>
      </c>
      <c r="F19" s="13"/>
      <c r="G19" s="18">
        <v>1027126</v>
      </c>
      <c r="H19" s="18">
        <v>1026057.78</v>
      </c>
      <c r="I19" s="18">
        <v>1027126</v>
      </c>
      <c r="J19" s="18">
        <v>1026057.78</v>
      </c>
      <c r="K19" s="15">
        <v>110</v>
      </c>
      <c r="L19" s="13" t="s">
        <v>117</v>
      </c>
      <c r="M19" s="13" t="s">
        <v>118</v>
      </c>
      <c r="N19" s="145" t="s">
        <v>461</v>
      </c>
      <c r="O19" s="145" t="s">
        <v>461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1183</v>
      </c>
      <c r="V19" s="13" t="s">
        <v>1183</v>
      </c>
      <c r="W19" s="60">
        <f>+J19/$W$2</f>
        <v>2.7042823027199598E-5</v>
      </c>
    </row>
    <row r="20" spans="1:29">
      <c r="A20" s="13" t="s">
        <v>1239</v>
      </c>
      <c r="B20" s="13" t="s">
        <v>675</v>
      </c>
      <c r="C20" s="145">
        <v>46157</v>
      </c>
      <c r="D20" s="145" t="s">
        <v>469</v>
      </c>
      <c r="E20" s="28">
        <v>0.99895999000000002</v>
      </c>
      <c r="F20" s="13"/>
      <c r="G20" s="18">
        <v>2075465.9</v>
      </c>
      <c r="H20" s="18">
        <v>2073307.4</v>
      </c>
      <c r="I20" s="18">
        <v>2075465.9</v>
      </c>
      <c r="J20" s="18">
        <v>2073307.4</v>
      </c>
      <c r="K20" s="15">
        <v>145</v>
      </c>
      <c r="L20" s="13" t="s">
        <v>117</v>
      </c>
      <c r="M20" s="13" t="s">
        <v>118</v>
      </c>
      <c r="N20" s="145" t="s">
        <v>461</v>
      </c>
      <c r="O20" s="145" t="s">
        <v>461</v>
      </c>
      <c r="P20" s="28">
        <v>38</v>
      </c>
      <c r="Q20" s="13" t="s">
        <v>54</v>
      </c>
      <c r="R20" s="13" t="s">
        <v>28</v>
      </c>
      <c r="S20" s="13"/>
      <c r="T20" s="13"/>
      <c r="U20" s="13" t="s">
        <v>1182</v>
      </c>
      <c r="V20" s="13" t="s">
        <v>1182</v>
      </c>
      <c r="W20" s="60">
        <f>+J20/$W$2</f>
        <v>5.4644179101866293E-5</v>
      </c>
    </row>
    <row r="21" spans="1:29">
      <c r="A21" s="13" t="s">
        <v>1240</v>
      </c>
      <c r="B21" s="13" t="s">
        <v>675</v>
      </c>
      <c r="C21" s="145">
        <v>46157</v>
      </c>
      <c r="D21" s="145" t="s">
        <v>469</v>
      </c>
      <c r="E21" s="28">
        <v>0.99895999000000002</v>
      </c>
      <c r="F21" s="13"/>
      <c r="G21" s="18">
        <v>1288000</v>
      </c>
      <c r="H21" s="18">
        <v>1286660.47</v>
      </c>
      <c r="I21" s="18">
        <v>1288000</v>
      </c>
      <c r="J21" s="18">
        <v>1286660.47</v>
      </c>
      <c r="K21" s="15">
        <v>11172110</v>
      </c>
      <c r="L21" s="13" t="s">
        <v>117</v>
      </c>
      <c r="M21" s="13" t="s">
        <v>118</v>
      </c>
      <c r="N21" s="145" t="s">
        <v>461</v>
      </c>
      <c r="O21" s="145" t="s">
        <v>461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1181</v>
      </c>
      <c r="V21" s="13" t="s">
        <v>1181</v>
      </c>
      <c r="W21" s="60">
        <f>+J21/$W$2</f>
        <v>3.3911278745241286E-5</v>
      </c>
    </row>
    <row r="22" spans="1:29">
      <c r="A22" s="13" t="s">
        <v>1243</v>
      </c>
      <c r="B22" s="13" t="s">
        <v>675</v>
      </c>
      <c r="C22" s="145">
        <v>46157</v>
      </c>
      <c r="D22" s="145" t="s">
        <v>469</v>
      </c>
      <c r="E22" s="28">
        <v>0.99895999000000002</v>
      </c>
      <c r="F22" s="13"/>
      <c r="G22" s="18">
        <v>2515339.61</v>
      </c>
      <c r="H22" s="18">
        <v>2512723.63</v>
      </c>
      <c r="I22" s="18">
        <v>2515339.61</v>
      </c>
      <c r="J22" s="18">
        <v>2512723.63</v>
      </c>
      <c r="K22" s="15">
        <v>236</v>
      </c>
      <c r="L22" s="13" t="s">
        <v>117</v>
      </c>
      <c r="M22" s="13" t="s">
        <v>118</v>
      </c>
      <c r="N22" s="145" t="s">
        <v>461</v>
      </c>
      <c r="O22" s="145" t="s">
        <v>461</v>
      </c>
      <c r="P22" s="28">
        <v>38</v>
      </c>
      <c r="Q22" s="13" t="s">
        <v>54</v>
      </c>
      <c r="R22" s="13" t="s">
        <v>28</v>
      </c>
      <c r="S22" s="13"/>
      <c r="T22" s="13"/>
      <c r="U22" s="13" t="s">
        <v>1176</v>
      </c>
      <c r="V22" s="13" t="s">
        <v>1176</v>
      </c>
      <c r="W22" s="60">
        <f>+J22/$W$2</f>
        <v>6.6225452179069833E-5</v>
      </c>
    </row>
    <row r="23" spans="1:29">
      <c r="A23" s="13" t="s">
        <v>1245</v>
      </c>
      <c r="B23" s="13" t="s">
        <v>675</v>
      </c>
      <c r="C23" s="145">
        <v>46157</v>
      </c>
      <c r="D23" s="145" t="s">
        <v>469</v>
      </c>
      <c r="E23" s="28">
        <v>0.99895999000000002</v>
      </c>
      <c r="F23" s="13"/>
      <c r="G23" s="18">
        <v>2506949.71</v>
      </c>
      <c r="H23" s="18">
        <v>2504342.46</v>
      </c>
      <c r="I23" s="18">
        <v>2506949.71</v>
      </c>
      <c r="J23" s="18">
        <v>2504342.46</v>
      </c>
      <c r="K23" s="15">
        <v>11217706</v>
      </c>
      <c r="L23" s="13" t="s">
        <v>117</v>
      </c>
      <c r="M23" s="13" t="s">
        <v>118</v>
      </c>
      <c r="N23" s="145" t="s">
        <v>461</v>
      </c>
      <c r="O23" s="145" t="s">
        <v>461</v>
      </c>
      <c r="P23" s="28">
        <v>38</v>
      </c>
      <c r="Q23" s="13" t="s">
        <v>54</v>
      </c>
      <c r="R23" s="13" t="s">
        <v>28</v>
      </c>
      <c r="S23" s="13"/>
      <c r="T23" s="13"/>
      <c r="U23" s="13" t="s">
        <v>1174</v>
      </c>
      <c r="V23" s="13" t="s">
        <v>1174</v>
      </c>
      <c r="W23" s="60">
        <f>+J23/$W$2</f>
        <v>6.6004557701693651E-5</v>
      </c>
    </row>
    <row r="24" spans="1:29">
      <c r="A24" s="13" t="s">
        <v>1246</v>
      </c>
      <c r="B24" s="13" t="s">
        <v>675</v>
      </c>
      <c r="C24" s="145">
        <v>46157</v>
      </c>
      <c r="D24" s="145" t="s">
        <v>469</v>
      </c>
      <c r="E24" s="28">
        <v>0.99895999999999996</v>
      </c>
      <c r="F24" s="13"/>
      <c r="G24" s="18">
        <v>154415.53</v>
      </c>
      <c r="H24" s="18">
        <v>154254.94</v>
      </c>
      <c r="I24" s="18">
        <v>154415.53</v>
      </c>
      <c r="J24" s="18">
        <v>154254.94</v>
      </c>
      <c r="K24" s="15">
        <v>65663385</v>
      </c>
      <c r="L24" s="13" t="s">
        <v>117</v>
      </c>
      <c r="M24" s="13" t="s">
        <v>118</v>
      </c>
      <c r="N24" s="145" t="s">
        <v>461</v>
      </c>
      <c r="O24" s="145" t="s">
        <v>461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1173</v>
      </c>
      <c r="V24" s="13" t="s">
        <v>1173</v>
      </c>
      <c r="W24" s="60">
        <f>+J24/$W$2</f>
        <v>4.0655498401769272E-6</v>
      </c>
    </row>
    <row r="25" spans="1:29">
      <c r="A25" s="13" t="s">
        <v>1247</v>
      </c>
      <c r="B25" s="13" t="s">
        <v>675</v>
      </c>
      <c r="C25" s="145">
        <v>46157</v>
      </c>
      <c r="D25" s="145" t="s">
        <v>469</v>
      </c>
      <c r="E25" s="28">
        <v>0.99895999000000002</v>
      </c>
      <c r="F25" s="13"/>
      <c r="G25" s="18">
        <v>1155861.44</v>
      </c>
      <c r="H25" s="18">
        <v>1154659.3400000001</v>
      </c>
      <c r="I25" s="18">
        <v>1155861.44</v>
      </c>
      <c r="J25" s="18">
        <v>1154659.3400000001</v>
      </c>
      <c r="K25" s="15">
        <v>13957</v>
      </c>
      <c r="L25" s="13" t="s">
        <v>117</v>
      </c>
      <c r="M25" s="13" t="s">
        <v>118</v>
      </c>
      <c r="N25" s="145" t="s">
        <v>461</v>
      </c>
      <c r="O25" s="145" t="s">
        <v>461</v>
      </c>
      <c r="P25" s="28">
        <v>38</v>
      </c>
      <c r="Q25" s="13" t="s">
        <v>54</v>
      </c>
      <c r="R25" s="13" t="s">
        <v>28</v>
      </c>
      <c r="S25" s="13"/>
      <c r="T25" s="13"/>
      <c r="U25" s="13" t="s">
        <v>1172</v>
      </c>
      <c r="V25" s="13" t="s">
        <v>1172</v>
      </c>
      <c r="W25" s="60">
        <f>+J25/$W$2</f>
        <v>3.0432251279575204E-5</v>
      </c>
    </row>
    <row r="26" spans="1:29">
      <c r="A26" s="13" t="s">
        <v>865</v>
      </c>
      <c r="B26" s="13" t="s">
        <v>675</v>
      </c>
      <c r="C26" s="145">
        <v>46157</v>
      </c>
      <c r="D26" s="145" t="s">
        <v>469</v>
      </c>
      <c r="E26" s="28">
        <v>0.99895999000000002</v>
      </c>
      <c r="F26" s="13"/>
      <c r="G26" s="18">
        <v>10000000</v>
      </c>
      <c r="H26" s="18">
        <v>9989599.9299999997</v>
      </c>
      <c r="I26" s="18">
        <v>10000000</v>
      </c>
      <c r="J26" s="18">
        <v>9989599.9299999997</v>
      </c>
      <c r="K26" s="15">
        <v>162</v>
      </c>
      <c r="L26" s="13" t="s">
        <v>117</v>
      </c>
      <c r="M26" s="13" t="s">
        <v>118</v>
      </c>
      <c r="N26" s="145" t="s">
        <v>209</v>
      </c>
      <c r="O26" s="145" t="s">
        <v>209</v>
      </c>
      <c r="P26" s="28">
        <v>38</v>
      </c>
      <c r="Q26" s="13" t="s">
        <v>54</v>
      </c>
      <c r="R26" s="13" t="s">
        <v>28</v>
      </c>
      <c r="S26" s="13"/>
      <c r="T26" s="13"/>
      <c r="U26" s="13" t="s">
        <v>842</v>
      </c>
      <c r="V26" s="13" t="s">
        <v>842</v>
      </c>
      <c r="W26" s="60">
        <f>+J26/$W$2</f>
        <v>2.6328632586316485E-4</v>
      </c>
    </row>
    <row r="27" spans="1:29">
      <c r="A27" s="13" t="s">
        <v>525</v>
      </c>
      <c r="B27" s="13" t="s">
        <v>675</v>
      </c>
      <c r="C27" s="145">
        <v>46157</v>
      </c>
      <c r="D27" s="145" t="s">
        <v>469</v>
      </c>
      <c r="E27" s="28">
        <v>0.99882331000000002</v>
      </c>
      <c r="F27" s="13"/>
      <c r="G27" s="18">
        <v>3751833.44</v>
      </c>
      <c r="H27" s="18">
        <v>3747418.7</v>
      </c>
      <c r="I27" s="18">
        <v>3751833.44</v>
      </c>
      <c r="J27" s="18">
        <v>3747418.7</v>
      </c>
      <c r="K27" s="15">
        <v>9138442</v>
      </c>
      <c r="L27" s="13" t="s">
        <v>117</v>
      </c>
      <c r="M27" s="13" t="s">
        <v>118</v>
      </c>
      <c r="N27" s="145" t="s">
        <v>206</v>
      </c>
      <c r="O27" s="145" t="s">
        <v>206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681</v>
      </c>
      <c r="V27" s="13" t="s">
        <v>681</v>
      </c>
      <c r="W27" s="60">
        <f>+J27/$W$2</f>
        <v>9.8767128604510353E-5</v>
      </c>
    </row>
    <row r="28" spans="1:29">
      <c r="A28" s="13" t="s">
        <v>493</v>
      </c>
      <c r="B28" s="13" t="s">
        <v>675</v>
      </c>
      <c r="C28" s="145">
        <v>46157</v>
      </c>
      <c r="D28" s="145" t="s">
        <v>469</v>
      </c>
      <c r="E28" s="28">
        <v>0.99882331000000002</v>
      </c>
      <c r="F28" s="13"/>
      <c r="G28" s="18">
        <v>2000000</v>
      </c>
      <c r="H28" s="18">
        <v>1997646.62</v>
      </c>
      <c r="I28" s="18">
        <v>2000000</v>
      </c>
      <c r="J28" s="18">
        <v>1997646.62</v>
      </c>
      <c r="K28" s="15">
        <v>1146</v>
      </c>
      <c r="L28" s="13" t="s">
        <v>117</v>
      </c>
      <c r="M28" s="13" t="s">
        <v>118</v>
      </c>
      <c r="N28" s="145" t="s">
        <v>206</v>
      </c>
      <c r="O28" s="145" t="s">
        <v>206</v>
      </c>
      <c r="P28" s="28">
        <v>43</v>
      </c>
      <c r="Q28" s="13" t="s">
        <v>54</v>
      </c>
      <c r="R28" s="13" t="s">
        <v>28</v>
      </c>
      <c r="S28" s="13"/>
      <c r="T28" s="13"/>
      <c r="U28" s="13" t="s">
        <v>709</v>
      </c>
      <c r="V28" s="13" t="s">
        <v>709</v>
      </c>
      <c r="W28" s="60">
        <f>+J28/$W$2</f>
        <v>5.2650060326567037E-5</v>
      </c>
    </row>
    <row r="29" spans="1:29">
      <c r="A29" s="13" t="s">
        <v>376</v>
      </c>
      <c r="B29" s="13" t="s">
        <v>675</v>
      </c>
      <c r="C29" s="145">
        <v>46157</v>
      </c>
      <c r="D29" s="145" t="s">
        <v>469</v>
      </c>
      <c r="E29" s="28">
        <v>0.99885064000000001</v>
      </c>
      <c r="F29" s="13"/>
      <c r="G29" s="18">
        <v>15000000</v>
      </c>
      <c r="H29" s="18">
        <v>14982759.66</v>
      </c>
      <c r="I29" s="18">
        <v>15000000</v>
      </c>
      <c r="J29" s="18">
        <v>14982759.66</v>
      </c>
      <c r="K29" s="15">
        <v>13180394</v>
      </c>
      <c r="L29" s="13" t="s">
        <v>117</v>
      </c>
      <c r="M29" s="13" t="s">
        <v>118</v>
      </c>
      <c r="N29" s="145" t="s">
        <v>389</v>
      </c>
      <c r="O29" s="145" t="s">
        <v>389</v>
      </c>
      <c r="P29" s="28">
        <v>42</v>
      </c>
      <c r="Q29" s="13" t="s">
        <v>54</v>
      </c>
      <c r="R29" s="13" t="s">
        <v>28</v>
      </c>
      <c r="S29" s="13"/>
      <c r="T29" s="13"/>
      <c r="U29" s="13" t="s">
        <v>956</v>
      </c>
      <c r="V29" s="13" t="s">
        <v>956</v>
      </c>
      <c r="W29" s="60">
        <f>+J29/$W$2</f>
        <v>3.9488625869046597E-4</v>
      </c>
    </row>
    <row r="30" spans="1:29">
      <c r="A30" s="13" t="s">
        <v>550</v>
      </c>
      <c r="B30" s="13" t="s">
        <v>675</v>
      </c>
      <c r="C30" s="145">
        <v>46157</v>
      </c>
      <c r="D30" s="145" t="s">
        <v>469</v>
      </c>
      <c r="E30" s="28">
        <v>0.99882329999999997</v>
      </c>
      <c r="F30" s="13"/>
      <c r="G30" s="18">
        <v>20000000</v>
      </c>
      <c r="H30" s="18">
        <v>19976466.079999998</v>
      </c>
      <c r="I30" s="18">
        <v>20000000</v>
      </c>
      <c r="J30" s="18">
        <v>19976466.079999998</v>
      </c>
      <c r="K30" s="15">
        <v>13237774</v>
      </c>
      <c r="L30" s="13" t="s">
        <v>117</v>
      </c>
      <c r="M30" s="13" t="s">
        <v>118</v>
      </c>
      <c r="N30" s="145" t="s">
        <v>208</v>
      </c>
      <c r="O30" s="145" t="s">
        <v>208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586</v>
      </c>
      <c r="V30" s="13" t="s">
        <v>586</v>
      </c>
      <c r="W30" s="60">
        <f>+J30/$W$2</f>
        <v>5.2650060010294515E-4</v>
      </c>
    </row>
    <row r="31" spans="1:29">
      <c r="A31" s="13" t="s">
        <v>1101</v>
      </c>
      <c r="B31" s="13" t="s">
        <v>675</v>
      </c>
      <c r="C31" s="145">
        <v>46157</v>
      </c>
      <c r="D31" s="145" t="s">
        <v>469</v>
      </c>
      <c r="E31" s="28">
        <v>0.99931554</v>
      </c>
      <c r="F31" s="13"/>
      <c r="G31" s="18">
        <v>2048050</v>
      </c>
      <c r="H31" s="18">
        <v>2046648.2</v>
      </c>
      <c r="I31" s="18">
        <v>2048050</v>
      </c>
      <c r="J31" s="18">
        <v>2046648.2</v>
      </c>
      <c r="K31" s="15">
        <v>2288</v>
      </c>
      <c r="L31" s="13" t="s">
        <v>117</v>
      </c>
      <c r="M31" s="13" t="s">
        <v>118</v>
      </c>
      <c r="N31" s="145" t="s">
        <v>461</v>
      </c>
      <c r="O31" s="145" t="s">
        <v>461</v>
      </c>
      <c r="P31" s="28">
        <v>25</v>
      </c>
      <c r="Q31" s="13" t="s">
        <v>54</v>
      </c>
      <c r="R31" s="13" t="s">
        <v>28</v>
      </c>
      <c r="S31" s="13"/>
      <c r="T31" s="13"/>
      <c r="U31" s="13" t="s">
        <v>1134</v>
      </c>
      <c r="V31" s="13" t="s">
        <v>1134</v>
      </c>
      <c r="W31" s="60">
        <f>+J31/$W$2</f>
        <v>5.3941548078838801E-5</v>
      </c>
    </row>
    <row r="32" spans="1:29">
      <c r="A32" s="13" t="s">
        <v>550</v>
      </c>
      <c r="B32" s="13" t="s">
        <v>675</v>
      </c>
      <c r="C32" s="145">
        <v>46157</v>
      </c>
      <c r="D32" s="145" t="s">
        <v>469</v>
      </c>
      <c r="E32" s="28">
        <v>0.99882331000000002</v>
      </c>
      <c r="F32" s="13"/>
      <c r="G32" s="18">
        <v>15000000</v>
      </c>
      <c r="H32" s="18">
        <v>14982349.58</v>
      </c>
      <c r="I32" s="18">
        <v>15000000</v>
      </c>
      <c r="J32" s="18">
        <v>14982349.58</v>
      </c>
      <c r="K32" s="15">
        <v>13237796</v>
      </c>
      <c r="L32" s="13" t="s">
        <v>117</v>
      </c>
      <c r="M32" s="13" t="s">
        <v>118</v>
      </c>
      <c r="N32" s="145" t="s">
        <v>304</v>
      </c>
      <c r="O32" s="145" t="s">
        <v>304</v>
      </c>
      <c r="P32" s="28">
        <v>43</v>
      </c>
      <c r="Q32" s="13" t="s">
        <v>54</v>
      </c>
      <c r="R32" s="13" t="s">
        <v>28</v>
      </c>
      <c r="S32" s="13"/>
      <c r="T32" s="13"/>
      <c r="U32" s="13" t="s">
        <v>639</v>
      </c>
      <c r="V32" s="13" t="s">
        <v>639</v>
      </c>
      <c r="W32" s="60">
        <f>+J32/$W$2</f>
        <v>3.9487545060432972E-4</v>
      </c>
      <c r="AC32" s="57"/>
    </row>
    <row r="33" spans="1:23">
      <c r="A33" s="13" t="s">
        <v>864</v>
      </c>
      <c r="B33" s="13" t="s">
        <v>675</v>
      </c>
      <c r="C33" s="145">
        <v>46157</v>
      </c>
      <c r="D33" s="145" t="s">
        <v>469</v>
      </c>
      <c r="E33" s="28">
        <v>0.99895999000000002</v>
      </c>
      <c r="F33" s="13"/>
      <c r="G33" s="18">
        <v>100000000</v>
      </c>
      <c r="H33" s="18">
        <v>99895998.959999993</v>
      </c>
      <c r="I33" s="18">
        <v>100000000</v>
      </c>
      <c r="J33" s="18">
        <v>99895998.959999993</v>
      </c>
      <c r="K33" s="15">
        <v>2596</v>
      </c>
      <c r="L33" s="13" t="s">
        <v>117</v>
      </c>
      <c r="M33" s="13" t="s">
        <v>118</v>
      </c>
      <c r="N33" s="145" t="s">
        <v>386</v>
      </c>
      <c r="O33" s="145" t="s">
        <v>386</v>
      </c>
      <c r="P33" s="28">
        <v>38</v>
      </c>
      <c r="Q33" s="13" t="s">
        <v>54</v>
      </c>
      <c r="R33" s="13" t="s">
        <v>28</v>
      </c>
      <c r="S33" s="13"/>
      <c r="T33" s="13"/>
      <c r="U33" s="13" t="s">
        <v>1021</v>
      </c>
      <c r="V33" s="13" t="s">
        <v>1021</v>
      </c>
      <c r="W33" s="60">
        <f>+J33/$W$2</f>
        <v>2.6328632496705937E-3</v>
      </c>
    </row>
    <row r="34" spans="1:23">
      <c r="A34" s="13" t="s">
        <v>471</v>
      </c>
      <c r="B34" s="13" t="s">
        <v>675</v>
      </c>
      <c r="C34" s="145">
        <v>46157</v>
      </c>
      <c r="D34" s="145" t="s">
        <v>469</v>
      </c>
      <c r="E34" s="28">
        <v>0.99898732999999995</v>
      </c>
      <c r="F34" s="13"/>
      <c r="G34" s="18">
        <v>100000000</v>
      </c>
      <c r="H34" s="18">
        <v>99898732.920000002</v>
      </c>
      <c r="I34" s="18">
        <v>100000000</v>
      </c>
      <c r="J34" s="18">
        <v>99898732.920000002</v>
      </c>
      <c r="K34" s="15">
        <v>16751391</v>
      </c>
      <c r="L34" s="13" t="s">
        <v>117</v>
      </c>
      <c r="M34" s="13" t="s">
        <v>118</v>
      </c>
      <c r="N34" s="145" t="s">
        <v>425</v>
      </c>
      <c r="O34" s="145" t="s">
        <v>425</v>
      </c>
      <c r="P34" s="28">
        <v>37</v>
      </c>
      <c r="Q34" s="13" t="s">
        <v>54</v>
      </c>
      <c r="R34" s="13" t="s">
        <v>28</v>
      </c>
      <c r="S34" s="13"/>
      <c r="T34" s="13"/>
      <c r="U34" s="13" t="s">
        <v>981</v>
      </c>
      <c r="V34" s="13" t="s">
        <v>981</v>
      </c>
      <c r="W34" s="60">
        <f>+J34/$W$2</f>
        <v>2.6329353060380659E-3</v>
      </c>
    </row>
    <row r="35" spans="1:23">
      <c r="A35" s="13" t="s">
        <v>865</v>
      </c>
      <c r="B35" s="13" t="s">
        <v>675</v>
      </c>
      <c r="C35" s="145">
        <v>46160</v>
      </c>
      <c r="D35" s="145" t="s">
        <v>469</v>
      </c>
      <c r="E35" s="28">
        <v>0.99585290999999998</v>
      </c>
      <c r="F35" s="13"/>
      <c r="G35" s="18">
        <v>10000000</v>
      </c>
      <c r="H35" s="18">
        <v>9958529.1400000006</v>
      </c>
      <c r="I35" s="18">
        <v>10000000</v>
      </c>
      <c r="J35" s="18">
        <v>9958529.1400000006</v>
      </c>
      <c r="K35" s="15">
        <v>163</v>
      </c>
      <c r="L35" s="13" t="s">
        <v>117</v>
      </c>
      <c r="M35" s="13" t="s">
        <v>118</v>
      </c>
      <c r="N35" s="145" t="s">
        <v>209</v>
      </c>
      <c r="O35" s="145" t="s">
        <v>209</v>
      </c>
      <c r="P35" s="28">
        <v>38</v>
      </c>
      <c r="Q35" s="13" t="s">
        <v>54</v>
      </c>
      <c r="R35" s="13" t="s">
        <v>28</v>
      </c>
      <c r="S35" s="13"/>
      <c r="T35" s="13"/>
      <c r="U35" s="13" t="s">
        <v>843</v>
      </c>
      <c r="V35" s="13" t="s">
        <v>843</v>
      </c>
      <c r="W35" s="60">
        <f>+J35/$W$2</f>
        <v>2.6246742278415378E-4</v>
      </c>
    </row>
    <row r="36" spans="1:23">
      <c r="A36" s="13" t="s">
        <v>532</v>
      </c>
      <c r="B36" s="13" t="s">
        <v>675</v>
      </c>
      <c r="C36" s="145">
        <v>46160</v>
      </c>
      <c r="D36" s="145" t="s">
        <v>469</v>
      </c>
      <c r="E36" s="28">
        <v>0.99563557999999996</v>
      </c>
      <c r="F36" s="13"/>
      <c r="G36" s="18">
        <v>10000000</v>
      </c>
      <c r="H36" s="18">
        <v>9956355.7599999998</v>
      </c>
      <c r="I36" s="18">
        <v>10000000</v>
      </c>
      <c r="J36" s="18">
        <v>9956355.7599999998</v>
      </c>
      <c r="K36" s="15">
        <v>1338</v>
      </c>
      <c r="L36" s="13" t="s">
        <v>117</v>
      </c>
      <c r="M36" s="13" t="s">
        <v>118</v>
      </c>
      <c r="N36" s="145" t="s">
        <v>368</v>
      </c>
      <c r="O36" s="145" t="s">
        <v>368</v>
      </c>
      <c r="P36" s="28">
        <v>40</v>
      </c>
      <c r="Q36" s="13" t="s">
        <v>54</v>
      </c>
      <c r="R36" s="13" t="s">
        <v>28</v>
      </c>
      <c r="S36" s="13"/>
      <c r="T36" s="13"/>
      <c r="U36" s="13" t="s">
        <v>545</v>
      </c>
      <c r="V36" s="13" t="s">
        <v>545</v>
      </c>
      <c r="W36" s="60">
        <f>+J36/$W$2</f>
        <v>2.6241014108729758E-4</v>
      </c>
    </row>
    <row r="37" spans="1:23">
      <c r="A37" s="13" t="s">
        <v>376</v>
      </c>
      <c r="B37" s="13" t="s">
        <v>675</v>
      </c>
      <c r="C37" s="145">
        <v>46160</v>
      </c>
      <c r="D37" s="145" t="s">
        <v>469</v>
      </c>
      <c r="E37" s="28">
        <v>0.99541835999999995</v>
      </c>
      <c r="F37" s="13"/>
      <c r="G37" s="18">
        <v>15000000</v>
      </c>
      <c r="H37" s="18">
        <v>14931275.42</v>
      </c>
      <c r="I37" s="18">
        <v>15000000</v>
      </c>
      <c r="J37" s="18">
        <v>14931275.42</v>
      </c>
      <c r="K37" s="15">
        <v>13180395</v>
      </c>
      <c r="L37" s="13" t="s">
        <v>117</v>
      </c>
      <c r="M37" s="13" t="s">
        <v>118</v>
      </c>
      <c r="N37" s="145" t="s">
        <v>425</v>
      </c>
      <c r="O37" s="145" t="s">
        <v>425</v>
      </c>
      <c r="P37" s="28">
        <v>42</v>
      </c>
      <c r="Q37" s="13" t="s">
        <v>54</v>
      </c>
      <c r="R37" s="13" t="s">
        <v>28</v>
      </c>
      <c r="S37" s="13"/>
      <c r="T37" s="13"/>
      <c r="U37" s="13" t="s">
        <v>972</v>
      </c>
      <c r="V37" s="13" t="s">
        <v>972</v>
      </c>
      <c r="W37" s="60">
        <f>+J37/$W$2</f>
        <v>3.935293378443418E-4</v>
      </c>
    </row>
    <row r="38" spans="1:23">
      <c r="A38" s="13" t="s">
        <v>550</v>
      </c>
      <c r="B38" s="13" t="s">
        <v>675</v>
      </c>
      <c r="C38" s="145">
        <v>46160</v>
      </c>
      <c r="D38" s="145" t="s">
        <v>469</v>
      </c>
      <c r="E38" s="28">
        <v>0.99530978000000003</v>
      </c>
      <c r="F38" s="13"/>
      <c r="G38" s="18">
        <v>20000000</v>
      </c>
      <c r="H38" s="18">
        <v>19906195.539999999</v>
      </c>
      <c r="I38" s="18">
        <v>20000000</v>
      </c>
      <c r="J38" s="18">
        <v>19906195.539999999</v>
      </c>
      <c r="K38" s="15">
        <v>13237775</v>
      </c>
      <c r="L38" s="13" t="s">
        <v>117</v>
      </c>
      <c r="M38" s="13" t="s">
        <v>118</v>
      </c>
      <c r="N38" s="145" t="s">
        <v>208</v>
      </c>
      <c r="O38" s="145" t="s">
        <v>208</v>
      </c>
      <c r="P38" s="28">
        <v>43</v>
      </c>
      <c r="Q38" s="13" t="s">
        <v>54</v>
      </c>
      <c r="R38" s="13" t="s">
        <v>28</v>
      </c>
      <c r="S38" s="13"/>
      <c r="T38" s="13"/>
      <c r="U38" s="13" t="s">
        <v>584</v>
      </c>
      <c r="V38" s="13" t="s">
        <v>584</v>
      </c>
      <c r="W38" s="60">
        <f>+J38/$W$2</f>
        <v>5.2464854672516585E-4</v>
      </c>
    </row>
    <row r="39" spans="1:23">
      <c r="A39" s="13" t="s">
        <v>1101</v>
      </c>
      <c r="B39" s="13" t="s">
        <v>675</v>
      </c>
      <c r="C39" s="145">
        <v>46160</v>
      </c>
      <c r="D39" s="145" t="s">
        <v>469</v>
      </c>
      <c r="E39" s="28">
        <v>0.99726778000000005</v>
      </c>
      <c r="F39" s="13"/>
      <c r="G39" s="18">
        <v>2048050</v>
      </c>
      <c r="H39" s="18">
        <v>2042454.28</v>
      </c>
      <c r="I39" s="18">
        <v>2048050</v>
      </c>
      <c r="J39" s="18">
        <v>2042454.28</v>
      </c>
      <c r="K39" s="15">
        <v>2285</v>
      </c>
      <c r="L39" s="13" t="s">
        <v>117</v>
      </c>
      <c r="M39" s="13" t="s">
        <v>118</v>
      </c>
      <c r="N39" s="145" t="s">
        <v>461</v>
      </c>
      <c r="O39" s="145" t="s">
        <v>461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1135</v>
      </c>
      <c r="V39" s="13" t="s">
        <v>1135</v>
      </c>
      <c r="W39" s="60">
        <f>+J39/$W$2</f>
        <v>5.3831012942747121E-5</v>
      </c>
    </row>
    <row r="40" spans="1:23">
      <c r="A40" s="13" t="s">
        <v>266</v>
      </c>
      <c r="B40" s="13" t="s">
        <v>675</v>
      </c>
      <c r="C40" s="145">
        <v>46160</v>
      </c>
      <c r="D40" s="145" t="s">
        <v>469</v>
      </c>
      <c r="E40" s="28">
        <v>0.99704985000000002</v>
      </c>
      <c r="F40" s="13"/>
      <c r="G40" s="18">
        <v>7484214.9000000004</v>
      </c>
      <c r="H40" s="18">
        <v>7462135.3099999996</v>
      </c>
      <c r="I40" s="18">
        <v>7484214.9000000004</v>
      </c>
      <c r="J40" s="18">
        <v>7462135.3099999996</v>
      </c>
      <c r="K40" s="15">
        <v>2732</v>
      </c>
      <c r="L40" s="13" t="s">
        <v>117</v>
      </c>
      <c r="M40" s="13" t="s">
        <v>118</v>
      </c>
      <c r="N40" s="145" t="s">
        <v>209</v>
      </c>
      <c r="O40" s="145" t="s">
        <v>209</v>
      </c>
      <c r="P40" s="28">
        <v>27</v>
      </c>
      <c r="Q40" s="13" t="s">
        <v>54</v>
      </c>
      <c r="R40" s="13" t="s">
        <v>28</v>
      </c>
      <c r="S40" s="13"/>
      <c r="T40" s="13"/>
      <c r="U40" s="13" t="s">
        <v>836</v>
      </c>
      <c r="V40" s="13" t="s">
        <v>836</v>
      </c>
      <c r="W40" s="60">
        <f>+J40/$W$2</f>
        <v>1.96672359516973E-4</v>
      </c>
    </row>
    <row r="41" spans="1:23">
      <c r="A41" s="13" t="s">
        <v>550</v>
      </c>
      <c r="B41" s="13" t="s">
        <v>675</v>
      </c>
      <c r="C41" s="145">
        <v>46160</v>
      </c>
      <c r="D41" s="145" t="s">
        <v>469</v>
      </c>
      <c r="E41" s="28">
        <v>0.99530978000000003</v>
      </c>
      <c r="F41" s="13"/>
      <c r="G41" s="18">
        <v>15000000</v>
      </c>
      <c r="H41" s="18">
        <v>14929646.74</v>
      </c>
      <c r="I41" s="18">
        <v>15000000</v>
      </c>
      <c r="J41" s="18">
        <v>14929646.74</v>
      </c>
      <c r="K41" s="15">
        <v>13237797</v>
      </c>
      <c r="L41" s="13" t="s">
        <v>117</v>
      </c>
      <c r="M41" s="13" t="s">
        <v>118</v>
      </c>
      <c r="N41" s="145" t="s">
        <v>304</v>
      </c>
      <c r="O41" s="145" t="s">
        <v>304</v>
      </c>
      <c r="P41" s="28">
        <v>43</v>
      </c>
      <c r="Q41" s="13" t="s">
        <v>54</v>
      </c>
      <c r="R41" s="13" t="s">
        <v>28</v>
      </c>
      <c r="S41" s="13"/>
      <c r="T41" s="13"/>
      <c r="U41" s="13" t="s">
        <v>640</v>
      </c>
      <c r="V41" s="13" t="s">
        <v>640</v>
      </c>
      <c r="W41" s="60">
        <f>+J41/$W$2</f>
        <v>3.9348641228413806E-4</v>
      </c>
    </row>
    <row r="42" spans="1:23">
      <c r="A42" s="13" t="s">
        <v>1529</v>
      </c>
      <c r="B42" s="13" t="s">
        <v>675</v>
      </c>
      <c r="C42" s="145">
        <v>46160</v>
      </c>
      <c r="D42" s="145" t="s">
        <v>469</v>
      </c>
      <c r="E42" s="28">
        <v>0.99596161999999999</v>
      </c>
      <c r="F42" s="13"/>
      <c r="G42" s="18">
        <v>15573828.67</v>
      </c>
      <c r="H42" s="18">
        <v>15510935.609999999</v>
      </c>
      <c r="I42" s="18">
        <v>15573828.67</v>
      </c>
      <c r="J42" s="18">
        <v>15510935.609999999</v>
      </c>
      <c r="K42" s="15">
        <v>4561</v>
      </c>
      <c r="L42" s="13" t="s">
        <v>117</v>
      </c>
      <c r="M42" s="13" t="s">
        <v>118</v>
      </c>
      <c r="N42" s="145" t="s">
        <v>464</v>
      </c>
      <c r="O42" s="145" t="s">
        <v>464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1810</v>
      </c>
      <c r="V42" s="13" t="s">
        <v>1810</v>
      </c>
      <c r="W42" s="60">
        <f>+J42/$W$2</f>
        <v>4.088068867695913E-4</v>
      </c>
    </row>
    <row r="43" spans="1:23">
      <c r="A43" s="13" t="s">
        <v>186</v>
      </c>
      <c r="B43" s="13" t="s">
        <v>675</v>
      </c>
      <c r="C43" s="145">
        <v>46160</v>
      </c>
      <c r="D43" s="145" t="s">
        <v>469</v>
      </c>
      <c r="E43" s="28">
        <v>0.99563564000000004</v>
      </c>
      <c r="F43" s="13"/>
      <c r="G43" s="18">
        <v>100000000</v>
      </c>
      <c r="H43" s="18">
        <v>99563563.650000006</v>
      </c>
      <c r="I43" s="18">
        <v>100000000</v>
      </c>
      <c r="J43" s="18">
        <v>99563563.650000006</v>
      </c>
      <c r="K43" s="15">
        <v>608</v>
      </c>
      <c r="L43" s="13" t="s">
        <v>117</v>
      </c>
      <c r="M43" s="13" t="s">
        <v>118</v>
      </c>
      <c r="N43" s="145" t="s">
        <v>400</v>
      </c>
      <c r="O43" s="145" t="s">
        <v>400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1640</v>
      </c>
      <c r="V43" s="13" t="s">
        <v>1640</v>
      </c>
      <c r="W43" s="60">
        <f>+J43/$W$2</f>
        <v>2.6241015703270367E-3</v>
      </c>
    </row>
    <row r="44" spans="1:23">
      <c r="A44" s="13" t="s">
        <v>327</v>
      </c>
      <c r="B44" s="13" t="s">
        <v>675</v>
      </c>
      <c r="C44" s="145">
        <v>46160</v>
      </c>
      <c r="D44" s="145" t="s">
        <v>469</v>
      </c>
      <c r="E44" s="28">
        <v>0.99563557999999996</v>
      </c>
      <c r="F44" s="13"/>
      <c r="G44" s="18">
        <v>25000000</v>
      </c>
      <c r="H44" s="18">
        <v>24890889.41</v>
      </c>
      <c r="I44" s="18">
        <v>25000000</v>
      </c>
      <c r="J44" s="18">
        <v>24890889.41</v>
      </c>
      <c r="K44" s="15">
        <v>475859</v>
      </c>
      <c r="L44" s="13" t="s">
        <v>117</v>
      </c>
      <c r="M44" s="13" t="s">
        <v>118</v>
      </c>
      <c r="N44" s="145" t="s">
        <v>283</v>
      </c>
      <c r="O44" s="145" t="s">
        <v>283</v>
      </c>
      <c r="P44" s="28">
        <v>40</v>
      </c>
      <c r="Q44" s="13" t="s">
        <v>54</v>
      </c>
      <c r="R44" s="13" t="s">
        <v>28</v>
      </c>
      <c r="S44" s="13"/>
      <c r="T44" s="13"/>
      <c r="U44" s="13" t="s">
        <v>478</v>
      </c>
      <c r="V44" s="13" t="s">
        <v>478</v>
      </c>
      <c r="W44" s="60">
        <f>+J44/$W$2</f>
        <v>6.5602535298180445E-4</v>
      </c>
    </row>
    <row r="45" spans="1:23">
      <c r="A45" s="13" t="s">
        <v>1236</v>
      </c>
      <c r="B45" s="13" t="s">
        <v>675</v>
      </c>
      <c r="C45" s="145">
        <v>46161</v>
      </c>
      <c r="D45" s="145" t="s">
        <v>469</v>
      </c>
      <c r="E45" s="28">
        <v>0.99482148999999997</v>
      </c>
      <c r="F45" s="13"/>
      <c r="G45" s="18">
        <v>10000000</v>
      </c>
      <c r="H45" s="18">
        <v>9948214.9100000001</v>
      </c>
      <c r="I45" s="18">
        <v>10000000</v>
      </c>
      <c r="J45" s="18">
        <v>9948214.9100000001</v>
      </c>
      <c r="K45" s="15">
        <v>13445370</v>
      </c>
      <c r="L45" s="13" t="s">
        <v>117</v>
      </c>
      <c r="M45" s="13" t="s">
        <v>118</v>
      </c>
      <c r="N45" s="145" t="s">
        <v>461</v>
      </c>
      <c r="O45" s="145" t="s">
        <v>461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1185</v>
      </c>
      <c r="V45" s="13" t="s">
        <v>1185</v>
      </c>
      <c r="W45" s="60">
        <f>+J45/$W$2</f>
        <v>2.6219558049418853E-4</v>
      </c>
    </row>
    <row r="46" spans="1:23">
      <c r="A46" s="13" t="s">
        <v>1331</v>
      </c>
      <c r="B46" s="13" t="s">
        <v>675</v>
      </c>
      <c r="C46" s="145">
        <v>46161</v>
      </c>
      <c r="D46" s="145" t="s">
        <v>469</v>
      </c>
      <c r="E46" s="28">
        <v>0.99522836000000003</v>
      </c>
      <c r="F46" s="13"/>
      <c r="G46" s="18">
        <v>10000000</v>
      </c>
      <c r="H46" s="18">
        <v>9952283.6099999994</v>
      </c>
      <c r="I46" s="18">
        <v>10000000</v>
      </c>
      <c r="J46" s="18">
        <v>9952283.6099999994</v>
      </c>
      <c r="K46" s="15">
        <v>29098099</v>
      </c>
      <c r="L46" s="13" t="s">
        <v>117</v>
      </c>
      <c r="M46" s="13" t="s">
        <v>118</v>
      </c>
      <c r="N46" s="145" t="s">
        <v>528</v>
      </c>
      <c r="O46" s="145" t="s">
        <v>528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1313</v>
      </c>
      <c r="V46" s="13" t="s">
        <v>1313</v>
      </c>
      <c r="W46" s="60">
        <f>+J46/$W$2</f>
        <v>2.6230281532656875E-4</v>
      </c>
    </row>
    <row r="47" spans="1:23">
      <c r="A47" s="13" t="s">
        <v>713</v>
      </c>
      <c r="B47" s="13" t="s">
        <v>675</v>
      </c>
      <c r="C47" s="145">
        <v>46161</v>
      </c>
      <c r="D47" s="145" t="s">
        <v>469</v>
      </c>
      <c r="E47" s="28">
        <v>0.99414409999999998</v>
      </c>
      <c r="F47" s="13"/>
      <c r="G47" s="18">
        <v>1031378.83</v>
      </c>
      <c r="H47" s="18">
        <v>1025339.18</v>
      </c>
      <c r="I47" s="18">
        <v>1031378.83</v>
      </c>
      <c r="J47" s="18">
        <v>1025339.18</v>
      </c>
      <c r="K47" s="15">
        <v>90027390</v>
      </c>
      <c r="L47" s="13" t="s">
        <v>117</v>
      </c>
      <c r="M47" s="13" t="s">
        <v>118</v>
      </c>
      <c r="N47" s="145" t="s">
        <v>206</v>
      </c>
      <c r="O47" s="145" t="s">
        <v>206</v>
      </c>
      <c r="P47" s="28">
        <v>43</v>
      </c>
      <c r="Q47" s="13" t="s">
        <v>54</v>
      </c>
      <c r="R47" s="13" t="s">
        <v>28</v>
      </c>
      <c r="S47" s="13"/>
      <c r="T47" s="13"/>
      <c r="U47" s="13" t="s">
        <v>695</v>
      </c>
      <c r="V47" s="13" t="s">
        <v>695</v>
      </c>
      <c r="W47" s="60">
        <f>+J47/$W$2</f>
        <v>2.7023883574659854E-5</v>
      </c>
    </row>
    <row r="48" spans="1:23">
      <c r="A48" s="13" t="s">
        <v>783</v>
      </c>
      <c r="B48" s="13" t="s">
        <v>675</v>
      </c>
      <c r="C48" s="145">
        <v>46161</v>
      </c>
      <c r="D48" s="145" t="s">
        <v>469</v>
      </c>
      <c r="E48" s="28">
        <v>0.99441495000000002</v>
      </c>
      <c r="F48" s="13"/>
      <c r="G48" s="18">
        <v>1425697.14</v>
      </c>
      <c r="H48" s="18">
        <v>1417734.56</v>
      </c>
      <c r="I48" s="18">
        <v>1425697.14</v>
      </c>
      <c r="J48" s="18">
        <v>1417734.56</v>
      </c>
      <c r="K48" s="15">
        <v>88</v>
      </c>
      <c r="L48" s="13" t="s">
        <v>117</v>
      </c>
      <c r="M48" s="13" t="s">
        <v>118</v>
      </c>
      <c r="N48" s="145" t="s">
        <v>387</v>
      </c>
      <c r="O48" s="145" t="s">
        <v>387</v>
      </c>
      <c r="P48" s="28">
        <v>41</v>
      </c>
      <c r="Q48" s="13" t="s">
        <v>54</v>
      </c>
      <c r="R48" s="13" t="s">
        <v>28</v>
      </c>
      <c r="S48" s="13"/>
      <c r="T48" s="13"/>
      <c r="U48" s="13" t="s">
        <v>773</v>
      </c>
      <c r="V48" s="13" t="s">
        <v>773</v>
      </c>
      <c r="W48" s="60">
        <f>+J48/$W$2</f>
        <v>3.7365873104753121E-5</v>
      </c>
    </row>
    <row r="49" spans="1:29">
      <c r="A49" s="13" t="s">
        <v>865</v>
      </c>
      <c r="B49" s="13" t="s">
        <v>675</v>
      </c>
      <c r="C49" s="145">
        <v>46161</v>
      </c>
      <c r="D49" s="145" t="s">
        <v>469</v>
      </c>
      <c r="E49" s="28">
        <v>0.99482150000000003</v>
      </c>
      <c r="F49" s="13"/>
      <c r="G49" s="18">
        <v>10000000</v>
      </c>
      <c r="H49" s="18">
        <v>9948215</v>
      </c>
      <c r="I49" s="18">
        <v>10000000</v>
      </c>
      <c r="J49" s="18">
        <v>9948215</v>
      </c>
      <c r="K49" s="15">
        <v>164</v>
      </c>
      <c r="L49" s="13" t="s">
        <v>117</v>
      </c>
      <c r="M49" s="13" t="s">
        <v>118</v>
      </c>
      <c r="N49" s="145" t="s">
        <v>209</v>
      </c>
      <c r="O49" s="145" t="s">
        <v>209</v>
      </c>
      <c r="P49" s="28">
        <v>38</v>
      </c>
      <c r="Q49" s="13" t="s">
        <v>54</v>
      </c>
      <c r="R49" s="13" t="s">
        <v>28</v>
      </c>
      <c r="S49" s="13"/>
      <c r="T49" s="13"/>
      <c r="U49" s="13" t="s">
        <v>844</v>
      </c>
      <c r="V49" s="13" t="s">
        <v>844</v>
      </c>
      <c r="W49" s="60">
        <f>+J49/$W$2</f>
        <v>2.6219558286623239E-4</v>
      </c>
    </row>
    <row r="50" spans="1:29">
      <c r="A50" s="13" t="s">
        <v>379</v>
      </c>
      <c r="B50" s="13" t="s">
        <v>675</v>
      </c>
      <c r="C50" s="145">
        <v>46161</v>
      </c>
      <c r="D50" s="145" t="s">
        <v>469</v>
      </c>
      <c r="E50" s="28">
        <v>0.99482150999999996</v>
      </c>
      <c r="F50" s="13"/>
      <c r="G50" s="18">
        <v>5450000</v>
      </c>
      <c r="H50" s="18">
        <v>5421777.2400000002</v>
      </c>
      <c r="I50" s="18">
        <v>5450000</v>
      </c>
      <c r="J50" s="18">
        <v>5421777.2400000002</v>
      </c>
      <c r="K50" s="15">
        <v>28511</v>
      </c>
      <c r="L50" s="13" t="s">
        <v>117</v>
      </c>
      <c r="M50" s="13" t="s">
        <v>118</v>
      </c>
      <c r="N50" s="145" t="s">
        <v>385</v>
      </c>
      <c r="O50" s="145" t="s">
        <v>385</v>
      </c>
      <c r="P50" s="28">
        <v>38</v>
      </c>
      <c r="Q50" s="13" t="s">
        <v>54</v>
      </c>
      <c r="R50" s="13" t="s">
        <v>28</v>
      </c>
      <c r="S50" s="13"/>
      <c r="T50" s="13"/>
      <c r="U50" s="13" t="s">
        <v>966</v>
      </c>
      <c r="V50" s="13" t="s">
        <v>966</v>
      </c>
      <c r="W50" s="60">
        <f>+J50/$W$2</f>
        <v>1.4289659437523945E-4</v>
      </c>
    </row>
    <row r="51" spans="1:29">
      <c r="A51" s="13" t="s">
        <v>145</v>
      </c>
      <c r="B51" s="13" t="s">
        <v>675</v>
      </c>
      <c r="C51" s="145">
        <v>46161</v>
      </c>
      <c r="D51" s="145" t="s">
        <v>469</v>
      </c>
      <c r="E51" s="28">
        <v>0.99373809999999996</v>
      </c>
      <c r="F51" s="13"/>
      <c r="G51" s="18">
        <v>10000000</v>
      </c>
      <c r="H51" s="18">
        <v>9937380.9600000009</v>
      </c>
      <c r="I51" s="18">
        <v>10000000</v>
      </c>
      <c r="J51" s="18">
        <v>9937380.9600000009</v>
      </c>
      <c r="K51" s="15">
        <v>3921</v>
      </c>
      <c r="L51" s="13" t="s">
        <v>117</v>
      </c>
      <c r="M51" s="13" t="s">
        <v>118</v>
      </c>
      <c r="N51" s="145" t="s">
        <v>143</v>
      </c>
      <c r="O51" s="145" t="s">
        <v>143</v>
      </c>
      <c r="P51" s="28">
        <v>46</v>
      </c>
      <c r="Q51" s="13" t="s">
        <v>54</v>
      </c>
      <c r="R51" s="13" t="s">
        <v>28</v>
      </c>
      <c r="S51" s="13"/>
      <c r="T51" s="13"/>
      <c r="U51" s="13" t="s">
        <v>217</v>
      </c>
      <c r="V51" s="13" t="s">
        <v>217</v>
      </c>
      <c r="W51" s="60">
        <f>+J51/$W$2</f>
        <v>2.6191004044152645E-4</v>
      </c>
    </row>
    <row r="52" spans="1:29">
      <c r="A52" s="13" t="s">
        <v>201</v>
      </c>
      <c r="B52" s="13" t="s">
        <v>675</v>
      </c>
      <c r="C52" s="145">
        <v>46161</v>
      </c>
      <c r="D52" s="145" t="s">
        <v>469</v>
      </c>
      <c r="E52" s="28">
        <v>0.99373811000000001</v>
      </c>
      <c r="F52" s="13"/>
      <c r="G52" s="18">
        <v>15000000</v>
      </c>
      <c r="H52" s="18">
        <v>14906071.630000001</v>
      </c>
      <c r="I52" s="18">
        <v>15000000</v>
      </c>
      <c r="J52" s="18">
        <v>14906071.630000001</v>
      </c>
      <c r="K52" s="15">
        <v>3872</v>
      </c>
      <c r="L52" s="13" t="s">
        <v>117</v>
      </c>
      <c r="M52" s="13" t="s">
        <v>118</v>
      </c>
      <c r="N52" s="145" t="s">
        <v>365</v>
      </c>
      <c r="O52" s="145" t="s">
        <v>365</v>
      </c>
      <c r="P52" s="28">
        <v>46</v>
      </c>
      <c r="Q52" s="13" t="s">
        <v>54</v>
      </c>
      <c r="R52" s="13" t="s">
        <v>28</v>
      </c>
      <c r="S52" s="13"/>
      <c r="T52" s="13"/>
      <c r="U52" s="13" t="s">
        <v>486</v>
      </c>
      <c r="V52" s="13" t="s">
        <v>486</v>
      </c>
      <c r="W52" s="60">
        <f>+J52/$W$2</f>
        <v>3.9286506566993786E-4</v>
      </c>
      <c r="AC52" s="57"/>
    </row>
    <row r="53" spans="1:29">
      <c r="A53" s="13" t="s">
        <v>554</v>
      </c>
      <c r="B53" s="13" t="s">
        <v>675</v>
      </c>
      <c r="C53" s="145">
        <v>46161</v>
      </c>
      <c r="D53" s="145" t="s">
        <v>469</v>
      </c>
      <c r="E53" s="28">
        <v>0.99414411000000003</v>
      </c>
      <c r="F53" s="13"/>
      <c r="G53" s="18">
        <v>13254473.130000001</v>
      </c>
      <c r="H53" s="18">
        <v>13176856.369999999</v>
      </c>
      <c r="I53" s="18">
        <v>13254473.130000001</v>
      </c>
      <c r="J53" s="18">
        <v>13176856.369999999</v>
      </c>
      <c r="K53" s="15">
        <v>10949733</v>
      </c>
      <c r="L53" s="13" t="s">
        <v>117</v>
      </c>
      <c r="M53" s="13" t="s">
        <v>118</v>
      </c>
      <c r="N53" s="145" t="s">
        <v>368</v>
      </c>
      <c r="O53" s="145" t="s">
        <v>368</v>
      </c>
      <c r="P53" s="28">
        <v>43</v>
      </c>
      <c r="Q53" s="13" t="s">
        <v>54</v>
      </c>
      <c r="R53" s="13" t="s">
        <v>28</v>
      </c>
      <c r="S53" s="13"/>
      <c r="T53" s="13"/>
      <c r="U53" s="13" t="s">
        <v>539</v>
      </c>
      <c r="V53" s="13" t="s">
        <v>539</v>
      </c>
      <c r="W53" s="60">
        <f>+J53/$W$2</f>
        <v>3.4728979382500045E-4</v>
      </c>
    </row>
    <row r="54" spans="1:29">
      <c r="A54" s="13" t="s">
        <v>676</v>
      </c>
      <c r="B54" s="13" t="s">
        <v>675</v>
      </c>
      <c r="C54" s="145">
        <v>46161</v>
      </c>
      <c r="D54" s="145" t="s">
        <v>469</v>
      </c>
      <c r="E54" s="28">
        <v>0.99522836000000003</v>
      </c>
      <c r="F54" s="13"/>
      <c r="G54" s="18">
        <v>10000000</v>
      </c>
      <c r="H54" s="18">
        <v>9952283.6099999994</v>
      </c>
      <c r="I54" s="18">
        <v>10000000</v>
      </c>
      <c r="J54" s="18">
        <v>9952283.6099999994</v>
      </c>
      <c r="K54" s="15">
        <v>380</v>
      </c>
      <c r="L54" s="13" t="s">
        <v>117</v>
      </c>
      <c r="M54" s="13" t="s">
        <v>118</v>
      </c>
      <c r="N54" s="145" t="s">
        <v>528</v>
      </c>
      <c r="O54" s="145" t="s">
        <v>528</v>
      </c>
      <c r="P54" s="28">
        <v>35</v>
      </c>
      <c r="Q54" s="13" t="s">
        <v>54</v>
      </c>
      <c r="R54" s="13" t="s">
        <v>28</v>
      </c>
      <c r="S54" s="13"/>
      <c r="T54" s="13"/>
      <c r="U54" s="13" t="s">
        <v>1292</v>
      </c>
      <c r="V54" s="13" t="s">
        <v>1292</v>
      </c>
      <c r="W54" s="60">
        <f>+J54/$W$2</f>
        <v>2.6230281532656875E-4</v>
      </c>
    </row>
    <row r="55" spans="1:29">
      <c r="A55" s="13" t="s">
        <v>863</v>
      </c>
      <c r="B55" s="13" t="s">
        <v>675</v>
      </c>
      <c r="C55" s="145">
        <v>46161</v>
      </c>
      <c r="D55" s="145" t="s">
        <v>469</v>
      </c>
      <c r="E55" s="28">
        <v>0.99604313</v>
      </c>
      <c r="F55" s="13"/>
      <c r="G55" s="18">
        <v>12500000</v>
      </c>
      <c r="H55" s="18">
        <v>12450539.17</v>
      </c>
      <c r="I55" s="18">
        <v>12500000</v>
      </c>
      <c r="J55" s="18">
        <v>12450539.17</v>
      </c>
      <c r="K55" s="15">
        <v>28996518</v>
      </c>
      <c r="L55" s="13" t="s">
        <v>117</v>
      </c>
      <c r="M55" s="13" t="s">
        <v>118</v>
      </c>
      <c r="N55" s="145" t="s">
        <v>209</v>
      </c>
      <c r="O55" s="145" t="s">
        <v>209</v>
      </c>
      <c r="P55" s="28">
        <v>29</v>
      </c>
      <c r="Q55" s="13" t="s">
        <v>54</v>
      </c>
      <c r="R55" s="13" t="s">
        <v>28</v>
      </c>
      <c r="S55" s="13"/>
      <c r="T55" s="13"/>
      <c r="U55" s="13" t="s">
        <v>811</v>
      </c>
      <c r="V55" s="13" t="s">
        <v>811</v>
      </c>
      <c r="W55" s="60">
        <f>+J55/$W$2</f>
        <v>3.2814694642978738E-4</v>
      </c>
    </row>
    <row r="56" spans="1:29">
      <c r="A56" s="13" t="s">
        <v>203</v>
      </c>
      <c r="B56" s="13" t="s">
        <v>675</v>
      </c>
      <c r="C56" s="145">
        <v>46161</v>
      </c>
      <c r="D56" s="145" t="s">
        <v>469</v>
      </c>
      <c r="E56" s="28">
        <v>0.99495708000000005</v>
      </c>
      <c r="F56" s="13"/>
      <c r="G56" s="18">
        <v>10000000</v>
      </c>
      <c r="H56" s="18">
        <v>9949570.7699999996</v>
      </c>
      <c r="I56" s="18">
        <v>10000000</v>
      </c>
      <c r="J56" s="18">
        <v>9949570.7699999996</v>
      </c>
      <c r="K56" s="15">
        <v>90033756</v>
      </c>
      <c r="L56" s="13" t="s">
        <v>117</v>
      </c>
      <c r="M56" s="13" t="s">
        <v>118</v>
      </c>
      <c r="N56" s="145" t="s">
        <v>277</v>
      </c>
      <c r="O56" s="145" t="s">
        <v>277</v>
      </c>
      <c r="P56" s="28">
        <v>37</v>
      </c>
      <c r="Q56" s="13" t="s">
        <v>54</v>
      </c>
      <c r="R56" s="13" t="s">
        <v>28</v>
      </c>
      <c r="S56" s="13"/>
      <c r="T56" s="13"/>
      <c r="U56" s="13" t="s">
        <v>467</v>
      </c>
      <c r="V56" s="13" t="s">
        <v>467</v>
      </c>
      <c r="W56" s="60">
        <f>+J56/$W$2</f>
        <v>2.6223131559872584E-4</v>
      </c>
    </row>
    <row r="57" spans="1:29">
      <c r="A57" s="13" t="s">
        <v>491</v>
      </c>
      <c r="B57" s="13" t="s">
        <v>675</v>
      </c>
      <c r="C57" s="145">
        <v>46161</v>
      </c>
      <c r="D57" s="145" t="s">
        <v>469</v>
      </c>
      <c r="E57" s="28">
        <v>0.99414409000000004</v>
      </c>
      <c r="F57" s="13"/>
      <c r="G57" s="18">
        <v>12000000</v>
      </c>
      <c r="H57" s="18">
        <v>11929729.039999999</v>
      </c>
      <c r="I57" s="18">
        <v>12000000</v>
      </c>
      <c r="J57" s="18">
        <v>11929729.039999999</v>
      </c>
      <c r="K57" s="15">
        <v>2338</v>
      </c>
      <c r="L57" s="13" t="s">
        <v>117</v>
      </c>
      <c r="M57" s="13" t="s">
        <v>118</v>
      </c>
      <c r="N57" s="145" t="s">
        <v>304</v>
      </c>
      <c r="O57" s="145" t="s">
        <v>304</v>
      </c>
      <c r="P57" s="28">
        <v>43</v>
      </c>
      <c r="Q57" s="13" t="s">
        <v>54</v>
      </c>
      <c r="R57" s="13" t="s">
        <v>28</v>
      </c>
      <c r="S57" s="13"/>
      <c r="T57" s="13"/>
      <c r="U57" s="13" t="s">
        <v>643</v>
      </c>
      <c r="V57" s="13" t="s">
        <v>643</v>
      </c>
      <c r="W57" s="60">
        <f>+J57/$W$2</f>
        <v>3.1442045221972173E-4</v>
      </c>
    </row>
    <row r="58" spans="1:29">
      <c r="A58" s="13" t="s">
        <v>550</v>
      </c>
      <c r="B58" s="13" t="s">
        <v>675</v>
      </c>
      <c r="C58" s="145">
        <v>46161</v>
      </c>
      <c r="D58" s="145" t="s">
        <v>469</v>
      </c>
      <c r="E58" s="28">
        <v>0.99414411000000003</v>
      </c>
      <c r="F58" s="13"/>
      <c r="G58" s="18">
        <v>15000000</v>
      </c>
      <c r="H58" s="18">
        <v>14912161.619999999</v>
      </c>
      <c r="I58" s="18">
        <v>15000000</v>
      </c>
      <c r="J58" s="18">
        <v>14912161.619999999</v>
      </c>
      <c r="K58" s="15">
        <v>13237798</v>
      </c>
      <c r="L58" s="13" t="s">
        <v>117</v>
      </c>
      <c r="M58" s="13" t="s">
        <v>118</v>
      </c>
      <c r="N58" s="145" t="s">
        <v>206</v>
      </c>
      <c r="O58" s="145" t="s">
        <v>206</v>
      </c>
      <c r="P58" s="28">
        <v>43</v>
      </c>
      <c r="Q58" s="13" t="s">
        <v>54</v>
      </c>
      <c r="R58" s="13" t="s">
        <v>28</v>
      </c>
      <c r="S58" s="13"/>
      <c r="T58" s="13"/>
      <c r="U58" s="13" t="s">
        <v>692</v>
      </c>
      <c r="V58" s="13" t="s">
        <v>692</v>
      </c>
      <c r="W58" s="60">
        <f>+J58/$W$2</f>
        <v>3.9302557370858593E-4</v>
      </c>
      <c r="AC58" s="57"/>
    </row>
    <row r="59" spans="1:29">
      <c r="A59" s="13" t="s">
        <v>550</v>
      </c>
      <c r="B59" s="13" t="s">
        <v>675</v>
      </c>
      <c r="C59" s="145">
        <v>46161</v>
      </c>
      <c r="D59" s="145" t="s">
        <v>469</v>
      </c>
      <c r="E59" s="28">
        <v>0.99414411000000003</v>
      </c>
      <c r="F59" s="13"/>
      <c r="G59" s="18">
        <v>20000000</v>
      </c>
      <c r="H59" s="18">
        <v>19882882.149999999</v>
      </c>
      <c r="I59" s="18">
        <v>20000000</v>
      </c>
      <c r="J59" s="18">
        <v>19882882.149999999</v>
      </c>
      <c r="K59" s="15">
        <v>13237776</v>
      </c>
      <c r="L59" s="13" t="s">
        <v>117</v>
      </c>
      <c r="M59" s="13" t="s">
        <v>118</v>
      </c>
      <c r="N59" s="145" t="s">
        <v>208</v>
      </c>
      <c r="O59" s="145" t="s">
        <v>208</v>
      </c>
      <c r="P59" s="28">
        <v>43</v>
      </c>
      <c r="Q59" s="13" t="s">
        <v>54</v>
      </c>
      <c r="R59" s="13" t="s">
        <v>28</v>
      </c>
      <c r="S59" s="13"/>
      <c r="T59" s="13"/>
      <c r="U59" s="13" t="s">
        <v>583</v>
      </c>
      <c r="V59" s="13" t="s">
        <v>583</v>
      </c>
      <c r="W59" s="60">
        <f>+J59/$W$2</f>
        <v>5.2403409801455409E-4</v>
      </c>
      <c r="AC59" s="57"/>
    </row>
    <row r="60" spans="1:29">
      <c r="A60" s="13" t="s">
        <v>1101</v>
      </c>
      <c r="B60" s="13" t="s">
        <v>675</v>
      </c>
      <c r="C60" s="145">
        <v>46161</v>
      </c>
      <c r="D60" s="145" t="s">
        <v>469</v>
      </c>
      <c r="E60" s="28">
        <v>0.99658703999999998</v>
      </c>
      <c r="F60" s="13"/>
      <c r="G60" s="18">
        <v>2048050</v>
      </c>
      <c r="H60" s="18">
        <v>2041060.09</v>
      </c>
      <c r="I60" s="18">
        <v>2048050</v>
      </c>
      <c r="J60" s="18">
        <v>2041060.09</v>
      </c>
      <c r="K60" s="15">
        <v>2287</v>
      </c>
      <c r="L60" s="13" t="s">
        <v>117</v>
      </c>
      <c r="M60" s="13" t="s">
        <v>118</v>
      </c>
      <c r="N60" s="145" t="s">
        <v>461</v>
      </c>
      <c r="O60" s="145" t="s">
        <v>461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1136</v>
      </c>
      <c r="V60" s="13" t="s">
        <v>1136</v>
      </c>
      <c r="W60" s="60">
        <f>+J60/$W$2</f>
        <v>5.3794267611079456E-5</v>
      </c>
    </row>
    <row r="61" spans="1:29">
      <c r="A61" s="13" t="s">
        <v>1101</v>
      </c>
      <c r="B61" s="13" t="s">
        <v>675</v>
      </c>
      <c r="C61" s="145">
        <v>46161</v>
      </c>
      <c r="D61" s="145" t="s">
        <v>469</v>
      </c>
      <c r="E61" s="28">
        <v>0.99658703000000004</v>
      </c>
      <c r="F61" s="13"/>
      <c r="G61" s="18">
        <v>434087.5</v>
      </c>
      <c r="H61" s="18">
        <v>432605.97</v>
      </c>
      <c r="I61" s="18">
        <v>434087.5</v>
      </c>
      <c r="J61" s="18">
        <v>432605.97</v>
      </c>
      <c r="K61" s="15">
        <v>90025757</v>
      </c>
      <c r="L61" s="13" t="s">
        <v>117</v>
      </c>
      <c r="M61" s="13" t="s">
        <v>118</v>
      </c>
      <c r="N61" s="145" t="s">
        <v>461</v>
      </c>
      <c r="O61" s="145" t="s">
        <v>461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1137</v>
      </c>
      <c r="V61" s="13" t="s">
        <v>1137</v>
      </c>
      <c r="W61" s="60">
        <f>+J61/$W$2</f>
        <v>1.1401781571423803E-5</v>
      </c>
    </row>
    <row r="62" spans="1:29">
      <c r="A62" s="13" t="s">
        <v>266</v>
      </c>
      <c r="B62" s="13" t="s">
        <v>675</v>
      </c>
      <c r="C62" s="145">
        <v>46161</v>
      </c>
      <c r="D62" s="145" t="s">
        <v>469</v>
      </c>
      <c r="E62" s="28">
        <v>0.99631502000000005</v>
      </c>
      <c r="F62" s="13"/>
      <c r="G62" s="18">
        <v>16593463.289999999</v>
      </c>
      <c r="H62" s="18">
        <v>16532316.630000001</v>
      </c>
      <c r="I62" s="18">
        <v>16593463.289999999</v>
      </c>
      <c r="J62" s="18">
        <v>16532316.630000001</v>
      </c>
      <c r="K62" s="15">
        <v>2716</v>
      </c>
      <c r="L62" s="13" t="s">
        <v>117</v>
      </c>
      <c r="M62" s="13" t="s">
        <v>118</v>
      </c>
      <c r="N62" s="145" t="s">
        <v>209</v>
      </c>
      <c r="O62" s="145" t="s">
        <v>209</v>
      </c>
      <c r="P62" s="28">
        <v>27</v>
      </c>
      <c r="Q62" s="13" t="s">
        <v>54</v>
      </c>
      <c r="R62" s="13" t="s">
        <v>28</v>
      </c>
      <c r="S62" s="13"/>
      <c r="T62" s="13"/>
      <c r="U62" s="13" t="s">
        <v>830</v>
      </c>
      <c r="V62" s="13" t="s">
        <v>830</v>
      </c>
      <c r="W62" s="60">
        <f>+J62/$W$2</f>
        <v>4.357264489088703E-4</v>
      </c>
    </row>
    <row r="63" spans="1:29">
      <c r="A63" s="13" t="s">
        <v>266</v>
      </c>
      <c r="B63" s="13" t="s">
        <v>675</v>
      </c>
      <c r="C63" s="145">
        <v>46161</v>
      </c>
      <c r="D63" s="145" t="s">
        <v>469</v>
      </c>
      <c r="E63" s="28">
        <v>0.99631501</v>
      </c>
      <c r="F63" s="13"/>
      <c r="G63" s="18">
        <v>5094258.29</v>
      </c>
      <c r="H63" s="18">
        <v>5075486.01</v>
      </c>
      <c r="I63" s="18">
        <v>5094258.29</v>
      </c>
      <c r="J63" s="18">
        <v>5075486.01</v>
      </c>
      <c r="K63" s="15">
        <v>2717</v>
      </c>
      <c r="L63" s="13" t="s">
        <v>117</v>
      </c>
      <c r="M63" s="13" t="s">
        <v>118</v>
      </c>
      <c r="N63" s="145" t="s">
        <v>209</v>
      </c>
      <c r="O63" s="145" t="s">
        <v>209</v>
      </c>
      <c r="P63" s="28">
        <v>27</v>
      </c>
      <c r="Q63" s="13" t="s">
        <v>54</v>
      </c>
      <c r="R63" s="13" t="s">
        <v>28</v>
      </c>
      <c r="S63" s="13"/>
      <c r="T63" s="13"/>
      <c r="U63" s="13" t="s">
        <v>831</v>
      </c>
      <c r="V63" s="13" t="s">
        <v>831</v>
      </c>
      <c r="W63" s="60">
        <f>+J63/$W$2</f>
        <v>1.3376972780758742E-4</v>
      </c>
      <c r="AC63" s="57"/>
    </row>
    <row r="64" spans="1:29">
      <c r="A64" s="13" t="s">
        <v>266</v>
      </c>
      <c r="B64" s="13" t="s">
        <v>675</v>
      </c>
      <c r="C64" s="145">
        <v>46161</v>
      </c>
      <c r="D64" s="145" t="s">
        <v>469</v>
      </c>
      <c r="E64" s="28">
        <v>0.99631502000000005</v>
      </c>
      <c r="F64" s="13"/>
      <c r="G64" s="18">
        <v>14341517.710000001</v>
      </c>
      <c r="H64" s="18">
        <v>14288669.43</v>
      </c>
      <c r="I64" s="18">
        <v>14341517.710000001</v>
      </c>
      <c r="J64" s="18">
        <v>14288669.43</v>
      </c>
      <c r="K64" s="15">
        <v>2718</v>
      </c>
      <c r="L64" s="13" t="s">
        <v>117</v>
      </c>
      <c r="M64" s="13" t="s">
        <v>118</v>
      </c>
      <c r="N64" s="145" t="s">
        <v>209</v>
      </c>
      <c r="O64" s="145" t="s">
        <v>209</v>
      </c>
      <c r="P64" s="28">
        <v>27</v>
      </c>
      <c r="Q64" s="13" t="s">
        <v>54</v>
      </c>
      <c r="R64" s="13" t="s">
        <v>28</v>
      </c>
      <c r="S64" s="13"/>
      <c r="T64" s="13"/>
      <c r="U64" s="13" t="s">
        <v>832</v>
      </c>
      <c r="V64" s="13" t="s">
        <v>832</v>
      </c>
      <c r="W64" s="60">
        <f>+J64/$W$2</f>
        <v>3.7659278670412397E-4</v>
      </c>
    </row>
    <row r="65" spans="1:29">
      <c r="A65" s="13" t="s">
        <v>266</v>
      </c>
      <c r="B65" s="13" t="s">
        <v>675</v>
      </c>
      <c r="C65" s="145">
        <v>46161</v>
      </c>
      <c r="D65" s="145" t="s">
        <v>469</v>
      </c>
      <c r="E65" s="28">
        <v>0.99631502000000005</v>
      </c>
      <c r="F65" s="13"/>
      <c r="G65" s="18">
        <v>14341517.710000001</v>
      </c>
      <c r="H65" s="18">
        <v>14288669.43</v>
      </c>
      <c r="I65" s="18">
        <v>14341517.710000001</v>
      </c>
      <c r="J65" s="18">
        <v>14288669.43</v>
      </c>
      <c r="K65" s="15">
        <v>2719</v>
      </c>
      <c r="L65" s="13" t="s">
        <v>117</v>
      </c>
      <c r="M65" s="13" t="s">
        <v>118</v>
      </c>
      <c r="N65" s="145" t="s">
        <v>209</v>
      </c>
      <c r="O65" s="145" t="s">
        <v>209</v>
      </c>
      <c r="P65" s="28">
        <v>27</v>
      </c>
      <c r="Q65" s="13" t="s">
        <v>54</v>
      </c>
      <c r="R65" s="13" t="s">
        <v>28</v>
      </c>
      <c r="S65" s="13"/>
      <c r="T65" s="13"/>
      <c r="U65" s="13" t="s">
        <v>833</v>
      </c>
      <c r="V65" s="13" t="s">
        <v>833</v>
      </c>
      <c r="W65" s="60">
        <f>+J65/$W$2</f>
        <v>3.7659278670412397E-4</v>
      </c>
    </row>
    <row r="66" spans="1:29">
      <c r="A66" s="13" t="s">
        <v>266</v>
      </c>
      <c r="B66" s="13" t="s">
        <v>675</v>
      </c>
      <c r="C66" s="145">
        <v>46161</v>
      </c>
      <c r="D66" s="145" t="s">
        <v>469</v>
      </c>
      <c r="E66" s="28">
        <v>0.99631502000000005</v>
      </c>
      <c r="F66" s="13"/>
      <c r="G66" s="18">
        <v>8981057.8800000008</v>
      </c>
      <c r="H66" s="18">
        <v>8947962.8200000003</v>
      </c>
      <c r="I66" s="18">
        <v>8981057.8800000008</v>
      </c>
      <c r="J66" s="18">
        <v>8947962.8200000003</v>
      </c>
      <c r="K66" s="15">
        <v>2733</v>
      </c>
      <c r="L66" s="13" t="s">
        <v>117</v>
      </c>
      <c r="M66" s="13" t="s">
        <v>118</v>
      </c>
      <c r="N66" s="145" t="s">
        <v>209</v>
      </c>
      <c r="O66" s="145" t="s">
        <v>209</v>
      </c>
      <c r="P66" s="28">
        <v>27</v>
      </c>
      <c r="Q66" s="13" t="s">
        <v>54</v>
      </c>
      <c r="R66" s="13" t="s">
        <v>28</v>
      </c>
      <c r="S66" s="13"/>
      <c r="T66" s="13"/>
      <c r="U66" s="13" t="s">
        <v>837</v>
      </c>
      <c r="V66" s="13" t="s">
        <v>837</v>
      </c>
      <c r="W66" s="60">
        <f>+J66/$W$2</f>
        <v>2.3583289334370806E-4</v>
      </c>
    </row>
    <row r="67" spans="1:29">
      <c r="A67" s="13" t="s">
        <v>323</v>
      </c>
      <c r="B67" s="13" t="s">
        <v>675</v>
      </c>
      <c r="C67" s="145">
        <v>46161</v>
      </c>
      <c r="D67" s="145" t="s">
        <v>469</v>
      </c>
      <c r="E67" s="28">
        <v>0.99468593999999999</v>
      </c>
      <c r="F67" s="13"/>
      <c r="G67" s="18">
        <v>50000000</v>
      </c>
      <c r="H67" s="18">
        <v>49734297.039999999</v>
      </c>
      <c r="I67" s="18">
        <v>50000000</v>
      </c>
      <c r="J67" s="18">
        <v>49734297.039999999</v>
      </c>
      <c r="K67" s="15">
        <v>4292</v>
      </c>
      <c r="L67" s="13" t="s">
        <v>117</v>
      </c>
      <c r="M67" s="13" t="s">
        <v>118</v>
      </c>
      <c r="N67" s="145" t="s">
        <v>305</v>
      </c>
      <c r="O67" s="145" t="s">
        <v>305</v>
      </c>
      <c r="P67" s="28">
        <v>39</v>
      </c>
      <c r="Q67" s="13" t="s">
        <v>54</v>
      </c>
      <c r="R67" s="13" t="s">
        <v>28</v>
      </c>
      <c r="S67" s="13"/>
      <c r="T67" s="13"/>
      <c r="U67" s="13" t="s">
        <v>537</v>
      </c>
      <c r="V67" s="13" t="s">
        <v>537</v>
      </c>
      <c r="W67" s="60">
        <f>+J67/$W$2</f>
        <v>1.310799274125573E-3</v>
      </c>
    </row>
    <row r="68" spans="1:29">
      <c r="A68" s="13" t="s">
        <v>552</v>
      </c>
      <c r="B68" s="13" t="s">
        <v>675</v>
      </c>
      <c r="C68" s="145">
        <v>46161</v>
      </c>
      <c r="D68" s="145" t="s">
        <v>469</v>
      </c>
      <c r="E68" s="28">
        <v>0.99414411000000003</v>
      </c>
      <c r="F68" s="13"/>
      <c r="G68" s="18">
        <v>5340010.59</v>
      </c>
      <c r="H68" s="18">
        <v>5308740.07</v>
      </c>
      <c r="I68" s="18">
        <v>5340010.59</v>
      </c>
      <c r="J68" s="18">
        <v>5308740.07</v>
      </c>
      <c r="K68" s="15">
        <v>9138784</v>
      </c>
      <c r="L68" s="13" t="s">
        <v>117</v>
      </c>
      <c r="M68" s="13" t="s">
        <v>118</v>
      </c>
      <c r="N68" s="145" t="s">
        <v>206</v>
      </c>
      <c r="O68" s="145" t="s">
        <v>206</v>
      </c>
      <c r="P68" s="28">
        <v>43</v>
      </c>
      <c r="Q68" s="13" t="s">
        <v>54</v>
      </c>
      <c r="R68" s="13" t="s">
        <v>28</v>
      </c>
      <c r="S68" s="13"/>
      <c r="T68" s="13"/>
      <c r="U68" s="13" t="s">
        <v>694</v>
      </c>
      <c r="V68" s="13" t="s">
        <v>694</v>
      </c>
      <c r="W68" s="60">
        <f>+J68/$W$2</f>
        <v>1.3991738185583781E-4</v>
      </c>
    </row>
    <row r="69" spans="1:29">
      <c r="A69" s="13" t="s">
        <v>526</v>
      </c>
      <c r="B69" s="13" t="s">
        <v>675</v>
      </c>
      <c r="C69" s="145">
        <v>46161</v>
      </c>
      <c r="D69" s="145" t="s">
        <v>469</v>
      </c>
      <c r="E69" s="28">
        <v>0.99414409999999998</v>
      </c>
      <c r="F69" s="13"/>
      <c r="G69" s="18">
        <v>2000000</v>
      </c>
      <c r="H69" s="18">
        <v>1988288.21</v>
      </c>
      <c r="I69" s="18">
        <v>2000000</v>
      </c>
      <c r="J69" s="18">
        <v>1988288.21</v>
      </c>
      <c r="K69" s="15">
        <v>3178</v>
      </c>
      <c r="L69" s="13" t="s">
        <v>117</v>
      </c>
      <c r="M69" s="13" t="s">
        <v>118</v>
      </c>
      <c r="N69" s="145" t="s">
        <v>206</v>
      </c>
      <c r="O69" s="145" t="s">
        <v>206</v>
      </c>
      <c r="P69" s="28">
        <v>43</v>
      </c>
      <c r="Q69" s="13" t="s">
        <v>54</v>
      </c>
      <c r="R69" s="13" t="s">
        <v>28</v>
      </c>
      <c r="S69" s="13"/>
      <c r="T69" s="13"/>
      <c r="U69" s="13" t="s">
        <v>697</v>
      </c>
      <c r="V69" s="13" t="s">
        <v>697</v>
      </c>
      <c r="W69" s="60">
        <f>+J69/$W$2</f>
        <v>5.2403409669675204E-5</v>
      </c>
    </row>
    <row r="70" spans="1:29">
      <c r="A70" s="13" t="s">
        <v>784</v>
      </c>
      <c r="B70" s="13" t="s">
        <v>675</v>
      </c>
      <c r="C70" s="145">
        <v>46162</v>
      </c>
      <c r="D70" s="145" t="s">
        <v>469</v>
      </c>
      <c r="E70" s="28">
        <v>0.99330540000000001</v>
      </c>
      <c r="F70" s="13"/>
      <c r="G70" s="18">
        <v>2432626</v>
      </c>
      <c r="H70" s="18">
        <v>2416340.5499999998</v>
      </c>
      <c r="I70" s="18">
        <v>2432626</v>
      </c>
      <c r="J70" s="18">
        <v>2416340.5499999998</v>
      </c>
      <c r="K70" s="15">
        <v>231</v>
      </c>
      <c r="L70" s="13" t="s">
        <v>117</v>
      </c>
      <c r="M70" s="13" t="s">
        <v>118</v>
      </c>
      <c r="N70" s="145" t="s">
        <v>387</v>
      </c>
      <c r="O70" s="145" t="s">
        <v>387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775</v>
      </c>
      <c r="V70" s="13" t="s">
        <v>775</v>
      </c>
      <c r="W70" s="60">
        <f>+J70/$W$2</f>
        <v>6.3685175572759792E-5</v>
      </c>
    </row>
    <row r="71" spans="1:29">
      <c r="A71" s="13" t="s">
        <v>865</v>
      </c>
      <c r="B71" s="13" t="s">
        <v>675</v>
      </c>
      <c r="C71" s="145">
        <v>46162</v>
      </c>
      <c r="D71" s="145" t="s">
        <v>469</v>
      </c>
      <c r="E71" s="28">
        <v>0.99379222</v>
      </c>
      <c r="F71" s="13"/>
      <c r="G71" s="18">
        <v>10000000</v>
      </c>
      <c r="H71" s="18">
        <v>9937922.1500000004</v>
      </c>
      <c r="I71" s="18">
        <v>10000000</v>
      </c>
      <c r="J71" s="18">
        <v>9937922.1500000004</v>
      </c>
      <c r="K71" s="15">
        <v>165</v>
      </c>
      <c r="L71" s="13" t="s">
        <v>117</v>
      </c>
      <c r="M71" s="13" t="s">
        <v>118</v>
      </c>
      <c r="N71" s="145" t="s">
        <v>209</v>
      </c>
      <c r="O71" s="145" t="s">
        <v>209</v>
      </c>
      <c r="P71" s="28">
        <v>38</v>
      </c>
      <c r="Q71" s="13" t="s">
        <v>54</v>
      </c>
      <c r="R71" s="13" t="s">
        <v>28</v>
      </c>
      <c r="S71" s="13"/>
      <c r="T71" s="13"/>
      <c r="U71" s="13" t="s">
        <v>845</v>
      </c>
      <c r="V71" s="13" t="s">
        <v>845</v>
      </c>
      <c r="W71" s="60">
        <f>+J71/$W$2</f>
        <v>2.6192430406846769E-4</v>
      </c>
    </row>
    <row r="72" spans="1:29">
      <c r="A72" s="13" t="s">
        <v>1026</v>
      </c>
      <c r="B72" s="13" t="s">
        <v>675</v>
      </c>
      <c r="C72" s="145">
        <v>46162</v>
      </c>
      <c r="D72" s="145" t="s">
        <v>469</v>
      </c>
      <c r="E72" s="28">
        <v>0.99639661999999996</v>
      </c>
      <c r="F72" s="13"/>
      <c r="G72" s="18">
        <v>1693262.6</v>
      </c>
      <c r="H72" s="18">
        <v>1687161.14</v>
      </c>
      <c r="I72" s="18">
        <v>1693262.6</v>
      </c>
      <c r="J72" s="18">
        <v>1687161.14</v>
      </c>
      <c r="K72" s="15">
        <v>9821</v>
      </c>
      <c r="L72" s="13" t="s">
        <v>117</v>
      </c>
      <c r="M72" s="13" t="s">
        <v>118</v>
      </c>
      <c r="N72" s="145" t="s">
        <v>386</v>
      </c>
      <c r="O72" s="145" t="s">
        <v>386</v>
      </c>
      <c r="P72" s="28">
        <v>22</v>
      </c>
      <c r="Q72" s="13" t="s">
        <v>54</v>
      </c>
      <c r="R72" s="13" t="s">
        <v>28</v>
      </c>
      <c r="S72" s="13"/>
      <c r="T72" s="13"/>
      <c r="U72" s="13" t="s">
        <v>1011</v>
      </c>
      <c r="V72" s="13" t="s">
        <v>1011</v>
      </c>
      <c r="W72" s="60">
        <f>+J72/$W$2</f>
        <v>4.4466891647552563E-5</v>
      </c>
      <c r="AC72" s="57"/>
    </row>
    <row r="73" spans="1:29">
      <c r="A73" s="13" t="s">
        <v>494</v>
      </c>
      <c r="B73" s="13" t="s">
        <v>675</v>
      </c>
      <c r="C73" s="145">
        <v>46162</v>
      </c>
      <c r="D73" s="145" t="s">
        <v>469</v>
      </c>
      <c r="E73" s="28">
        <v>0.99298114000000004</v>
      </c>
      <c r="F73" s="13"/>
      <c r="G73" s="18">
        <v>1097446.05</v>
      </c>
      <c r="H73" s="18">
        <v>1089743.23</v>
      </c>
      <c r="I73" s="18">
        <v>1097446.05</v>
      </c>
      <c r="J73" s="18">
        <v>1089743.23</v>
      </c>
      <c r="K73" s="15">
        <v>3333</v>
      </c>
      <c r="L73" s="13" t="s">
        <v>117</v>
      </c>
      <c r="M73" s="13" t="s">
        <v>118</v>
      </c>
      <c r="N73" s="145" t="s">
        <v>206</v>
      </c>
      <c r="O73" s="145" t="s">
        <v>206</v>
      </c>
      <c r="P73" s="28">
        <v>43</v>
      </c>
      <c r="Q73" s="13" t="s">
        <v>54</v>
      </c>
      <c r="R73" s="13" t="s">
        <v>28</v>
      </c>
      <c r="S73" s="13"/>
      <c r="T73" s="13"/>
      <c r="U73" s="13" t="s">
        <v>711</v>
      </c>
      <c r="V73" s="13" t="s">
        <v>711</v>
      </c>
      <c r="W73" s="60">
        <f>+J73/$W$2</f>
        <v>2.8721319489414005E-5</v>
      </c>
    </row>
    <row r="74" spans="1:29">
      <c r="A74" s="13" t="s">
        <v>551</v>
      </c>
      <c r="B74" s="13" t="s">
        <v>675</v>
      </c>
      <c r="C74" s="145">
        <v>46162</v>
      </c>
      <c r="D74" s="145" t="s">
        <v>469</v>
      </c>
      <c r="E74" s="28">
        <v>0.99330541000000006</v>
      </c>
      <c r="F74" s="13"/>
      <c r="G74" s="18">
        <v>2265209.19</v>
      </c>
      <c r="H74" s="18">
        <v>2250044.5299999998</v>
      </c>
      <c r="I74" s="18">
        <v>2265209.19</v>
      </c>
      <c r="J74" s="18">
        <v>2250044.5299999998</v>
      </c>
      <c r="K74" s="15">
        <v>90021482</v>
      </c>
      <c r="L74" s="13" t="s">
        <v>117</v>
      </c>
      <c r="M74" s="13" t="s">
        <v>118</v>
      </c>
      <c r="N74" s="145" t="s">
        <v>387</v>
      </c>
      <c r="O74" s="145" t="s">
        <v>387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774</v>
      </c>
      <c r="V74" s="13" t="s">
        <v>774</v>
      </c>
      <c r="W74" s="60">
        <f>+J74/$W$2</f>
        <v>5.9302270509667098E-5</v>
      </c>
    </row>
    <row r="75" spans="1:29">
      <c r="A75" s="13" t="s">
        <v>492</v>
      </c>
      <c r="B75" s="13" t="s">
        <v>675</v>
      </c>
      <c r="C75" s="145">
        <v>46162</v>
      </c>
      <c r="D75" s="145" t="s">
        <v>469</v>
      </c>
      <c r="E75" s="28">
        <v>0.99298114000000004</v>
      </c>
      <c r="F75" s="13"/>
      <c r="G75" s="18">
        <v>2714317.54</v>
      </c>
      <c r="H75" s="18">
        <v>2695266.12</v>
      </c>
      <c r="I75" s="18">
        <v>2714317.54</v>
      </c>
      <c r="J75" s="18">
        <v>2695266.12</v>
      </c>
      <c r="K75" s="15">
        <v>8838124</v>
      </c>
      <c r="L75" s="13" t="s">
        <v>117</v>
      </c>
      <c r="M75" s="13" t="s">
        <v>118</v>
      </c>
      <c r="N75" s="145" t="s">
        <v>206</v>
      </c>
      <c r="O75" s="145" t="s">
        <v>206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702</v>
      </c>
      <c r="V75" s="13" t="s">
        <v>702</v>
      </c>
      <c r="W75" s="60">
        <f>+J75/$W$2</f>
        <v>7.1036549904983828E-5</v>
      </c>
    </row>
    <row r="76" spans="1:29">
      <c r="A76" s="13" t="s">
        <v>493</v>
      </c>
      <c r="B76" s="13" t="s">
        <v>675</v>
      </c>
      <c r="C76" s="145">
        <v>46162</v>
      </c>
      <c r="D76" s="145" t="s">
        <v>469</v>
      </c>
      <c r="E76" s="28">
        <v>0.99298114000000004</v>
      </c>
      <c r="F76" s="13"/>
      <c r="G76" s="18">
        <v>2000000</v>
      </c>
      <c r="H76" s="18">
        <v>1985962.28</v>
      </c>
      <c r="I76" s="18">
        <v>2000000</v>
      </c>
      <c r="J76" s="18">
        <v>1985962.28</v>
      </c>
      <c r="K76" s="15">
        <v>1145</v>
      </c>
      <c r="L76" s="13" t="s">
        <v>117</v>
      </c>
      <c r="M76" s="13" t="s">
        <v>118</v>
      </c>
      <c r="N76" s="145" t="s">
        <v>206</v>
      </c>
      <c r="O76" s="145" t="s">
        <v>206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708</v>
      </c>
      <c r="V76" s="13" t="s">
        <v>708</v>
      </c>
      <c r="W76" s="60">
        <f>+J76/$W$2</f>
        <v>5.234210735845092E-5</v>
      </c>
    </row>
    <row r="77" spans="1:29">
      <c r="A77" s="13" t="s">
        <v>676</v>
      </c>
      <c r="B77" s="13" t="s">
        <v>675</v>
      </c>
      <c r="C77" s="145">
        <v>46162</v>
      </c>
      <c r="D77" s="145" t="s">
        <v>469</v>
      </c>
      <c r="E77" s="28">
        <v>0.99346760999999995</v>
      </c>
      <c r="F77" s="13"/>
      <c r="G77" s="18">
        <v>45844820</v>
      </c>
      <c r="H77" s="18">
        <v>45545343.920000002</v>
      </c>
      <c r="I77" s="18">
        <v>45844820</v>
      </c>
      <c r="J77" s="18">
        <v>45545343.920000002</v>
      </c>
      <c r="K77" s="15">
        <v>288</v>
      </c>
      <c r="L77" s="13" t="s">
        <v>117</v>
      </c>
      <c r="M77" s="13" t="s">
        <v>118</v>
      </c>
      <c r="N77" s="145" t="s">
        <v>377</v>
      </c>
      <c r="O77" s="145" t="s">
        <v>377</v>
      </c>
      <c r="P77" s="28">
        <v>40</v>
      </c>
      <c r="Q77" s="13" t="s">
        <v>54</v>
      </c>
      <c r="R77" s="13" t="s">
        <v>28</v>
      </c>
      <c r="S77" s="13"/>
      <c r="T77" s="13"/>
      <c r="U77" s="13" t="s">
        <v>671</v>
      </c>
      <c r="V77" s="13" t="s">
        <v>671</v>
      </c>
      <c r="W77" s="60">
        <f>+J77/$W$2</f>
        <v>1.2003950453370192E-3</v>
      </c>
    </row>
    <row r="78" spans="1:29">
      <c r="A78" s="13" t="s">
        <v>405</v>
      </c>
      <c r="B78" s="13" t="s">
        <v>675</v>
      </c>
      <c r="C78" s="145">
        <v>46162</v>
      </c>
      <c r="D78" s="145" t="s">
        <v>469</v>
      </c>
      <c r="E78" s="28">
        <v>0.99525554000000005</v>
      </c>
      <c r="F78" s="13"/>
      <c r="G78" s="18">
        <v>30000000</v>
      </c>
      <c r="H78" s="18">
        <v>29857666.170000002</v>
      </c>
      <c r="I78" s="18">
        <v>30000000</v>
      </c>
      <c r="J78" s="18">
        <v>29857666.170000002</v>
      </c>
      <c r="K78" s="15">
        <v>90041864</v>
      </c>
      <c r="L78" s="13" t="s">
        <v>117</v>
      </c>
      <c r="M78" s="13" t="s">
        <v>118</v>
      </c>
      <c r="N78" s="145" t="s">
        <v>528</v>
      </c>
      <c r="O78" s="145" t="s">
        <v>528</v>
      </c>
      <c r="P78" s="28">
        <v>29</v>
      </c>
      <c r="Q78" s="13" t="s">
        <v>54</v>
      </c>
      <c r="R78" s="13" t="s">
        <v>28</v>
      </c>
      <c r="S78" s="13"/>
      <c r="T78" s="13"/>
      <c r="U78" s="13" t="s">
        <v>1274</v>
      </c>
      <c r="V78" s="13" t="s">
        <v>1274</v>
      </c>
      <c r="W78" s="60">
        <f>+J78/$W$2</f>
        <v>7.869299351158513E-4</v>
      </c>
    </row>
    <row r="79" spans="1:29">
      <c r="A79" s="13" t="s">
        <v>203</v>
      </c>
      <c r="B79" s="13" t="s">
        <v>675</v>
      </c>
      <c r="C79" s="145">
        <v>46162</v>
      </c>
      <c r="D79" s="145" t="s">
        <v>469</v>
      </c>
      <c r="E79" s="28">
        <v>0.99395458000000003</v>
      </c>
      <c r="F79" s="13"/>
      <c r="G79" s="18">
        <v>10000000</v>
      </c>
      <c r="H79" s="18">
        <v>9939545.8399999999</v>
      </c>
      <c r="I79" s="18">
        <v>10000000</v>
      </c>
      <c r="J79" s="18">
        <v>9939545.8399999999</v>
      </c>
      <c r="K79" s="15">
        <v>90033757</v>
      </c>
      <c r="L79" s="13" t="s">
        <v>117</v>
      </c>
      <c r="M79" s="13" t="s">
        <v>118</v>
      </c>
      <c r="N79" s="145" t="s">
        <v>277</v>
      </c>
      <c r="O79" s="145" t="s">
        <v>277</v>
      </c>
      <c r="P79" s="28">
        <v>37</v>
      </c>
      <c r="Q79" s="13" t="s">
        <v>54</v>
      </c>
      <c r="R79" s="13" t="s">
        <v>28</v>
      </c>
      <c r="S79" s="13"/>
      <c r="T79" s="13"/>
      <c r="U79" s="13" t="s">
        <v>465</v>
      </c>
      <c r="V79" s="13" t="s">
        <v>465</v>
      </c>
      <c r="W79" s="60">
        <f>+J79/$W$2</f>
        <v>2.6196709811201661E-4</v>
      </c>
    </row>
    <row r="80" spans="1:29">
      <c r="A80" s="13" t="s">
        <v>406</v>
      </c>
      <c r="B80" s="13" t="s">
        <v>675</v>
      </c>
      <c r="C80" s="145">
        <v>46162</v>
      </c>
      <c r="D80" s="145" t="s">
        <v>469</v>
      </c>
      <c r="E80" s="28">
        <v>0.99525554000000005</v>
      </c>
      <c r="F80" s="13"/>
      <c r="G80" s="18">
        <v>4166666.66</v>
      </c>
      <c r="H80" s="18">
        <v>4146898.07</v>
      </c>
      <c r="I80" s="18">
        <v>4166666.66</v>
      </c>
      <c r="J80" s="18">
        <v>4146898.07</v>
      </c>
      <c r="K80" s="15">
        <v>13567713</v>
      </c>
      <c r="L80" s="13" t="s">
        <v>117</v>
      </c>
      <c r="M80" s="13" t="s">
        <v>118</v>
      </c>
      <c r="N80" s="145" t="s">
        <v>428</v>
      </c>
      <c r="O80" s="145" t="s">
        <v>428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1694</v>
      </c>
      <c r="V80" s="13" t="s">
        <v>1694</v>
      </c>
      <c r="W80" s="60">
        <f>+J80/$W$2</f>
        <v>1.0929582408004895E-4</v>
      </c>
    </row>
    <row r="81" spans="1:29">
      <c r="A81" s="13" t="s">
        <v>1100</v>
      </c>
      <c r="B81" s="13" t="s">
        <v>675</v>
      </c>
      <c r="C81" s="145">
        <v>46162</v>
      </c>
      <c r="D81" s="145" t="s">
        <v>469</v>
      </c>
      <c r="E81" s="28">
        <v>0.99574426000000005</v>
      </c>
      <c r="F81" s="13"/>
      <c r="G81" s="18">
        <v>100000000</v>
      </c>
      <c r="H81" s="18">
        <v>99574426.150000006</v>
      </c>
      <c r="I81" s="18">
        <v>100000000</v>
      </c>
      <c r="J81" s="18">
        <v>99574426.150000006</v>
      </c>
      <c r="K81" s="15">
        <v>1180398</v>
      </c>
      <c r="L81" s="13" t="s">
        <v>117</v>
      </c>
      <c r="M81" s="13" t="s">
        <v>118</v>
      </c>
      <c r="N81" s="145" t="s">
        <v>461</v>
      </c>
      <c r="O81" s="145" t="s">
        <v>461</v>
      </c>
      <c r="P81" s="28">
        <v>26</v>
      </c>
      <c r="Q81" s="13" t="s">
        <v>54</v>
      </c>
      <c r="R81" s="13" t="s">
        <v>28</v>
      </c>
      <c r="S81" s="13"/>
      <c r="T81" s="13"/>
      <c r="U81" s="13" t="s">
        <v>1164</v>
      </c>
      <c r="V81" s="13" t="s">
        <v>1164</v>
      </c>
      <c r="W81" s="60">
        <f>+J81/$W$2</f>
        <v>2.6243878628447277E-3</v>
      </c>
    </row>
    <row r="82" spans="1:29">
      <c r="A82" s="13" t="s">
        <v>550</v>
      </c>
      <c r="B82" s="13" t="s">
        <v>675</v>
      </c>
      <c r="C82" s="145">
        <v>46162</v>
      </c>
      <c r="D82" s="145" t="s">
        <v>469</v>
      </c>
      <c r="E82" s="28">
        <v>0.99298114000000004</v>
      </c>
      <c r="F82" s="13"/>
      <c r="G82" s="18">
        <v>15000000</v>
      </c>
      <c r="H82" s="18">
        <v>14894717.07</v>
      </c>
      <c r="I82" s="18">
        <v>15000000</v>
      </c>
      <c r="J82" s="18">
        <v>14894717.07</v>
      </c>
      <c r="K82" s="15">
        <v>13237799</v>
      </c>
      <c r="L82" s="13" t="s">
        <v>117</v>
      </c>
      <c r="M82" s="13" t="s">
        <v>118</v>
      </c>
      <c r="N82" s="145" t="s">
        <v>206</v>
      </c>
      <c r="O82" s="145" t="s">
        <v>206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686</v>
      </c>
      <c r="V82" s="13" t="s">
        <v>686</v>
      </c>
      <c r="W82" s="60">
        <f>+J82/$W$2</f>
        <v>3.9256580439770062E-4</v>
      </c>
    </row>
    <row r="83" spans="1:29">
      <c r="A83" s="13" t="s">
        <v>1101</v>
      </c>
      <c r="B83" s="13" t="s">
        <v>675</v>
      </c>
      <c r="C83" s="145">
        <v>46162</v>
      </c>
      <c r="D83" s="145" t="s">
        <v>469</v>
      </c>
      <c r="E83" s="28">
        <v>0.99574426000000005</v>
      </c>
      <c r="F83" s="13"/>
      <c r="G83" s="18">
        <v>4566375.4400000004</v>
      </c>
      <c r="H83" s="18">
        <v>4546942.13</v>
      </c>
      <c r="I83" s="18">
        <v>4566375.4400000004</v>
      </c>
      <c r="J83" s="18">
        <v>4546942.13</v>
      </c>
      <c r="K83" s="15">
        <v>40035639</v>
      </c>
      <c r="L83" s="13" t="s">
        <v>117</v>
      </c>
      <c r="M83" s="13" t="s">
        <v>118</v>
      </c>
      <c r="N83" s="145" t="s">
        <v>461</v>
      </c>
      <c r="O83" s="145" t="s">
        <v>461</v>
      </c>
      <c r="P83" s="28">
        <v>26</v>
      </c>
      <c r="Q83" s="13" t="s">
        <v>54</v>
      </c>
      <c r="R83" s="13" t="s">
        <v>28</v>
      </c>
      <c r="S83" s="13"/>
      <c r="T83" s="13"/>
      <c r="U83" s="13" t="s">
        <v>1151</v>
      </c>
      <c r="V83" s="13" t="s">
        <v>1151</v>
      </c>
      <c r="W83" s="60">
        <f>+J83/$W$2</f>
        <v>1.1983940254954062E-4</v>
      </c>
      <c r="AC83" s="57"/>
    </row>
    <row r="84" spans="1:29">
      <c r="A84" s="13" t="s">
        <v>1101</v>
      </c>
      <c r="B84" s="13" t="s">
        <v>675</v>
      </c>
      <c r="C84" s="145">
        <v>46162</v>
      </c>
      <c r="D84" s="145" t="s">
        <v>469</v>
      </c>
      <c r="E84" s="28">
        <v>0.99574425</v>
      </c>
      <c r="F84" s="13"/>
      <c r="G84" s="18">
        <v>12500000</v>
      </c>
      <c r="H84" s="18">
        <v>12446803.09</v>
      </c>
      <c r="I84" s="18">
        <v>12500000</v>
      </c>
      <c r="J84" s="18">
        <v>12446803.09</v>
      </c>
      <c r="K84" s="15">
        <v>21098</v>
      </c>
      <c r="L84" s="13" t="s">
        <v>117</v>
      </c>
      <c r="M84" s="13" t="s">
        <v>118</v>
      </c>
      <c r="N84" s="145" t="s">
        <v>443</v>
      </c>
      <c r="O84" s="145" t="s">
        <v>443</v>
      </c>
      <c r="P84" s="28">
        <v>26</v>
      </c>
      <c r="Q84" s="13" t="s">
        <v>54</v>
      </c>
      <c r="R84" s="13" t="s">
        <v>28</v>
      </c>
      <c r="S84" s="13"/>
      <c r="T84" s="13"/>
      <c r="U84" s="13" t="s">
        <v>1071</v>
      </c>
      <c r="V84" s="13" t="s">
        <v>1071</v>
      </c>
      <c r="W84" s="60">
        <f>+J84/$W$2</f>
        <v>3.2804847814444824E-4</v>
      </c>
    </row>
    <row r="85" spans="1:29">
      <c r="A85" s="13" t="s">
        <v>266</v>
      </c>
      <c r="B85" s="13" t="s">
        <v>675</v>
      </c>
      <c r="C85" s="145">
        <v>46162</v>
      </c>
      <c r="D85" s="145" t="s">
        <v>469</v>
      </c>
      <c r="E85" s="28">
        <v>0.99558126000000002</v>
      </c>
      <c r="F85" s="13"/>
      <c r="G85" s="18">
        <v>14341517.710000001</v>
      </c>
      <c r="H85" s="18">
        <v>14278146.34</v>
      </c>
      <c r="I85" s="18">
        <v>14341517.710000001</v>
      </c>
      <c r="J85" s="18">
        <v>14278146.34</v>
      </c>
      <c r="K85" s="15">
        <v>2720</v>
      </c>
      <c r="L85" s="13" t="s">
        <v>117</v>
      </c>
      <c r="M85" s="13" t="s">
        <v>118</v>
      </c>
      <c r="N85" s="145" t="s">
        <v>209</v>
      </c>
      <c r="O85" s="145" t="s">
        <v>209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834</v>
      </c>
      <c r="V85" s="13" t="s">
        <v>834</v>
      </c>
      <c r="W85" s="60">
        <f>+J85/$W$2</f>
        <v>3.7631543969100616E-4</v>
      </c>
      <c r="AC85" s="57"/>
    </row>
    <row r="86" spans="1:29">
      <c r="A86" s="13" t="s">
        <v>780</v>
      </c>
      <c r="B86" s="13" t="s">
        <v>675</v>
      </c>
      <c r="C86" s="145">
        <v>46162</v>
      </c>
      <c r="D86" s="145" t="s">
        <v>469</v>
      </c>
      <c r="E86" s="28">
        <v>0.99330540000000001</v>
      </c>
      <c r="F86" s="13"/>
      <c r="G86" s="18">
        <v>13296076.9</v>
      </c>
      <c r="H86" s="18">
        <v>13207065.01</v>
      </c>
      <c r="I86" s="18">
        <v>13296076.9</v>
      </c>
      <c r="J86" s="18">
        <v>13207065.01</v>
      </c>
      <c r="K86" s="15">
        <v>30418</v>
      </c>
      <c r="L86" s="13" t="s">
        <v>117</v>
      </c>
      <c r="M86" s="13" t="s">
        <v>118</v>
      </c>
      <c r="N86" s="145" t="s">
        <v>387</v>
      </c>
      <c r="O86" s="145" t="s">
        <v>387</v>
      </c>
      <c r="P86" s="28">
        <v>41</v>
      </c>
      <c r="Q86" s="13" t="s">
        <v>54</v>
      </c>
      <c r="R86" s="13" t="s">
        <v>28</v>
      </c>
      <c r="S86" s="13"/>
      <c r="T86" s="13"/>
      <c r="U86" s="13" t="s">
        <v>759</v>
      </c>
      <c r="V86" s="13" t="s">
        <v>759</v>
      </c>
      <c r="W86" s="60">
        <f>+J86/$W$2</f>
        <v>3.4808597404149122E-4</v>
      </c>
    </row>
    <row r="87" spans="1:29">
      <c r="A87" s="13" t="s">
        <v>550</v>
      </c>
      <c r="B87" s="13" t="s">
        <v>675</v>
      </c>
      <c r="C87" s="145">
        <v>46162</v>
      </c>
      <c r="D87" s="145" t="s">
        <v>469</v>
      </c>
      <c r="E87" s="28">
        <v>0.99298114999999998</v>
      </c>
      <c r="F87" s="13"/>
      <c r="G87" s="18">
        <v>20000000</v>
      </c>
      <c r="H87" s="18">
        <v>19859622.989999998</v>
      </c>
      <c r="I87" s="18">
        <v>20000000</v>
      </c>
      <c r="J87" s="18">
        <v>19859622.989999998</v>
      </c>
      <c r="K87" s="15">
        <v>13237777</v>
      </c>
      <c r="L87" s="13" t="s">
        <v>117</v>
      </c>
      <c r="M87" s="13" t="s">
        <v>118</v>
      </c>
      <c r="N87" s="145" t="s">
        <v>304</v>
      </c>
      <c r="O87" s="145" t="s">
        <v>304</v>
      </c>
      <c r="P87" s="28">
        <v>43</v>
      </c>
      <c r="Q87" s="13" t="s">
        <v>54</v>
      </c>
      <c r="R87" s="13" t="s">
        <v>28</v>
      </c>
      <c r="S87" s="13"/>
      <c r="T87" s="13"/>
      <c r="U87" s="13" t="s">
        <v>636</v>
      </c>
      <c r="V87" s="13" t="s">
        <v>636</v>
      </c>
      <c r="W87" s="60">
        <f>+J87/$W$2</f>
        <v>5.2342107859215735E-4</v>
      </c>
    </row>
    <row r="88" spans="1:29">
      <c r="A88" s="13" t="s">
        <v>677</v>
      </c>
      <c r="B88" s="13" t="s">
        <v>675</v>
      </c>
      <c r="C88" s="145">
        <v>46162</v>
      </c>
      <c r="D88" s="145" t="s">
        <v>469</v>
      </c>
      <c r="E88" s="28">
        <v>0.99314323000000004</v>
      </c>
      <c r="F88" s="13"/>
      <c r="G88" s="18">
        <v>50000000</v>
      </c>
      <c r="H88" s="18">
        <v>49657161.689999998</v>
      </c>
      <c r="I88" s="18">
        <v>50000000</v>
      </c>
      <c r="J88" s="18">
        <v>49657161.689999998</v>
      </c>
      <c r="K88" s="15">
        <v>65500607</v>
      </c>
      <c r="L88" s="13" t="s">
        <v>117</v>
      </c>
      <c r="M88" s="13" t="s">
        <v>118</v>
      </c>
      <c r="N88" s="145" t="s">
        <v>377</v>
      </c>
      <c r="O88" s="145" t="s">
        <v>377</v>
      </c>
      <c r="P88" s="28">
        <v>42</v>
      </c>
      <c r="Q88" s="13" t="s">
        <v>54</v>
      </c>
      <c r="R88" s="13" t="s">
        <v>28</v>
      </c>
      <c r="S88" s="13"/>
      <c r="T88" s="13"/>
      <c r="U88" s="13" t="s">
        <v>672</v>
      </c>
      <c r="V88" s="13" t="s">
        <v>672</v>
      </c>
      <c r="W88" s="60">
        <f>+J88/$W$2</f>
        <v>1.3087662915198652E-3</v>
      </c>
    </row>
    <row r="89" spans="1:29">
      <c r="A89" s="13" t="s">
        <v>196</v>
      </c>
      <c r="B89" s="13" t="s">
        <v>675</v>
      </c>
      <c r="C89" s="145">
        <v>46162</v>
      </c>
      <c r="D89" s="145" t="s">
        <v>469</v>
      </c>
      <c r="E89" s="28">
        <v>0.99411700999999997</v>
      </c>
      <c r="F89" s="13"/>
      <c r="G89" s="18">
        <v>5000000</v>
      </c>
      <c r="H89" s="18">
        <v>4970585.04</v>
      </c>
      <c r="I89" s="18">
        <v>5000000</v>
      </c>
      <c r="J89" s="18">
        <v>4970585.04</v>
      </c>
      <c r="K89" s="15">
        <v>13420536</v>
      </c>
      <c r="L89" s="13" t="s">
        <v>117</v>
      </c>
      <c r="M89" s="13" t="s">
        <v>118</v>
      </c>
      <c r="N89" s="145" t="s">
        <v>442</v>
      </c>
      <c r="O89" s="145" t="s">
        <v>442</v>
      </c>
      <c r="P89" s="28">
        <v>36</v>
      </c>
      <c r="Q89" s="13" t="s">
        <v>54</v>
      </c>
      <c r="R89" s="13" t="s">
        <v>28</v>
      </c>
      <c r="S89" s="13"/>
      <c r="T89" s="13"/>
      <c r="U89" s="13" t="s">
        <v>986</v>
      </c>
      <c r="V89" s="13" t="s">
        <v>986</v>
      </c>
      <c r="W89" s="60">
        <f>+J89/$W$2</f>
        <v>1.3100495332569461E-4</v>
      </c>
      <c r="AC89" s="57"/>
    </row>
    <row r="90" spans="1:29">
      <c r="A90" s="13" t="s">
        <v>722</v>
      </c>
      <c r="B90" s="13" t="s">
        <v>675</v>
      </c>
      <c r="C90" s="145">
        <v>46162</v>
      </c>
      <c r="D90" s="145" t="s">
        <v>469</v>
      </c>
      <c r="E90" s="28">
        <v>0.99346763999999999</v>
      </c>
      <c r="F90" s="13"/>
      <c r="G90" s="18">
        <v>40000000</v>
      </c>
      <c r="H90" s="18">
        <v>39738705.520000003</v>
      </c>
      <c r="I90" s="18">
        <v>40000000</v>
      </c>
      <c r="J90" s="18">
        <v>39738705.520000003</v>
      </c>
      <c r="K90" s="15">
        <v>226</v>
      </c>
      <c r="L90" s="13" t="s">
        <v>117</v>
      </c>
      <c r="M90" s="13" t="s">
        <v>118</v>
      </c>
      <c r="N90" s="145" t="s">
        <v>403</v>
      </c>
      <c r="O90" s="145" t="s">
        <v>403</v>
      </c>
      <c r="P90" s="28">
        <v>40</v>
      </c>
      <c r="Q90" s="13" t="s">
        <v>54</v>
      </c>
      <c r="R90" s="13" t="s">
        <v>28</v>
      </c>
      <c r="S90" s="13"/>
      <c r="T90" s="13"/>
      <c r="U90" s="13" t="s">
        <v>725</v>
      </c>
      <c r="V90" s="13" t="s">
        <v>725</v>
      </c>
      <c r="W90" s="60">
        <f>+J90/$W$2</f>
        <v>1.0473550336583968E-3</v>
      </c>
    </row>
    <row r="91" spans="1:29">
      <c r="A91" s="13" t="s">
        <v>865</v>
      </c>
      <c r="B91" s="13" t="s">
        <v>675</v>
      </c>
      <c r="C91" s="145">
        <v>46163</v>
      </c>
      <c r="D91" s="145" t="s">
        <v>469</v>
      </c>
      <c r="E91" s="28">
        <v>0.99276505999999998</v>
      </c>
      <c r="F91" s="13"/>
      <c r="G91" s="18">
        <v>10000000</v>
      </c>
      <c r="H91" s="18">
        <v>9927650.5700000003</v>
      </c>
      <c r="I91" s="18">
        <v>10000000</v>
      </c>
      <c r="J91" s="18">
        <v>9927650.5700000003</v>
      </c>
      <c r="K91" s="15">
        <v>166</v>
      </c>
      <c r="L91" s="13" t="s">
        <v>117</v>
      </c>
      <c r="M91" s="13" t="s">
        <v>118</v>
      </c>
      <c r="N91" s="145" t="s">
        <v>209</v>
      </c>
      <c r="O91" s="145" t="s">
        <v>209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846</v>
      </c>
      <c r="V91" s="13" t="s">
        <v>846</v>
      </c>
      <c r="W91" s="60">
        <f>+J91/$W$2</f>
        <v>2.616535858637388E-4</v>
      </c>
    </row>
    <row r="92" spans="1:29">
      <c r="A92" s="13" t="s">
        <v>593</v>
      </c>
      <c r="B92" s="13" t="s">
        <v>675</v>
      </c>
      <c r="C92" s="145">
        <v>46163</v>
      </c>
      <c r="D92" s="145" t="s">
        <v>469</v>
      </c>
      <c r="E92" s="28">
        <v>0.99238718000000004</v>
      </c>
      <c r="F92" s="13"/>
      <c r="G92" s="18">
        <v>7421535.6900000004</v>
      </c>
      <c r="H92" s="18">
        <v>7365036.8600000003</v>
      </c>
      <c r="I92" s="18">
        <v>7421535.6900000004</v>
      </c>
      <c r="J92" s="18">
        <v>7365036.8600000003</v>
      </c>
      <c r="K92" s="15">
        <v>72418018</v>
      </c>
      <c r="L92" s="13" t="s">
        <v>117</v>
      </c>
      <c r="M92" s="13" t="s">
        <v>118</v>
      </c>
      <c r="N92" s="145" t="s">
        <v>208</v>
      </c>
      <c r="O92" s="145" t="s">
        <v>208</v>
      </c>
      <c r="P92" s="28">
        <v>40</v>
      </c>
      <c r="Q92" s="13" t="s">
        <v>54</v>
      </c>
      <c r="R92" s="13" t="s">
        <v>28</v>
      </c>
      <c r="S92" s="13"/>
      <c r="T92" s="13"/>
      <c r="U92" s="13" t="s">
        <v>589</v>
      </c>
      <c r="V92" s="13" t="s">
        <v>589</v>
      </c>
      <c r="W92" s="60">
        <f>+J92/$W$2</f>
        <v>1.941132285881423E-4</v>
      </c>
    </row>
    <row r="93" spans="1:29">
      <c r="A93" s="13" t="s">
        <v>1100</v>
      </c>
      <c r="B93" s="13" t="s">
        <v>675</v>
      </c>
      <c r="C93" s="145">
        <v>46163</v>
      </c>
      <c r="D93" s="145" t="s">
        <v>469</v>
      </c>
      <c r="E93" s="28">
        <v>0.99465886000000003</v>
      </c>
      <c r="F93" s="13"/>
      <c r="G93" s="18">
        <v>30000000</v>
      </c>
      <c r="H93" s="18">
        <v>29839765.73</v>
      </c>
      <c r="I93" s="18">
        <v>30000000</v>
      </c>
      <c r="J93" s="18">
        <v>29839765.73</v>
      </c>
      <c r="K93" s="15">
        <v>11037</v>
      </c>
      <c r="L93" s="13" t="s">
        <v>117</v>
      </c>
      <c r="M93" s="13" t="s">
        <v>118</v>
      </c>
      <c r="N93" s="145" t="s">
        <v>462</v>
      </c>
      <c r="O93" s="145" t="s">
        <v>462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1716</v>
      </c>
      <c r="V93" s="13" t="s">
        <v>1716</v>
      </c>
      <c r="W93" s="60">
        <f>+J93/$W$2</f>
        <v>7.864581503484974E-4</v>
      </c>
    </row>
    <row r="94" spans="1:29">
      <c r="A94" s="13" t="s">
        <v>550</v>
      </c>
      <c r="B94" s="13" t="s">
        <v>675</v>
      </c>
      <c r="C94" s="145">
        <v>46163</v>
      </c>
      <c r="D94" s="145" t="s">
        <v>469</v>
      </c>
      <c r="E94" s="28">
        <v>0.99182088000000002</v>
      </c>
      <c r="F94" s="13"/>
      <c r="G94" s="18">
        <v>15000000</v>
      </c>
      <c r="H94" s="18">
        <v>14877313.24</v>
      </c>
      <c r="I94" s="18">
        <v>15000000</v>
      </c>
      <c r="J94" s="18">
        <v>14877313.24</v>
      </c>
      <c r="K94" s="15">
        <v>13237800</v>
      </c>
      <c r="L94" s="13" t="s">
        <v>117</v>
      </c>
      <c r="M94" s="13" t="s">
        <v>118</v>
      </c>
      <c r="N94" s="145" t="s">
        <v>206</v>
      </c>
      <c r="O94" s="145" t="s">
        <v>206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687</v>
      </c>
      <c r="V94" s="13" t="s">
        <v>687</v>
      </c>
      <c r="W94" s="60">
        <f>+J94/$W$2</f>
        <v>3.9210710830488849E-4</v>
      </c>
    </row>
    <row r="95" spans="1:29">
      <c r="A95" s="13" t="s">
        <v>1101</v>
      </c>
      <c r="B95" s="13" t="s">
        <v>675</v>
      </c>
      <c r="C95" s="145">
        <v>46163</v>
      </c>
      <c r="D95" s="145" t="s">
        <v>469</v>
      </c>
      <c r="E95" s="28">
        <v>0.99503845999999996</v>
      </c>
      <c r="F95" s="13"/>
      <c r="G95" s="18">
        <v>12500000</v>
      </c>
      <c r="H95" s="18">
        <v>12437980.75</v>
      </c>
      <c r="I95" s="18">
        <v>12500000</v>
      </c>
      <c r="J95" s="18">
        <v>12437980.75</v>
      </c>
      <c r="K95" s="15">
        <v>21099</v>
      </c>
      <c r="L95" s="13" t="s">
        <v>117</v>
      </c>
      <c r="M95" s="13" t="s">
        <v>118</v>
      </c>
      <c r="N95" s="145" t="s">
        <v>443</v>
      </c>
      <c r="O95" s="145" t="s">
        <v>443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1072</v>
      </c>
      <c r="V95" s="13" t="s">
        <v>1072</v>
      </c>
      <c r="W95" s="60">
        <f>+J95/$W$2</f>
        <v>3.2781595617155726E-4</v>
      </c>
      <c r="AC95" s="57"/>
    </row>
    <row r="96" spans="1:29">
      <c r="A96" s="13" t="s">
        <v>780</v>
      </c>
      <c r="B96" s="13" t="s">
        <v>675</v>
      </c>
      <c r="C96" s="145">
        <v>46163</v>
      </c>
      <c r="D96" s="145" t="s">
        <v>469</v>
      </c>
      <c r="E96" s="28">
        <v>0.99219838000000005</v>
      </c>
      <c r="F96" s="13"/>
      <c r="G96" s="18">
        <v>13296076.9</v>
      </c>
      <c r="H96" s="18">
        <v>13192345.949999999</v>
      </c>
      <c r="I96" s="18">
        <v>13296076.9</v>
      </c>
      <c r="J96" s="18">
        <v>13192345.949999999</v>
      </c>
      <c r="K96" s="15">
        <v>30419</v>
      </c>
      <c r="L96" s="13" t="s">
        <v>117</v>
      </c>
      <c r="M96" s="13" t="s">
        <v>118</v>
      </c>
      <c r="N96" s="145" t="s">
        <v>387</v>
      </c>
      <c r="O96" s="145" t="s">
        <v>387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751</v>
      </c>
      <c r="V96" s="13" t="s">
        <v>751</v>
      </c>
      <c r="W96" s="60">
        <f>+J96/$W$2</f>
        <v>3.4769803786239341E-4</v>
      </c>
      <c r="AC96" s="57"/>
    </row>
    <row r="97" spans="1:29">
      <c r="A97" s="13" t="s">
        <v>550</v>
      </c>
      <c r="B97" s="13" t="s">
        <v>675</v>
      </c>
      <c r="C97" s="145">
        <v>46163</v>
      </c>
      <c r="D97" s="145" t="s">
        <v>469</v>
      </c>
      <c r="E97" s="28">
        <v>0.99182090000000001</v>
      </c>
      <c r="F97" s="13"/>
      <c r="G97" s="18">
        <v>20000000</v>
      </c>
      <c r="H97" s="18">
        <v>19836417.940000001</v>
      </c>
      <c r="I97" s="18">
        <v>20000000</v>
      </c>
      <c r="J97" s="18">
        <v>19836417.940000001</v>
      </c>
      <c r="K97" s="15">
        <v>13237778</v>
      </c>
      <c r="L97" s="13" t="s">
        <v>117</v>
      </c>
      <c r="M97" s="13" t="s">
        <v>118</v>
      </c>
      <c r="N97" s="145" t="s">
        <v>304</v>
      </c>
      <c r="O97" s="145" t="s">
        <v>304</v>
      </c>
      <c r="P97" s="28">
        <v>43</v>
      </c>
      <c r="Q97" s="13" t="s">
        <v>54</v>
      </c>
      <c r="R97" s="13" t="s">
        <v>28</v>
      </c>
      <c r="S97" s="13"/>
      <c r="T97" s="13"/>
      <c r="U97" s="13" t="s">
        <v>637</v>
      </c>
      <c r="V97" s="13" t="s">
        <v>637</v>
      </c>
      <c r="W97" s="60">
        <f>+J97/$W$2</f>
        <v>5.2280948529525044E-4</v>
      </c>
      <c r="AC97" s="57"/>
    </row>
    <row r="98" spans="1:29">
      <c r="A98" s="13" t="s">
        <v>865</v>
      </c>
      <c r="B98" s="13" t="s">
        <v>675</v>
      </c>
      <c r="C98" s="145">
        <v>46164</v>
      </c>
      <c r="D98" s="145" t="s">
        <v>469</v>
      </c>
      <c r="E98" s="28">
        <v>0.99174006999999997</v>
      </c>
      <c r="F98" s="13"/>
      <c r="G98" s="18">
        <v>10000000</v>
      </c>
      <c r="H98" s="18">
        <v>9917400.7300000004</v>
      </c>
      <c r="I98" s="18">
        <v>10000000</v>
      </c>
      <c r="J98" s="18">
        <v>9917400.7300000004</v>
      </c>
      <c r="K98" s="15">
        <v>167</v>
      </c>
      <c r="L98" s="13" t="s">
        <v>117</v>
      </c>
      <c r="M98" s="13" t="s">
        <v>118</v>
      </c>
      <c r="N98" s="145" t="s">
        <v>209</v>
      </c>
      <c r="O98" s="145" t="s">
        <v>209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847</v>
      </c>
      <c r="V98" s="13" t="s">
        <v>847</v>
      </c>
      <c r="W98" s="60">
        <f>+J98/$W$2</f>
        <v>2.6138344063938594E-4</v>
      </c>
    </row>
    <row r="99" spans="1:29">
      <c r="A99" s="13" t="s">
        <v>785</v>
      </c>
      <c r="B99" s="13" t="s">
        <v>675</v>
      </c>
      <c r="C99" s="145">
        <v>46164</v>
      </c>
      <c r="D99" s="145" t="s">
        <v>469</v>
      </c>
      <c r="E99" s="28">
        <v>0.99109376999999999</v>
      </c>
      <c r="F99" s="13"/>
      <c r="G99" s="18">
        <v>3016360.47</v>
      </c>
      <c r="H99" s="18">
        <v>2989496.07</v>
      </c>
      <c r="I99" s="18">
        <v>3016360.47</v>
      </c>
      <c r="J99" s="18">
        <v>2989496.07</v>
      </c>
      <c r="K99" s="15">
        <v>998</v>
      </c>
      <c r="L99" s="13" t="s">
        <v>117</v>
      </c>
      <c r="M99" s="13" t="s">
        <v>118</v>
      </c>
      <c r="N99" s="145" t="s">
        <v>387</v>
      </c>
      <c r="O99" s="145" t="s">
        <v>387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777</v>
      </c>
      <c r="V99" s="13" t="s">
        <v>777</v>
      </c>
      <c r="W99" s="60">
        <f>+J99/$W$2</f>
        <v>7.8791287135426911E-5</v>
      </c>
    </row>
    <row r="100" spans="1:29">
      <c r="A100" s="13" t="s">
        <v>951</v>
      </c>
      <c r="B100" s="13" t="s">
        <v>675</v>
      </c>
      <c r="C100" s="145">
        <v>46164</v>
      </c>
      <c r="D100" s="145" t="s">
        <v>469</v>
      </c>
      <c r="E100" s="28">
        <v>0.99346763000000005</v>
      </c>
      <c r="F100" s="13"/>
      <c r="G100" s="18">
        <v>250018942.80000001</v>
      </c>
      <c r="H100" s="18">
        <v>248385726.75999999</v>
      </c>
      <c r="I100" s="18">
        <v>250018942.80000001</v>
      </c>
      <c r="J100" s="18">
        <v>248385726.75999999</v>
      </c>
      <c r="K100" s="15">
        <v>30004134</v>
      </c>
      <c r="L100" s="13" t="s">
        <v>117</v>
      </c>
      <c r="M100" s="13" t="s">
        <v>118</v>
      </c>
      <c r="N100" s="145" t="s">
        <v>390</v>
      </c>
      <c r="O100" s="145" t="s">
        <v>390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948</v>
      </c>
      <c r="V100" s="13" t="s">
        <v>948</v>
      </c>
      <c r="W100" s="60">
        <f>+J100/$W$2</f>
        <v>6.5464649088797268E-3</v>
      </c>
    </row>
    <row r="101" spans="1:29">
      <c r="A101" s="13" t="s">
        <v>458</v>
      </c>
      <c r="B101" s="13" t="s">
        <v>675</v>
      </c>
      <c r="C101" s="145">
        <v>46164</v>
      </c>
      <c r="D101" s="145" t="s">
        <v>469</v>
      </c>
      <c r="E101" s="28">
        <v>0.99087851000000005</v>
      </c>
      <c r="F101" s="13"/>
      <c r="G101" s="18">
        <v>14350000</v>
      </c>
      <c r="H101" s="18">
        <v>14219106.65</v>
      </c>
      <c r="I101" s="18">
        <v>14350000</v>
      </c>
      <c r="J101" s="18">
        <v>14219106.65</v>
      </c>
      <c r="K101" s="15">
        <v>511</v>
      </c>
      <c r="L101" s="13" t="s">
        <v>117</v>
      </c>
      <c r="M101" s="13" t="s">
        <v>118</v>
      </c>
      <c r="N101" s="145" t="s">
        <v>269</v>
      </c>
      <c r="O101" s="145" t="s">
        <v>269</v>
      </c>
      <c r="P101" s="28">
        <v>42</v>
      </c>
      <c r="Q101" s="13" t="s">
        <v>54</v>
      </c>
      <c r="R101" s="13" t="s">
        <v>28</v>
      </c>
      <c r="S101" s="13"/>
      <c r="T101" s="13"/>
      <c r="U101" s="13" t="s">
        <v>453</v>
      </c>
      <c r="V101" s="13" t="s">
        <v>453</v>
      </c>
      <c r="W101" s="60">
        <f>+J101/$W$2</f>
        <v>3.7475938707937767E-4</v>
      </c>
    </row>
    <row r="102" spans="1:29">
      <c r="A102" s="13" t="s">
        <v>493</v>
      </c>
      <c r="B102" s="13" t="s">
        <v>675</v>
      </c>
      <c r="C102" s="145">
        <v>46164</v>
      </c>
      <c r="D102" s="145" t="s">
        <v>469</v>
      </c>
      <c r="E102" s="28">
        <v>0.99066339000000003</v>
      </c>
      <c r="F102" s="13"/>
      <c r="G102" s="18">
        <v>2000000</v>
      </c>
      <c r="H102" s="18">
        <v>1981326.78</v>
      </c>
      <c r="I102" s="18">
        <v>2000000</v>
      </c>
      <c r="J102" s="18">
        <v>1981326.78</v>
      </c>
      <c r="K102" s="15">
        <v>1144</v>
      </c>
      <c r="L102" s="13" t="s">
        <v>117</v>
      </c>
      <c r="M102" s="13" t="s">
        <v>118</v>
      </c>
      <c r="N102" s="145" t="s">
        <v>206</v>
      </c>
      <c r="O102" s="145" t="s">
        <v>206</v>
      </c>
      <c r="P102" s="28">
        <v>43</v>
      </c>
      <c r="Q102" s="13" t="s">
        <v>54</v>
      </c>
      <c r="R102" s="13" t="s">
        <v>28</v>
      </c>
      <c r="S102" s="13"/>
      <c r="T102" s="13"/>
      <c r="U102" s="13" t="s">
        <v>707</v>
      </c>
      <c r="V102" s="13" t="s">
        <v>707</v>
      </c>
      <c r="W102" s="60">
        <f>+J102/$W$2</f>
        <v>5.2219933920866751E-5</v>
      </c>
    </row>
    <row r="103" spans="1:29">
      <c r="A103" s="13" t="s">
        <v>550</v>
      </c>
      <c r="B103" s="13" t="s">
        <v>675</v>
      </c>
      <c r="C103" s="145">
        <v>46164</v>
      </c>
      <c r="D103" s="145" t="s">
        <v>469</v>
      </c>
      <c r="E103" s="28">
        <v>0.99066337999999998</v>
      </c>
      <c r="F103" s="13"/>
      <c r="G103" s="18">
        <v>15000000</v>
      </c>
      <c r="H103" s="18">
        <v>14859950.76</v>
      </c>
      <c r="I103" s="18">
        <v>15000000</v>
      </c>
      <c r="J103" s="18">
        <v>14859950.76</v>
      </c>
      <c r="K103" s="15">
        <v>13318376</v>
      </c>
      <c r="L103" s="13" t="s">
        <v>117</v>
      </c>
      <c r="M103" s="13" t="s">
        <v>118</v>
      </c>
      <c r="N103" s="145" t="s">
        <v>206</v>
      </c>
      <c r="O103" s="145" t="s">
        <v>206</v>
      </c>
      <c r="P103" s="28">
        <v>43</v>
      </c>
      <c r="Q103" s="13" t="s">
        <v>54</v>
      </c>
      <c r="R103" s="13" t="s">
        <v>28</v>
      </c>
      <c r="S103" s="13"/>
      <c r="T103" s="13"/>
      <c r="U103" s="13" t="s">
        <v>693</v>
      </c>
      <c r="V103" s="13" t="s">
        <v>693</v>
      </c>
      <c r="W103" s="60">
        <f>+J103/$W$2</f>
        <v>3.9164950203445675E-4</v>
      </c>
      <c r="AC103" s="57"/>
    </row>
    <row r="104" spans="1:29">
      <c r="A104" s="13" t="s">
        <v>592</v>
      </c>
      <c r="B104" s="13" t="s">
        <v>675</v>
      </c>
      <c r="C104" s="145">
        <v>46164</v>
      </c>
      <c r="D104" s="145" t="s">
        <v>469</v>
      </c>
      <c r="E104" s="28">
        <v>0.99390047999999998</v>
      </c>
      <c r="F104" s="13"/>
      <c r="G104" s="18">
        <v>3673155.78</v>
      </c>
      <c r="H104" s="18">
        <v>3650751.3</v>
      </c>
      <c r="I104" s="18">
        <v>3673155.78</v>
      </c>
      <c r="J104" s="18">
        <v>3650751.3</v>
      </c>
      <c r="K104" s="15">
        <v>76333987</v>
      </c>
      <c r="L104" s="13" t="s">
        <v>117</v>
      </c>
      <c r="M104" s="13" t="s">
        <v>118</v>
      </c>
      <c r="N104" s="145" t="s">
        <v>389</v>
      </c>
      <c r="O104" s="145" t="s">
        <v>389</v>
      </c>
      <c r="P104" s="28">
        <v>28</v>
      </c>
      <c r="Q104" s="13" t="s">
        <v>54</v>
      </c>
      <c r="R104" s="13" t="s">
        <v>28</v>
      </c>
      <c r="S104" s="13"/>
      <c r="T104" s="13"/>
      <c r="U104" s="13" t="s">
        <v>954</v>
      </c>
      <c r="V104" s="13" t="s">
        <v>954</v>
      </c>
      <c r="W104" s="60">
        <f>+J104/$W$2</f>
        <v>9.6219358448038729E-5</v>
      </c>
    </row>
    <row r="105" spans="1:29">
      <c r="A105" s="13" t="s">
        <v>592</v>
      </c>
      <c r="B105" s="13" t="s">
        <v>675</v>
      </c>
      <c r="C105" s="145">
        <v>46164</v>
      </c>
      <c r="D105" s="145" t="s">
        <v>469</v>
      </c>
      <c r="E105" s="28">
        <v>0.99390047999999998</v>
      </c>
      <c r="F105" s="13"/>
      <c r="G105" s="18">
        <v>42978373.82</v>
      </c>
      <c r="H105" s="18">
        <v>42716226.350000001</v>
      </c>
      <c r="I105" s="18">
        <v>42978373.82</v>
      </c>
      <c r="J105" s="18">
        <v>42716226.350000001</v>
      </c>
      <c r="K105" s="15">
        <v>76333988</v>
      </c>
      <c r="L105" s="13" t="s">
        <v>117</v>
      </c>
      <c r="M105" s="13" t="s">
        <v>118</v>
      </c>
      <c r="N105" s="145" t="s">
        <v>389</v>
      </c>
      <c r="O105" s="145" t="s">
        <v>389</v>
      </c>
      <c r="P105" s="28">
        <v>28</v>
      </c>
      <c r="Q105" s="13" t="s">
        <v>54</v>
      </c>
      <c r="R105" s="13" t="s">
        <v>28</v>
      </c>
      <c r="S105" s="13"/>
      <c r="T105" s="13"/>
      <c r="U105" s="13" t="s">
        <v>955</v>
      </c>
      <c r="V105" s="13" t="s">
        <v>955</v>
      </c>
      <c r="W105" s="60">
        <f>+J105/$W$2</f>
        <v>1.1258307008527827E-3</v>
      </c>
    </row>
    <row r="106" spans="1:29">
      <c r="A106" s="13" t="s">
        <v>780</v>
      </c>
      <c r="B106" s="13" t="s">
        <v>675</v>
      </c>
      <c r="C106" s="145">
        <v>46164</v>
      </c>
      <c r="D106" s="145" t="s">
        <v>469</v>
      </c>
      <c r="E106" s="28">
        <v>0.99109376999999999</v>
      </c>
      <c r="F106" s="13"/>
      <c r="G106" s="18">
        <v>13296076.9</v>
      </c>
      <c r="H106" s="18">
        <v>13177658.98</v>
      </c>
      <c r="I106" s="18">
        <v>13296076.9</v>
      </c>
      <c r="J106" s="18">
        <v>13177658.98</v>
      </c>
      <c r="K106" s="15">
        <v>30420</v>
      </c>
      <c r="L106" s="13" t="s">
        <v>117</v>
      </c>
      <c r="M106" s="13" t="s">
        <v>118</v>
      </c>
      <c r="N106" s="145" t="s">
        <v>387</v>
      </c>
      <c r="O106" s="145" t="s">
        <v>387</v>
      </c>
      <c r="P106" s="28">
        <v>41</v>
      </c>
      <c r="Q106" s="13" t="s">
        <v>54</v>
      </c>
      <c r="R106" s="13" t="s">
        <v>28</v>
      </c>
      <c r="S106" s="13"/>
      <c r="T106" s="13"/>
      <c r="U106" s="13" t="s">
        <v>760</v>
      </c>
      <c r="V106" s="13" t="s">
        <v>760</v>
      </c>
      <c r="W106" s="60">
        <f>+J106/$W$2</f>
        <v>3.4731094744871733E-4</v>
      </c>
    </row>
    <row r="107" spans="1:29">
      <c r="A107" s="13" t="s">
        <v>249</v>
      </c>
      <c r="B107" s="13" t="s">
        <v>675</v>
      </c>
      <c r="C107" s="145">
        <v>46164</v>
      </c>
      <c r="D107" s="145" t="s">
        <v>469</v>
      </c>
      <c r="E107" s="28">
        <v>0.99130912000000004</v>
      </c>
      <c r="F107" s="13"/>
      <c r="G107" s="18">
        <v>200000000</v>
      </c>
      <c r="H107" s="18">
        <v>198261823.36000001</v>
      </c>
      <c r="I107" s="18">
        <v>200000000</v>
      </c>
      <c r="J107" s="18">
        <v>198261823.36000001</v>
      </c>
      <c r="K107" s="15">
        <v>70370559</v>
      </c>
      <c r="L107" s="13" t="s">
        <v>117</v>
      </c>
      <c r="M107" s="13" t="s">
        <v>118</v>
      </c>
      <c r="N107" s="145" t="s">
        <v>209</v>
      </c>
      <c r="O107" s="145" t="s">
        <v>209</v>
      </c>
      <c r="P107" s="28">
        <v>40</v>
      </c>
      <c r="Q107" s="13" t="s">
        <v>54</v>
      </c>
      <c r="R107" s="13" t="s">
        <v>28</v>
      </c>
      <c r="S107" s="13"/>
      <c r="T107" s="13"/>
      <c r="U107" s="13" t="s">
        <v>850</v>
      </c>
      <c r="V107" s="13" t="s">
        <v>850</v>
      </c>
      <c r="W107" s="60">
        <f>+J107/$W$2</f>
        <v>5.2253971527552647E-3</v>
      </c>
    </row>
    <row r="108" spans="1:29">
      <c r="A108" s="13" t="s">
        <v>712</v>
      </c>
      <c r="B108" s="13" t="s">
        <v>675</v>
      </c>
      <c r="C108" s="145">
        <v>46164</v>
      </c>
      <c r="D108" s="145" t="s">
        <v>469</v>
      </c>
      <c r="E108" s="28">
        <v>0.99066337999999998</v>
      </c>
      <c r="F108" s="13"/>
      <c r="G108" s="18">
        <v>14328116.460000001</v>
      </c>
      <c r="H108" s="18">
        <v>14194340.34</v>
      </c>
      <c r="I108" s="18">
        <v>14328116.460000001</v>
      </c>
      <c r="J108" s="18">
        <v>14194340.34</v>
      </c>
      <c r="K108" s="15">
        <v>75874677</v>
      </c>
      <c r="L108" s="13" t="s">
        <v>117</v>
      </c>
      <c r="M108" s="13" t="s">
        <v>118</v>
      </c>
      <c r="N108" s="145" t="s">
        <v>206</v>
      </c>
      <c r="O108" s="145" t="s">
        <v>206</v>
      </c>
      <c r="P108" s="28">
        <v>43</v>
      </c>
      <c r="Q108" s="13" t="s">
        <v>54</v>
      </c>
      <c r="R108" s="13" t="s">
        <v>28</v>
      </c>
      <c r="S108" s="13"/>
      <c r="T108" s="13"/>
      <c r="U108" s="13" t="s">
        <v>682</v>
      </c>
      <c r="V108" s="13" t="s">
        <v>682</v>
      </c>
      <c r="W108" s="60">
        <f>+J108/$W$2</f>
        <v>3.7410664514668968E-4</v>
      </c>
    </row>
    <row r="109" spans="1:29">
      <c r="A109" s="13" t="s">
        <v>715</v>
      </c>
      <c r="B109" s="13" t="s">
        <v>675</v>
      </c>
      <c r="C109" s="145">
        <v>46168</v>
      </c>
      <c r="D109" s="145" t="s">
        <v>469</v>
      </c>
      <c r="E109" s="28">
        <v>0.98606013999999997</v>
      </c>
      <c r="F109" s="13"/>
      <c r="G109" s="18">
        <v>4896000</v>
      </c>
      <c r="H109" s="18">
        <v>4827750.43</v>
      </c>
      <c r="I109" s="18">
        <v>4896000</v>
      </c>
      <c r="J109" s="18">
        <v>4827750.43</v>
      </c>
      <c r="K109" s="15">
        <v>177</v>
      </c>
      <c r="L109" s="13" t="s">
        <v>117</v>
      </c>
      <c r="M109" s="13" t="s">
        <v>118</v>
      </c>
      <c r="N109" s="145" t="s">
        <v>206</v>
      </c>
      <c r="O109" s="145" t="s">
        <v>206</v>
      </c>
      <c r="P109" s="28">
        <v>43</v>
      </c>
      <c r="Q109" s="13" t="s">
        <v>54</v>
      </c>
      <c r="R109" s="13" t="s">
        <v>28</v>
      </c>
      <c r="S109" s="13"/>
      <c r="T109" s="13"/>
      <c r="U109" s="13" t="s">
        <v>705</v>
      </c>
      <c r="V109" s="13" t="s">
        <v>705</v>
      </c>
      <c r="W109" s="60">
        <f>+J109/$W$2</f>
        <v>1.2724039819470668E-4</v>
      </c>
    </row>
    <row r="110" spans="1:29">
      <c r="A110" s="13" t="s">
        <v>865</v>
      </c>
      <c r="B110" s="13" t="s">
        <v>675</v>
      </c>
      <c r="C110" s="145">
        <v>46168</v>
      </c>
      <c r="D110" s="145" t="s">
        <v>469</v>
      </c>
      <c r="E110" s="28">
        <v>0.98766105000000004</v>
      </c>
      <c r="F110" s="13"/>
      <c r="G110" s="18">
        <v>10000000</v>
      </c>
      <c r="H110" s="18">
        <v>9876610.5500000007</v>
      </c>
      <c r="I110" s="18">
        <v>10000000</v>
      </c>
      <c r="J110" s="18">
        <v>9876610.5500000007</v>
      </c>
      <c r="K110" s="15">
        <v>168</v>
      </c>
      <c r="L110" s="13" t="s">
        <v>117</v>
      </c>
      <c r="M110" s="13" t="s">
        <v>118</v>
      </c>
      <c r="N110" s="145" t="s">
        <v>209</v>
      </c>
      <c r="O110" s="145" t="s">
        <v>209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848</v>
      </c>
      <c r="V110" s="13" t="s">
        <v>848</v>
      </c>
      <c r="W110" s="60">
        <f>+J110/$W$2</f>
        <v>2.6030837289906081E-4</v>
      </c>
    </row>
    <row r="111" spans="1:29">
      <c r="A111" s="13" t="s">
        <v>201</v>
      </c>
      <c r="B111" s="13" t="s">
        <v>675</v>
      </c>
      <c r="C111" s="145">
        <v>46168</v>
      </c>
      <c r="D111" s="145" t="s">
        <v>469</v>
      </c>
      <c r="E111" s="28">
        <v>0.98510202000000002</v>
      </c>
      <c r="F111" s="13"/>
      <c r="G111" s="18">
        <v>15000000</v>
      </c>
      <c r="H111" s="18">
        <v>14776530.300000001</v>
      </c>
      <c r="I111" s="18">
        <v>15000000</v>
      </c>
      <c r="J111" s="18">
        <v>14776530.300000001</v>
      </c>
      <c r="K111" s="15">
        <v>3873</v>
      </c>
      <c r="L111" s="13" t="s">
        <v>117</v>
      </c>
      <c r="M111" s="13" t="s">
        <v>118</v>
      </c>
      <c r="N111" s="145" t="s">
        <v>365</v>
      </c>
      <c r="O111" s="145" t="s">
        <v>365</v>
      </c>
      <c r="P111" s="28">
        <v>46</v>
      </c>
      <c r="Q111" s="13" t="s">
        <v>54</v>
      </c>
      <c r="R111" s="13" t="s">
        <v>28</v>
      </c>
      <c r="S111" s="13"/>
      <c r="T111" s="13"/>
      <c r="U111" s="13" t="s">
        <v>485</v>
      </c>
      <c r="V111" s="13" t="s">
        <v>485</v>
      </c>
      <c r="W111" s="60">
        <f>+J111/$W$2</f>
        <v>3.8945086879897992E-4</v>
      </c>
    </row>
    <row r="112" spans="1:29">
      <c r="A112" s="13" t="s">
        <v>532</v>
      </c>
      <c r="B112" s="13" t="s">
        <v>675</v>
      </c>
      <c r="C112" s="145">
        <v>46168</v>
      </c>
      <c r="D112" s="145" t="s">
        <v>469</v>
      </c>
      <c r="E112" s="28">
        <v>0.98702002</v>
      </c>
      <c r="F112" s="13"/>
      <c r="G112" s="18">
        <v>10000000</v>
      </c>
      <c r="H112" s="18">
        <v>9870200.1500000004</v>
      </c>
      <c r="I112" s="18">
        <v>10000000</v>
      </c>
      <c r="J112" s="18">
        <v>9870200.1500000004</v>
      </c>
      <c r="K112" s="15">
        <v>1339</v>
      </c>
      <c r="L112" s="13" t="s">
        <v>117</v>
      </c>
      <c r="M112" s="13" t="s">
        <v>118</v>
      </c>
      <c r="N112" s="145" t="s">
        <v>368</v>
      </c>
      <c r="O112" s="145" t="s">
        <v>368</v>
      </c>
      <c r="P112" s="28">
        <v>40</v>
      </c>
      <c r="Q112" s="13" t="s">
        <v>54</v>
      </c>
      <c r="R112" s="13" t="s">
        <v>28</v>
      </c>
      <c r="S112" s="13"/>
      <c r="T112" s="13"/>
      <c r="U112" s="13" t="s">
        <v>547</v>
      </c>
      <c r="V112" s="13" t="s">
        <v>547</v>
      </c>
      <c r="W112" s="60">
        <f>+J112/$W$2</f>
        <v>2.6013942012065728E-4</v>
      </c>
      <c r="AC112" s="57"/>
    </row>
    <row r="113" spans="1:23">
      <c r="A113" s="13" t="s">
        <v>550</v>
      </c>
      <c r="B113" s="13" t="s">
        <v>675</v>
      </c>
      <c r="C113" s="145">
        <v>46168</v>
      </c>
      <c r="D113" s="145" t="s">
        <v>469</v>
      </c>
      <c r="E113" s="28">
        <v>0.98606013999999997</v>
      </c>
      <c r="F113" s="13"/>
      <c r="G113" s="18">
        <v>15000000</v>
      </c>
      <c r="H113" s="18">
        <v>14790902.109999999</v>
      </c>
      <c r="I113" s="18">
        <v>15000000</v>
      </c>
      <c r="J113" s="18">
        <v>14790902.109999999</v>
      </c>
      <c r="K113" s="15">
        <v>13318377</v>
      </c>
      <c r="L113" s="13" t="s">
        <v>117</v>
      </c>
      <c r="M113" s="13" t="s">
        <v>118</v>
      </c>
      <c r="N113" s="145" t="s">
        <v>206</v>
      </c>
      <c r="O113" s="145" t="s">
        <v>206</v>
      </c>
      <c r="P113" s="28">
        <v>43</v>
      </c>
      <c r="Q113" s="13" t="s">
        <v>54</v>
      </c>
      <c r="R113" s="13" t="s">
        <v>28</v>
      </c>
      <c r="S113" s="13"/>
      <c r="T113" s="13"/>
      <c r="U113" s="13" t="s">
        <v>688</v>
      </c>
      <c r="V113" s="13" t="s">
        <v>688</v>
      </c>
      <c r="W113" s="60">
        <f>+J113/$W$2</f>
        <v>3.8982965284212661E-4</v>
      </c>
    </row>
    <row r="114" spans="1:23">
      <c r="A114" s="13" t="s">
        <v>1101</v>
      </c>
      <c r="B114" s="13" t="s">
        <v>675</v>
      </c>
      <c r="C114" s="145">
        <v>46168</v>
      </c>
      <c r="D114" s="145" t="s">
        <v>469</v>
      </c>
      <c r="E114" s="28">
        <v>0.99184782999999999</v>
      </c>
      <c r="F114" s="13"/>
      <c r="G114" s="18">
        <v>605000</v>
      </c>
      <c r="H114" s="18">
        <v>600067.93999999994</v>
      </c>
      <c r="I114" s="18">
        <v>605000</v>
      </c>
      <c r="J114" s="18">
        <v>600067.93999999994</v>
      </c>
      <c r="K114" s="15">
        <v>51800020</v>
      </c>
      <c r="L114" s="13" t="s">
        <v>117</v>
      </c>
      <c r="M114" s="13" t="s">
        <v>118</v>
      </c>
      <c r="N114" s="145" t="s">
        <v>461</v>
      </c>
      <c r="O114" s="145" t="s">
        <v>461</v>
      </c>
      <c r="P114" s="28">
        <v>25</v>
      </c>
      <c r="Q114" s="13" t="s">
        <v>54</v>
      </c>
      <c r="R114" s="13" t="s">
        <v>28</v>
      </c>
      <c r="S114" s="13"/>
      <c r="T114" s="13"/>
      <c r="U114" s="13" t="s">
        <v>1129</v>
      </c>
      <c r="V114" s="13" t="s">
        <v>1129</v>
      </c>
      <c r="W114" s="60">
        <f>+J114/$W$2</f>
        <v>1.5815416462917151E-5</v>
      </c>
    </row>
    <row r="115" spans="1:23">
      <c r="A115" s="13" t="s">
        <v>1101</v>
      </c>
      <c r="B115" s="13" t="s">
        <v>675</v>
      </c>
      <c r="C115" s="145">
        <v>46168</v>
      </c>
      <c r="D115" s="145" t="s">
        <v>469</v>
      </c>
      <c r="E115" s="28">
        <v>0.99184784999999998</v>
      </c>
      <c r="F115" s="13"/>
      <c r="G115" s="18">
        <v>1070093.75</v>
      </c>
      <c r="H115" s="18">
        <v>1061370.19</v>
      </c>
      <c r="I115" s="18">
        <v>1070093.75</v>
      </c>
      <c r="J115" s="18">
        <v>1061370.19</v>
      </c>
      <c r="K115" s="15">
        <v>29046921</v>
      </c>
      <c r="L115" s="13" t="s">
        <v>117</v>
      </c>
      <c r="M115" s="13" t="s">
        <v>118</v>
      </c>
      <c r="N115" s="145" t="s">
        <v>461</v>
      </c>
      <c r="O115" s="145" t="s">
        <v>461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1130</v>
      </c>
      <c r="V115" s="13" t="s">
        <v>1130</v>
      </c>
      <c r="W115" s="60">
        <f>+J115/$W$2</f>
        <v>2.7973518425556124E-5</v>
      </c>
    </row>
    <row r="116" spans="1:23">
      <c r="A116" s="13" t="s">
        <v>327</v>
      </c>
      <c r="B116" s="13" t="s">
        <v>675</v>
      </c>
      <c r="C116" s="145">
        <v>46168</v>
      </c>
      <c r="D116" s="145" t="s">
        <v>469</v>
      </c>
      <c r="E116" s="28">
        <v>0.98702002</v>
      </c>
      <c r="F116" s="13"/>
      <c r="G116" s="18">
        <v>25000000</v>
      </c>
      <c r="H116" s="18">
        <v>24675500.5</v>
      </c>
      <c r="I116" s="18">
        <v>25000000</v>
      </c>
      <c r="J116" s="18">
        <v>24675500.5</v>
      </c>
      <c r="K116" s="15">
        <v>475860</v>
      </c>
      <c r="L116" s="13" t="s">
        <v>117</v>
      </c>
      <c r="M116" s="13" t="s">
        <v>118</v>
      </c>
      <c r="N116" s="145" t="s">
        <v>283</v>
      </c>
      <c r="O116" s="145" t="s">
        <v>283</v>
      </c>
      <c r="P116" s="28">
        <v>40</v>
      </c>
      <c r="Q116" s="13" t="s">
        <v>54</v>
      </c>
      <c r="R116" s="13" t="s">
        <v>28</v>
      </c>
      <c r="S116" s="13"/>
      <c r="T116" s="13"/>
      <c r="U116" s="13" t="s">
        <v>480</v>
      </c>
      <c r="V116" s="13" t="s">
        <v>480</v>
      </c>
      <c r="W116" s="60">
        <f>+J116/$W$2</f>
        <v>6.5034855359614855E-4</v>
      </c>
    </row>
    <row r="117" spans="1:23">
      <c r="A117" s="13" t="s">
        <v>266</v>
      </c>
      <c r="B117" s="13" t="s">
        <v>675</v>
      </c>
      <c r="C117" s="145">
        <v>46168</v>
      </c>
      <c r="D117" s="145" t="s">
        <v>469</v>
      </c>
      <c r="E117" s="28">
        <v>0.99120143000000005</v>
      </c>
      <c r="F117" s="13"/>
      <c r="G117" s="18">
        <v>50291959.590000004</v>
      </c>
      <c r="H117" s="18">
        <v>49849462.159999996</v>
      </c>
      <c r="I117" s="18">
        <v>50291959.590000004</v>
      </c>
      <c r="J117" s="18">
        <v>49849462.159999996</v>
      </c>
      <c r="K117" s="15">
        <v>5811</v>
      </c>
      <c r="L117" s="13" t="s">
        <v>117</v>
      </c>
      <c r="M117" s="13" t="s">
        <v>118</v>
      </c>
      <c r="N117" s="145" t="s">
        <v>205</v>
      </c>
      <c r="O117" s="145" t="s">
        <v>205</v>
      </c>
      <c r="P117" s="28">
        <v>27</v>
      </c>
      <c r="Q117" s="13" t="s">
        <v>54</v>
      </c>
      <c r="R117" s="13" t="s">
        <v>28</v>
      </c>
      <c r="S117" s="13"/>
      <c r="T117" s="13"/>
      <c r="U117" s="13" t="s">
        <v>1034</v>
      </c>
      <c r="V117" s="13" t="s">
        <v>1034</v>
      </c>
      <c r="W117" s="60">
        <f>+J117/$W$2</f>
        <v>1.3138345709867946E-3</v>
      </c>
    </row>
    <row r="118" spans="1:23">
      <c r="A118" s="13" t="s">
        <v>780</v>
      </c>
      <c r="B118" s="13" t="s">
        <v>675</v>
      </c>
      <c r="C118" s="145">
        <v>46168</v>
      </c>
      <c r="D118" s="145" t="s">
        <v>469</v>
      </c>
      <c r="E118" s="28">
        <v>0.98669987000000003</v>
      </c>
      <c r="F118" s="13"/>
      <c r="G118" s="18">
        <v>13296076.9</v>
      </c>
      <c r="H118" s="18">
        <v>13119237.369999999</v>
      </c>
      <c r="I118" s="18">
        <v>13296076.9</v>
      </c>
      <c r="J118" s="18">
        <v>13119237.369999999</v>
      </c>
      <c r="K118" s="15">
        <v>30421</v>
      </c>
      <c r="L118" s="13" t="s">
        <v>117</v>
      </c>
      <c r="M118" s="13" t="s">
        <v>118</v>
      </c>
      <c r="N118" s="145" t="s">
        <v>387</v>
      </c>
      <c r="O118" s="145" t="s">
        <v>387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752</v>
      </c>
      <c r="V118" s="13" t="s">
        <v>752</v>
      </c>
      <c r="W118" s="60">
        <f>+J118/$W$2</f>
        <v>3.4577118498018062E-4</v>
      </c>
    </row>
    <row r="119" spans="1:23">
      <c r="A119" s="13" t="s">
        <v>1248</v>
      </c>
      <c r="B119" s="13" t="s">
        <v>675</v>
      </c>
      <c r="C119" s="145">
        <v>46169</v>
      </c>
      <c r="D119" s="145" t="s">
        <v>469</v>
      </c>
      <c r="E119" s="28">
        <v>0.98664649000000004</v>
      </c>
      <c r="F119" s="13"/>
      <c r="G119" s="18">
        <v>7162509.1500000004</v>
      </c>
      <c r="H119" s="18">
        <v>7066864.5099999998</v>
      </c>
      <c r="I119" s="18">
        <v>7162509.1500000004</v>
      </c>
      <c r="J119" s="18">
        <v>7066864.5099999998</v>
      </c>
      <c r="K119" s="15">
        <v>65964531</v>
      </c>
      <c r="L119" s="13" t="s">
        <v>117</v>
      </c>
      <c r="M119" s="13" t="s">
        <v>118</v>
      </c>
      <c r="N119" s="145" t="s">
        <v>461</v>
      </c>
      <c r="O119" s="145" t="s">
        <v>461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1171</v>
      </c>
      <c r="V119" s="13" t="s">
        <v>1171</v>
      </c>
      <c r="W119" s="60">
        <f>+J119/$W$2</f>
        <v>1.8625458529355685E-4</v>
      </c>
    </row>
    <row r="120" spans="1:23">
      <c r="A120" s="13" t="s">
        <v>1331</v>
      </c>
      <c r="B120" s="13" t="s">
        <v>675</v>
      </c>
      <c r="C120" s="145">
        <v>46169</v>
      </c>
      <c r="D120" s="145" t="s">
        <v>469</v>
      </c>
      <c r="E120" s="28">
        <v>0.98768783000000004</v>
      </c>
      <c r="F120" s="13"/>
      <c r="G120" s="18">
        <v>10000000</v>
      </c>
      <c r="H120" s="18">
        <v>9876878.3100000005</v>
      </c>
      <c r="I120" s="18">
        <v>10000000</v>
      </c>
      <c r="J120" s="18">
        <v>9876878.3100000005</v>
      </c>
      <c r="K120" s="15">
        <v>29098104</v>
      </c>
      <c r="L120" s="13" t="s">
        <v>117</v>
      </c>
      <c r="M120" s="13" t="s">
        <v>118</v>
      </c>
      <c r="N120" s="145" t="s">
        <v>528</v>
      </c>
      <c r="O120" s="145" t="s">
        <v>528</v>
      </c>
      <c r="P120" s="28">
        <v>35</v>
      </c>
      <c r="Q120" s="13" t="s">
        <v>54</v>
      </c>
      <c r="R120" s="13" t="s">
        <v>28</v>
      </c>
      <c r="S120" s="13"/>
      <c r="T120" s="13"/>
      <c r="U120" s="13" t="s">
        <v>1309</v>
      </c>
      <c r="V120" s="13" t="s">
        <v>1309</v>
      </c>
      <c r="W120" s="60">
        <f>+J120/$W$2</f>
        <v>2.6031542999314938E-4</v>
      </c>
    </row>
    <row r="121" spans="1:23">
      <c r="A121" s="13" t="s">
        <v>676</v>
      </c>
      <c r="B121" s="13" t="s">
        <v>675</v>
      </c>
      <c r="C121" s="145">
        <v>46169</v>
      </c>
      <c r="D121" s="145" t="s">
        <v>469</v>
      </c>
      <c r="E121" s="28">
        <v>0.98768783000000004</v>
      </c>
      <c r="F121" s="13"/>
      <c r="G121" s="18">
        <v>10000000</v>
      </c>
      <c r="H121" s="18">
        <v>9876878.3100000005</v>
      </c>
      <c r="I121" s="18">
        <v>10000000</v>
      </c>
      <c r="J121" s="18">
        <v>9876878.3100000005</v>
      </c>
      <c r="K121" s="15">
        <v>381</v>
      </c>
      <c r="L121" s="13" t="s">
        <v>117</v>
      </c>
      <c r="M121" s="13" t="s">
        <v>118</v>
      </c>
      <c r="N121" s="145" t="s">
        <v>528</v>
      </c>
      <c r="O121" s="145" t="s">
        <v>461</v>
      </c>
      <c r="P121" s="28">
        <v>35</v>
      </c>
      <c r="Q121" s="13" t="s">
        <v>54</v>
      </c>
      <c r="R121" s="13" t="s">
        <v>28</v>
      </c>
      <c r="S121" s="13"/>
      <c r="T121" s="13"/>
      <c r="U121" s="13" t="s">
        <v>1294</v>
      </c>
      <c r="V121" s="13" t="s">
        <v>1294</v>
      </c>
      <c r="W121" s="60">
        <f>+J121/$W$2</f>
        <v>2.6031542999314938E-4</v>
      </c>
    </row>
    <row r="122" spans="1:23">
      <c r="A122" s="13" t="s">
        <v>795</v>
      </c>
      <c r="B122" s="13" t="s">
        <v>675</v>
      </c>
      <c r="C122" s="145">
        <v>46169</v>
      </c>
      <c r="D122" s="145" t="s">
        <v>469</v>
      </c>
      <c r="E122" s="28">
        <v>0.98595354000000002</v>
      </c>
      <c r="F122" s="13"/>
      <c r="G122" s="18">
        <v>2000000</v>
      </c>
      <c r="H122" s="18">
        <v>1971907.09</v>
      </c>
      <c r="I122" s="18">
        <v>2000000</v>
      </c>
      <c r="J122" s="18">
        <v>1971907.09</v>
      </c>
      <c r="K122" s="15">
        <v>40</v>
      </c>
      <c r="L122" s="13" t="s">
        <v>117</v>
      </c>
      <c r="M122" s="13" t="s">
        <v>118</v>
      </c>
      <c r="N122" s="145" t="s">
        <v>447</v>
      </c>
      <c r="O122" s="145" t="s">
        <v>447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788</v>
      </c>
      <c r="V122" s="13" t="s">
        <v>788</v>
      </c>
      <c r="W122" s="60">
        <f>+J122/$W$2</f>
        <v>5.1971668165656471E-5</v>
      </c>
    </row>
    <row r="123" spans="1:23">
      <c r="A123" s="13" t="s">
        <v>865</v>
      </c>
      <c r="B123" s="13" t="s">
        <v>675</v>
      </c>
      <c r="C123" s="145">
        <v>46169</v>
      </c>
      <c r="D123" s="145" t="s">
        <v>469</v>
      </c>
      <c r="E123" s="28">
        <v>0.98664651999999997</v>
      </c>
      <c r="F123" s="13"/>
      <c r="G123" s="18">
        <v>10000000</v>
      </c>
      <c r="H123" s="18">
        <v>9866465.1699999999</v>
      </c>
      <c r="I123" s="18">
        <v>10000000</v>
      </c>
      <c r="J123" s="18">
        <v>9866465.1699999999</v>
      </c>
      <c r="K123" s="15">
        <v>169</v>
      </c>
      <c r="L123" s="13" t="s">
        <v>117</v>
      </c>
      <c r="M123" s="13" t="s">
        <v>118</v>
      </c>
      <c r="N123" s="145" t="s">
        <v>209</v>
      </c>
      <c r="O123" s="145" t="s">
        <v>209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849</v>
      </c>
      <c r="V123" s="13" t="s">
        <v>849</v>
      </c>
      <c r="W123" s="60">
        <f>+J123/$W$2</f>
        <v>2.600409808269655E-4</v>
      </c>
    </row>
    <row r="124" spans="1:23">
      <c r="A124" s="13" t="s">
        <v>1007</v>
      </c>
      <c r="B124" s="13" t="s">
        <v>675</v>
      </c>
      <c r="C124" s="145">
        <v>46169</v>
      </c>
      <c r="D124" s="145" t="s">
        <v>469</v>
      </c>
      <c r="E124" s="28">
        <v>0.98734040999999995</v>
      </c>
      <c r="F124" s="13"/>
      <c r="G124" s="18">
        <v>1000000</v>
      </c>
      <c r="H124" s="18">
        <v>987340.41</v>
      </c>
      <c r="I124" s="18">
        <v>1000000</v>
      </c>
      <c r="J124" s="18">
        <v>987340.41</v>
      </c>
      <c r="K124" s="15">
        <v>18</v>
      </c>
      <c r="L124" s="13" t="s">
        <v>117</v>
      </c>
      <c r="M124" s="13" t="s">
        <v>118</v>
      </c>
      <c r="N124" s="145" t="s">
        <v>442</v>
      </c>
      <c r="O124" s="145" t="s">
        <v>442</v>
      </c>
      <c r="P124" s="28">
        <v>36</v>
      </c>
      <c r="Q124" s="13" t="s">
        <v>54</v>
      </c>
      <c r="R124" s="13" t="s">
        <v>28</v>
      </c>
      <c r="S124" s="13"/>
      <c r="T124" s="13"/>
      <c r="U124" s="13" t="s">
        <v>995</v>
      </c>
      <c r="V124" s="13" t="s">
        <v>995</v>
      </c>
      <c r="W124" s="60">
        <f>+J124/$W$2</f>
        <v>2.6022386356480523E-5</v>
      </c>
    </row>
    <row r="125" spans="1:23">
      <c r="A125" s="13" t="s">
        <v>863</v>
      </c>
      <c r="B125" s="13" t="s">
        <v>675</v>
      </c>
      <c r="C125" s="145">
        <v>46169</v>
      </c>
      <c r="D125" s="145" t="s">
        <v>469</v>
      </c>
      <c r="E125" s="28">
        <v>0.98977685000000004</v>
      </c>
      <c r="F125" s="13"/>
      <c r="G125" s="18">
        <v>12500000</v>
      </c>
      <c r="H125" s="18">
        <v>12372210.640000001</v>
      </c>
      <c r="I125" s="18">
        <v>12500000</v>
      </c>
      <c r="J125" s="18">
        <v>12372210.640000001</v>
      </c>
      <c r="K125" s="15">
        <v>28996515</v>
      </c>
      <c r="L125" s="13" t="s">
        <v>117</v>
      </c>
      <c r="M125" s="13" t="s">
        <v>118</v>
      </c>
      <c r="N125" s="145" t="s">
        <v>209</v>
      </c>
      <c r="O125" s="145" t="s">
        <v>209</v>
      </c>
      <c r="P125" s="28">
        <v>29</v>
      </c>
      <c r="Q125" s="13" t="s">
        <v>54</v>
      </c>
      <c r="R125" s="13" t="s">
        <v>28</v>
      </c>
      <c r="S125" s="13"/>
      <c r="T125" s="13"/>
      <c r="U125" s="13" t="s">
        <v>816</v>
      </c>
      <c r="V125" s="13" t="s">
        <v>816</v>
      </c>
      <c r="W125" s="60">
        <f>+J125/$W$2</f>
        <v>3.2608251632062661E-4</v>
      </c>
    </row>
    <row r="126" spans="1:23">
      <c r="A126" s="13" t="s">
        <v>573</v>
      </c>
      <c r="B126" s="13" t="s">
        <v>675</v>
      </c>
      <c r="C126" s="145">
        <v>46169</v>
      </c>
      <c r="D126" s="145" t="s">
        <v>469</v>
      </c>
      <c r="E126" s="28">
        <v>0.98664653999999996</v>
      </c>
      <c r="F126" s="13"/>
      <c r="G126" s="18">
        <v>100000000</v>
      </c>
      <c r="H126" s="18">
        <v>98664653.969999999</v>
      </c>
      <c r="I126" s="18">
        <v>100000000</v>
      </c>
      <c r="J126" s="18">
        <v>98664653.969999999</v>
      </c>
      <c r="K126" s="15">
        <v>3257450</v>
      </c>
      <c r="L126" s="13" t="s">
        <v>117</v>
      </c>
      <c r="M126" s="13" t="s">
        <v>118</v>
      </c>
      <c r="N126" s="145" t="s">
        <v>388</v>
      </c>
      <c r="O126" s="145" t="s">
        <v>388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732</v>
      </c>
      <c r="V126" s="13" t="s">
        <v>732</v>
      </c>
      <c r="W126" s="60">
        <f>+J126/$W$2</f>
        <v>2.6004098680978728E-3</v>
      </c>
    </row>
    <row r="127" spans="1:23">
      <c r="A127" s="13" t="s">
        <v>376</v>
      </c>
      <c r="B127" s="13" t="s">
        <v>675</v>
      </c>
      <c r="C127" s="145">
        <v>46169</v>
      </c>
      <c r="D127" s="145" t="s">
        <v>469</v>
      </c>
      <c r="E127" s="28">
        <v>0.98526166999999998</v>
      </c>
      <c r="F127" s="13"/>
      <c r="G127" s="18">
        <v>4967341.46</v>
      </c>
      <c r="H127" s="18">
        <v>4894131.12</v>
      </c>
      <c r="I127" s="18">
        <v>4967341.46</v>
      </c>
      <c r="J127" s="18">
        <v>4894131.12</v>
      </c>
      <c r="K127" s="15">
        <v>5072</v>
      </c>
      <c r="L127" s="13" t="s">
        <v>117</v>
      </c>
      <c r="M127" s="13" t="s">
        <v>118</v>
      </c>
      <c r="N127" s="145" t="s">
        <v>443</v>
      </c>
      <c r="O127" s="145" t="s">
        <v>443</v>
      </c>
      <c r="P127" s="28">
        <v>42</v>
      </c>
      <c r="Q127" s="13" t="s">
        <v>54</v>
      </c>
      <c r="R127" s="13" t="s">
        <v>28</v>
      </c>
      <c r="S127" s="13"/>
      <c r="T127" s="13"/>
      <c r="U127" s="13" t="s">
        <v>1075</v>
      </c>
      <c r="V127" s="13" t="s">
        <v>1075</v>
      </c>
      <c r="W127" s="60">
        <f>+J127/$W$2</f>
        <v>1.2898993051840626E-4</v>
      </c>
    </row>
    <row r="128" spans="1:23">
      <c r="A128" s="13" t="s">
        <v>1100</v>
      </c>
      <c r="B128" s="13" t="s">
        <v>675</v>
      </c>
      <c r="C128" s="145">
        <v>46169</v>
      </c>
      <c r="D128" s="145" t="s">
        <v>469</v>
      </c>
      <c r="E128" s="28">
        <v>0.98977689000000002</v>
      </c>
      <c r="F128" s="13"/>
      <c r="G128" s="18">
        <v>30000000</v>
      </c>
      <c r="H128" s="18">
        <v>29693306.84</v>
      </c>
      <c r="I128" s="18">
        <v>30000000</v>
      </c>
      <c r="J128" s="18">
        <v>29693306.84</v>
      </c>
      <c r="K128" s="15">
        <v>66249672</v>
      </c>
      <c r="L128" s="13" t="s">
        <v>117</v>
      </c>
      <c r="M128" s="13" t="s">
        <v>118</v>
      </c>
      <c r="N128" s="145" t="s">
        <v>443</v>
      </c>
      <c r="O128" s="145" t="s">
        <v>443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1069</v>
      </c>
      <c r="V128" s="13" t="s">
        <v>1069</v>
      </c>
      <c r="W128" s="60">
        <f>+J128/$W$2</f>
        <v>7.8259807353778395E-4</v>
      </c>
    </row>
    <row r="129" spans="1:29">
      <c r="A129" s="13" t="s">
        <v>491</v>
      </c>
      <c r="B129" s="13" t="s">
        <v>675</v>
      </c>
      <c r="C129" s="145">
        <v>46169</v>
      </c>
      <c r="D129" s="145" t="s">
        <v>469</v>
      </c>
      <c r="E129" s="28">
        <v>0.98491600999999995</v>
      </c>
      <c r="F129" s="13"/>
      <c r="G129" s="18">
        <v>12000000</v>
      </c>
      <c r="H129" s="18">
        <v>11818992.109999999</v>
      </c>
      <c r="I129" s="18">
        <v>12000000</v>
      </c>
      <c r="J129" s="18">
        <v>11818992.109999999</v>
      </c>
      <c r="K129" s="15">
        <v>2339</v>
      </c>
      <c r="L129" s="13" t="s">
        <v>117</v>
      </c>
      <c r="M129" s="13" t="s">
        <v>118</v>
      </c>
      <c r="N129" s="145" t="s">
        <v>304</v>
      </c>
      <c r="O129" s="145" t="s">
        <v>304</v>
      </c>
      <c r="P129" s="28">
        <v>43</v>
      </c>
      <c r="Q129" s="13" t="s">
        <v>54</v>
      </c>
      <c r="R129" s="13" t="s">
        <v>28</v>
      </c>
      <c r="S129" s="13"/>
      <c r="T129" s="13"/>
      <c r="U129" s="13" t="s">
        <v>644</v>
      </c>
      <c r="V129" s="13" t="s">
        <v>644</v>
      </c>
      <c r="W129" s="60">
        <f>+J129/$W$2</f>
        <v>3.1150186492479823E-4</v>
      </c>
    </row>
    <row r="130" spans="1:29">
      <c r="A130" s="13" t="s">
        <v>550</v>
      </c>
      <c r="B130" s="13" t="s">
        <v>675</v>
      </c>
      <c r="C130" s="145">
        <v>46169</v>
      </c>
      <c r="D130" s="145" t="s">
        <v>469</v>
      </c>
      <c r="E130" s="28">
        <v>0.98491598999999996</v>
      </c>
      <c r="F130" s="13"/>
      <c r="G130" s="18">
        <v>15000000</v>
      </c>
      <c r="H130" s="18">
        <v>14773739.800000001</v>
      </c>
      <c r="I130" s="18">
        <v>15000000</v>
      </c>
      <c r="J130" s="18">
        <v>14773739.800000001</v>
      </c>
      <c r="K130" s="15">
        <v>13318378</v>
      </c>
      <c r="L130" s="13" t="s">
        <v>117</v>
      </c>
      <c r="M130" s="13" t="s">
        <v>118</v>
      </c>
      <c r="N130" s="145" t="s">
        <v>206</v>
      </c>
      <c r="O130" s="145" t="s">
        <v>206</v>
      </c>
      <c r="P130" s="28">
        <v>43</v>
      </c>
      <c r="Q130" s="13" t="s">
        <v>54</v>
      </c>
      <c r="R130" s="13" t="s">
        <v>28</v>
      </c>
      <c r="S130" s="13"/>
      <c r="T130" s="13"/>
      <c r="U130" s="13" t="s">
        <v>689</v>
      </c>
      <c r="V130" s="13" t="s">
        <v>689</v>
      </c>
      <c r="W130" s="60">
        <f>+J130/$W$2</f>
        <v>3.893773222608333E-4</v>
      </c>
      <c r="AC130" s="57"/>
    </row>
    <row r="131" spans="1:29">
      <c r="A131" s="13" t="s">
        <v>1101</v>
      </c>
      <c r="B131" s="13" t="s">
        <v>675</v>
      </c>
      <c r="C131" s="145">
        <v>46169</v>
      </c>
      <c r="D131" s="145" t="s">
        <v>469</v>
      </c>
      <c r="E131" s="28">
        <v>0.99117445999999998</v>
      </c>
      <c r="F131" s="13"/>
      <c r="G131" s="18">
        <v>808991</v>
      </c>
      <c r="H131" s="18">
        <v>801851.22</v>
      </c>
      <c r="I131" s="18">
        <v>808991</v>
      </c>
      <c r="J131" s="18">
        <v>801851.22</v>
      </c>
      <c r="K131" s="15">
        <v>90000068</v>
      </c>
      <c r="L131" s="13" t="s">
        <v>117</v>
      </c>
      <c r="M131" s="13" t="s">
        <v>118</v>
      </c>
      <c r="N131" s="145" t="s">
        <v>461</v>
      </c>
      <c r="O131" s="145" t="s">
        <v>461</v>
      </c>
      <c r="P131" s="28">
        <v>25</v>
      </c>
      <c r="Q131" s="13" t="s">
        <v>54</v>
      </c>
      <c r="R131" s="13" t="s">
        <v>28</v>
      </c>
      <c r="S131" s="13"/>
      <c r="T131" s="13"/>
      <c r="U131" s="13" t="s">
        <v>1131</v>
      </c>
      <c r="V131" s="13" t="s">
        <v>1131</v>
      </c>
      <c r="W131" s="60">
        <f>+J131/$W$2</f>
        <v>2.1133625278494637E-5</v>
      </c>
    </row>
    <row r="132" spans="1:29">
      <c r="A132" s="13" t="s">
        <v>1101</v>
      </c>
      <c r="B132" s="13" t="s">
        <v>675</v>
      </c>
      <c r="C132" s="145">
        <v>46169</v>
      </c>
      <c r="D132" s="145" t="s">
        <v>469</v>
      </c>
      <c r="E132" s="28">
        <v>0.99117447999999997</v>
      </c>
      <c r="F132" s="13"/>
      <c r="G132" s="18">
        <v>4023552.5</v>
      </c>
      <c r="H132" s="18">
        <v>3988042.55</v>
      </c>
      <c r="I132" s="18">
        <v>4023552.5</v>
      </c>
      <c r="J132" s="18">
        <v>3988042.55</v>
      </c>
      <c r="K132" s="15">
        <v>1499</v>
      </c>
      <c r="L132" s="13" t="s">
        <v>117</v>
      </c>
      <c r="M132" s="13" t="s">
        <v>118</v>
      </c>
      <c r="N132" s="145" t="s">
        <v>461</v>
      </c>
      <c r="O132" s="145" t="s">
        <v>461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1138</v>
      </c>
      <c r="V132" s="13" t="s">
        <v>1138</v>
      </c>
      <c r="W132" s="60">
        <f>+J132/$W$2</f>
        <v>1.0510902115531135E-4</v>
      </c>
    </row>
    <row r="133" spans="1:29">
      <c r="A133" s="13" t="s">
        <v>1101</v>
      </c>
      <c r="B133" s="13" t="s">
        <v>675</v>
      </c>
      <c r="C133" s="145">
        <v>46169</v>
      </c>
      <c r="D133" s="145" t="s">
        <v>469</v>
      </c>
      <c r="E133" s="28">
        <v>0.99117445999999998</v>
      </c>
      <c r="F133" s="13"/>
      <c r="G133" s="18">
        <v>880000</v>
      </c>
      <c r="H133" s="18">
        <v>872233.53</v>
      </c>
      <c r="I133" s="18">
        <v>880000</v>
      </c>
      <c r="J133" s="18">
        <v>872233.53</v>
      </c>
      <c r="K133" s="15">
        <v>2248</v>
      </c>
      <c r="L133" s="13" t="s">
        <v>117</v>
      </c>
      <c r="M133" s="13" t="s">
        <v>118</v>
      </c>
      <c r="N133" s="145" t="s">
        <v>461</v>
      </c>
      <c r="O133" s="145" t="s">
        <v>461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1139</v>
      </c>
      <c r="V133" s="13" t="s">
        <v>1139</v>
      </c>
      <c r="W133" s="60">
        <f>+J133/$W$2</f>
        <v>2.2988624471206283E-5</v>
      </c>
      <c r="AC133" s="57"/>
    </row>
    <row r="134" spans="1:29">
      <c r="A134" s="13" t="s">
        <v>266</v>
      </c>
      <c r="B134" s="13" t="s">
        <v>675</v>
      </c>
      <c r="C134" s="145">
        <v>46169</v>
      </c>
      <c r="D134" s="145" t="s">
        <v>469</v>
      </c>
      <c r="E134" s="28">
        <v>0.99047518000000001</v>
      </c>
      <c r="F134" s="13"/>
      <c r="G134" s="18">
        <v>5914315.6600000001</v>
      </c>
      <c r="H134" s="18">
        <v>5857982.8799999999</v>
      </c>
      <c r="I134" s="18">
        <v>5914315.6600000001</v>
      </c>
      <c r="J134" s="18">
        <v>5857982.8799999999</v>
      </c>
      <c r="K134" s="15">
        <v>2734</v>
      </c>
      <c r="L134" s="13" t="s">
        <v>117</v>
      </c>
      <c r="M134" s="13" t="s">
        <v>118</v>
      </c>
      <c r="N134" s="145" t="s">
        <v>209</v>
      </c>
      <c r="O134" s="145" t="s">
        <v>209</v>
      </c>
      <c r="P134" s="28">
        <v>27</v>
      </c>
      <c r="Q134" s="13" t="s">
        <v>54</v>
      </c>
      <c r="R134" s="13" t="s">
        <v>28</v>
      </c>
      <c r="S134" s="13"/>
      <c r="T134" s="13"/>
      <c r="U134" s="13" t="s">
        <v>838</v>
      </c>
      <c r="V134" s="13" t="s">
        <v>838</v>
      </c>
      <c r="W134" s="60">
        <f>+J134/$W$2</f>
        <v>1.5439324900416916E-4</v>
      </c>
      <c r="AC134" s="57"/>
    </row>
    <row r="135" spans="1:29">
      <c r="A135" s="13" t="s">
        <v>780</v>
      </c>
      <c r="B135" s="13" t="s">
        <v>675</v>
      </c>
      <c r="C135" s="145">
        <v>46169</v>
      </c>
      <c r="D135" s="145" t="s">
        <v>469</v>
      </c>
      <c r="E135" s="28">
        <v>0.98560745000000005</v>
      </c>
      <c r="F135" s="13"/>
      <c r="G135" s="18">
        <v>13296076.9</v>
      </c>
      <c r="H135" s="18">
        <v>13104712.51</v>
      </c>
      <c r="I135" s="18">
        <v>13296076.9</v>
      </c>
      <c r="J135" s="18">
        <v>13104712.51</v>
      </c>
      <c r="K135" s="15">
        <v>30422</v>
      </c>
      <c r="L135" s="13" t="s">
        <v>117</v>
      </c>
      <c r="M135" s="13" t="s">
        <v>118</v>
      </c>
      <c r="N135" s="145" t="s">
        <v>387</v>
      </c>
      <c r="O135" s="145" t="s">
        <v>387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753</v>
      </c>
      <c r="V135" s="13" t="s">
        <v>753</v>
      </c>
      <c r="W135" s="60">
        <f>+J135/$W$2</f>
        <v>3.453883671446443E-4</v>
      </c>
    </row>
    <row r="136" spans="1:29">
      <c r="A136" s="13" t="s">
        <v>1251</v>
      </c>
      <c r="B136" s="13" t="s">
        <v>675</v>
      </c>
      <c r="C136" s="145">
        <v>46169</v>
      </c>
      <c r="D136" s="145" t="s">
        <v>469</v>
      </c>
      <c r="E136" s="28">
        <v>0.98942812000000002</v>
      </c>
      <c r="F136" s="13"/>
      <c r="G136" s="18">
        <v>5000000</v>
      </c>
      <c r="H136" s="18">
        <v>4947140.58</v>
      </c>
      <c r="I136" s="18">
        <v>5000000</v>
      </c>
      <c r="J136" s="18">
        <v>4947140.58</v>
      </c>
      <c r="K136" s="15">
        <v>10926490</v>
      </c>
      <c r="L136" s="13" t="s">
        <v>117</v>
      </c>
      <c r="M136" s="13" t="s">
        <v>118</v>
      </c>
      <c r="N136" s="145" t="s">
        <v>528</v>
      </c>
      <c r="O136" s="145" t="s">
        <v>528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1277</v>
      </c>
      <c r="V136" s="13" t="s">
        <v>1277</v>
      </c>
      <c r="W136" s="60">
        <f>+J136/$W$2</f>
        <v>1.3038705012851965E-4</v>
      </c>
    </row>
    <row r="137" spans="1:29">
      <c r="A137" s="13" t="s">
        <v>1232</v>
      </c>
      <c r="B137" s="13" t="s">
        <v>675</v>
      </c>
      <c r="C137" s="145">
        <v>46170</v>
      </c>
      <c r="D137" s="145" t="s">
        <v>469</v>
      </c>
      <c r="E137" s="28">
        <v>0.98675325999999997</v>
      </c>
      <c r="F137" s="13"/>
      <c r="G137" s="18">
        <v>1085774.81</v>
      </c>
      <c r="H137" s="18">
        <v>1071391.83</v>
      </c>
      <c r="I137" s="18">
        <v>1085774.81</v>
      </c>
      <c r="J137" s="18">
        <v>1071391.83</v>
      </c>
      <c r="K137" s="15">
        <v>9278311</v>
      </c>
      <c r="L137" s="13" t="s">
        <v>117</v>
      </c>
      <c r="M137" s="13" t="s">
        <v>118</v>
      </c>
      <c r="N137" s="145" t="s">
        <v>461</v>
      </c>
      <c r="O137" s="145" t="s">
        <v>461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1199</v>
      </c>
      <c r="V137" s="13" t="s">
        <v>1199</v>
      </c>
      <c r="W137" s="60">
        <f>+J137/$W$2</f>
        <v>2.8237649200883716E-5</v>
      </c>
    </row>
    <row r="138" spans="1:29">
      <c r="A138" s="13" t="s">
        <v>1509</v>
      </c>
      <c r="B138" s="13" t="s">
        <v>675</v>
      </c>
      <c r="C138" s="145">
        <v>46170</v>
      </c>
      <c r="D138" s="145" t="s">
        <v>469</v>
      </c>
      <c r="E138" s="28">
        <v>0.98563405999999998</v>
      </c>
      <c r="F138" s="13"/>
      <c r="G138" s="18">
        <v>4000000</v>
      </c>
      <c r="H138" s="18">
        <v>3942536.26</v>
      </c>
      <c r="I138" s="18">
        <v>4000000</v>
      </c>
      <c r="J138" s="18">
        <v>3942536.26</v>
      </c>
      <c r="K138" s="15">
        <v>90025533</v>
      </c>
      <c r="L138" s="13" t="s">
        <v>117</v>
      </c>
      <c r="M138" s="13" t="s">
        <v>118</v>
      </c>
      <c r="N138" s="145" t="s">
        <v>411</v>
      </c>
      <c r="O138" s="145" t="s">
        <v>411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1498</v>
      </c>
      <c r="V138" s="13" t="s">
        <v>1498</v>
      </c>
      <c r="W138" s="60">
        <f>+J138/$W$2</f>
        <v>1.0390965541677134E-4</v>
      </c>
    </row>
    <row r="139" spans="1:29">
      <c r="A139" s="13" t="s">
        <v>1509</v>
      </c>
      <c r="B139" s="13" t="s">
        <v>675</v>
      </c>
      <c r="C139" s="145">
        <v>46170</v>
      </c>
      <c r="D139" s="145" t="s">
        <v>469</v>
      </c>
      <c r="E139" s="28">
        <v>0.98563405999999998</v>
      </c>
      <c r="F139" s="13"/>
      <c r="G139" s="18">
        <v>4000000</v>
      </c>
      <c r="H139" s="18">
        <v>3942536.26</v>
      </c>
      <c r="I139" s="18">
        <v>4000000</v>
      </c>
      <c r="J139" s="18">
        <v>3942536.26</v>
      </c>
      <c r="K139" s="15">
        <v>90025535</v>
      </c>
      <c r="L139" s="13" t="s">
        <v>117</v>
      </c>
      <c r="M139" s="13" t="s">
        <v>118</v>
      </c>
      <c r="N139" s="145" t="s">
        <v>411</v>
      </c>
      <c r="O139" s="145" t="s">
        <v>411</v>
      </c>
      <c r="P139" s="28">
        <v>38</v>
      </c>
      <c r="Q139" s="13" t="s">
        <v>54</v>
      </c>
      <c r="R139" s="13" t="s">
        <v>28</v>
      </c>
      <c r="S139" s="13"/>
      <c r="T139" s="13"/>
      <c r="U139" s="13" t="s">
        <v>1501</v>
      </c>
      <c r="V139" s="13" t="s">
        <v>1501</v>
      </c>
      <c r="W139" s="60">
        <f>+J139/$W$2</f>
        <v>1.0390965541677134E-4</v>
      </c>
    </row>
    <row r="140" spans="1:29">
      <c r="A140" s="13" t="s">
        <v>1509</v>
      </c>
      <c r="B140" s="13" t="s">
        <v>675</v>
      </c>
      <c r="C140" s="145">
        <v>46170</v>
      </c>
      <c r="D140" s="145" t="s">
        <v>469</v>
      </c>
      <c r="E140" s="28">
        <v>0.98563405999999998</v>
      </c>
      <c r="F140" s="13"/>
      <c r="G140" s="18">
        <v>4000000</v>
      </c>
      <c r="H140" s="18">
        <v>3942536.26</v>
      </c>
      <c r="I140" s="18">
        <v>4000000</v>
      </c>
      <c r="J140" s="18">
        <v>3942536.26</v>
      </c>
      <c r="K140" s="15">
        <v>90025534</v>
      </c>
      <c r="L140" s="13" t="s">
        <v>117</v>
      </c>
      <c r="M140" s="13" t="s">
        <v>118</v>
      </c>
      <c r="N140" s="145" t="s">
        <v>411</v>
      </c>
      <c r="O140" s="145" t="s">
        <v>411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1503</v>
      </c>
      <c r="V140" s="13" t="s">
        <v>1503</v>
      </c>
      <c r="W140" s="60">
        <f>+J140/$W$2</f>
        <v>1.0390965541677134E-4</v>
      </c>
    </row>
    <row r="141" spans="1:29">
      <c r="A141" s="13" t="s">
        <v>786</v>
      </c>
      <c r="B141" s="13" t="s">
        <v>675</v>
      </c>
      <c r="C141" s="145">
        <v>46170</v>
      </c>
      <c r="D141" s="145" t="s">
        <v>469</v>
      </c>
      <c r="E141" s="28">
        <v>0.98451745000000002</v>
      </c>
      <c r="F141" s="13"/>
      <c r="G141" s="18">
        <v>2710644</v>
      </c>
      <c r="H141" s="18">
        <v>2668676.3199999998</v>
      </c>
      <c r="I141" s="18">
        <v>2710644</v>
      </c>
      <c r="J141" s="18">
        <v>2668676.3199999998</v>
      </c>
      <c r="K141" s="15">
        <v>8606949</v>
      </c>
      <c r="L141" s="13" t="s">
        <v>117</v>
      </c>
      <c r="M141" s="13" t="s">
        <v>118</v>
      </c>
      <c r="N141" s="145" t="s">
        <v>387</v>
      </c>
      <c r="O141" s="145" t="s">
        <v>387</v>
      </c>
      <c r="P141" s="28">
        <v>41</v>
      </c>
      <c r="Q141" s="13" t="s">
        <v>54</v>
      </c>
      <c r="R141" s="13" t="s">
        <v>28</v>
      </c>
      <c r="S141" s="13"/>
      <c r="T141" s="13"/>
      <c r="U141" s="13" t="s">
        <v>778</v>
      </c>
      <c r="V141" s="13" t="s">
        <v>778</v>
      </c>
      <c r="W141" s="60">
        <f>+J141/$W$2</f>
        <v>7.0335747991344383E-5</v>
      </c>
    </row>
    <row r="142" spans="1:29">
      <c r="A142" s="13" t="s">
        <v>1007</v>
      </c>
      <c r="B142" s="13" t="s">
        <v>675</v>
      </c>
      <c r="C142" s="145">
        <v>46170</v>
      </c>
      <c r="D142" s="145" t="s">
        <v>469</v>
      </c>
      <c r="E142" s="28">
        <v>0.98637995000000001</v>
      </c>
      <c r="F142" s="13"/>
      <c r="G142" s="18">
        <v>1000000</v>
      </c>
      <c r="H142" s="18">
        <v>986379.95</v>
      </c>
      <c r="I142" s="18">
        <v>1000000</v>
      </c>
      <c r="J142" s="18">
        <v>986379.95</v>
      </c>
      <c r="K142" s="15">
        <v>20</v>
      </c>
      <c r="L142" s="13" t="s">
        <v>117</v>
      </c>
      <c r="M142" s="13" t="s">
        <v>118</v>
      </c>
      <c r="N142" s="145" t="s">
        <v>442</v>
      </c>
      <c r="O142" s="145" t="s">
        <v>442</v>
      </c>
      <c r="P142" s="28">
        <v>36</v>
      </c>
      <c r="Q142" s="13" t="s">
        <v>54</v>
      </c>
      <c r="R142" s="13" t="s">
        <v>28</v>
      </c>
      <c r="S142" s="13"/>
      <c r="T142" s="13"/>
      <c r="U142" s="13" t="s">
        <v>993</v>
      </c>
      <c r="V142" s="13" t="s">
        <v>993</v>
      </c>
      <c r="W142" s="60">
        <f>+J142/$W$2</f>
        <v>2.599707243136735E-5</v>
      </c>
    </row>
    <row r="143" spans="1:29">
      <c r="A143" s="13" t="s">
        <v>1007</v>
      </c>
      <c r="B143" s="13" t="s">
        <v>675</v>
      </c>
      <c r="C143" s="145">
        <v>46170</v>
      </c>
      <c r="D143" s="145" t="s">
        <v>469</v>
      </c>
      <c r="E143" s="28">
        <v>0.98637995000000001</v>
      </c>
      <c r="F143" s="13"/>
      <c r="G143" s="18">
        <v>1000000</v>
      </c>
      <c r="H143" s="18">
        <v>986379.95</v>
      </c>
      <c r="I143" s="18">
        <v>1000000</v>
      </c>
      <c r="J143" s="18">
        <v>986379.95</v>
      </c>
      <c r="K143" s="15">
        <v>19</v>
      </c>
      <c r="L143" s="13" t="s">
        <v>117</v>
      </c>
      <c r="M143" s="13" t="s">
        <v>118</v>
      </c>
      <c r="N143" s="145" t="s">
        <v>442</v>
      </c>
      <c r="O143" s="145" t="s">
        <v>442</v>
      </c>
      <c r="P143" s="28">
        <v>36</v>
      </c>
      <c r="Q143" s="13" t="s">
        <v>54</v>
      </c>
      <c r="R143" s="13" t="s">
        <v>28</v>
      </c>
      <c r="S143" s="13"/>
      <c r="T143" s="13"/>
      <c r="U143" s="13" t="s">
        <v>996</v>
      </c>
      <c r="V143" s="13" t="s">
        <v>996</v>
      </c>
      <c r="W143" s="60">
        <f>+J143/$W$2</f>
        <v>2.599707243136735E-5</v>
      </c>
    </row>
    <row r="144" spans="1:29">
      <c r="A144" s="13" t="s">
        <v>1007</v>
      </c>
      <c r="B144" s="13" t="s">
        <v>675</v>
      </c>
      <c r="C144" s="145">
        <v>46170</v>
      </c>
      <c r="D144" s="145" t="s">
        <v>469</v>
      </c>
      <c r="E144" s="28">
        <v>0.98637995000000001</v>
      </c>
      <c r="F144" s="13"/>
      <c r="G144" s="18">
        <v>1000000</v>
      </c>
      <c r="H144" s="18">
        <v>986379.95</v>
      </c>
      <c r="I144" s="18">
        <v>1000000</v>
      </c>
      <c r="J144" s="18">
        <v>986379.95</v>
      </c>
      <c r="K144" s="15">
        <v>21</v>
      </c>
      <c r="L144" s="13" t="s">
        <v>117</v>
      </c>
      <c r="M144" s="13" t="s">
        <v>118</v>
      </c>
      <c r="N144" s="145" t="s">
        <v>442</v>
      </c>
      <c r="O144" s="145" t="s">
        <v>442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997</v>
      </c>
      <c r="V144" s="13" t="s">
        <v>997</v>
      </c>
      <c r="W144" s="60">
        <f>+J144/$W$2</f>
        <v>2.599707243136735E-5</v>
      </c>
    </row>
    <row r="145" spans="1:29">
      <c r="A145" s="13" t="s">
        <v>1026</v>
      </c>
      <c r="B145" s="13" t="s">
        <v>675</v>
      </c>
      <c r="C145" s="145">
        <v>46170</v>
      </c>
      <c r="D145" s="145" t="s">
        <v>469</v>
      </c>
      <c r="E145" s="28">
        <v>0.99163230000000002</v>
      </c>
      <c r="F145" s="13"/>
      <c r="G145" s="18">
        <v>2028560</v>
      </c>
      <c r="H145" s="18">
        <v>2011585.62</v>
      </c>
      <c r="I145" s="18">
        <v>2028560</v>
      </c>
      <c r="J145" s="18">
        <v>2011585.62</v>
      </c>
      <c r="K145" s="15">
        <v>9822</v>
      </c>
      <c r="L145" s="13" t="s">
        <v>117</v>
      </c>
      <c r="M145" s="13" t="s">
        <v>118</v>
      </c>
      <c r="N145" s="145" t="s">
        <v>386</v>
      </c>
      <c r="O145" s="145" t="s">
        <v>386</v>
      </c>
      <c r="P145" s="28">
        <v>22</v>
      </c>
      <c r="Q145" s="13" t="s">
        <v>54</v>
      </c>
      <c r="R145" s="13" t="s">
        <v>28</v>
      </c>
      <c r="S145" s="13"/>
      <c r="T145" s="13"/>
      <c r="U145" s="13" t="s">
        <v>1014</v>
      </c>
      <c r="V145" s="13" t="s">
        <v>1014</v>
      </c>
      <c r="W145" s="60">
        <f>+J145/$W$2</f>
        <v>5.3017437210718859E-5</v>
      </c>
      <c r="AC145" s="57"/>
    </row>
    <row r="146" spans="1:29">
      <c r="A146" s="13" t="s">
        <v>1027</v>
      </c>
      <c r="B146" s="13" t="s">
        <v>675</v>
      </c>
      <c r="C146" s="145">
        <v>46170</v>
      </c>
      <c r="D146" s="145" t="s">
        <v>469</v>
      </c>
      <c r="E146" s="28">
        <v>0.99163230000000002</v>
      </c>
      <c r="F146" s="13"/>
      <c r="G146" s="18">
        <v>3521113.5</v>
      </c>
      <c r="H146" s="18">
        <v>3491649.87</v>
      </c>
      <c r="I146" s="18">
        <v>3521113.5</v>
      </c>
      <c r="J146" s="18">
        <v>3491649.87</v>
      </c>
      <c r="K146" s="15">
        <v>65870424</v>
      </c>
      <c r="L146" s="13" t="s">
        <v>117</v>
      </c>
      <c r="M146" s="13" t="s">
        <v>118</v>
      </c>
      <c r="N146" s="145" t="s">
        <v>386</v>
      </c>
      <c r="O146" s="145" t="s">
        <v>386</v>
      </c>
      <c r="P146" s="28">
        <v>22</v>
      </c>
      <c r="Q146" s="13" t="s">
        <v>54</v>
      </c>
      <c r="R146" s="13" t="s">
        <v>28</v>
      </c>
      <c r="S146" s="13"/>
      <c r="T146" s="13"/>
      <c r="U146" s="13" t="s">
        <v>1008</v>
      </c>
      <c r="V146" s="13" t="s">
        <v>1008</v>
      </c>
      <c r="W146" s="60">
        <f>+J146/$W$2</f>
        <v>9.202607430875334E-5</v>
      </c>
    </row>
    <row r="147" spans="1:29">
      <c r="A147" s="13" t="s">
        <v>785</v>
      </c>
      <c r="B147" s="13" t="s">
        <v>675</v>
      </c>
      <c r="C147" s="145">
        <v>46170</v>
      </c>
      <c r="D147" s="145" t="s">
        <v>469</v>
      </c>
      <c r="E147" s="28">
        <v>0.98451745999999996</v>
      </c>
      <c r="F147" s="13"/>
      <c r="G147" s="18">
        <v>3016360.47</v>
      </c>
      <c r="H147" s="18">
        <v>2969659.54</v>
      </c>
      <c r="I147" s="18">
        <v>3016360.47</v>
      </c>
      <c r="J147" s="18">
        <v>2969659.54</v>
      </c>
      <c r="K147" s="15">
        <v>999</v>
      </c>
      <c r="L147" s="13" t="s">
        <v>117</v>
      </c>
      <c r="M147" s="13" t="s">
        <v>118</v>
      </c>
      <c r="N147" s="145" t="s">
        <v>387</v>
      </c>
      <c r="O147" s="145" t="s">
        <v>387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776</v>
      </c>
      <c r="V147" s="13" t="s">
        <v>776</v>
      </c>
      <c r="W147" s="60">
        <f>+J147/$W$2</f>
        <v>7.8268474696673479E-5</v>
      </c>
    </row>
    <row r="148" spans="1:29">
      <c r="A148" s="13" t="s">
        <v>444</v>
      </c>
      <c r="B148" s="13" t="s">
        <v>675</v>
      </c>
      <c r="C148" s="145">
        <v>46170</v>
      </c>
      <c r="D148" s="145" t="s">
        <v>469</v>
      </c>
      <c r="E148" s="28">
        <v>0.98488938000000004</v>
      </c>
      <c r="F148" s="13"/>
      <c r="G148" s="18">
        <v>3000000</v>
      </c>
      <c r="H148" s="18">
        <v>2954668.14</v>
      </c>
      <c r="I148" s="18">
        <v>3000000</v>
      </c>
      <c r="J148" s="18">
        <v>2954668.14</v>
      </c>
      <c r="K148" s="15">
        <v>60524033</v>
      </c>
      <c r="L148" s="13" t="s">
        <v>117</v>
      </c>
      <c r="M148" s="13" t="s">
        <v>118</v>
      </c>
      <c r="N148" s="145" t="s">
        <v>303</v>
      </c>
      <c r="O148" s="145" t="s">
        <v>303</v>
      </c>
      <c r="P148" s="28">
        <v>40</v>
      </c>
      <c r="Q148" s="13" t="s">
        <v>54</v>
      </c>
      <c r="R148" s="13" t="s">
        <v>28</v>
      </c>
      <c r="S148" s="13"/>
      <c r="T148" s="13"/>
      <c r="U148" s="13" t="s">
        <v>612</v>
      </c>
      <c r="V148" s="13" t="s">
        <v>612</v>
      </c>
      <c r="W148" s="60">
        <f>+J148/$W$2</f>
        <v>7.7873360712809968E-5</v>
      </c>
    </row>
    <row r="149" spans="1:29">
      <c r="A149" s="13" t="s">
        <v>201</v>
      </c>
      <c r="B149" s="13" t="s">
        <v>675</v>
      </c>
      <c r="C149" s="145">
        <v>46170</v>
      </c>
      <c r="D149" s="145" t="s">
        <v>469</v>
      </c>
      <c r="E149" s="28">
        <v>0.98266213000000002</v>
      </c>
      <c r="F149" s="13"/>
      <c r="G149" s="18">
        <v>25000000</v>
      </c>
      <c r="H149" s="18">
        <v>24566553.18</v>
      </c>
      <c r="I149" s="18">
        <v>25000000</v>
      </c>
      <c r="J149" s="18">
        <v>24566553.18</v>
      </c>
      <c r="K149" s="15">
        <v>3902</v>
      </c>
      <c r="L149" s="13" t="s">
        <v>117</v>
      </c>
      <c r="M149" s="13" t="s">
        <v>118</v>
      </c>
      <c r="N149" s="145" t="s">
        <v>321</v>
      </c>
      <c r="O149" s="145" t="s">
        <v>321</v>
      </c>
      <c r="P149" s="28">
        <v>46</v>
      </c>
      <c r="Q149" s="13" t="s">
        <v>54</v>
      </c>
      <c r="R149" s="13" t="s">
        <v>28</v>
      </c>
      <c r="S149" s="13"/>
      <c r="T149" s="13"/>
      <c r="U149" s="13" t="s">
        <v>529</v>
      </c>
      <c r="V149" s="13" t="s">
        <v>529</v>
      </c>
      <c r="W149" s="60">
        <f>+J149/$W$2</f>
        <v>6.4747713333943773E-4</v>
      </c>
    </row>
    <row r="150" spans="1:29">
      <c r="A150" s="13" t="s">
        <v>399</v>
      </c>
      <c r="B150" s="13" t="s">
        <v>675</v>
      </c>
      <c r="C150" s="145">
        <v>46170</v>
      </c>
      <c r="D150" s="145" t="s">
        <v>469</v>
      </c>
      <c r="E150" s="28">
        <v>0.98787491999999999</v>
      </c>
      <c r="F150" s="13"/>
      <c r="G150" s="18">
        <v>284625936</v>
      </c>
      <c r="H150" s="18">
        <v>281174822.69999999</v>
      </c>
      <c r="I150" s="18">
        <v>284625936</v>
      </c>
      <c r="J150" s="18">
        <v>281174822.69999999</v>
      </c>
      <c r="K150" s="15">
        <v>30012671</v>
      </c>
      <c r="L150" s="13" t="s">
        <v>117</v>
      </c>
      <c r="M150" s="13" t="s">
        <v>118</v>
      </c>
      <c r="N150" s="145" t="s">
        <v>386</v>
      </c>
      <c r="O150" s="145" t="s">
        <v>386</v>
      </c>
      <c r="P150" s="28">
        <v>32</v>
      </c>
      <c r="Q150" s="13" t="s">
        <v>54</v>
      </c>
      <c r="R150" s="13" t="s">
        <v>28</v>
      </c>
      <c r="S150" s="13"/>
      <c r="T150" s="13"/>
      <c r="U150" s="13" t="s">
        <v>1023</v>
      </c>
      <c r="V150" s="13" t="s">
        <v>1023</v>
      </c>
      <c r="W150" s="60">
        <f>+J150/$W$2</f>
        <v>7.410655733228127E-3</v>
      </c>
      <c r="AC150" s="57"/>
    </row>
    <row r="151" spans="1:29">
      <c r="A151" s="13" t="s">
        <v>399</v>
      </c>
      <c r="B151" s="13" t="s">
        <v>675</v>
      </c>
      <c r="C151" s="145">
        <v>46170</v>
      </c>
      <c r="D151" s="145" t="s">
        <v>469</v>
      </c>
      <c r="E151" s="28">
        <v>0.98787491999999999</v>
      </c>
      <c r="F151" s="13"/>
      <c r="G151" s="18">
        <v>139799058</v>
      </c>
      <c r="H151" s="18">
        <v>138103982.72</v>
      </c>
      <c r="I151" s="18">
        <v>139799058</v>
      </c>
      <c r="J151" s="18">
        <v>138103982.72</v>
      </c>
      <c r="K151" s="15">
        <v>30012672</v>
      </c>
      <c r="L151" s="13" t="s">
        <v>117</v>
      </c>
      <c r="M151" s="13" t="s">
        <v>118</v>
      </c>
      <c r="N151" s="145" t="s">
        <v>386</v>
      </c>
      <c r="O151" s="145" t="s">
        <v>386</v>
      </c>
      <c r="P151" s="28">
        <v>32</v>
      </c>
      <c r="Q151" s="13" t="s">
        <v>54</v>
      </c>
      <c r="R151" s="13" t="s">
        <v>28</v>
      </c>
      <c r="S151" s="13"/>
      <c r="T151" s="13"/>
      <c r="U151" s="13" t="s">
        <v>1024</v>
      </c>
      <c r="V151" s="13" t="s">
        <v>1024</v>
      </c>
      <c r="W151" s="60">
        <f>+J151/$W$2</f>
        <v>3.6398745147163069E-3</v>
      </c>
      <c r="AC151" s="57"/>
    </row>
    <row r="152" spans="1:29">
      <c r="A152" s="13" t="s">
        <v>399</v>
      </c>
      <c r="B152" s="13" t="s">
        <v>675</v>
      </c>
      <c r="C152" s="145">
        <v>46170</v>
      </c>
      <c r="D152" s="145" t="s">
        <v>469</v>
      </c>
      <c r="E152" s="28">
        <v>0.98787491999999999</v>
      </c>
      <c r="F152" s="13"/>
      <c r="G152" s="18">
        <v>430124947.10000002</v>
      </c>
      <c r="H152" s="18">
        <v>424909646.11000001</v>
      </c>
      <c r="I152" s="18">
        <v>430124947.10000002</v>
      </c>
      <c r="J152" s="18">
        <v>424909646.11000001</v>
      </c>
      <c r="K152" s="15">
        <v>30012670</v>
      </c>
      <c r="L152" s="13" t="s">
        <v>117</v>
      </c>
      <c r="M152" s="13" t="s">
        <v>118</v>
      </c>
      <c r="N152" s="145" t="s">
        <v>386</v>
      </c>
      <c r="O152" s="145" t="s">
        <v>386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1025</v>
      </c>
      <c r="V152" s="13" t="s">
        <v>1025</v>
      </c>
      <c r="W152" s="60">
        <f>+J152/$W$2</f>
        <v>1.1198936927609223E-2</v>
      </c>
    </row>
    <row r="153" spans="1:29">
      <c r="A153" s="13" t="s">
        <v>448</v>
      </c>
      <c r="B153" s="13" t="s">
        <v>675</v>
      </c>
      <c r="C153" s="145">
        <v>46170</v>
      </c>
      <c r="D153" s="145" t="s">
        <v>469</v>
      </c>
      <c r="E153" s="28">
        <v>0.98488940000000003</v>
      </c>
      <c r="F153" s="13"/>
      <c r="G153" s="18">
        <v>13126885</v>
      </c>
      <c r="H153" s="18">
        <v>12928529.84</v>
      </c>
      <c r="I153" s="18">
        <v>13126885</v>
      </c>
      <c r="J153" s="18">
        <v>12928529.84</v>
      </c>
      <c r="K153" s="15">
        <v>13227</v>
      </c>
      <c r="L153" s="13" t="s">
        <v>117</v>
      </c>
      <c r="M153" s="13" t="s">
        <v>118</v>
      </c>
      <c r="N153" s="145" t="s">
        <v>208</v>
      </c>
      <c r="O153" s="145" t="s">
        <v>208</v>
      </c>
      <c r="P153" s="28">
        <v>40</v>
      </c>
      <c r="Q153" s="13" t="s">
        <v>54</v>
      </c>
      <c r="R153" s="13" t="s">
        <v>28</v>
      </c>
      <c r="S153" s="13"/>
      <c r="T153" s="13"/>
      <c r="U153" s="13" t="s">
        <v>588</v>
      </c>
      <c r="V153" s="13" t="s">
        <v>588</v>
      </c>
      <c r="W153" s="60">
        <f>+J153/$W$2</f>
        <v>3.4074488910847605E-4</v>
      </c>
    </row>
    <row r="154" spans="1:29">
      <c r="A154" s="13" t="s">
        <v>493</v>
      </c>
      <c r="B154" s="13" t="s">
        <v>675</v>
      </c>
      <c r="C154" s="145">
        <v>46170</v>
      </c>
      <c r="D154" s="145" t="s">
        <v>469</v>
      </c>
      <c r="E154" s="28">
        <v>0.98377448000000001</v>
      </c>
      <c r="F154" s="13"/>
      <c r="G154" s="18">
        <v>2730168.3</v>
      </c>
      <c r="H154" s="18">
        <v>2685869.91</v>
      </c>
      <c r="I154" s="18">
        <v>2730168.3</v>
      </c>
      <c r="J154" s="18">
        <v>2685869.91</v>
      </c>
      <c r="K154" s="15">
        <v>1143</v>
      </c>
      <c r="L154" s="13" t="s">
        <v>117</v>
      </c>
      <c r="M154" s="13" t="s">
        <v>118</v>
      </c>
      <c r="N154" s="145" t="s">
        <v>206</v>
      </c>
      <c r="O154" s="145" t="s">
        <v>206</v>
      </c>
      <c r="P154" s="28">
        <v>43</v>
      </c>
      <c r="Q154" s="13" t="s">
        <v>54</v>
      </c>
      <c r="R154" s="13" t="s">
        <v>28</v>
      </c>
      <c r="S154" s="13"/>
      <c r="T154" s="13"/>
      <c r="U154" s="13" t="s">
        <v>710</v>
      </c>
      <c r="V154" s="13" t="s">
        <v>710</v>
      </c>
      <c r="W154" s="60">
        <f>+J154/$W$2</f>
        <v>7.0788902989664501E-5</v>
      </c>
    </row>
    <row r="155" spans="1:29">
      <c r="A155" s="13" t="s">
        <v>957</v>
      </c>
      <c r="B155" s="13" t="s">
        <v>675</v>
      </c>
      <c r="C155" s="145">
        <v>46170</v>
      </c>
      <c r="D155" s="145" t="s">
        <v>469</v>
      </c>
      <c r="E155" s="28">
        <v>0.98899915999999999</v>
      </c>
      <c r="F155" s="13"/>
      <c r="G155" s="18">
        <v>4000000</v>
      </c>
      <c r="H155" s="18">
        <v>3955996.62</v>
      </c>
      <c r="I155" s="18">
        <v>4000000</v>
      </c>
      <c r="J155" s="18">
        <v>3955996.62</v>
      </c>
      <c r="K155" s="15">
        <v>839</v>
      </c>
      <c r="L155" s="13" t="s">
        <v>117</v>
      </c>
      <c r="M155" s="13" t="s">
        <v>118</v>
      </c>
      <c r="N155" s="145" t="s">
        <v>461</v>
      </c>
      <c r="O155" s="145" t="s">
        <v>461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1119</v>
      </c>
      <c r="V155" s="13" t="s">
        <v>1119</v>
      </c>
      <c r="W155" s="60">
        <f>+J155/$W$2</f>
        <v>1.0426441724447504E-4</v>
      </c>
    </row>
    <row r="156" spans="1:29">
      <c r="A156" s="13" t="s">
        <v>406</v>
      </c>
      <c r="B156" s="13" t="s">
        <v>675</v>
      </c>
      <c r="C156" s="145">
        <v>46170</v>
      </c>
      <c r="D156" s="145" t="s">
        <v>469</v>
      </c>
      <c r="E156" s="28">
        <v>0.98899912000000001</v>
      </c>
      <c r="F156" s="13"/>
      <c r="G156" s="18">
        <v>4166666.66</v>
      </c>
      <c r="H156" s="18">
        <v>4120829.68</v>
      </c>
      <c r="I156" s="18">
        <v>4166666.66</v>
      </c>
      <c r="J156" s="18">
        <v>4120829.68</v>
      </c>
      <c r="K156" s="15">
        <v>13567714</v>
      </c>
      <c r="L156" s="13" t="s">
        <v>117</v>
      </c>
      <c r="M156" s="13" t="s">
        <v>118</v>
      </c>
      <c r="N156" s="145" t="s">
        <v>428</v>
      </c>
      <c r="O156" s="145" t="s">
        <v>428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1697</v>
      </c>
      <c r="V156" s="13" t="s">
        <v>1697</v>
      </c>
      <c r="W156" s="60">
        <f>+J156/$W$2</f>
        <v>1.0860876447081914E-4</v>
      </c>
      <c r="AC156" s="57"/>
    </row>
    <row r="157" spans="1:29">
      <c r="A157" s="13" t="s">
        <v>1389</v>
      </c>
      <c r="B157" s="13" t="s">
        <v>675</v>
      </c>
      <c r="C157" s="145">
        <v>46170</v>
      </c>
      <c r="D157" s="145" t="s">
        <v>469</v>
      </c>
      <c r="E157" s="28">
        <v>0.99012593000000004</v>
      </c>
      <c r="F157" s="13"/>
      <c r="G157" s="18">
        <v>36057385.119999997</v>
      </c>
      <c r="H157" s="18">
        <v>35701352.020000003</v>
      </c>
      <c r="I157" s="18">
        <v>36057385.119999997</v>
      </c>
      <c r="J157" s="18">
        <v>35701352.020000003</v>
      </c>
      <c r="K157" s="15">
        <v>40627724</v>
      </c>
      <c r="L157" s="13" t="s">
        <v>117</v>
      </c>
      <c r="M157" s="13" t="s">
        <v>118</v>
      </c>
      <c r="N157" s="145" t="s">
        <v>462</v>
      </c>
      <c r="O157" s="145" t="s">
        <v>462</v>
      </c>
      <c r="P157" s="28">
        <v>26</v>
      </c>
      <c r="Q157" s="13" t="s">
        <v>54</v>
      </c>
      <c r="R157" s="13" t="s">
        <v>28</v>
      </c>
      <c r="S157" s="13"/>
      <c r="T157" s="13"/>
      <c r="U157" s="13" t="s">
        <v>1750</v>
      </c>
      <c r="V157" s="13" t="s">
        <v>1750</v>
      </c>
      <c r="W157" s="60">
        <f>+J157/$W$2</f>
        <v>9.4094637098177353E-4</v>
      </c>
    </row>
    <row r="158" spans="1:29">
      <c r="A158" s="13" t="s">
        <v>550</v>
      </c>
      <c r="B158" s="13" t="s">
        <v>675</v>
      </c>
      <c r="C158" s="145">
        <v>46170</v>
      </c>
      <c r="D158" s="145" t="s">
        <v>469</v>
      </c>
      <c r="E158" s="28">
        <v>0.98377448000000001</v>
      </c>
      <c r="F158" s="13"/>
      <c r="G158" s="18">
        <v>15000000</v>
      </c>
      <c r="H158" s="18">
        <v>14756617.23</v>
      </c>
      <c r="I158" s="18">
        <v>15000000</v>
      </c>
      <c r="J158" s="18">
        <v>14756617.23</v>
      </c>
      <c r="K158" s="15">
        <v>13318379</v>
      </c>
      <c r="L158" s="13" t="s">
        <v>117</v>
      </c>
      <c r="M158" s="13" t="s">
        <v>118</v>
      </c>
      <c r="N158" s="145" t="s">
        <v>206</v>
      </c>
      <c r="O158" s="145" t="s">
        <v>206</v>
      </c>
      <c r="P158" s="28">
        <v>43</v>
      </c>
      <c r="Q158" s="13" t="s">
        <v>54</v>
      </c>
      <c r="R158" s="13" t="s">
        <v>28</v>
      </c>
      <c r="S158" s="13"/>
      <c r="T158" s="13"/>
      <c r="U158" s="13" t="s">
        <v>690</v>
      </c>
      <c r="V158" s="13" t="s">
        <v>690</v>
      </c>
      <c r="W158" s="60">
        <f>+J158/$W$2</f>
        <v>3.8892603906869099E-4</v>
      </c>
    </row>
    <row r="159" spans="1:29">
      <c r="A159" s="13" t="s">
        <v>550</v>
      </c>
      <c r="B159" s="13" t="s">
        <v>675</v>
      </c>
      <c r="C159" s="145">
        <v>46170</v>
      </c>
      <c r="D159" s="145" t="s">
        <v>469</v>
      </c>
      <c r="E159" s="28">
        <v>0.98377448000000001</v>
      </c>
      <c r="F159" s="13"/>
      <c r="G159" s="18">
        <v>15000000</v>
      </c>
      <c r="H159" s="18">
        <v>14756617.23</v>
      </c>
      <c r="I159" s="18">
        <v>15000000</v>
      </c>
      <c r="J159" s="18">
        <v>14756617.23</v>
      </c>
      <c r="K159" s="15">
        <v>13318380</v>
      </c>
      <c r="L159" s="13" t="s">
        <v>117</v>
      </c>
      <c r="M159" s="13" t="s">
        <v>118</v>
      </c>
      <c r="N159" s="145" t="s">
        <v>206</v>
      </c>
      <c r="O159" s="145" t="s">
        <v>206</v>
      </c>
      <c r="P159" s="28">
        <v>43</v>
      </c>
      <c r="Q159" s="13" t="s">
        <v>54</v>
      </c>
      <c r="R159" s="13" t="s">
        <v>28</v>
      </c>
      <c r="S159" s="13"/>
      <c r="T159" s="13"/>
      <c r="U159" s="13" t="s">
        <v>691</v>
      </c>
      <c r="V159" s="13" t="s">
        <v>691</v>
      </c>
      <c r="W159" s="60">
        <f>+J159/$W$2</f>
        <v>3.8892603906869099E-4</v>
      </c>
      <c r="AC159" s="57"/>
    </row>
    <row r="160" spans="1:29">
      <c r="A160" s="13" t="s">
        <v>550</v>
      </c>
      <c r="B160" s="13" t="s">
        <v>675</v>
      </c>
      <c r="C160" s="145">
        <v>46170</v>
      </c>
      <c r="D160" s="145" t="s">
        <v>469</v>
      </c>
      <c r="E160" s="28">
        <v>0.98451749</v>
      </c>
      <c r="F160" s="13"/>
      <c r="G160" s="18">
        <v>10000000</v>
      </c>
      <c r="H160" s="18">
        <v>9845174.9000000004</v>
      </c>
      <c r="I160" s="18">
        <v>10000000</v>
      </c>
      <c r="J160" s="18">
        <v>9845174.9000000004</v>
      </c>
      <c r="K160" s="15">
        <v>13447286</v>
      </c>
      <c r="L160" s="13" t="s">
        <v>117</v>
      </c>
      <c r="M160" s="13" t="s">
        <v>118</v>
      </c>
      <c r="N160" s="145" t="s">
        <v>291</v>
      </c>
      <c r="O160" s="145" t="s">
        <v>291</v>
      </c>
      <c r="P160" s="28">
        <v>41</v>
      </c>
      <c r="Q160" s="13" t="s">
        <v>54</v>
      </c>
      <c r="R160" s="13" t="s">
        <v>28</v>
      </c>
      <c r="S160" s="13"/>
      <c r="T160" s="13"/>
      <c r="U160" s="13" t="s">
        <v>875</v>
      </c>
      <c r="V160" s="13" t="s">
        <v>875</v>
      </c>
      <c r="W160" s="60">
        <f>+J160/$W$2</f>
        <v>2.5947985355418047E-4</v>
      </c>
    </row>
    <row r="161" spans="1:29">
      <c r="A161" s="13" t="s">
        <v>196</v>
      </c>
      <c r="B161" s="13" t="s">
        <v>675</v>
      </c>
      <c r="C161" s="145">
        <v>46170</v>
      </c>
      <c r="D161" s="145" t="s">
        <v>469</v>
      </c>
      <c r="E161" s="28">
        <v>0.98637993000000002</v>
      </c>
      <c r="F161" s="13"/>
      <c r="G161" s="18">
        <v>5000000</v>
      </c>
      <c r="H161" s="18">
        <v>4931899.67</v>
      </c>
      <c r="I161" s="18">
        <v>5000000</v>
      </c>
      <c r="J161" s="18">
        <v>4931899.67</v>
      </c>
      <c r="K161" s="15">
        <v>13420537</v>
      </c>
      <c r="L161" s="13" t="s">
        <v>117</v>
      </c>
      <c r="M161" s="13" t="s">
        <v>118</v>
      </c>
      <c r="N161" s="145" t="s">
        <v>442</v>
      </c>
      <c r="O161" s="145" t="s">
        <v>442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990</v>
      </c>
      <c r="V161" s="13" t="s">
        <v>990</v>
      </c>
      <c r="W161" s="60">
        <f>+J161/$W$2</f>
        <v>1.2998536004835332E-4</v>
      </c>
    </row>
    <row r="162" spans="1:29">
      <c r="A162" s="13" t="s">
        <v>1233</v>
      </c>
      <c r="B162" s="13" t="s">
        <v>675</v>
      </c>
      <c r="C162" s="145">
        <v>46171</v>
      </c>
      <c r="D162" s="145" t="s">
        <v>469</v>
      </c>
      <c r="E162" s="28">
        <v>0.98582046000000001</v>
      </c>
      <c r="F162" s="13"/>
      <c r="G162" s="18">
        <v>2022434.47</v>
      </c>
      <c r="H162" s="18">
        <v>1993757.27</v>
      </c>
      <c r="I162" s="18">
        <v>2022434.47</v>
      </c>
      <c r="J162" s="18">
        <v>1993757.27</v>
      </c>
      <c r="K162" s="15">
        <v>50234840</v>
      </c>
      <c r="L162" s="13" t="s">
        <v>117</v>
      </c>
      <c r="M162" s="13" t="s">
        <v>118</v>
      </c>
      <c r="N162" s="145" t="s">
        <v>461</v>
      </c>
      <c r="O162" s="145" t="s">
        <v>461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1198</v>
      </c>
      <c r="V162" s="13" t="s">
        <v>1198</v>
      </c>
      <c r="W162" s="60">
        <f>+J162/$W$2</f>
        <v>5.2547552450508791E-5</v>
      </c>
    </row>
    <row r="163" spans="1:29">
      <c r="A163" s="13" t="s">
        <v>1509</v>
      </c>
      <c r="B163" s="13" t="s">
        <v>675</v>
      </c>
      <c r="C163" s="145">
        <v>46171</v>
      </c>
      <c r="D163" s="145" t="s">
        <v>469</v>
      </c>
      <c r="E163" s="28">
        <v>0.98462380999999999</v>
      </c>
      <c r="F163" s="13"/>
      <c r="G163" s="18">
        <v>4000000</v>
      </c>
      <c r="H163" s="18">
        <v>3938495.24</v>
      </c>
      <c r="I163" s="18">
        <v>4000000</v>
      </c>
      <c r="J163" s="18">
        <v>3938495.24</v>
      </c>
      <c r="K163" s="15">
        <v>90025536</v>
      </c>
      <c r="L163" s="13" t="s">
        <v>117</v>
      </c>
      <c r="M163" s="13" t="s">
        <v>118</v>
      </c>
      <c r="N163" s="145" t="s">
        <v>411</v>
      </c>
      <c r="O163" s="145" t="s">
        <v>411</v>
      </c>
      <c r="P163" s="28">
        <v>38</v>
      </c>
      <c r="Q163" s="13" t="s">
        <v>54</v>
      </c>
      <c r="R163" s="13" t="s">
        <v>28</v>
      </c>
      <c r="S163" s="13"/>
      <c r="T163" s="13"/>
      <c r="U163" s="13" t="s">
        <v>1504</v>
      </c>
      <c r="V163" s="13" t="s">
        <v>1504</v>
      </c>
      <c r="W163" s="60">
        <f>+J163/$W$2</f>
        <v>1.0380315011966287E-4</v>
      </c>
    </row>
    <row r="164" spans="1:29">
      <c r="A164" s="13" t="s">
        <v>1389</v>
      </c>
      <c r="B164" s="13" t="s">
        <v>675</v>
      </c>
      <c r="C164" s="145">
        <v>46171</v>
      </c>
      <c r="D164" s="145" t="s">
        <v>469</v>
      </c>
      <c r="E164" s="28">
        <v>0.98942812000000002</v>
      </c>
      <c r="F164" s="13"/>
      <c r="G164" s="18">
        <v>14000000</v>
      </c>
      <c r="H164" s="18">
        <v>13851993.65</v>
      </c>
      <c r="I164" s="18">
        <v>14000000</v>
      </c>
      <c r="J164" s="18">
        <v>13851993.65</v>
      </c>
      <c r="K164" s="15">
        <v>60</v>
      </c>
      <c r="L164" s="13" t="s">
        <v>117</v>
      </c>
      <c r="M164" s="13" t="s">
        <v>118</v>
      </c>
      <c r="N164" s="145" t="s">
        <v>411</v>
      </c>
      <c r="O164" s="145" t="s">
        <v>411</v>
      </c>
      <c r="P164" s="28">
        <v>26</v>
      </c>
      <c r="Q164" s="13" t="s">
        <v>54</v>
      </c>
      <c r="R164" s="13" t="s">
        <v>28</v>
      </c>
      <c r="S164" s="13"/>
      <c r="T164" s="13"/>
      <c r="U164" s="13" t="s">
        <v>1443</v>
      </c>
      <c r="V164" s="13" t="s">
        <v>1443</v>
      </c>
      <c r="W164" s="60">
        <f>+J164/$W$2</f>
        <v>3.6508374104511214E-4</v>
      </c>
    </row>
    <row r="165" spans="1:29">
      <c r="A165" s="13" t="s">
        <v>550</v>
      </c>
      <c r="B165" s="13" t="s">
        <v>675</v>
      </c>
      <c r="C165" s="145">
        <v>46171</v>
      </c>
      <c r="D165" s="145" t="s">
        <v>469</v>
      </c>
      <c r="E165" s="28">
        <v>0.98263562000000004</v>
      </c>
      <c r="F165" s="13"/>
      <c r="G165" s="18">
        <v>15000000</v>
      </c>
      <c r="H165" s="18">
        <v>14739534.26</v>
      </c>
      <c r="I165" s="18">
        <v>15000000</v>
      </c>
      <c r="J165" s="18">
        <v>14739534.26</v>
      </c>
      <c r="K165" s="15">
        <v>13318382</v>
      </c>
      <c r="L165" s="13" t="s">
        <v>117</v>
      </c>
      <c r="M165" s="13" t="s">
        <v>118</v>
      </c>
      <c r="N165" s="145" t="s">
        <v>206</v>
      </c>
      <c r="O165" s="145" t="s">
        <v>206</v>
      </c>
      <c r="P165" s="28">
        <v>43</v>
      </c>
      <c r="Q165" s="13" t="s">
        <v>54</v>
      </c>
      <c r="R165" s="13" t="s">
        <v>28</v>
      </c>
      <c r="S165" s="13"/>
      <c r="T165" s="13"/>
      <c r="U165" s="13" t="s">
        <v>685</v>
      </c>
      <c r="V165" s="13" t="s">
        <v>685</v>
      </c>
      <c r="W165" s="60">
        <f>+J165/$W$2</f>
        <v>3.8847579957585371E-4</v>
      </c>
    </row>
    <row r="166" spans="1:29">
      <c r="A166" s="13" t="s">
        <v>1101</v>
      </c>
      <c r="B166" s="13" t="s">
        <v>675</v>
      </c>
      <c r="C166" s="145">
        <v>46171</v>
      </c>
      <c r="D166" s="145" t="s">
        <v>469</v>
      </c>
      <c r="E166" s="28">
        <v>0.98983056000000003</v>
      </c>
      <c r="F166" s="13"/>
      <c r="G166" s="18">
        <v>338800</v>
      </c>
      <c r="H166" s="18">
        <v>335354.59000000003</v>
      </c>
      <c r="I166" s="18">
        <v>338800</v>
      </c>
      <c r="J166" s="18">
        <v>335354.59000000003</v>
      </c>
      <c r="K166" s="15">
        <v>1725469</v>
      </c>
      <c r="L166" s="13" t="s">
        <v>117</v>
      </c>
      <c r="M166" s="13" t="s">
        <v>118</v>
      </c>
      <c r="N166" s="145" t="s">
        <v>461</v>
      </c>
      <c r="O166" s="145" t="s">
        <v>461</v>
      </c>
      <c r="P166" s="28">
        <v>25</v>
      </c>
      <c r="Q166" s="13" t="s">
        <v>54</v>
      </c>
      <c r="R166" s="13" t="s">
        <v>28</v>
      </c>
      <c r="S166" s="13"/>
      <c r="T166" s="13"/>
      <c r="U166" s="13" t="s">
        <v>1124</v>
      </c>
      <c r="V166" s="13" t="s">
        <v>1124</v>
      </c>
      <c r="W166" s="60">
        <f>+J166/$W$2</f>
        <v>8.8386200129285909E-6</v>
      </c>
    </row>
    <row r="167" spans="1:29">
      <c r="A167" s="13" t="s">
        <v>1101</v>
      </c>
      <c r="B167" s="13" t="s">
        <v>675</v>
      </c>
      <c r="C167" s="145">
        <v>46171</v>
      </c>
      <c r="D167" s="145" t="s">
        <v>469</v>
      </c>
      <c r="E167" s="28">
        <v>0.98983054999999998</v>
      </c>
      <c r="F167" s="13"/>
      <c r="G167" s="18">
        <v>1000000</v>
      </c>
      <c r="H167" s="18">
        <v>989830.55</v>
      </c>
      <c r="I167" s="18">
        <v>1000000</v>
      </c>
      <c r="J167" s="18">
        <v>989830.55</v>
      </c>
      <c r="K167" s="15">
        <v>3370</v>
      </c>
      <c r="L167" s="13" t="s">
        <v>117</v>
      </c>
      <c r="M167" s="13" t="s">
        <v>118</v>
      </c>
      <c r="N167" s="145" t="s">
        <v>461</v>
      </c>
      <c r="O167" s="145" t="s">
        <v>461</v>
      </c>
      <c r="P167" s="28">
        <v>25</v>
      </c>
      <c r="Q167" s="13" t="s">
        <v>54</v>
      </c>
      <c r="R167" s="13" t="s">
        <v>28</v>
      </c>
      <c r="S167" s="13"/>
      <c r="T167" s="13"/>
      <c r="U167" s="13" t="s">
        <v>1150</v>
      </c>
      <c r="V167" s="13" t="s">
        <v>1150</v>
      </c>
      <c r="W167" s="60">
        <f>+J167/$W$2</f>
        <v>2.6088016593534962E-5</v>
      </c>
    </row>
    <row r="168" spans="1:29">
      <c r="A168" s="13" t="s">
        <v>266</v>
      </c>
      <c r="B168" s="13" t="s">
        <v>675</v>
      </c>
      <c r="C168" s="145">
        <v>46171</v>
      </c>
      <c r="D168" s="145" t="s">
        <v>469</v>
      </c>
      <c r="E168" s="28">
        <v>0.98902588000000002</v>
      </c>
      <c r="F168" s="13"/>
      <c r="G168" s="18">
        <v>18502460.120000001</v>
      </c>
      <c r="H168" s="18">
        <v>18299411.989999998</v>
      </c>
      <c r="I168" s="18">
        <v>18502460.120000001</v>
      </c>
      <c r="J168" s="18">
        <v>18299411.989999998</v>
      </c>
      <c r="K168" s="15">
        <v>1504</v>
      </c>
      <c r="L168" s="13" t="s">
        <v>117</v>
      </c>
      <c r="M168" s="13" t="s">
        <v>118</v>
      </c>
      <c r="N168" s="145" t="s">
        <v>291</v>
      </c>
      <c r="O168" s="145" t="s">
        <v>291</v>
      </c>
      <c r="P168" s="28">
        <v>27</v>
      </c>
      <c r="Q168" s="13" t="s">
        <v>54</v>
      </c>
      <c r="R168" s="13" t="s">
        <v>28</v>
      </c>
      <c r="S168" s="13"/>
      <c r="T168" s="13"/>
      <c r="U168" s="13" t="s">
        <v>917</v>
      </c>
      <c r="V168" s="13" t="s">
        <v>917</v>
      </c>
      <c r="W168" s="60">
        <f>+J168/$W$2</f>
        <v>4.8230009030035754E-4</v>
      </c>
    </row>
    <row r="169" spans="1:29">
      <c r="A169" s="13" t="s">
        <v>550</v>
      </c>
      <c r="B169" s="13" t="s">
        <v>675</v>
      </c>
      <c r="C169" s="145">
        <v>46171</v>
      </c>
      <c r="D169" s="145" t="s">
        <v>469</v>
      </c>
      <c r="E169" s="28">
        <v>0.98263564999999997</v>
      </c>
      <c r="F169" s="13"/>
      <c r="G169" s="18">
        <v>20000000</v>
      </c>
      <c r="H169" s="18">
        <v>19652712.91</v>
      </c>
      <c r="I169" s="18">
        <v>20000000</v>
      </c>
      <c r="J169" s="18">
        <v>19652712.91</v>
      </c>
      <c r="K169" s="15">
        <v>13237784</v>
      </c>
      <c r="L169" s="13" t="s">
        <v>117</v>
      </c>
      <c r="M169" s="13" t="s">
        <v>118</v>
      </c>
      <c r="N169" s="145" t="s">
        <v>304</v>
      </c>
      <c r="O169" s="145" t="s">
        <v>304</v>
      </c>
      <c r="P169" s="28">
        <v>43</v>
      </c>
      <c r="Q169" s="13" t="s">
        <v>54</v>
      </c>
      <c r="R169" s="13" t="s">
        <v>28</v>
      </c>
      <c r="S169" s="13"/>
      <c r="T169" s="13"/>
      <c r="U169" s="13" t="s">
        <v>641</v>
      </c>
      <c r="V169" s="13" t="s">
        <v>641</v>
      </c>
      <c r="W169" s="60">
        <f>+J169/$W$2</f>
        <v>5.179677476150425E-4</v>
      </c>
    </row>
    <row r="170" spans="1:29">
      <c r="A170" s="13" t="s">
        <v>550</v>
      </c>
      <c r="B170" s="13" t="s">
        <v>675</v>
      </c>
      <c r="C170" s="145">
        <v>46171</v>
      </c>
      <c r="D170" s="145" t="s">
        <v>469</v>
      </c>
      <c r="E170" s="28">
        <v>0.98342989000000003</v>
      </c>
      <c r="F170" s="13"/>
      <c r="G170" s="18">
        <v>10000000</v>
      </c>
      <c r="H170" s="18">
        <v>9834298.9199999999</v>
      </c>
      <c r="I170" s="18">
        <v>10000000</v>
      </c>
      <c r="J170" s="18">
        <v>9834298.9199999999</v>
      </c>
      <c r="K170" s="15">
        <v>13447287</v>
      </c>
      <c r="L170" s="13" t="s">
        <v>117</v>
      </c>
      <c r="M170" s="13" t="s">
        <v>118</v>
      </c>
      <c r="N170" s="145" t="s">
        <v>291</v>
      </c>
      <c r="O170" s="145" t="s">
        <v>291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876</v>
      </c>
      <c r="V170" s="13" t="s">
        <v>876</v>
      </c>
      <c r="W170" s="60">
        <f>+J170/$W$2</f>
        <v>2.5919320575702878E-4</v>
      </c>
      <c r="AC170" s="57"/>
    </row>
    <row r="171" spans="1:29">
      <c r="A171" s="13" t="s">
        <v>323</v>
      </c>
      <c r="B171" s="13" t="s">
        <v>675</v>
      </c>
      <c r="C171" s="145">
        <v>46171</v>
      </c>
      <c r="D171" s="145" t="s">
        <v>469</v>
      </c>
      <c r="E171" s="28">
        <v>0.98542118999999995</v>
      </c>
      <c r="F171" s="13"/>
      <c r="G171" s="18">
        <v>50000000</v>
      </c>
      <c r="H171" s="18">
        <v>49271059.5</v>
      </c>
      <c r="I171" s="18">
        <v>50000000</v>
      </c>
      <c r="J171" s="18">
        <v>49271059.5</v>
      </c>
      <c r="K171" s="15">
        <v>4350</v>
      </c>
      <c r="L171" s="13" t="s">
        <v>117</v>
      </c>
      <c r="M171" s="13" t="s">
        <v>118</v>
      </c>
      <c r="N171" s="145" t="s">
        <v>304</v>
      </c>
      <c r="O171" s="145" t="s">
        <v>304</v>
      </c>
      <c r="P171" s="28">
        <v>36</v>
      </c>
      <c r="Q171" s="13" t="s">
        <v>54</v>
      </c>
      <c r="R171" s="13" t="s">
        <v>28</v>
      </c>
      <c r="S171" s="13"/>
      <c r="T171" s="13"/>
      <c r="U171" s="13" t="s">
        <v>660</v>
      </c>
      <c r="V171" s="13" t="s">
        <v>660</v>
      </c>
      <c r="W171" s="60">
        <f>+J171/$W$2</f>
        <v>1.2985901655763689E-3</v>
      </c>
    </row>
    <row r="172" spans="1:29">
      <c r="A172" s="13" t="s">
        <v>864</v>
      </c>
      <c r="B172" s="13" t="s">
        <v>675</v>
      </c>
      <c r="C172" s="145">
        <v>46171</v>
      </c>
      <c r="D172" s="145" t="s">
        <v>469</v>
      </c>
      <c r="E172" s="28">
        <v>0.98462380999999999</v>
      </c>
      <c r="F172" s="13"/>
      <c r="G172" s="18">
        <v>50000000</v>
      </c>
      <c r="H172" s="18">
        <v>49231190.700000003</v>
      </c>
      <c r="I172" s="18">
        <v>50000000</v>
      </c>
      <c r="J172" s="18">
        <v>49231190.700000003</v>
      </c>
      <c r="K172" s="15">
        <v>2608</v>
      </c>
      <c r="L172" s="13" t="s">
        <v>117</v>
      </c>
      <c r="M172" s="13" t="s">
        <v>118</v>
      </c>
      <c r="N172" s="145" t="s">
        <v>411</v>
      </c>
      <c r="O172" s="145" t="s">
        <v>411</v>
      </c>
      <c r="P172" s="28">
        <v>38</v>
      </c>
      <c r="Q172" s="13" t="s">
        <v>54</v>
      </c>
      <c r="R172" s="13" t="s">
        <v>28</v>
      </c>
      <c r="S172" s="13"/>
      <c r="T172" s="13"/>
      <c r="U172" s="13" t="s">
        <v>1508</v>
      </c>
      <c r="V172" s="13" t="s">
        <v>1508</v>
      </c>
      <c r="W172" s="60">
        <f>+J172/$W$2</f>
        <v>1.2975393817669944E-3</v>
      </c>
    </row>
    <row r="173" spans="1:29">
      <c r="A173" s="13" t="s">
        <v>249</v>
      </c>
      <c r="B173" s="13" t="s">
        <v>675</v>
      </c>
      <c r="C173" s="145">
        <v>46171</v>
      </c>
      <c r="D173" s="145" t="s">
        <v>469</v>
      </c>
      <c r="E173" s="28">
        <v>0.98342993000000001</v>
      </c>
      <c r="F173" s="13"/>
      <c r="G173" s="18">
        <v>129000000</v>
      </c>
      <c r="H173" s="18">
        <v>126862460.73999999</v>
      </c>
      <c r="I173" s="18">
        <v>129000000</v>
      </c>
      <c r="J173" s="18">
        <v>126862460.73999999</v>
      </c>
      <c r="K173" s="15">
        <v>70376404</v>
      </c>
      <c r="L173" s="13" t="s">
        <v>117</v>
      </c>
      <c r="M173" s="13" t="s">
        <v>118</v>
      </c>
      <c r="N173" s="145" t="s">
        <v>528</v>
      </c>
      <c r="O173" s="145" t="s">
        <v>528</v>
      </c>
      <c r="P173" s="28">
        <v>41</v>
      </c>
      <c r="Q173" s="13" t="s">
        <v>54</v>
      </c>
      <c r="R173" s="13" t="s">
        <v>28</v>
      </c>
      <c r="S173" s="13"/>
      <c r="T173" s="13"/>
      <c r="U173" s="13" t="s">
        <v>1286</v>
      </c>
      <c r="V173" s="13" t="s">
        <v>1286</v>
      </c>
      <c r="W173" s="60">
        <f>+J173/$W$2</f>
        <v>3.3435924774011037E-3</v>
      </c>
    </row>
    <row r="174" spans="1:29">
      <c r="A174" s="13" t="s">
        <v>267</v>
      </c>
      <c r="B174" s="13" t="s">
        <v>675</v>
      </c>
      <c r="C174" s="145">
        <v>46171</v>
      </c>
      <c r="D174" s="145" t="s">
        <v>469</v>
      </c>
      <c r="E174" s="28">
        <v>0.98382753000000001</v>
      </c>
      <c r="F174" s="13"/>
      <c r="G174" s="18">
        <v>9000000</v>
      </c>
      <c r="H174" s="18">
        <v>8854447.75</v>
      </c>
      <c r="I174" s="18">
        <v>9000000</v>
      </c>
      <c r="J174" s="18">
        <v>8854447.75</v>
      </c>
      <c r="K174" s="15">
        <v>172</v>
      </c>
      <c r="L174" s="13" t="s">
        <v>117</v>
      </c>
      <c r="M174" s="13" t="s">
        <v>118</v>
      </c>
      <c r="N174" s="145" t="s">
        <v>197</v>
      </c>
      <c r="O174" s="145" t="s">
        <v>197</v>
      </c>
      <c r="P174" s="28">
        <v>40</v>
      </c>
      <c r="Q174" s="13" t="s">
        <v>54</v>
      </c>
      <c r="R174" s="13" t="s">
        <v>28</v>
      </c>
      <c r="S174" s="13"/>
      <c r="T174" s="13"/>
      <c r="U174" s="13" t="s">
        <v>401</v>
      </c>
      <c r="V174" s="13" t="s">
        <v>401</v>
      </c>
      <c r="W174" s="60">
        <f>+J174/$W$2</f>
        <v>2.3336820613244184E-4</v>
      </c>
    </row>
    <row r="175" spans="1:29">
      <c r="A175" s="13" t="s">
        <v>1509</v>
      </c>
      <c r="B175" s="13" t="s">
        <v>675</v>
      </c>
      <c r="C175" s="145">
        <v>46174</v>
      </c>
      <c r="D175" s="145" t="s">
        <v>469</v>
      </c>
      <c r="E175" s="28">
        <v>0.98160499999999995</v>
      </c>
      <c r="F175" s="13"/>
      <c r="G175" s="18">
        <v>4000000</v>
      </c>
      <c r="H175" s="18">
        <v>3926419.99</v>
      </c>
      <c r="I175" s="18">
        <v>4000000</v>
      </c>
      <c r="J175" s="18">
        <v>3926419.99</v>
      </c>
      <c r="K175" s="15">
        <v>90025537</v>
      </c>
      <c r="L175" s="13" t="s">
        <v>117</v>
      </c>
      <c r="M175" s="13" t="s">
        <v>118</v>
      </c>
      <c r="N175" s="145" t="s">
        <v>411</v>
      </c>
      <c r="O175" s="145" t="s">
        <v>411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1499</v>
      </c>
      <c r="V175" s="13" t="s">
        <v>1499</v>
      </c>
      <c r="W175" s="60">
        <f>+J175/$W$2</f>
        <v>1.0348489431075589E-4</v>
      </c>
    </row>
    <row r="176" spans="1:29">
      <c r="A176" s="13" t="s">
        <v>734</v>
      </c>
      <c r="B176" s="13" t="s">
        <v>675</v>
      </c>
      <c r="C176" s="145">
        <v>46174</v>
      </c>
      <c r="D176" s="145" t="s">
        <v>469</v>
      </c>
      <c r="E176" s="28">
        <v>0.98160502999999999</v>
      </c>
      <c r="F176" s="13"/>
      <c r="G176" s="18">
        <v>1082000000</v>
      </c>
      <c r="H176" s="18">
        <v>1062096639.21</v>
      </c>
      <c r="I176" s="18">
        <v>1082000000</v>
      </c>
      <c r="J176" s="18">
        <v>1062096639.21</v>
      </c>
      <c r="K176" s="15">
        <v>1</v>
      </c>
      <c r="L176" s="13" t="s">
        <v>117</v>
      </c>
      <c r="M176" s="13" t="s">
        <v>118</v>
      </c>
      <c r="N176" s="145" t="s">
        <v>388</v>
      </c>
      <c r="O176" s="145" t="s">
        <v>388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733</v>
      </c>
      <c r="V176" s="13" t="s">
        <v>733</v>
      </c>
      <c r="W176" s="60">
        <f>+J176/$W$2</f>
        <v>2.7992664752212584E-2</v>
      </c>
    </row>
    <row r="177" spans="1:29">
      <c r="A177" s="13" t="s">
        <v>1007</v>
      </c>
      <c r="B177" s="13" t="s">
        <v>675</v>
      </c>
      <c r="C177" s="145">
        <v>46174</v>
      </c>
      <c r="D177" s="145" t="s">
        <v>469</v>
      </c>
      <c r="E177" s="28">
        <v>0.98255634999999997</v>
      </c>
      <c r="F177" s="13"/>
      <c r="G177" s="18">
        <v>1000000</v>
      </c>
      <c r="H177" s="18">
        <v>982556.35</v>
      </c>
      <c r="I177" s="18">
        <v>1000000</v>
      </c>
      <c r="J177" s="18">
        <v>982556.35</v>
      </c>
      <c r="K177" s="15">
        <v>22</v>
      </c>
      <c r="L177" s="13" t="s">
        <v>117</v>
      </c>
      <c r="M177" s="13" t="s">
        <v>118</v>
      </c>
      <c r="N177" s="145" t="s">
        <v>442</v>
      </c>
      <c r="O177" s="145" t="s">
        <v>442</v>
      </c>
      <c r="P177" s="28">
        <v>36</v>
      </c>
      <c r="Q177" s="13" t="s">
        <v>54</v>
      </c>
      <c r="R177" s="13" t="s">
        <v>28</v>
      </c>
      <c r="S177" s="13"/>
      <c r="T177" s="13"/>
      <c r="U177" s="13" t="s">
        <v>998</v>
      </c>
      <c r="V177" s="13" t="s">
        <v>998</v>
      </c>
      <c r="W177" s="60">
        <f>+J177/$W$2</f>
        <v>2.5896297465140011E-5</v>
      </c>
      <c r="AC177" s="57"/>
    </row>
    <row r="178" spans="1:29">
      <c r="A178" s="13" t="s">
        <v>532</v>
      </c>
      <c r="B178" s="13" t="s">
        <v>675</v>
      </c>
      <c r="C178" s="145">
        <v>46174</v>
      </c>
      <c r="D178" s="145" t="s">
        <v>469</v>
      </c>
      <c r="E178" s="28">
        <v>0.98065559000000002</v>
      </c>
      <c r="F178" s="13"/>
      <c r="G178" s="18">
        <v>10000000</v>
      </c>
      <c r="H178" s="18">
        <v>9806555.9199999999</v>
      </c>
      <c r="I178" s="18">
        <v>10000000</v>
      </c>
      <c r="J178" s="18">
        <v>9806555.9199999999</v>
      </c>
      <c r="K178" s="15">
        <v>1340</v>
      </c>
      <c r="L178" s="13" t="s">
        <v>117</v>
      </c>
      <c r="M178" s="13" t="s">
        <v>118</v>
      </c>
      <c r="N178" s="145" t="s">
        <v>368</v>
      </c>
      <c r="O178" s="145" t="s">
        <v>368</v>
      </c>
      <c r="P178" s="28">
        <v>40</v>
      </c>
      <c r="Q178" s="13" t="s">
        <v>54</v>
      </c>
      <c r="R178" s="13" t="s">
        <v>28</v>
      </c>
      <c r="S178" s="13"/>
      <c r="T178" s="13"/>
      <c r="U178" s="13" t="s">
        <v>546</v>
      </c>
      <c r="V178" s="13" t="s">
        <v>546</v>
      </c>
      <c r="W178" s="60">
        <f>+J178/$W$2</f>
        <v>2.584620100545376E-4</v>
      </c>
    </row>
    <row r="179" spans="1:29">
      <c r="A179" s="13" t="s">
        <v>254</v>
      </c>
      <c r="B179" s="13" t="s">
        <v>675</v>
      </c>
      <c r="C179" s="145">
        <v>46174</v>
      </c>
      <c r="D179" s="145" t="s">
        <v>469</v>
      </c>
      <c r="E179" s="28">
        <v>0.98590029000000001</v>
      </c>
      <c r="F179" s="13"/>
      <c r="G179" s="18">
        <v>6530318</v>
      </c>
      <c r="H179" s="18">
        <v>6438242.3799999999</v>
      </c>
      <c r="I179" s="18">
        <v>6530318</v>
      </c>
      <c r="J179" s="18">
        <v>6438242.3799999999</v>
      </c>
      <c r="K179" s="15">
        <v>67</v>
      </c>
      <c r="L179" s="13" t="s">
        <v>117</v>
      </c>
      <c r="M179" s="13" t="s">
        <v>118</v>
      </c>
      <c r="N179" s="145" t="s">
        <v>318</v>
      </c>
      <c r="O179" s="145" t="s">
        <v>318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475</v>
      </c>
      <c r="V179" s="13" t="s">
        <v>475</v>
      </c>
      <c r="W179" s="60">
        <f>+J179/$W$2</f>
        <v>1.6968659336958231E-4</v>
      </c>
    </row>
    <row r="180" spans="1:29">
      <c r="A180" s="13" t="s">
        <v>550</v>
      </c>
      <c r="B180" s="13" t="s">
        <v>675</v>
      </c>
      <c r="C180" s="145">
        <v>46174</v>
      </c>
      <c r="D180" s="145" t="s">
        <v>469</v>
      </c>
      <c r="E180" s="28">
        <v>0.97923486999999998</v>
      </c>
      <c r="F180" s="13"/>
      <c r="G180" s="18">
        <v>15000000</v>
      </c>
      <c r="H180" s="18">
        <v>14688523.09</v>
      </c>
      <c r="I180" s="18">
        <v>15000000</v>
      </c>
      <c r="J180" s="18">
        <v>14688523.09</v>
      </c>
      <c r="K180" s="15">
        <v>13318381</v>
      </c>
      <c r="L180" s="13" t="s">
        <v>117</v>
      </c>
      <c r="M180" s="13" t="s">
        <v>118</v>
      </c>
      <c r="N180" s="145" t="s">
        <v>206</v>
      </c>
      <c r="O180" s="145" t="s">
        <v>206</v>
      </c>
      <c r="P180" s="28">
        <v>43</v>
      </c>
      <c r="Q180" s="13" t="s">
        <v>54</v>
      </c>
      <c r="R180" s="13" t="s">
        <v>28</v>
      </c>
      <c r="S180" s="13"/>
      <c r="T180" s="13"/>
      <c r="U180" s="13" t="s">
        <v>683</v>
      </c>
      <c r="V180" s="13" t="s">
        <v>683</v>
      </c>
      <c r="W180" s="60">
        <f>+J180/$W$2</f>
        <v>3.8713134698301787E-4</v>
      </c>
      <c r="AC180" s="57"/>
    </row>
    <row r="181" spans="1:29">
      <c r="A181" s="13" t="s">
        <v>1101</v>
      </c>
      <c r="B181" s="13" t="s">
        <v>675</v>
      </c>
      <c r="C181" s="145">
        <v>46174</v>
      </c>
      <c r="D181" s="145" t="s">
        <v>469</v>
      </c>
      <c r="E181" s="28">
        <v>0.98782141999999995</v>
      </c>
      <c r="F181" s="13"/>
      <c r="G181" s="18">
        <v>211844.86</v>
      </c>
      <c r="H181" s="18">
        <v>209264.89</v>
      </c>
      <c r="I181" s="18">
        <v>211844.86</v>
      </c>
      <c r="J181" s="18">
        <v>209264.89</v>
      </c>
      <c r="K181" s="15">
        <v>90016916</v>
      </c>
      <c r="L181" s="13" t="s">
        <v>117</v>
      </c>
      <c r="M181" s="13" t="s">
        <v>118</v>
      </c>
      <c r="N181" s="145" t="s">
        <v>461</v>
      </c>
      <c r="O181" s="145" t="s">
        <v>461</v>
      </c>
      <c r="P181" s="28">
        <v>25</v>
      </c>
      <c r="Q181" s="13" t="s">
        <v>54</v>
      </c>
      <c r="R181" s="13" t="s">
        <v>28</v>
      </c>
      <c r="S181" s="13"/>
      <c r="T181" s="13"/>
      <c r="U181" s="13" t="s">
        <v>1125</v>
      </c>
      <c r="V181" s="13" t="s">
        <v>1125</v>
      </c>
      <c r="W181" s="60">
        <f>+J181/$W$2</f>
        <v>5.5153944508625927E-6</v>
      </c>
    </row>
    <row r="182" spans="1:29">
      <c r="A182" s="13" t="s">
        <v>327</v>
      </c>
      <c r="B182" s="13" t="s">
        <v>675</v>
      </c>
      <c r="C182" s="145">
        <v>46174</v>
      </c>
      <c r="D182" s="145" t="s">
        <v>469</v>
      </c>
      <c r="E182" s="28">
        <v>0.98065559000000002</v>
      </c>
      <c r="F182" s="13"/>
      <c r="G182" s="18">
        <v>25000000</v>
      </c>
      <c r="H182" s="18">
        <v>24516389.859999999</v>
      </c>
      <c r="I182" s="18">
        <v>25000000</v>
      </c>
      <c r="J182" s="18">
        <v>24516389.859999999</v>
      </c>
      <c r="K182" s="15">
        <v>475861</v>
      </c>
      <c r="L182" s="13" t="s">
        <v>117</v>
      </c>
      <c r="M182" s="13" t="s">
        <v>118</v>
      </c>
      <c r="N182" s="145" t="s">
        <v>283</v>
      </c>
      <c r="O182" s="145" t="s">
        <v>283</v>
      </c>
      <c r="P182" s="28">
        <v>40</v>
      </c>
      <c r="Q182" s="13" t="s">
        <v>54</v>
      </c>
      <c r="R182" s="13" t="s">
        <v>28</v>
      </c>
      <c r="S182" s="13"/>
      <c r="T182" s="13"/>
      <c r="U182" s="13" t="s">
        <v>482</v>
      </c>
      <c r="V182" s="13" t="s">
        <v>482</v>
      </c>
      <c r="W182" s="60">
        <f>+J182/$W$2</f>
        <v>6.4615502671770664E-4</v>
      </c>
    </row>
    <row r="183" spans="1:29">
      <c r="A183" s="13" t="s">
        <v>550</v>
      </c>
      <c r="B183" s="13" t="s">
        <v>675</v>
      </c>
      <c r="C183" s="145">
        <v>46174</v>
      </c>
      <c r="D183" s="145" t="s">
        <v>469</v>
      </c>
      <c r="E183" s="28">
        <v>0.97923490000000002</v>
      </c>
      <c r="F183" s="13"/>
      <c r="G183" s="18">
        <v>20000000</v>
      </c>
      <c r="H183" s="18">
        <v>19584698.07</v>
      </c>
      <c r="I183" s="18">
        <v>20000000</v>
      </c>
      <c r="J183" s="18">
        <v>19584698.07</v>
      </c>
      <c r="K183" s="15">
        <v>13237785</v>
      </c>
      <c r="L183" s="13" t="s">
        <v>117</v>
      </c>
      <c r="M183" s="13" t="s">
        <v>118</v>
      </c>
      <c r="N183" s="145" t="s">
        <v>304</v>
      </c>
      <c r="O183" s="145" t="s">
        <v>304</v>
      </c>
      <c r="P183" s="28">
        <v>43</v>
      </c>
      <c r="Q183" s="13" t="s">
        <v>54</v>
      </c>
      <c r="R183" s="13" t="s">
        <v>28</v>
      </c>
      <c r="S183" s="13"/>
      <c r="T183" s="13"/>
      <c r="U183" s="13" t="s">
        <v>638</v>
      </c>
      <c r="V183" s="13" t="s">
        <v>638</v>
      </c>
      <c r="W183" s="60">
        <f>+J183/$W$2</f>
        <v>5.1617514556358366E-4</v>
      </c>
    </row>
    <row r="184" spans="1:29">
      <c r="A184" s="13" t="s">
        <v>550</v>
      </c>
      <c r="B184" s="13" t="s">
        <v>675</v>
      </c>
      <c r="C184" s="145">
        <v>46174</v>
      </c>
      <c r="D184" s="145" t="s">
        <v>469</v>
      </c>
      <c r="E184" s="28">
        <v>0.98018156999999995</v>
      </c>
      <c r="F184" s="13"/>
      <c r="G184" s="18">
        <v>10000000</v>
      </c>
      <c r="H184" s="18">
        <v>9801815.6899999995</v>
      </c>
      <c r="I184" s="18">
        <v>10000000</v>
      </c>
      <c r="J184" s="18">
        <v>9801815.6899999995</v>
      </c>
      <c r="K184" s="15">
        <v>13447288</v>
      </c>
      <c r="L184" s="13" t="s">
        <v>117</v>
      </c>
      <c r="M184" s="13" t="s">
        <v>118</v>
      </c>
      <c r="N184" s="145" t="s">
        <v>291</v>
      </c>
      <c r="O184" s="145" t="s">
        <v>291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877</v>
      </c>
      <c r="V184" s="13" t="s">
        <v>877</v>
      </c>
      <c r="W184" s="60">
        <f>+J184/$W$2</f>
        <v>2.5833707634856422E-4</v>
      </c>
      <c r="AC184" s="57"/>
    </row>
    <row r="185" spans="1:29">
      <c r="A185" s="13" t="s">
        <v>677</v>
      </c>
      <c r="B185" s="13" t="s">
        <v>675</v>
      </c>
      <c r="C185" s="145">
        <v>46174</v>
      </c>
      <c r="D185" s="145" t="s">
        <v>469</v>
      </c>
      <c r="E185" s="28">
        <v>0.98160512</v>
      </c>
      <c r="F185" s="13"/>
      <c r="G185" s="18">
        <v>280000000</v>
      </c>
      <c r="H185" s="18">
        <v>274849434.72000003</v>
      </c>
      <c r="I185" s="18">
        <v>280000000</v>
      </c>
      <c r="J185" s="18">
        <v>274849434.72000003</v>
      </c>
      <c r="K185" s="15">
        <v>66454683</v>
      </c>
      <c r="L185" s="13" t="s">
        <v>117</v>
      </c>
      <c r="M185" s="13" t="s">
        <v>118</v>
      </c>
      <c r="N185" s="145" t="s">
        <v>216</v>
      </c>
      <c r="O185" s="145" t="s">
        <v>216</v>
      </c>
      <c r="P185" s="28">
        <v>38</v>
      </c>
      <c r="Q185" s="13" t="s">
        <v>54</v>
      </c>
      <c r="R185" s="13" t="s">
        <v>28</v>
      </c>
      <c r="S185" s="13"/>
      <c r="T185" s="13"/>
      <c r="U185" s="13" t="s">
        <v>1605</v>
      </c>
      <c r="V185" s="13" t="s">
        <v>1605</v>
      </c>
      <c r="W185" s="60">
        <f>+J185/$W$2</f>
        <v>7.2439435352839579E-3</v>
      </c>
    </row>
    <row r="186" spans="1:29">
      <c r="A186" s="13" t="s">
        <v>267</v>
      </c>
      <c r="B186" s="13" t="s">
        <v>675</v>
      </c>
      <c r="C186" s="145">
        <v>46174</v>
      </c>
      <c r="D186" s="145" t="s">
        <v>469</v>
      </c>
      <c r="E186" s="28">
        <v>0.98065559999999996</v>
      </c>
      <c r="F186" s="13"/>
      <c r="G186" s="18">
        <v>5000000</v>
      </c>
      <c r="H186" s="18">
        <v>4903278</v>
      </c>
      <c r="I186" s="18">
        <v>5000000</v>
      </c>
      <c r="J186" s="18">
        <v>4903278</v>
      </c>
      <c r="K186" s="15">
        <v>209</v>
      </c>
      <c r="L186" s="13" t="s">
        <v>117</v>
      </c>
      <c r="M186" s="13" t="s">
        <v>118</v>
      </c>
      <c r="N186" s="145" t="s">
        <v>210</v>
      </c>
      <c r="O186" s="145" t="s">
        <v>210</v>
      </c>
      <c r="P186" s="28">
        <v>40</v>
      </c>
      <c r="Q186" s="13" t="s">
        <v>54</v>
      </c>
      <c r="R186" s="13" t="s">
        <v>28</v>
      </c>
      <c r="S186" s="13"/>
      <c r="T186" s="13"/>
      <c r="U186" s="13" t="s">
        <v>489</v>
      </c>
      <c r="V186" s="13" t="s">
        <v>489</v>
      </c>
      <c r="W186" s="60">
        <f>+J186/$W$2</f>
        <v>1.2923100608151054E-4</v>
      </c>
    </row>
    <row r="187" spans="1:29">
      <c r="A187" s="13" t="s">
        <v>1509</v>
      </c>
      <c r="B187" s="13" t="s">
        <v>675</v>
      </c>
      <c r="C187" s="145">
        <v>46175</v>
      </c>
      <c r="D187" s="145" t="s">
        <v>469</v>
      </c>
      <c r="E187" s="28">
        <v>0.980603</v>
      </c>
      <c r="F187" s="13"/>
      <c r="G187" s="18">
        <v>2500000</v>
      </c>
      <c r="H187" s="18">
        <v>2451507.5</v>
      </c>
      <c r="I187" s="18">
        <v>2500000</v>
      </c>
      <c r="J187" s="18">
        <v>2451507.5</v>
      </c>
      <c r="K187" s="15">
        <v>90025538</v>
      </c>
      <c r="L187" s="13" t="s">
        <v>117</v>
      </c>
      <c r="M187" s="13" t="s">
        <v>118</v>
      </c>
      <c r="N187" s="145" t="s">
        <v>411</v>
      </c>
      <c r="O187" s="145" t="s">
        <v>411</v>
      </c>
      <c r="P187" s="28">
        <v>38</v>
      </c>
      <c r="Q187" s="13" t="s">
        <v>54</v>
      </c>
      <c r="R187" s="13" t="s">
        <v>28</v>
      </c>
      <c r="S187" s="13"/>
      <c r="T187" s="13"/>
      <c r="U187" s="13" t="s">
        <v>1505</v>
      </c>
      <c r="V187" s="13" t="s">
        <v>1505</v>
      </c>
      <c r="W187" s="60">
        <f>+J187/$W$2</f>
        <v>6.461203722109346E-5</v>
      </c>
    </row>
    <row r="188" spans="1:29">
      <c r="A188" s="13" t="s">
        <v>676</v>
      </c>
      <c r="B188" s="13" t="s">
        <v>675</v>
      </c>
      <c r="C188" s="145">
        <v>46175</v>
      </c>
      <c r="D188" s="145" t="s">
        <v>469</v>
      </c>
      <c r="E188" s="28">
        <v>0.98210686000000003</v>
      </c>
      <c r="F188" s="13"/>
      <c r="G188" s="18">
        <v>10000000</v>
      </c>
      <c r="H188" s="18">
        <v>9821068.5600000005</v>
      </c>
      <c r="I188" s="18">
        <v>10000000</v>
      </c>
      <c r="J188" s="18">
        <v>9821068.5600000005</v>
      </c>
      <c r="K188" s="15">
        <v>382</v>
      </c>
      <c r="L188" s="13" t="s">
        <v>117</v>
      </c>
      <c r="M188" s="13" t="s">
        <v>118</v>
      </c>
      <c r="N188" s="145" t="s">
        <v>528</v>
      </c>
      <c r="O188" s="145" t="s">
        <v>461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1295</v>
      </c>
      <c r="V188" s="13" t="s">
        <v>1295</v>
      </c>
      <c r="W188" s="60">
        <f>+J188/$W$2</f>
        <v>2.5884450581922786E-4</v>
      </c>
    </row>
    <row r="189" spans="1:29">
      <c r="A189" s="13" t="s">
        <v>1007</v>
      </c>
      <c r="B189" s="13" t="s">
        <v>675</v>
      </c>
      <c r="C189" s="145">
        <v>46175</v>
      </c>
      <c r="D189" s="145" t="s">
        <v>469</v>
      </c>
      <c r="E189" s="28">
        <v>0.98160504999999998</v>
      </c>
      <c r="F189" s="13"/>
      <c r="G189" s="18">
        <v>1000000</v>
      </c>
      <c r="H189" s="18">
        <v>981605.05</v>
      </c>
      <c r="I189" s="18">
        <v>1000000</v>
      </c>
      <c r="J189" s="18">
        <v>981605.05</v>
      </c>
      <c r="K189" s="15">
        <v>23</v>
      </c>
      <c r="L189" s="13" t="s">
        <v>117</v>
      </c>
      <c r="M189" s="13" t="s">
        <v>118</v>
      </c>
      <c r="N189" s="145" t="s">
        <v>442</v>
      </c>
      <c r="O189" s="145" t="s">
        <v>442</v>
      </c>
      <c r="P189" s="28">
        <v>36</v>
      </c>
      <c r="Q189" s="13" t="s">
        <v>54</v>
      </c>
      <c r="R189" s="13" t="s">
        <v>28</v>
      </c>
      <c r="S189" s="13"/>
      <c r="T189" s="13"/>
      <c r="U189" s="13" t="s">
        <v>999</v>
      </c>
      <c r="V189" s="13" t="s">
        <v>999</v>
      </c>
      <c r="W189" s="60">
        <f>+J189/$W$2</f>
        <v>2.5871224961381233E-5</v>
      </c>
    </row>
    <row r="190" spans="1:29">
      <c r="A190" s="13" t="s">
        <v>145</v>
      </c>
      <c r="B190" s="13" t="s">
        <v>675</v>
      </c>
      <c r="C190" s="145">
        <v>46175</v>
      </c>
      <c r="D190" s="145" t="s">
        <v>469</v>
      </c>
      <c r="E190" s="28">
        <v>0.97661476999999997</v>
      </c>
      <c r="F190" s="13"/>
      <c r="G190" s="18">
        <v>10000000</v>
      </c>
      <c r="H190" s="18">
        <v>9766147.6500000004</v>
      </c>
      <c r="I190" s="18">
        <v>10000000</v>
      </c>
      <c r="J190" s="18">
        <v>9766147.6500000004</v>
      </c>
      <c r="K190" s="15">
        <v>3922</v>
      </c>
      <c r="L190" s="13" t="s">
        <v>117</v>
      </c>
      <c r="M190" s="13" t="s">
        <v>118</v>
      </c>
      <c r="N190" s="145" t="s">
        <v>144</v>
      </c>
      <c r="O190" s="145" t="s">
        <v>144</v>
      </c>
      <c r="P190" s="28">
        <v>46</v>
      </c>
      <c r="Q190" s="13" t="s">
        <v>54</v>
      </c>
      <c r="R190" s="13" t="s">
        <v>28</v>
      </c>
      <c r="S190" s="13"/>
      <c r="T190" s="13"/>
      <c r="U190" s="13" t="s">
        <v>229</v>
      </c>
      <c r="V190" s="13" t="s">
        <v>229</v>
      </c>
      <c r="W190" s="60">
        <f>+J190/$W$2</f>
        <v>2.5739700795061584E-4</v>
      </c>
    </row>
    <row r="191" spans="1:29">
      <c r="A191" s="13" t="s">
        <v>201</v>
      </c>
      <c r="B191" s="13" t="s">
        <v>675</v>
      </c>
      <c r="C191" s="145">
        <v>46175</v>
      </c>
      <c r="D191" s="145" t="s">
        <v>469</v>
      </c>
      <c r="E191" s="28">
        <v>0.97661480000000001</v>
      </c>
      <c r="F191" s="13"/>
      <c r="G191" s="18">
        <v>25000000</v>
      </c>
      <c r="H191" s="18">
        <v>24415369.989999998</v>
      </c>
      <c r="I191" s="18">
        <v>25000000</v>
      </c>
      <c r="J191" s="18">
        <v>24415369.989999998</v>
      </c>
      <c r="K191" s="15">
        <v>3903</v>
      </c>
      <c r="L191" s="13" t="s">
        <v>117</v>
      </c>
      <c r="M191" s="13" t="s">
        <v>118</v>
      </c>
      <c r="N191" s="145" t="s">
        <v>321</v>
      </c>
      <c r="O191" s="145" t="s">
        <v>321</v>
      </c>
      <c r="P191" s="28">
        <v>46</v>
      </c>
      <c r="Q191" s="13" t="s">
        <v>54</v>
      </c>
      <c r="R191" s="13" t="s">
        <v>28</v>
      </c>
      <c r="S191" s="13"/>
      <c r="T191" s="13"/>
      <c r="U191" s="13" t="s">
        <v>531</v>
      </c>
      <c r="V191" s="13" t="s">
        <v>531</v>
      </c>
      <c r="W191" s="60">
        <f>+J191/$W$2</f>
        <v>6.4349254267451683E-4</v>
      </c>
      <c r="AC191" s="57"/>
    </row>
    <row r="192" spans="1:29">
      <c r="A192" s="13" t="s">
        <v>406</v>
      </c>
      <c r="B192" s="13" t="s">
        <v>675</v>
      </c>
      <c r="C192" s="145">
        <v>46175</v>
      </c>
      <c r="D192" s="145" t="s">
        <v>469</v>
      </c>
      <c r="E192" s="28">
        <v>0.98563405000000004</v>
      </c>
      <c r="F192" s="13"/>
      <c r="G192" s="18">
        <v>8500000</v>
      </c>
      <c r="H192" s="18">
        <v>8377889.4000000004</v>
      </c>
      <c r="I192" s="18">
        <v>8500000</v>
      </c>
      <c r="J192" s="18">
        <v>8377889.4000000004</v>
      </c>
      <c r="K192" s="15">
        <v>14090</v>
      </c>
      <c r="L192" s="13" t="s">
        <v>117</v>
      </c>
      <c r="M192" s="13" t="s">
        <v>118</v>
      </c>
      <c r="N192" s="145" t="s">
        <v>291</v>
      </c>
      <c r="O192" s="145" t="s">
        <v>291</v>
      </c>
      <c r="P192" s="28">
        <v>28</v>
      </c>
      <c r="Q192" s="13" t="s">
        <v>54</v>
      </c>
      <c r="R192" s="13" t="s">
        <v>28</v>
      </c>
      <c r="S192" s="13"/>
      <c r="T192" s="13"/>
      <c r="U192" s="13" t="s">
        <v>931</v>
      </c>
      <c r="V192" s="13" t="s">
        <v>931</v>
      </c>
      <c r="W192" s="60">
        <f>+J192/$W$2</f>
        <v>2.2080801374134255E-4</v>
      </c>
    </row>
    <row r="193" spans="1:29">
      <c r="A193" s="13" t="s">
        <v>406</v>
      </c>
      <c r="B193" s="13" t="s">
        <v>675</v>
      </c>
      <c r="C193" s="145">
        <v>46175</v>
      </c>
      <c r="D193" s="145" t="s">
        <v>469</v>
      </c>
      <c r="E193" s="28">
        <v>0.98512860999999996</v>
      </c>
      <c r="F193" s="13"/>
      <c r="G193" s="18">
        <v>26000000</v>
      </c>
      <c r="H193" s="18">
        <v>25613343.800000001</v>
      </c>
      <c r="I193" s="18">
        <v>26000000</v>
      </c>
      <c r="J193" s="18">
        <v>25613343.800000001</v>
      </c>
      <c r="K193" s="15">
        <v>65889051</v>
      </c>
      <c r="L193" s="13" t="s">
        <v>117</v>
      </c>
      <c r="M193" s="13" t="s">
        <v>118</v>
      </c>
      <c r="N193" s="145" t="s">
        <v>291</v>
      </c>
      <c r="O193" s="145" t="s">
        <v>291</v>
      </c>
      <c r="P193" s="28">
        <v>29</v>
      </c>
      <c r="Q193" s="13" t="s">
        <v>54</v>
      </c>
      <c r="R193" s="13" t="s">
        <v>28</v>
      </c>
      <c r="S193" s="13"/>
      <c r="T193" s="13"/>
      <c r="U193" s="13" t="s">
        <v>934</v>
      </c>
      <c r="V193" s="13" t="s">
        <v>934</v>
      </c>
      <c r="W193" s="60">
        <f>+J193/$W$2</f>
        <v>6.7506639199034198E-4</v>
      </c>
    </row>
    <row r="194" spans="1:29">
      <c r="A194" s="13" t="s">
        <v>863</v>
      </c>
      <c r="B194" s="13" t="s">
        <v>675</v>
      </c>
      <c r="C194" s="145">
        <v>46175</v>
      </c>
      <c r="D194" s="145" t="s">
        <v>469</v>
      </c>
      <c r="E194" s="28">
        <v>0.98512867000000004</v>
      </c>
      <c r="F194" s="13"/>
      <c r="G194" s="18">
        <v>12500000</v>
      </c>
      <c r="H194" s="18">
        <v>12314108.369999999</v>
      </c>
      <c r="I194" s="18">
        <v>12500000</v>
      </c>
      <c r="J194" s="18">
        <v>12314108.369999999</v>
      </c>
      <c r="K194" s="15">
        <v>28996514</v>
      </c>
      <c r="L194" s="13" t="s">
        <v>117</v>
      </c>
      <c r="M194" s="13" t="s">
        <v>118</v>
      </c>
      <c r="N194" s="145" t="s">
        <v>209</v>
      </c>
      <c r="O194" s="145" t="s">
        <v>209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822</v>
      </c>
      <c r="V194" s="13" t="s">
        <v>822</v>
      </c>
      <c r="W194" s="60">
        <f>+J194/$W$2</f>
        <v>3.2455117039087927E-4</v>
      </c>
    </row>
    <row r="195" spans="1:29">
      <c r="A195" s="13" t="s">
        <v>957</v>
      </c>
      <c r="B195" s="13" t="s">
        <v>675</v>
      </c>
      <c r="C195" s="145">
        <v>46175</v>
      </c>
      <c r="D195" s="145" t="s">
        <v>469</v>
      </c>
      <c r="E195" s="28">
        <v>0.98512865999999999</v>
      </c>
      <c r="F195" s="13"/>
      <c r="G195" s="18">
        <v>4000000</v>
      </c>
      <c r="H195" s="18">
        <v>3940514.63</v>
      </c>
      <c r="I195" s="18">
        <v>4000000</v>
      </c>
      <c r="J195" s="18">
        <v>3940514.63</v>
      </c>
      <c r="K195" s="15">
        <v>840</v>
      </c>
      <c r="L195" s="13" t="s">
        <v>117</v>
      </c>
      <c r="M195" s="13" t="s">
        <v>118</v>
      </c>
      <c r="N195" s="145" t="s">
        <v>461</v>
      </c>
      <c r="O195" s="145" t="s">
        <v>461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1121</v>
      </c>
      <c r="V195" s="13" t="s">
        <v>1121</v>
      </c>
      <c r="W195" s="60">
        <f>+J195/$W$2</f>
        <v>1.0385637324944888E-4</v>
      </c>
    </row>
    <row r="196" spans="1:29">
      <c r="A196" s="13" t="s">
        <v>1330</v>
      </c>
      <c r="B196" s="13" t="s">
        <v>675</v>
      </c>
      <c r="C196" s="145">
        <v>46175</v>
      </c>
      <c r="D196" s="145" t="s">
        <v>469</v>
      </c>
      <c r="E196" s="28">
        <v>0.98614014999999999</v>
      </c>
      <c r="F196" s="13"/>
      <c r="G196" s="18">
        <v>11000000</v>
      </c>
      <c r="H196" s="18">
        <v>10847541.65</v>
      </c>
      <c r="I196" s="18">
        <v>11000000</v>
      </c>
      <c r="J196" s="18">
        <v>10847541.65</v>
      </c>
      <c r="K196" s="15">
        <v>1626</v>
      </c>
      <c r="L196" s="13" t="s">
        <v>117</v>
      </c>
      <c r="M196" s="13" t="s">
        <v>118</v>
      </c>
      <c r="N196" s="145" t="s">
        <v>428</v>
      </c>
      <c r="O196" s="145" t="s">
        <v>428</v>
      </c>
      <c r="P196" s="28">
        <v>27</v>
      </c>
      <c r="Q196" s="13" t="s">
        <v>54</v>
      </c>
      <c r="R196" s="13" t="s">
        <v>28</v>
      </c>
      <c r="S196" s="13"/>
      <c r="T196" s="13"/>
      <c r="U196" s="13" t="s">
        <v>1672</v>
      </c>
      <c r="V196" s="13" t="s">
        <v>1672</v>
      </c>
      <c r="W196" s="60">
        <f>+J196/$W$2</f>
        <v>2.8589827477466887E-4</v>
      </c>
    </row>
    <row r="197" spans="1:29">
      <c r="A197" s="13" t="s">
        <v>553</v>
      </c>
      <c r="B197" s="13" t="s">
        <v>675</v>
      </c>
      <c r="C197" s="145">
        <v>46175</v>
      </c>
      <c r="D197" s="145" t="s">
        <v>469</v>
      </c>
      <c r="E197" s="28">
        <v>0.97910352</v>
      </c>
      <c r="F197" s="13"/>
      <c r="G197" s="18">
        <v>1016341.51</v>
      </c>
      <c r="H197" s="18">
        <v>995103.55</v>
      </c>
      <c r="I197" s="18">
        <v>1016341.51</v>
      </c>
      <c r="J197" s="18">
        <v>995103.55</v>
      </c>
      <c r="K197" s="15">
        <v>6675439</v>
      </c>
      <c r="L197" s="13" t="s">
        <v>117</v>
      </c>
      <c r="M197" s="13" t="s">
        <v>118</v>
      </c>
      <c r="N197" s="145" t="s">
        <v>291</v>
      </c>
      <c r="O197" s="145" t="s">
        <v>291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915</v>
      </c>
      <c r="V197" s="13" t="s">
        <v>915</v>
      </c>
      <c r="W197" s="60">
        <f>+J197/$W$2</f>
        <v>2.622699200856707E-5</v>
      </c>
      <c r="AC197" s="57"/>
    </row>
    <row r="198" spans="1:29">
      <c r="A198" s="13" t="s">
        <v>1329</v>
      </c>
      <c r="B198" s="13" t="s">
        <v>675</v>
      </c>
      <c r="C198" s="145">
        <v>46175</v>
      </c>
      <c r="D198" s="145" t="s">
        <v>469</v>
      </c>
      <c r="E198" s="28">
        <v>0.98210684999999998</v>
      </c>
      <c r="F198" s="13"/>
      <c r="G198" s="18">
        <v>5450000</v>
      </c>
      <c r="H198" s="18">
        <v>5352482.3499999996</v>
      </c>
      <c r="I198" s="18">
        <v>5450000</v>
      </c>
      <c r="J198" s="18">
        <v>5352482.3499999996</v>
      </c>
      <c r="K198" s="15">
        <v>6923</v>
      </c>
      <c r="L198" s="13" t="s">
        <v>117</v>
      </c>
      <c r="M198" s="13" t="s">
        <v>118</v>
      </c>
      <c r="N198" s="145" t="s">
        <v>528</v>
      </c>
      <c r="O198" s="145" t="s">
        <v>528</v>
      </c>
      <c r="P198" s="28">
        <v>35</v>
      </c>
      <c r="Q198" s="13" t="s">
        <v>54</v>
      </c>
      <c r="R198" s="13" t="s">
        <v>28</v>
      </c>
      <c r="S198" s="13"/>
      <c r="T198" s="13"/>
      <c r="U198" s="13" t="s">
        <v>1317</v>
      </c>
      <c r="V198" s="13" t="s">
        <v>1317</v>
      </c>
      <c r="W198" s="60">
        <f>+J198/$W$2</f>
        <v>1.410702552708673E-4</v>
      </c>
    </row>
    <row r="199" spans="1:29">
      <c r="A199" s="13" t="s">
        <v>1389</v>
      </c>
      <c r="B199" s="13" t="s">
        <v>675</v>
      </c>
      <c r="C199" s="145">
        <v>46175</v>
      </c>
      <c r="D199" s="145" t="s">
        <v>469</v>
      </c>
      <c r="E199" s="28">
        <v>0.98664649000000004</v>
      </c>
      <c r="F199" s="13"/>
      <c r="G199" s="18">
        <v>19183831</v>
      </c>
      <c r="H199" s="18">
        <v>18927659.57</v>
      </c>
      <c r="I199" s="18">
        <v>19183831</v>
      </c>
      <c r="J199" s="18">
        <v>18927659.57</v>
      </c>
      <c r="K199" s="15">
        <v>76810</v>
      </c>
      <c r="L199" s="13" t="s">
        <v>117</v>
      </c>
      <c r="M199" s="13" t="s">
        <v>118</v>
      </c>
      <c r="N199" s="145" t="s">
        <v>462</v>
      </c>
      <c r="O199" s="145" t="s">
        <v>462</v>
      </c>
      <c r="P199" s="28">
        <v>26</v>
      </c>
      <c r="Q199" s="13" t="s">
        <v>54</v>
      </c>
      <c r="R199" s="13" t="s">
        <v>28</v>
      </c>
      <c r="S199" s="13"/>
      <c r="T199" s="13"/>
      <c r="U199" s="13" t="s">
        <v>1749</v>
      </c>
      <c r="V199" s="13" t="s">
        <v>1749</v>
      </c>
      <c r="W199" s="60">
        <f>+J199/$W$2</f>
        <v>4.9885821056840562E-4</v>
      </c>
    </row>
    <row r="200" spans="1:29">
      <c r="A200" s="13" t="s">
        <v>550</v>
      </c>
      <c r="B200" s="13" t="s">
        <v>675</v>
      </c>
      <c r="C200" s="145">
        <v>46175</v>
      </c>
      <c r="D200" s="145" t="s">
        <v>469</v>
      </c>
      <c r="E200" s="28">
        <v>0.97810657999999995</v>
      </c>
      <c r="F200" s="13"/>
      <c r="G200" s="18">
        <v>15000000</v>
      </c>
      <c r="H200" s="18">
        <v>14671598.76</v>
      </c>
      <c r="I200" s="18">
        <v>15000000</v>
      </c>
      <c r="J200" s="18">
        <v>14671598.76</v>
      </c>
      <c r="K200" s="15">
        <v>13318383</v>
      </c>
      <c r="L200" s="13" t="s">
        <v>117</v>
      </c>
      <c r="M200" s="13" t="s">
        <v>118</v>
      </c>
      <c r="N200" s="145" t="s">
        <v>206</v>
      </c>
      <c r="O200" s="145" t="s">
        <v>206</v>
      </c>
      <c r="P200" s="28">
        <v>43</v>
      </c>
      <c r="Q200" s="13" t="s">
        <v>54</v>
      </c>
      <c r="R200" s="13" t="s">
        <v>28</v>
      </c>
      <c r="S200" s="13"/>
      <c r="T200" s="13"/>
      <c r="U200" s="13" t="s">
        <v>684</v>
      </c>
      <c r="V200" s="13" t="s">
        <v>684</v>
      </c>
      <c r="W200" s="60">
        <f>+J200/$W$2</f>
        <v>3.8668528861285091E-4</v>
      </c>
    </row>
    <row r="201" spans="1:29">
      <c r="A201" s="13" t="s">
        <v>1101</v>
      </c>
      <c r="B201" s="13" t="s">
        <v>675</v>
      </c>
      <c r="C201" s="145">
        <v>46175</v>
      </c>
      <c r="D201" s="145" t="s">
        <v>469</v>
      </c>
      <c r="E201" s="28">
        <v>0.98715352999999995</v>
      </c>
      <c r="F201" s="13"/>
      <c r="G201" s="18">
        <v>996594</v>
      </c>
      <c r="H201" s="18">
        <v>983791.28</v>
      </c>
      <c r="I201" s="18">
        <v>996594</v>
      </c>
      <c r="J201" s="18">
        <v>983791.28</v>
      </c>
      <c r="K201" s="15">
        <v>11803477</v>
      </c>
      <c r="L201" s="13" t="s">
        <v>117</v>
      </c>
      <c r="M201" s="13" t="s">
        <v>118</v>
      </c>
      <c r="N201" s="145" t="s">
        <v>461</v>
      </c>
      <c r="O201" s="145" t="s">
        <v>461</v>
      </c>
      <c r="P201" s="28">
        <v>25</v>
      </c>
      <c r="Q201" s="13" t="s">
        <v>54</v>
      </c>
      <c r="R201" s="13" t="s">
        <v>28</v>
      </c>
      <c r="S201" s="13"/>
      <c r="T201" s="13"/>
      <c r="U201" s="13" t="s">
        <v>1126</v>
      </c>
      <c r="V201" s="13" t="s">
        <v>1126</v>
      </c>
      <c r="W201" s="60">
        <f>+J201/$W$2</f>
        <v>2.5928845333390648E-5</v>
      </c>
    </row>
    <row r="202" spans="1:29">
      <c r="A202" s="13" t="s">
        <v>1101</v>
      </c>
      <c r="B202" s="13" t="s">
        <v>675</v>
      </c>
      <c r="C202" s="145">
        <v>46175</v>
      </c>
      <c r="D202" s="145" t="s">
        <v>469</v>
      </c>
      <c r="E202" s="28">
        <v>0.98715346999999998</v>
      </c>
      <c r="F202" s="13"/>
      <c r="G202" s="18">
        <v>311853.53999999998</v>
      </c>
      <c r="H202" s="18">
        <v>307847.31</v>
      </c>
      <c r="I202" s="18">
        <v>311853.53999999998</v>
      </c>
      <c r="J202" s="18">
        <v>307847.31</v>
      </c>
      <c r="K202" s="15">
        <v>380</v>
      </c>
      <c r="L202" s="13" t="s">
        <v>117</v>
      </c>
      <c r="M202" s="13" t="s">
        <v>118</v>
      </c>
      <c r="N202" s="145" t="s">
        <v>461</v>
      </c>
      <c r="O202" s="145" t="s">
        <v>461</v>
      </c>
      <c r="P202" s="28">
        <v>25</v>
      </c>
      <c r="Q202" s="13" t="s">
        <v>54</v>
      </c>
      <c r="R202" s="13" t="s">
        <v>28</v>
      </c>
      <c r="S202" s="13"/>
      <c r="T202" s="13"/>
      <c r="U202" s="13" t="s">
        <v>1127</v>
      </c>
      <c r="V202" s="13" t="s">
        <v>1127</v>
      </c>
      <c r="W202" s="60">
        <f>+J202/$W$2</f>
        <v>8.1136369569065136E-6</v>
      </c>
      <c r="AC202" s="57"/>
    </row>
    <row r="203" spans="1:29">
      <c r="A203" s="13" t="s">
        <v>266</v>
      </c>
      <c r="B203" s="13" t="s">
        <v>675</v>
      </c>
      <c r="C203" s="145">
        <v>46175</v>
      </c>
      <c r="D203" s="145" t="s">
        <v>469</v>
      </c>
      <c r="E203" s="28">
        <v>0.97810651999999998</v>
      </c>
      <c r="F203" s="13"/>
      <c r="G203" s="18">
        <v>92108211.489999995</v>
      </c>
      <c r="H203" s="18">
        <v>90091641.959999993</v>
      </c>
      <c r="I203" s="18">
        <v>92108211.489999995</v>
      </c>
      <c r="J203" s="18">
        <v>90091641.959999993</v>
      </c>
      <c r="K203" s="15">
        <v>30369297</v>
      </c>
      <c r="L203" s="13" t="s">
        <v>117</v>
      </c>
      <c r="M203" s="13" t="s">
        <v>118</v>
      </c>
      <c r="N203" s="145" t="s">
        <v>304</v>
      </c>
      <c r="O203" s="145" t="s">
        <v>304</v>
      </c>
      <c r="P203" s="28">
        <v>43</v>
      </c>
      <c r="Q203" s="13" t="s">
        <v>54</v>
      </c>
      <c r="R203" s="13" t="s">
        <v>28</v>
      </c>
      <c r="S203" s="13"/>
      <c r="T203" s="13"/>
      <c r="U203" s="13" t="s">
        <v>646</v>
      </c>
      <c r="V203" s="13" t="s">
        <v>646</v>
      </c>
      <c r="W203" s="60">
        <f>+J203/$W$2</f>
        <v>2.3744591944462518E-3</v>
      </c>
      <c r="AC203" s="57"/>
    </row>
    <row r="204" spans="1:29">
      <c r="A204" s="13" t="s">
        <v>266</v>
      </c>
      <c r="B204" s="13" t="s">
        <v>675</v>
      </c>
      <c r="C204" s="145">
        <v>46175</v>
      </c>
      <c r="D204" s="145" t="s">
        <v>469</v>
      </c>
      <c r="E204" s="28">
        <v>0.98614005999999998</v>
      </c>
      <c r="F204" s="13"/>
      <c r="G204" s="18">
        <v>5984924.6299999999</v>
      </c>
      <c r="H204" s="18">
        <v>5901973.96</v>
      </c>
      <c r="I204" s="18">
        <v>5984924.6299999999</v>
      </c>
      <c r="J204" s="18">
        <v>5901973.96</v>
      </c>
      <c r="K204" s="15">
        <v>2710</v>
      </c>
      <c r="L204" s="13" t="s">
        <v>117</v>
      </c>
      <c r="M204" s="13" t="s">
        <v>118</v>
      </c>
      <c r="N204" s="145" t="s">
        <v>209</v>
      </c>
      <c r="O204" s="145" t="s">
        <v>209</v>
      </c>
      <c r="P204" s="28">
        <v>27</v>
      </c>
      <c r="Q204" s="13" t="s">
        <v>54</v>
      </c>
      <c r="R204" s="13" t="s">
        <v>28</v>
      </c>
      <c r="S204" s="13"/>
      <c r="T204" s="13"/>
      <c r="U204" s="13" t="s">
        <v>825</v>
      </c>
      <c r="V204" s="13" t="s">
        <v>825</v>
      </c>
      <c r="W204" s="60">
        <f>+J204/$W$2</f>
        <v>1.5555267980271091E-4</v>
      </c>
    </row>
    <row r="205" spans="1:29">
      <c r="A205" s="13" t="s">
        <v>266</v>
      </c>
      <c r="B205" s="13" t="s">
        <v>675</v>
      </c>
      <c r="C205" s="145">
        <v>46175</v>
      </c>
      <c r="D205" s="145" t="s">
        <v>469</v>
      </c>
      <c r="E205" s="28">
        <v>0.98614005999999998</v>
      </c>
      <c r="F205" s="13"/>
      <c r="G205" s="18">
        <v>15120125.32</v>
      </c>
      <c r="H205" s="18">
        <v>14910561.34</v>
      </c>
      <c r="I205" s="18">
        <v>15120125.32</v>
      </c>
      <c r="J205" s="18">
        <v>14910561.34</v>
      </c>
      <c r="K205" s="15">
        <v>2711</v>
      </c>
      <c r="L205" s="13" t="s">
        <v>117</v>
      </c>
      <c r="M205" s="13" t="s">
        <v>118</v>
      </c>
      <c r="N205" s="145" t="s">
        <v>209</v>
      </c>
      <c r="O205" s="145" t="s">
        <v>209</v>
      </c>
      <c r="P205" s="28">
        <v>27</v>
      </c>
      <c r="Q205" s="13" t="s">
        <v>54</v>
      </c>
      <c r="R205" s="13" t="s">
        <v>28</v>
      </c>
      <c r="S205" s="13"/>
      <c r="T205" s="13"/>
      <c r="U205" s="13" t="s">
        <v>826</v>
      </c>
      <c r="V205" s="13" t="s">
        <v>826</v>
      </c>
      <c r="W205" s="60">
        <f>+J205/$W$2</f>
        <v>3.9298339666000493E-4</v>
      </c>
    </row>
    <row r="206" spans="1:29">
      <c r="A206" s="13" t="s">
        <v>266</v>
      </c>
      <c r="B206" s="13" t="s">
        <v>675</v>
      </c>
      <c r="C206" s="145">
        <v>46175</v>
      </c>
      <c r="D206" s="145" t="s">
        <v>469</v>
      </c>
      <c r="E206" s="28">
        <v>0.98614005999999998</v>
      </c>
      <c r="F206" s="13"/>
      <c r="G206" s="18">
        <v>8520366.0899999999</v>
      </c>
      <c r="H206" s="18">
        <v>8402274.3300000001</v>
      </c>
      <c r="I206" s="18">
        <v>8520366.0899999999</v>
      </c>
      <c r="J206" s="18">
        <v>8402274.3300000001</v>
      </c>
      <c r="K206" s="15">
        <v>2712</v>
      </c>
      <c r="L206" s="13" t="s">
        <v>117</v>
      </c>
      <c r="M206" s="13" t="s">
        <v>118</v>
      </c>
      <c r="N206" s="145" t="s">
        <v>209</v>
      </c>
      <c r="O206" s="145" t="s">
        <v>209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827</v>
      </c>
      <c r="V206" s="13" t="s">
        <v>827</v>
      </c>
      <c r="W206" s="60">
        <f>+J206/$W$2</f>
        <v>2.2145070400633E-4</v>
      </c>
    </row>
    <row r="207" spans="1:29">
      <c r="A207" s="13" t="s">
        <v>266</v>
      </c>
      <c r="B207" s="13" t="s">
        <v>675</v>
      </c>
      <c r="C207" s="145">
        <v>46175</v>
      </c>
      <c r="D207" s="145" t="s">
        <v>469</v>
      </c>
      <c r="E207" s="28">
        <v>0.98614005999999998</v>
      </c>
      <c r="F207" s="13"/>
      <c r="G207" s="18">
        <v>7031430</v>
      </c>
      <c r="H207" s="18">
        <v>6933974.8200000003</v>
      </c>
      <c r="I207" s="18">
        <v>7031430</v>
      </c>
      <c r="J207" s="18">
        <v>6933974.8200000003</v>
      </c>
      <c r="K207" s="15">
        <v>2713</v>
      </c>
      <c r="L207" s="13" t="s">
        <v>117</v>
      </c>
      <c r="M207" s="13" t="s">
        <v>118</v>
      </c>
      <c r="N207" s="145" t="s">
        <v>209</v>
      </c>
      <c r="O207" s="145" t="s">
        <v>209</v>
      </c>
      <c r="P207" s="28">
        <v>27</v>
      </c>
      <c r="Q207" s="13" t="s">
        <v>54</v>
      </c>
      <c r="R207" s="13" t="s">
        <v>28</v>
      </c>
      <c r="S207" s="13"/>
      <c r="T207" s="13"/>
      <c r="U207" s="13" t="s">
        <v>828</v>
      </c>
      <c r="V207" s="13" t="s">
        <v>828</v>
      </c>
      <c r="W207" s="60">
        <f>+J207/$W$2</f>
        <v>1.8275213890227331E-4</v>
      </c>
    </row>
    <row r="208" spans="1:29">
      <c r="A208" s="13" t="s">
        <v>266</v>
      </c>
      <c r="B208" s="13" t="s">
        <v>675</v>
      </c>
      <c r="C208" s="145">
        <v>46175</v>
      </c>
      <c r="D208" s="145" t="s">
        <v>469</v>
      </c>
      <c r="E208" s="28">
        <v>0.98614005999999998</v>
      </c>
      <c r="F208" s="13"/>
      <c r="G208" s="18">
        <v>13259548.27</v>
      </c>
      <c r="H208" s="18">
        <v>13075771.77</v>
      </c>
      <c r="I208" s="18">
        <v>13259548.27</v>
      </c>
      <c r="J208" s="18">
        <v>13075771.77</v>
      </c>
      <c r="K208" s="15">
        <v>2714</v>
      </c>
      <c r="L208" s="13" t="s">
        <v>117</v>
      </c>
      <c r="M208" s="13" t="s">
        <v>118</v>
      </c>
      <c r="N208" s="145" t="s">
        <v>209</v>
      </c>
      <c r="O208" s="145" t="s">
        <v>209</v>
      </c>
      <c r="P208" s="28">
        <v>27</v>
      </c>
      <c r="Q208" s="13" t="s">
        <v>54</v>
      </c>
      <c r="R208" s="13" t="s">
        <v>28</v>
      </c>
      <c r="S208" s="13"/>
      <c r="T208" s="13"/>
      <c r="U208" s="13" t="s">
        <v>829</v>
      </c>
      <c r="V208" s="13" t="s">
        <v>829</v>
      </c>
      <c r="W208" s="60">
        <f>+J208/$W$2</f>
        <v>3.4462560375514374E-4</v>
      </c>
    </row>
    <row r="209" spans="1:29">
      <c r="A209" s="13" t="s">
        <v>550</v>
      </c>
      <c r="B209" s="13" t="s">
        <v>675</v>
      </c>
      <c r="C209" s="145">
        <v>46175</v>
      </c>
      <c r="D209" s="145" t="s">
        <v>469</v>
      </c>
      <c r="E209" s="28">
        <v>0.97810651999999998</v>
      </c>
      <c r="F209" s="13"/>
      <c r="G209" s="18">
        <v>20000000</v>
      </c>
      <c r="H209" s="18">
        <v>19562130.350000001</v>
      </c>
      <c r="I209" s="18">
        <v>20000000</v>
      </c>
      <c r="J209" s="18">
        <v>19562130.350000001</v>
      </c>
      <c r="K209" s="15">
        <v>13237786</v>
      </c>
      <c r="L209" s="13" t="s">
        <v>117</v>
      </c>
      <c r="M209" s="13" t="s">
        <v>118</v>
      </c>
      <c r="N209" s="145" t="s">
        <v>304</v>
      </c>
      <c r="O209" s="145" t="s">
        <v>304</v>
      </c>
      <c r="P209" s="28">
        <v>43</v>
      </c>
      <c r="Q209" s="13" t="s">
        <v>54</v>
      </c>
      <c r="R209" s="13" t="s">
        <v>28</v>
      </c>
      <c r="S209" s="13"/>
      <c r="T209" s="13"/>
      <c r="U209" s="13" t="s">
        <v>642</v>
      </c>
      <c r="V209" s="13" t="s">
        <v>642</v>
      </c>
      <c r="W209" s="60">
        <f>+J209/$W$2</f>
        <v>5.1558034976359728E-4</v>
      </c>
    </row>
    <row r="210" spans="1:29">
      <c r="A210" s="13" t="s">
        <v>550</v>
      </c>
      <c r="B210" s="13" t="s">
        <v>675</v>
      </c>
      <c r="C210" s="145">
        <v>46175</v>
      </c>
      <c r="D210" s="145" t="s">
        <v>469</v>
      </c>
      <c r="E210" s="28">
        <v>0.97910352</v>
      </c>
      <c r="F210" s="13"/>
      <c r="G210" s="18">
        <v>10000000</v>
      </c>
      <c r="H210" s="18">
        <v>9791035.1999999993</v>
      </c>
      <c r="I210" s="18">
        <v>10000000</v>
      </c>
      <c r="J210" s="18">
        <v>9791035.1999999993</v>
      </c>
      <c r="K210" s="15">
        <v>13447289</v>
      </c>
      <c r="L210" s="13" t="s">
        <v>117</v>
      </c>
      <c r="M210" s="13" t="s">
        <v>118</v>
      </c>
      <c r="N210" s="145" t="s">
        <v>291</v>
      </c>
      <c r="O210" s="145" t="s">
        <v>291</v>
      </c>
      <c r="P210" s="28">
        <v>41</v>
      </c>
      <c r="Q210" s="13" t="s">
        <v>54</v>
      </c>
      <c r="R210" s="13" t="s">
        <v>28</v>
      </c>
      <c r="S210" s="13"/>
      <c r="T210" s="13"/>
      <c r="U210" s="13" t="s">
        <v>878</v>
      </c>
      <c r="V210" s="13" t="s">
        <v>878</v>
      </c>
      <c r="W210" s="60">
        <f>+J210/$W$2</f>
        <v>2.5805294528996392E-4</v>
      </c>
    </row>
    <row r="211" spans="1:29">
      <c r="A211" s="13" t="s">
        <v>186</v>
      </c>
      <c r="B211" s="13" t="s">
        <v>675</v>
      </c>
      <c r="C211" s="145">
        <v>46175</v>
      </c>
      <c r="D211" s="145" t="s">
        <v>469</v>
      </c>
      <c r="E211" s="28">
        <v>0.97960294000000003</v>
      </c>
      <c r="F211" s="13"/>
      <c r="G211" s="18">
        <v>100000000</v>
      </c>
      <c r="H211" s="18">
        <v>97960293.810000002</v>
      </c>
      <c r="I211" s="18">
        <v>100000000</v>
      </c>
      <c r="J211" s="18">
        <v>97960293.810000002</v>
      </c>
      <c r="K211" s="15">
        <v>609</v>
      </c>
      <c r="L211" s="13" t="s">
        <v>117</v>
      </c>
      <c r="M211" s="13" t="s">
        <v>118</v>
      </c>
      <c r="N211" s="145" t="s">
        <v>400</v>
      </c>
      <c r="O211" s="145" t="s">
        <v>400</v>
      </c>
      <c r="P211" s="28">
        <v>40</v>
      </c>
      <c r="Q211" s="13" t="s">
        <v>54</v>
      </c>
      <c r="R211" s="13" t="s">
        <v>28</v>
      </c>
      <c r="S211" s="13"/>
      <c r="T211" s="13"/>
      <c r="U211" s="13" t="s">
        <v>1641</v>
      </c>
      <c r="V211" s="13" t="s">
        <v>1641</v>
      </c>
      <c r="W211" s="60">
        <f>+J211/$W$2</f>
        <v>2.581845721394273E-3</v>
      </c>
    </row>
    <row r="212" spans="1:29">
      <c r="A212" s="13" t="s">
        <v>1643</v>
      </c>
      <c r="B212" s="13" t="s">
        <v>675</v>
      </c>
      <c r="C212" s="145">
        <v>46175</v>
      </c>
      <c r="D212" s="145" t="s">
        <v>469</v>
      </c>
      <c r="E212" s="28">
        <v>0.98260928999999997</v>
      </c>
      <c r="F212" s="13"/>
      <c r="G212" s="18">
        <v>10000000</v>
      </c>
      <c r="H212" s="18">
        <v>9826092.9100000001</v>
      </c>
      <c r="I212" s="18">
        <v>10000000</v>
      </c>
      <c r="J212" s="18">
        <v>9826092.9100000001</v>
      </c>
      <c r="K212" s="15">
        <v>16813</v>
      </c>
      <c r="L212" s="13" t="s">
        <v>117</v>
      </c>
      <c r="M212" s="13" t="s">
        <v>118</v>
      </c>
      <c r="N212" s="145" t="s">
        <v>400</v>
      </c>
      <c r="O212" s="145" t="s">
        <v>400</v>
      </c>
      <c r="P212" s="28">
        <v>34</v>
      </c>
      <c r="Q212" s="13" t="s">
        <v>54</v>
      </c>
      <c r="R212" s="13" t="s">
        <v>28</v>
      </c>
      <c r="S212" s="13"/>
      <c r="T212" s="13"/>
      <c r="U212" s="13" t="s">
        <v>1637</v>
      </c>
      <c r="V212" s="13" t="s">
        <v>1637</v>
      </c>
      <c r="W212" s="60">
        <f>+J212/$W$2</f>
        <v>2.5897692780415421E-4</v>
      </c>
    </row>
    <row r="213" spans="1:29">
      <c r="A213" s="13" t="s">
        <v>1509</v>
      </c>
      <c r="B213" s="13" t="s">
        <v>675</v>
      </c>
      <c r="C213" s="145">
        <v>46176</v>
      </c>
      <c r="D213" s="145" t="s">
        <v>469</v>
      </c>
      <c r="E213" s="28">
        <v>0.97960287999999995</v>
      </c>
      <c r="F213" s="13"/>
      <c r="G213" s="18">
        <v>3000000</v>
      </c>
      <c r="H213" s="18">
        <v>2938808.63</v>
      </c>
      <c r="I213" s="18">
        <v>3000000</v>
      </c>
      <c r="J213" s="18">
        <v>2938808.63</v>
      </c>
      <c r="K213" s="15">
        <v>90025540</v>
      </c>
      <c r="L213" s="13" t="s">
        <v>117</v>
      </c>
      <c r="M213" s="13" t="s">
        <v>118</v>
      </c>
      <c r="N213" s="145" t="s">
        <v>411</v>
      </c>
      <c r="O213" s="145" t="s">
        <v>411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1500</v>
      </c>
      <c r="V213" s="13" t="s">
        <v>1500</v>
      </c>
      <c r="W213" s="60">
        <f>+J213/$W$2</f>
        <v>7.7455366784409454E-5</v>
      </c>
    </row>
    <row r="214" spans="1:29">
      <c r="A214" s="13" t="s">
        <v>1509</v>
      </c>
      <c r="B214" s="13" t="s">
        <v>675</v>
      </c>
      <c r="C214" s="145">
        <v>46176</v>
      </c>
      <c r="D214" s="145" t="s">
        <v>469</v>
      </c>
      <c r="E214" s="28">
        <v>0.97960287999999995</v>
      </c>
      <c r="F214" s="13"/>
      <c r="G214" s="18">
        <v>2500000</v>
      </c>
      <c r="H214" s="18">
        <v>2449007.19</v>
      </c>
      <c r="I214" s="18">
        <v>2500000</v>
      </c>
      <c r="J214" s="18">
        <v>2449007.19</v>
      </c>
      <c r="K214" s="15">
        <v>90025539</v>
      </c>
      <c r="L214" s="13" t="s">
        <v>117</v>
      </c>
      <c r="M214" s="13" t="s">
        <v>118</v>
      </c>
      <c r="N214" s="145" t="s">
        <v>411</v>
      </c>
      <c r="O214" s="145" t="s">
        <v>411</v>
      </c>
      <c r="P214" s="28">
        <v>38</v>
      </c>
      <c r="Q214" s="13" t="s">
        <v>54</v>
      </c>
      <c r="R214" s="13" t="s">
        <v>28</v>
      </c>
      <c r="S214" s="13"/>
      <c r="T214" s="13"/>
      <c r="U214" s="13" t="s">
        <v>1506</v>
      </c>
      <c r="V214" s="13" t="s">
        <v>1506</v>
      </c>
      <c r="W214" s="60">
        <f>+J214/$W$2</f>
        <v>6.4546138943081136E-5</v>
      </c>
      <c r="AC214" s="57"/>
    </row>
    <row r="215" spans="1:29">
      <c r="A215" s="13" t="s">
        <v>715</v>
      </c>
      <c r="B215" s="13" t="s">
        <v>675</v>
      </c>
      <c r="C215" s="145">
        <v>46176</v>
      </c>
      <c r="D215" s="145" t="s">
        <v>469</v>
      </c>
      <c r="E215" s="28">
        <v>0.97698079999999998</v>
      </c>
      <c r="F215" s="13"/>
      <c r="G215" s="18">
        <v>4896000</v>
      </c>
      <c r="H215" s="18">
        <v>4783297.99</v>
      </c>
      <c r="I215" s="18">
        <v>4896000</v>
      </c>
      <c r="J215" s="18">
        <v>4783297.99</v>
      </c>
      <c r="K215" s="15">
        <v>178</v>
      </c>
      <c r="L215" s="13" t="s">
        <v>117</v>
      </c>
      <c r="M215" s="13" t="s">
        <v>118</v>
      </c>
      <c r="N215" s="145" t="s">
        <v>206</v>
      </c>
      <c r="O215" s="145" t="s">
        <v>206</v>
      </c>
      <c r="P215" s="28">
        <v>43</v>
      </c>
      <c r="Q215" s="13" t="s">
        <v>54</v>
      </c>
      <c r="R215" s="13" t="s">
        <v>28</v>
      </c>
      <c r="S215" s="13"/>
      <c r="T215" s="13"/>
      <c r="U215" s="13" t="s">
        <v>704</v>
      </c>
      <c r="V215" s="13" t="s">
        <v>704</v>
      </c>
      <c r="W215" s="60">
        <f>+J215/$W$2</f>
        <v>1.2606880777214083E-4</v>
      </c>
    </row>
    <row r="216" spans="1:29">
      <c r="A216" s="13" t="s">
        <v>782</v>
      </c>
      <c r="B216" s="13" t="s">
        <v>675</v>
      </c>
      <c r="C216" s="145">
        <v>46176</v>
      </c>
      <c r="D216" s="145" t="s">
        <v>469</v>
      </c>
      <c r="E216" s="28">
        <v>0.97802789999999995</v>
      </c>
      <c r="F216" s="13"/>
      <c r="G216" s="18">
        <v>2000000</v>
      </c>
      <c r="H216" s="18">
        <v>1956055.8</v>
      </c>
      <c r="I216" s="18">
        <v>2000000</v>
      </c>
      <c r="J216" s="18">
        <v>1956055.8</v>
      </c>
      <c r="K216" s="15">
        <v>832</v>
      </c>
      <c r="L216" s="13" t="s">
        <v>117</v>
      </c>
      <c r="M216" s="13" t="s">
        <v>118</v>
      </c>
      <c r="N216" s="145" t="s">
        <v>387</v>
      </c>
      <c r="O216" s="145" t="s">
        <v>387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771</v>
      </c>
      <c r="V216" s="13" t="s">
        <v>771</v>
      </c>
      <c r="W216" s="60">
        <f>+J216/$W$2</f>
        <v>5.1553890883929886E-5</v>
      </c>
    </row>
    <row r="217" spans="1:29">
      <c r="A217" s="13" t="s">
        <v>782</v>
      </c>
      <c r="B217" s="13" t="s">
        <v>675</v>
      </c>
      <c r="C217" s="145">
        <v>46176</v>
      </c>
      <c r="D217" s="145" t="s">
        <v>469</v>
      </c>
      <c r="E217" s="28">
        <v>0.97802789999999995</v>
      </c>
      <c r="F217" s="13"/>
      <c r="G217" s="18">
        <v>2000000</v>
      </c>
      <c r="H217" s="18">
        <v>1956055.8</v>
      </c>
      <c r="I217" s="18">
        <v>2000000</v>
      </c>
      <c r="J217" s="18">
        <v>1956055.8</v>
      </c>
      <c r="K217" s="15">
        <v>830</v>
      </c>
      <c r="L217" s="13" t="s">
        <v>117</v>
      </c>
      <c r="M217" s="13" t="s">
        <v>118</v>
      </c>
      <c r="N217" s="145" t="s">
        <v>387</v>
      </c>
      <c r="O217" s="145" t="s">
        <v>387</v>
      </c>
      <c r="P217" s="28">
        <v>41</v>
      </c>
      <c r="Q217" s="13" t="s">
        <v>54</v>
      </c>
      <c r="R217" s="13" t="s">
        <v>28</v>
      </c>
      <c r="S217" s="13"/>
      <c r="T217" s="13"/>
      <c r="U217" s="13" t="s">
        <v>772</v>
      </c>
      <c r="V217" s="13" t="s">
        <v>772</v>
      </c>
      <c r="W217" s="60">
        <f>+J217/$W$2</f>
        <v>5.1553890883929886E-5</v>
      </c>
    </row>
    <row r="218" spans="1:29">
      <c r="A218" s="13" t="s">
        <v>782</v>
      </c>
      <c r="B218" s="13" t="s">
        <v>675</v>
      </c>
      <c r="C218" s="145">
        <v>46176</v>
      </c>
      <c r="D218" s="145" t="s">
        <v>469</v>
      </c>
      <c r="E218" s="28">
        <v>0.97802796000000003</v>
      </c>
      <c r="F218" s="13"/>
      <c r="G218" s="18">
        <v>2000000</v>
      </c>
      <c r="H218" s="18">
        <v>1956055.92</v>
      </c>
      <c r="I218" s="18">
        <v>2000000</v>
      </c>
      <c r="J218" s="18">
        <v>1956055.92</v>
      </c>
      <c r="K218" s="15">
        <v>831</v>
      </c>
      <c r="L218" s="13" t="s">
        <v>117</v>
      </c>
      <c r="M218" s="13" t="s">
        <v>118</v>
      </c>
      <c r="N218" s="145" t="s">
        <v>291</v>
      </c>
      <c r="O218" s="145" t="s">
        <v>291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914</v>
      </c>
      <c r="V218" s="13" t="s">
        <v>914</v>
      </c>
      <c r="W218" s="60">
        <f>+J218/$W$2</f>
        <v>5.1553894046655047E-5</v>
      </c>
    </row>
    <row r="219" spans="1:29">
      <c r="A219" s="13" t="s">
        <v>795</v>
      </c>
      <c r="B219" s="13" t="s">
        <v>675</v>
      </c>
      <c r="C219" s="145">
        <v>46176</v>
      </c>
      <c r="D219" s="145" t="s">
        <v>469</v>
      </c>
      <c r="E219" s="28">
        <v>0.97855230000000004</v>
      </c>
      <c r="F219" s="13"/>
      <c r="G219" s="18">
        <v>2000000</v>
      </c>
      <c r="H219" s="18">
        <v>1957104.59</v>
      </c>
      <c r="I219" s="18">
        <v>2000000</v>
      </c>
      <c r="J219" s="18">
        <v>1957104.59</v>
      </c>
      <c r="K219" s="15">
        <v>37</v>
      </c>
      <c r="L219" s="13" t="s">
        <v>117</v>
      </c>
      <c r="M219" s="13" t="s">
        <v>118</v>
      </c>
      <c r="N219" s="145" t="s">
        <v>447</v>
      </c>
      <c r="O219" s="145" t="s">
        <v>447</v>
      </c>
      <c r="P219" s="28">
        <v>40</v>
      </c>
      <c r="Q219" s="13" t="s">
        <v>54</v>
      </c>
      <c r="R219" s="13" t="s">
        <v>28</v>
      </c>
      <c r="S219" s="13"/>
      <c r="T219" s="13"/>
      <c r="U219" s="13" t="s">
        <v>789</v>
      </c>
      <c r="V219" s="13" t="s">
        <v>789</v>
      </c>
      <c r="W219" s="60">
        <f>+J219/$W$2</f>
        <v>5.1581532838326155E-5</v>
      </c>
      <c r="AC219" s="57"/>
    </row>
    <row r="220" spans="1:29">
      <c r="A220" s="13" t="s">
        <v>939</v>
      </c>
      <c r="B220" s="13" t="s">
        <v>675</v>
      </c>
      <c r="C220" s="145">
        <v>46176</v>
      </c>
      <c r="D220" s="145" t="s">
        <v>469</v>
      </c>
      <c r="E220" s="28">
        <v>0.97802796000000003</v>
      </c>
      <c r="F220" s="13"/>
      <c r="G220" s="18">
        <v>2000000</v>
      </c>
      <c r="H220" s="18">
        <v>1956055.92</v>
      </c>
      <c r="I220" s="18">
        <v>2000000</v>
      </c>
      <c r="J220" s="18">
        <v>1956055.92</v>
      </c>
      <c r="K220" s="15">
        <v>12384439</v>
      </c>
      <c r="L220" s="13" t="s">
        <v>117</v>
      </c>
      <c r="M220" s="13" t="s">
        <v>118</v>
      </c>
      <c r="N220" s="145" t="s">
        <v>291</v>
      </c>
      <c r="O220" s="145" t="s">
        <v>291</v>
      </c>
      <c r="P220" s="28">
        <v>41</v>
      </c>
      <c r="Q220" s="13" t="s">
        <v>54</v>
      </c>
      <c r="R220" s="13" t="s">
        <v>28</v>
      </c>
      <c r="S220" s="13"/>
      <c r="T220" s="13"/>
      <c r="U220" s="13" t="s">
        <v>912</v>
      </c>
      <c r="V220" s="13" t="s">
        <v>912</v>
      </c>
      <c r="W220" s="60">
        <f>+J220/$W$2</f>
        <v>5.1553894046655047E-5</v>
      </c>
    </row>
    <row r="221" spans="1:29">
      <c r="A221" s="13" t="s">
        <v>940</v>
      </c>
      <c r="B221" s="13" t="s">
        <v>675</v>
      </c>
      <c r="C221" s="145">
        <v>46176</v>
      </c>
      <c r="D221" s="145" t="s">
        <v>469</v>
      </c>
      <c r="E221" s="28">
        <v>0.97802796000000003</v>
      </c>
      <c r="F221" s="13"/>
      <c r="G221" s="18">
        <v>1153417.1599999999</v>
      </c>
      <c r="H221" s="18">
        <v>1128074.23</v>
      </c>
      <c r="I221" s="18">
        <v>1153417.1599999999</v>
      </c>
      <c r="J221" s="18">
        <v>1128074.23</v>
      </c>
      <c r="K221" s="15">
        <v>65844868</v>
      </c>
      <c r="L221" s="13" t="s">
        <v>117</v>
      </c>
      <c r="M221" s="13" t="s">
        <v>118</v>
      </c>
      <c r="N221" s="145" t="s">
        <v>291</v>
      </c>
      <c r="O221" s="145" t="s">
        <v>291</v>
      </c>
      <c r="P221" s="28">
        <v>41</v>
      </c>
      <c r="Q221" s="13" t="s">
        <v>54</v>
      </c>
      <c r="R221" s="13" t="s">
        <v>28</v>
      </c>
      <c r="S221" s="13"/>
      <c r="T221" s="13"/>
      <c r="U221" s="13" t="s">
        <v>913</v>
      </c>
      <c r="V221" s="13" t="s">
        <v>913</v>
      </c>
      <c r="W221" s="60">
        <f>+J221/$W$2</f>
        <v>2.9731572975777695E-5</v>
      </c>
    </row>
    <row r="222" spans="1:29">
      <c r="A222" s="13" t="s">
        <v>1007</v>
      </c>
      <c r="B222" s="13" t="s">
        <v>675</v>
      </c>
      <c r="C222" s="145">
        <v>46176</v>
      </c>
      <c r="D222" s="145" t="s">
        <v>469</v>
      </c>
      <c r="E222" s="28">
        <v>0.98065559000000002</v>
      </c>
      <c r="F222" s="13"/>
      <c r="G222" s="18">
        <v>1000000</v>
      </c>
      <c r="H222" s="18">
        <v>980655.59</v>
      </c>
      <c r="I222" s="18">
        <v>1000000</v>
      </c>
      <c r="J222" s="18">
        <v>980655.59</v>
      </c>
      <c r="K222" s="15">
        <v>24</v>
      </c>
      <c r="L222" s="13" t="s">
        <v>117</v>
      </c>
      <c r="M222" s="13" t="s">
        <v>118</v>
      </c>
      <c r="N222" s="145" t="s">
        <v>442</v>
      </c>
      <c r="O222" s="145" t="s">
        <v>442</v>
      </c>
      <c r="P222" s="28">
        <v>36</v>
      </c>
      <c r="Q222" s="13" t="s">
        <v>54</v>
      </c>
      <c r="R222" s="13" t="s">
        <v>28</v>
      </c>
      <c r="S222" s="13"/>
      <c r="T222" s="13"/>
      <c r="U222" s="13" t="s">
        <v>994</v>
      </c>
      <c r="V222" s="13" t="s">
        <v>994</v>
      </c>
      <c r="W222" s="60">
        <f>+J222/$W$2</f>
        <v>2.5846200952741673E-5</v>
      </c>
    </row>
    <row r="223" spans="1:29">
      <c r="A223" s="13" t="s">
        <v>1007</v>
      </c>
      <c r="B223" s="13" t="s">
        <v>675</v>
      </c>
      <c r="C223" s="145">
        <v>46176</v>
      </c>
      <c r="D223" s="145" t="s">
        <v>469</v>
      </c>
      <c r="E223" s="28">
        <v>0.98065559000000002</v>
      </c>
      <c r="F223" s="13"/>
      <c r="G223" s="18">
        <v>1000000</v>
      </c>
      <c r="H223" s="18">
        <v>980655.59</v>
      </c>
      <c r="I223" s="18">
        <v>1000000</v>
      </c>
      <c r="J223" s="18">
        <v>980655.59</v>
      </c>
      <c r="K223" s="15">
        <v>25</v>
      </c>
      <c r="L223" s="13" t="s">
        <v>117</v>
      </c>
      <c r="M223" s="13" t="s">
        <v>118</v>
      </c>
      <c r="N223" s="145" t="s">
        <v>442</v>
      </c>
      <c r="O223" s="145" t="s">
        <v>442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1000</v>
      </c>
      <c r="V223" s="13" t="s">
        <v>1000</v>
      </c>
      <c r="W223" s="60">
        <f>+J223/$W$2</f>
        <v>2.5846200952741673E-5</v>
      </c>
      <c r="AC223" s="57"/>
    </row>
    <row r="224" spans="1:29">
      <c r="A224" s="13" t="s">
        <v>1102</v>
      </c>
      <c r="B224" s="13" t="s">
        <v>675</v>
      </c>
      <c r="C224" s="145">
        <v>46176</v>
      </c>
      <c r="D224" s="145" t="s">
        <v>469</v>
      </c>
      <c r="E224" s="28">
        <v>0.98118291999999996</v>
      </c>
      <c r="F224" s="13"/>
      <c r="G224" s="18">
        <v>6238663.2000000002</v>
      </c>
      <c r="H224" s="18">
        <v>6121269.75</v>
      </c>
      <c r="I224" s="18">
        <v>6238663.2000000002</v>
      </c>
      <c r="J224" s="18">
        <v>6121269.75</v>
      </c>
      <c r="K224" s="15">
        <v>9266640</v>
      </c>
      <c r="L224" s="13" t="s">
        <v>117</v>
      </c>
      <c r="M224" s="13" t="s">
        <v>118</v>
      </c>
      <c r="N224" s="145" t="s">
        <v>443</v>
      </c>
      <c r="O224" s="145" t="s">
        <v>443</v>
      </c>
      <c r="P224" s="28">
        <v>35</v>
      </c>
      <c r="Q224" s="13" t="s">
        <v>54</v>
      </c>
      <c r="R224" s="13" t="s">
        <v>28</v>
      </c>
      <c r="S224" s="13"/>
      <c r="T224" s="13"/>
      <c r="U224" s="13" t="s">
        <v>1074</v>
      </c>
      <c r="V224" s="13" t="s">
        <v>1074</v>
      </c>
      <c r="W224" s="60">
        <f>+J224/$W$2</f>
        <v>1.6133244908585979E-4</v>
      </c>
    </row>
    <row r="225" spans="1:29">
      <c r="A225" s="13" t="s">
        <v>379</v>
      </c>
      <c r="B225" s="13" t="s">
        <v>675</v>
      </c>
      <c r="C225" s="145">
        <v>46176</v>
      </c>
      <c r="D225" s="145" t="s">
        <v>469</v>
      </c>
      <c r="E225" s="28">
        <v>0.97960287999999995</v>
      </c>
      <c r="F225" s="13"/>
      <c r="G225" s="18">
        <v>5450000</v>
      </c>
      <c r="H225" s="18">
        <v>5338835.6900000004</v>
      </c>
      <c r="I225" s="18">
        <v>5450000</v>
      </c>
      <c r="J225" s="18">
        <v>5338835.6900000004</v>
      </c>
      <c r="K225" s="15">
        <v>28512</v>
      </c>
      <c r="L225" s="13" t="s">
        <v>117</v>
      </c>
      <c r="M225" s="13" t="s">
        <v>118</v>
      </c>
      <c r="N225" s="145" t="s">
        <v>385</v>
      </c>
      <c r="O225" s="145" t="s">
        <v>385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971</v>
      </c>
      <c r="V225" s="13" t="s">
        <v>971</v>
      </c>
      <c r="W225" s="60">
        <f>+J225/$W$2</f>
        <v>1.4071058331234238E-4</v>
      </c>
    </row>
    <row r="226" spans="1:29">
      <c r="A226" s="13" t="s">
        <v>155</v>
      </c>
      <c r="B226" s="13" t="s">
        <v>153</v>
      </c>
      <c r="C226" s="145">
        <v>46176</v>
      </c>
      <c r="D226" s="145" t="s">
        <v>469</v>
      </c>
      <c r="E226" s="28">
        <v>0.99455017999999995</v>
      </c>
      <c r="F226" s="13" t="s">
        <v>1916</v>
      </c>
      <c r="G226" s="18">
        <v>40000</v>
      </c>
      <c r="H226" s="18">
        <v>39782.01</v>
      </c>
      <c r="I226" s="18">
        <v>55729291.619999997</v>
      </c>
      <c r="J226" s="18">
        <v>55425580.920000002</v>
      </c>
      <c r="K226" s="15">
        <v>137080</v>
      </c>
      <c r="L226" s="13" t="s">
        <v>117</v>
      </c>
      <c r="M226" s="13" t="s">
        <v>118</v>
      </c>
      <c r="N226" s="145" t="s">
        <v>207</v>
      </c>
      <c r="O226" s="145" t="s">
        <v>207</v>
      </c>
      <c r="P226" s="28">
        <v>10</v>
      </c>
      <c r="Q226" s="13" t="s">
        <v>54</v>
      </c>
      <c r="R226" s="13" t="s">
        <v>28</v>
      </c>
      <c r="S226" s="13"/>
      <c r="T226" s="13"/>
      <c r="U226" s="13" t="s">
        <v>449</v>
      </c>
      <c r="V226" s="13" t="s">
        <v>449</v>
      </c>
      <c r="W226" s="60">
        <f>+J226/$W$2</f>
        <v>1.460798997108419E-3</v>
      </c>
    </row>
    <row r="227" spans="1:29">
      <c r="A227" s="13" t="s">
        <v>242</v>
      </c>
      <c r="B227" s="13" t="s">
        <v>675</v>
      </c>
      <c r="C227" s="145">
        <v>46176</v>
      </c>
      <c r="D227" s="145" t="s">
        <v>469</v>
      </c>
      <c r="E227" s="28">
        <v>0.97855241000000004</v>
      </c>
      <c r="F227" s="13"/>
      <c r="G227" s="18">
        <v>39425780.899999999</v>
      </c>
      <c r="H227" s="18">
        <v>38580192.850000001</v>
      </c>
      <c r="I227" s="18">
        <v>39425780.899999999</v>
      </c>
      <c r="J227" s="18">
        <v>38580192.850000001</v>
      </c>
      <c r="K227" s="15">
        <v>66111089</v>
      </c>
      <c r="L227" s="13" t="s">
        <v>117</v>
      </c>
      <c r="M227" s="13" t="s">
        <v>118</v>
      </c>
      <c r="N227" s="145" t="s">
        <v>425</v>
      </c>
      <c r="O227" s="145" t="s">
        <v>425</v>
      </c>
      <c r="P227" s="28">
        <v>40</v>
      </c>
      <c r="Q227" s="13" t="s">
        <v>54</v>
      </c>
      <c r="R227" s="13" t="s">
        <v>28</v>
      </c>
      <c r="S227" s="13"/>
      <c r="T227" s="13"/>
      <c r="U227" s="13" t="s">
        <v>982</v>
      </c>
      <c r="V227" s="13" t="s">
        <v>982</v>
      </c>
      <c r="W227" s="60">
        <f>+J227/$W$2</f>
        <v>1.0168212238474341E-3</v>
      </c>
    </row>
    <row r="228" spans="1:29">
      <c r="A228" s="13" t="s">
        <v>242</v>
      </c>
      <c r="B228" s="13" t="s">
        <v>675</v>
      </c>
      <c r="C228" s="145">
        <v>46176</v>
      </c>
      <c r="D228" s="145" t="s">
        <v>469</v>
      </c>
      <c r="E228" s="28">
        <v>0.97855241000000004</v>
      </c>
      <c r="F228" s="13"/>
      <c r="G228" s="18">
        <v>6273580.79</v>
      </c>
      <c r="H228" s="18">
        <v>6139027.5800000001</v>
      </c>
      <c r="I228" s="18">
        <v>6273580.79</v>
      </c>
      <c r="J228" s="18">
        <v>6139027.5800000001</v>
      </c>
      <c r="K228" s="15">
        <v>66111090</v>
      </c>
      <c r="L228" s="13" t="s">
        <v>117</v>
      </c>
      <c r="M228" s="13" t="s">
        <v>118</v>
      </c>
      <c r="N228" s="145" t="s">
        <v>425</v>
      </c>
      <c r="O228" s="145" t="s">
        <v>425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983</v>
      </c>
      <c r="V228" s="13" t="s">
        <v>983</v>
      </c>
      <c r="W228" s="60">
        <f>+J228/$W$2</f>
        <v>1.6180047521791358E-4</v>
      </c>
    </row>
    <row r="229" spans="1:29">
      <c r="A229" s="13" t="s">
        <v>405</v>
      </c>
      <c r="B229" s="13" t="s">
        <v>675</v>
      </c>
      <c r="C229" s="145">
        <v>46176</v>
      </c>
      <c r="D229" s="145" t="s">
        <v>469</v>
      </c>
      <c r="E229" s="28">
        <v>0.98435826999999998</v>
      </c>
      <c r="F229" s="13"/>
      <c r="G229" s="18">
        <v>30000000</v>
      </c>
      <c r="H229" s="18">
        <v>29530747.949999999</v>
      </c>
      <c r="I229" s="18">
        <v>30000000</v>
      </c>
      <c r="J229" s="18">
        <v>29530747.949999999</v>
      </c>
      <c r="K229" s="15">
        <v>90041865</v>
      </c>
      <c r="L229" s="13" t="s">
        <v>117</v>
      </c>
      <c r="M229" s="13" t="s">
        <v>118</v>
      </c>
      <c r="N229" s="145" t="s">
        <v>528</v>
      </c>
      <c r="O229" s="145" t="s">
        <v>528</v>
      </c>
      <c r="P229" s="28">
        <v>29</v>
      </c>
      <c r="Q229" s="13" t="s">
        <v>54</v>
      </c>
      <c r="R229" s="13" t="s">
        <v>28</v>
      </c>
      <c r="S229" s="13"/>
      <c r="T229" s="13"/>
      <c r="U229" s="13" t="s">
        <v>1273</v>
      </c>
      <c r="V229" s="13" t="s">
        <v>1273</v>
      </c>
      <c r="W229" s="60">
        <f>+J229/$W$2</f>
        <v>7.7831366443387553E-4</v>
      </c>
    </row>
    <row r="230" spans="1:29">
      <c r="A230" s="13" t="s">
        <v>1330</v>
      </c>
      <c r="B230" s="13" t="s">
        <v>675</v>
      </c>
      <c r="C230" s="145">
        <v>46176</v>
      </c>
      <c r="D230" s="145" t="s">
        <v>469</v>
      </c>
      <c r="E230" s="28">
        <v>0.98542127000000002</v>
      </c>
      <c r="F230" s="13"/>
      <c r="G230" s="18">
        <v>15200000</v>
      </c>
      <c r="H230" s="18">
        <v>14978403.33</v>
      </c>
      <c r="I230" s="18">
        <v>15200000</v>
      </c>
      <c r="J230" s="18">
        <v>14978403.33</v>
      </c>
      <c r="K230" s="15">
        <v>2597</v>
      </c>
      <c r="L230" s="13" t="s">
        <v>117</v>
      </c>
      <c r="M230" s="13" t="s">
        <v>118</v>
      </c>
      <c r="N230" s="145" t="s">
        <v>428</v>
      </c>
      <c r="O230" s="145" t="s">
        <v>428</v>
      </c>
      <c r="P230" s="28">
        <v>27</v>
      </c>
      <c r="Q230" s="13" t="s">
        <v>54</v>
      </c>
      <c r="R230" s="13" t="s">
        <v>28</v>
      </c>
      <c r="S230" s="13"/>
      <c r="T230" s="13"/>
      <c r="U230" s="13" t="s">
        <v>1674</v>
      </c>
      <c r="V230" s="13" t="s">
        <v>1674</v>
      </c>
      <c r="W230" s="60">
        <f>+J230/$W$2</f>
        <v>3.9477144306942162E-4</v>
      </c>
      <c r="AC230" s="57"/>
    </row>
    <row r="231" spans="1:29">
      <c r="A231" s="13" t="s">
        <v>376</v>
      </c>
      <c r="B231" s="13" t="s">
        <v>675</v>
      </c>
      <c r="C231" s="145">
        <v>46176</v>
      </c>
      <c r="D231" s="145" t="s">
        <v>469</v>
      </c>
      <c r="E231" s="28">
        <v>0.97750404000000002</v>
      </c>
      <c r="F231" s="13"/>
      <c r="G231" s="18">
        <v>6582395.21</v>
      </c>
      <c r="H231" s="18">
        <v>6434317.8899999997</v>
      </c>
      <c r="I231" s="18">
        <v>6582395.21</v>
      </c>
      <c r="J231" s="18">
        <v>6434317.8899999997</v>
      </c>
      <c r="K231" s="15">
        <v>5077</v>
      </c>
      <c r="L231" s="13" t="s">
        <v>117</v>
      </c>
      <c r="M231" s="13" t="s">
        <v>118</v>
      </c>
      <c r="N231" s="145" t="s">
        <v>461</v>
      </c>
      <c r="O231" s="145" t="s">
        <v>461</v>
      </c>
      <c r="P231" s="28">
        <v>42</v>
      </c>
      <c r="Q231" s="13" t="s">
        <v>54</v>
      </c>
      <c r="R231" s="13" t="s">
        <v>28</v>
      </c>
      <c r="S231" s="13"/>
      <c r="T231" s="13"/>
      <c r="U231" s="13" t="s">
        <v>1187</v>
      </c>
      <c r="V231" s="13" t="s">
        <v>1187</v>
      </c>
      <c r="W231" s="60">
        <f>+J231/$W$2</f>
        <v>1.6958315934217108E-4</v>
      </c>
    </row>
    <row r="232" spans="1:29">
      <c r="A232" s="13" t="s">
        <v>1006</v>
      </c>
      <c r="B232" s="13" t="s">
        <v>675</v>
      </c>
      <c r="C232" s="145">
        <v>46176</v>
      </c>
      <c r="D232" s="145" t="s">
        <v>469</v>
      </c>
      <c r="E232" s="28">
        <v>0.98595356000000001</v>
      </c>
      <c r="F232" s="13"/>
      <c r="G232" s="18">
        <v>7166689.79</v>
      </c>
      <c r="H232" s="18">
        <v>7066023.29</v>
      </c>
      <c r="I232" s="18">
        <v>7166689.79</v>
      </c>
      <c r="J232" s="18">
        <v>7066023.29</v>
      </c>
      <c r="K232" s="15">
        <v>40011392</v>
      </c>
      <c r="L232" s="13" t="s">
        <v>117</v>
      </c>
      <c r="M232" s="13" t="s">
        <v>118</v>
      </c>
      <c r="N232" s="145" t="s">
        <v>442</v>
      </c>
      <c r="O232" s="145" t="s">
        <v>442</v>
      </c>
      <c r="P232" s="28">
        <v>26</v>
      </c>
      <c r="Q232" s="13" t="s">
        <v>54</v>
      </c>
      <c r="R232" s="13" t="s">
        <v>28</v>
      </c>
      <c r="S232" s="13"/>
      <c r="T232" s="13"/>
      <c r="U232" s="13" t="s">
        <v>992</v>
      </c>
      <c r="V232" s="13" t="s">
        <v>992</v>
      </c>
      <c r="W232" s="60">
        <f>+J232/$W$2</f>
        <v>1.8623241406301764E-4</v>
      </c>
      <c r="AC232" s="57"/>
    </row>
    <row r="233" spans="1:29">
      <c r="A233" s="13" t="s">
        <v>1764</v>
      </c>
      <c r="B233" s="13" t="s">
        <v>675</v>
      </c>
      <c r="C233" s="145">
        <v>46176</v>
      </c>
      <c r="D233" s="145" t="s">
        <v>469</v>
      </c>
      <c r="E233" s="28">
        <v>0.98488951000000002</v>
      </c>
      <c r="F233" s="13"/>
      <c r="G233" s="18">
        <v>8000000</v>
      </c>
      <c r="H233" s="18">
        <v>7879116.0700000003</v>
      </c>
      <c r="I233" s="18">
        <v>8000000</v>
      </c>
      <c r="J233" s="18">
        <v>7879116.0700000003</v>
      </c>
      <c r="K233" s="15">
        <v>6034637</v>
      </c>
      <c r="L233" s="13" t="s">
        <v>117</v>
      </c>
      <c r="M233" s="13" t="s">
        <v>118</v>
      </c>
      <c r="N233" s="145" t="s">
        <v>462</v>
      </c>
      <c r="O233" s="145" t="s">
        <v>462</v>
      </c>
      <c r="P233" s="28">
        <v>28</v>
      </c>
      <c r="Q233" s="13" t="s">
        <v>54</v>
      </c>
      <c r="R233" s="13" t="s">
        <v>28</v>
      </c>
      <c r="S233" s="13"/>
      <c r="T233" s="13"/>
      <c r="U233" s="13" t="s">
        <v>1726</v>
      </c>
      <c r="V233" s="13" t="s">
        <v>1726</v>
      </c>
      <c r="W233" s="60">
        <f>+J233/$W$2</f>
        <v>2.0766232238088425E-4</v>
      </c>
    </row>
    <row r="234" spans="1:29">
      <c r="A234" s="13" t="s">
        <v>1101</v>
      </c>
      <c r="B234" s="13" t="s">
        <v>675</v>
      </c>
      <c r="C234" s="145">
        <v>46176</v>
      </c>
      <c r="D234" s="145" t="s">
        <v>469</v>
      </c>
      <c r="E234" s="28">
        <v>0.98648650000000004</v>
      </c>
      <c r="F234" s="13"/>
      <c r="G234" s="18">
        <v>696309</v>
      </c>
      <c r="H234" s="18">
        <v>686899.43</v>
      </c>
      <c r="I234" s="18">
        <v>696309</v>
      </c>
      <c r="J234" s="18">
        <v>686899.43</v>
      </c>
      <c r="K234" s="15">
        <v>18103474</v>
      </c>
      <c r="L234" s="13" t="s">
        <v>117</v>
      </c>
      <c r="M234" s="13" t="s">
        <v>118</v>
      </c>
      <c r="N234" s="145" t="s">
        <v>461</v>
      </c>
      <c r="O234" s="145" t="s">
        <v>461</v>
      </c>
      <c r="P234" s="28">
        <v>25</v>
      </c>
      <c r="Q234" s="13" t="s">
        <v>54</v>
      </c>
      <c r="R234" s="13" t="s">
        <v>28</v>
      </c>
      <c r="S234" s="13"/>
      <c r="T234" s="13"/>
      <c r="U234" s="13" t="s">
        <v>1128</v>
      </c>
      <c r="V234" s="13" t="s">
        <v>1128</v>
      </c>
      <c r="W234" s="60">
        <f>+J234/$W$2</f>
        <v>1.8103950951937891E-5</v>
      </c>
    </row>
    <row r="235" spans="1:29">
      <c r="A235" s="13" t="s">
        <v>1894</v>
      </c>
      <c r="B235" s="13" t="s">
        <v>675</v>
      </c>
      <c r="C235" s="145">
        <v>46176</v>
      </c>
      <c r="D235" s="145" t="s">
        <v>469</v>
      </c>
      <c r="E235" s="28">
        <v>0.98276797999999999</v>
      </c>
      <c r="F235" s="13"/>
      <c r="G235" s="18">
        <v>45748279.530000001</v>
      </c>
      <c r="H235" s="18">
        <v>44959944.159999996</v>
      </c>
      <c r="I235" s="18">
        <v>45748279.530000001</v>
      </c>
      <c r="J235" s="18">
        <v>44959944.159999996</v>
      </c>
      <c r="K235" s="15">
        <v>7723</v>
      </c>
      <c r="L235" s="13" t="s">
        <v>117</v>
      </c>
      <c r="M235" s="13" t="s">
        <v>118</v>
      </c>
      <c r="N235" s="145" t="s">
        <v>470</v>
      </c>
      <c r="O235" s="145" t="s">
        <v>470</v>
      </c>
      <c r="P235" s="28">
        <v>32</v>
      </c>
      <c r="Q235" s="13" t="s">
        <v>54</v>
      </c>
      <c r="R235" s="13" t="s">
        <v>28</v>
      </c>
      <c r="S235" s="13"/>
      <c r="T235" s="13"/>
      <c r="U235" s="13" t="s">
        <v>1891</v>
      </c>
      <c r="V235" s="13" t="s">
        <v>1891</v>
      </c>
      <c r="W235" s="60">
        <f>+J235/$W$2</f>
        <v>1.1849662240577289E-3</v>
      </c>
    </row>
    <row r="236" spans="1:29">
      <c r="A236" s="13" t="s">
        <v>1894</v>
      </c>
      <c r="B236" s="13" t="s">
        <v>675</v>
      </c>
      <c r="C236" s="145">
        <v>46176</v>
      </c>
      <c r="D236" s="145" t="s">
        <v>469</v>
      </c>
      <c r="E236" s="28">
        <v>0.98276797999999999</v>
      </c>
      <c r="F236" s="13"/>
      <c r="G236" s="18">
        <v>45748279.530000001</v>
      </c>
      <c r="H236" s="18">
        <v>44959944.159999996</v>
      </c>
      <c r="I236" s="18">
        <v>45748279.530000001</v>
      </c>
      <c r="J236" s="18">
        <v>44959944.159999996</v>
      </c>
      <c r="K236" s="15">
        <v>8911</v>
      </c>
      <c r="L236" s="13" t="s">
        <v>117</v>
      </c>
      <c r="M236" s="13" t="s">
        <v>118</v>
      </c>
      <c r="N236" s="145" t="s">
        <v>470</v>
      </c>
      <c r="O236" s="145" t="s">
        <v>470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1892</v>
      </c>
      <c r="V236" s="13" t="s">
        <v>1892</v>
      </c>
      <c r="W236" s="60">
        <f>+J236/$W$2</f>
        <v>1.1849662240577289E-3</v>
      </c>
    </row>
    <row r="237" spans="1:29">
      <c r="A237" s="13" t="s">
        <v>780</v>
      </c>
      <c r="B237" s="13" t="s">
        <v>675</v>
      </c>
      <c r="C237" s="145">
        <v>46176</v>
      </c>
      <c r="D237" s="145" t="s">
        <v>469</v>
      </c>
      <c r="E237" s="28">
        <v>0.97802796000000003</v>
      </c>
      <c r="F237" s="13"/>
      <c r="G237" s="18">
        <v>10918371.689999999</v>
      </c>
      <c r="H237" s="18">
        <v>10678472.76</v>
      </c>
      <c r="I237" s="18">
        <v>10918371.689999999</v>
      </c>
      <c r="J237" s="18">
        <v>10678472.76</v>
      </c>
      <c r="K237" s="15">
        <v>30447</v>
      </c>
      <c r="L237" s="13" t="s">
        <v>117</v>
      </c>
      <c r="M237" s="13" t="s">
        <v>118</v>
      </c>
      <c r="N237" s="145" t="s">
        <v>291</v>
      </c>
      <c r="O237" s="145" t="s">
        <v>291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891</v>
      </c>
      <c r="V237" s="13" t="s">
        <v>891</v>
      </c>
      <c r="W237" s="60">
        <f>+J237/$W$2</f>
        <v>2.8144228783046863E-4</v>
      </c>
    </row>
    <row r="238" spans="1:29">
      <c r="A238" s="13" t="s">
        <v>780</v>
      </c>
      <c r="B238" s="13" t="s">
        <v>675</v>
      </c>
      <c r="C238" s="145">
        <v>46176</v>
      </c>
      <c r="D238" s="145" t="s">
        <v>469</v>
      </c>
      <c r="E238" s="28">
        <v>0.97802796000000003</v>
      </c>
      <c r="F238" s="13"/>
      <c r="G238" s="18">
        <v>11171159.59</v>
      </c>
      <c r="H238" s="18">
        <v>10925706.42</v>
      </c>
      <c r="I238" s="18">
        <v>11171159.59</v>
      </c>
      <c r="J238" s="18">
        <v>10925706.42</v>
      </c>
      <c r="K238" s="15">
        <v>30370</v>
      </c>
      <c r="L238" s="13" t="s">
        <v>117</v>
      </c>
      <c r="M238" s="13" t="s">
        <v>118</v>
      </c>
      <c r="N238" s="145" t="s">
        <v>291</v>
      </c>
      <c r="O238" s="145" t="s">
        <v>291</v>
      </c>
      <c r="P238" s="28">
        <v>41</v>
      </c>
      <c r="Q238" s="13" t="s">
        <v>54</v>
      </c>
      <c r="R238" s="13" t="s">
        <v>28</v>
      </c>
      <c r="S238" s="13"/>
      <c r="T238" s="13"/>
      <c r="U238" s="13" t="s">
        <v>896</v>
      </c>
      <c r="V238" s="13" t="s">
        <v>896</v>
      </c>
      <c r="W238" s="60">
        <f>+J238/$W$2</f>
        <v>2.8795838881821888E-4</v>
      </c>
    </row>
    <row r="239" spans="1:29">
      <c r="A239" s="13" t="s">
        <v>550</v>
      </c>
      <c r="B239" s="13" t="s">
        <v>675</v>
      </c>
      <c r="C239" s="145">
        <v>46176</v>
      </c>
      <c r="D239" s="145" t="s">
        <v>469</v>
      </c>
      <c r="E239" s="28">
        <v>0.97802796000000003</v>
      </c>
      <c r="F239" s="13"/>
      <c r="G239" s="18">
        <v>20000000</v>
      </c>
      <c r="H239" s="18">
        <v>19560559.190000001</v>
      </c>
      <c r="I239" s="18">
        <v>20000000</v>
      </c>
      <c r="J239" s="18">
        <v>19560559.190000001</v>
      </c>
      <c r="K239" s="15">
        <v>13318410</v>
      </c>
      <c r="L239" s="13" t="s">
        <v>117</v>
      </c>
      <c r="M239" s="13" t="s">
        <v>118</v>
      </c>
      <c r="N239" s="145" t="s">
        <v>291</v>
      </c>
      <c r="O239" s="145" t="s">
        <v>291</v>
      </c>
      <c r="P239" s="28">
        <v>41</v>
      </c>
      <c r="Q239" s="13" t="s">
        <v>54</v>
      </c>
      <c r="R239" s="13" t="s">
        <v>28</v>
      </c>
      <c r="S239" s="13"/>
      <c r="T239" s="13"/>
      <c r="U239" s="13" t="s">
        <v>873</v>
      </c>
      <c r="V239" s="13" t="s">
        <v>873</v>
      </c>
      <c r="W239" s="60">
        <f>+J239/$W$2</f>
        <v>5.1553894020299007E-4</v>
      </c>
    </row>
    <row r="240" spans="1:29">
      <c r="A240" s="13" t="s">
        <v>323</v>
      </c>
      <c r="B240" s="13" t="s">
        <v>675</v>
      </c>
      <c r="C240" s="145">
        <v>46176</v>
      </c>
      <c r="D240" s="145" t="s">
        <v>469</v>
      </c>
      <c r="E240" s="28">
        <v>0.98065564000000005</v>
      </c>
      <c r="F240" s="13"/>
      <c r="G240" s="18">
        <v>50000000</v>
      </c>
      <c r="H240" s="18">
        <v>49032782.140000001</v>
      </c>
      <c r="I240" s="18">
        <v>50000000</v>
      </c>
      <c r="J240" s="18">
        <v>49032782.140000001</v>
      </c>
      <c r="K240" s="15">
        <v>4351</v>
      </c>
      <c r="L240" s="13" t="s">
        <v>117</v>
      </c>
      <c r="M240" s="13" t="s">
        <v>118</v>
      </c>
      <c r="N240" s="145" t="s">
        <v>304</v>
      </c>
      <c r="O240" s="145" t="s">
        <v>304</v>
      </c>
      <c r="P240" s="28">
        <v>36</v>
      </c>
      <c r="Q240" s="13" t="s">
        <v>54</v>
      </c>
      <c r="R240" s="13" t="s">
        <v>28</v>
      </c>
      <c r="S240" s="13"/>
      <c r="T240" s="13"/>
      <c r="U240" s="13" t="s">
        <v>659</v>
      </c>
      <c r="V240" s="13" t="s">
        <v>659</v>
      </c>
      <c r="W240" s="60">
        <f>+J240/$W$2</f>
        <v>1.2923101172170374E-3</v>
      </c>
      <c r="AC240" s="57"/>
    </row>
    <row r="241" spans="1:23">
      <c r="A241" s="13" t="s">
        <v>196</v>
      </c>
      <c r="B241" s="13" t="s">
        <v>675</v>
      </c>
      <c r="C241" s="145">
        <v>46176</v>
      </c>
      <c r="D241" s="145" t="s">
        <v>469</v>
      </c>
      <c r="E241" s="28">
        <v>0.98065559000000002</v>
      </c>
      <c r="F241" s="13"/>
      <c r="G241" s="18">
        <v>5000000</v>
      </c>
      <c r="H241" s="18">
        <v>4903277.9400000004</v>
      </c>
      <c r="I241" s="18">
        <v>5000000</v>
      </c>
      <c r="J241" s="18">
        <v>4903277.9400000004</v>
      </c>
      <c r="K241" s="15">
        <v>13420538</v>
      </c>
      <c r="L241" s="13" t="s">
        <v>117</v>
      </c>
      <c r="M241" s="13" t="s">
        <v>118</v>
      </c>
      <c r="N241" s="145" t="s">
        <v>442</v>
      </c>
      <c r="O241" s="145" t="s">
        <v>442</v>
      </c>
      <c r="P241" s="28">
        <v>36</v>
      </c>
      <c r="Q241" s="13" t="s">
        <v>54</v>
      </c>
      <c r="R241" s="13" t="s">
        <v>28</v>
      </c>
      <c r="S241" s="13"/>
      <c r="T241" s="13"/>
      <c r="U241" s="13" t="s">
        <v>991</v>
      </c>
      <c r="V241" s="13" t="s">
        <v>991</v>
      </c>
      <c r="W241" s="60">
        <f>+J241/$W$2</f>
        <v>1.2923100450014794E-4</v>
      </c>
    </row>
    <row r="242" spans="1:23">
      <c r="A242" s="13" t="s">
        <v>526</v>
      </c>
      <c r="B242" s="13" t="s">
        <v>675</v>
      </c>
      <c r="C242" s="145">
        <v>46176</v>
      </c>
      <c r="D242" s="145" t="s">
        <v>469</v>
      </c>
      <c r="E242" s="28">
        <v>0.97698079999999998</v>
      </c>
      <c r="F242" s="13"/>
      <c r="G242" s="18">
        <v>3500000</v>
      </c>
      <c r="H242" s="18">
        <v>3419432.79</v>
      </c>
      <c r="I242" s="18">
        <v>3500000</v>
      </c>
      <c r="J242" s="18">
        <v>3419432.79</v>
      </c>
      <c r="K242" s="15">
        <v>3162</v>
      </c>
      <c r="L242" s="13" t="s">
        <v>117</v>
      </c>
      <c r="M242" s="13" t="s">
        <v>118</v>
      </c>
      <c r="N242" s="145" t="s">
        <v>206</v>
      </c>
      <c r="O242" s="145" t="s">
        <v>206</v>
      </c>
      <c r="P242" s="28">
        <v>43</v>
      </c>
      <c r="Q242" s="13" t="s">
        <v>54</v>
      </c>
      <c r="R242" s="13" t="s">
        <v>28</v>
      </c>
      <c r="S242" s="13"/>
      <c r="T242" s="13"/>
      <c r="U242" s="13" t="s">
        <v>701</v>
      </c>
      <c r="V242" s="13" t="s">
        <v>701</v>
      </c>
      <c r="W242" s="60">
        <f>+J242/$W$2</f>
        <v>9.0122717838924603E-5</v>
      </c>
    </row>
    <row r="243" spans="1:23">
      <c r="A243" s="13" t="s">
        <v>406</v>
      </c>
      <c r="B243" s="13" t="s">
        <v>675</v>
      </c>
      <c r="C243" s="145">
        <v>46177</v>
      </c>
      <c r="D243" s="145" t="s">
        <v>469</v>
      </c>
      <c r="E243" s="28">
        <v>0.98414586000000004</v>
      </c>
      <c r="F243" s="13"/>
      <c r="G243" s="18">
        <v>8500000</v>
      </c>
      <c r="H243" s="18">
        <v>8365239.7800000003</v>
      </c>
      <c r="I243" s="18">
        <v>8500000</v>
      </c>
      <c r="J243" s="18">
        <v>8365239.7800000003</v>
      </c>
      <c r="K243" s="15">
        <v>14091</v>
      </c>
      <c r="L243" s="13" t="s">
        <v>117</v>
      </c>
      <c r="M243" s="13" t="s">
        <v>118</v>
      </c>
      <c r="N243" s="145" t="s">
        <v>291</v>
      </c>
      <c r="O243" s="145" t="s">
        <v>291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930</v>
      </c>
      <c r="V243" s="13" t="s">
        <v>930</v>
      </c>
      <c r="W243" s="60">
        <f>+J243/$W$2</f>
        <v>2.2047461981198574E-4</v>
      </c>
    </row>
    <row r="244" spans="1:23">
      <c r="A244" s="13" t="s">
        <v>406</v>
      </c>
      <c r="B244" s="13" t="s">
        <v>675</v>
      </c>
      <c r="C244" s="145">
        <v>46177</v>
      </c>
      <c r="D244" s="145" t="s">
        <v>469</v>
      </c>
      <c r="E244" s="28">
        <v>0.98026057</v>
      </c>
      <c r="F244" s="13"/>
      <c r="G244" s="18">
        <v>5000000</v>
      </c>
      <c r="H244" s="18">
        <v>4901302.83</v>
      </c>
      <c r="I244" s="18">
        <v>5000000</v>
      </c>
      <c r="J244" s="18">
        <v>4901302.83</v>
      </c>
      <c r="K244" s="15">
        <v>90000051</v>
      </c>
      <c r="L244" s="13" t="s">
        <v>117</v>
      </c>
      <c r="M244" s="13" t="s">
        <v>118</v>
      </c>
      <c r="N244" s="145" t="s">
        <v>304</v>
      </c>
      <c r="O244" s="145" t="s">
        <v>304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647</v>
      </c>
      <c r="V244" s="13" t="s">
        <v>647</v>
      </c>
      <c r="W244" s="60">
        <f>+J244/$W$2</f>
        <v>1.2917894841594843E-4</v>
      </c>
    </row>
    <row r="245" spans="1:23">
      <c r="A245" s="13" t="s">
        <v>957</v>
      </c>
      <c r="B245" s="13" t="s">
        <v>675</v>
      </c>
      <c r="C245" s="145">
        <v>46177</v>
      </c>
      <c r="D245" s="145" t="s">
        <v>469</v>
      </c>
      <c r="E245" s="28">
        <v>0.98358899</v>
      </c>
      <c r="F245" s="13"/>
      <c r="G245" s="18">
        <v>4000000</v>
      </c>
      <c r="H245" s="18">
        <v>3934355.97</v>
      </c>
      <c r="I245" s="18">
        <v>4000000</v>
      </c>
      <c r="J245" s="18">
        <v>3934355.97</v>
      </c>
      <c r="K245" s="15">
        <v>841</v>
      </c>
      <c r="L245" s="13" t="s">
        <v>117</v>
      </c>
      <c r="M245" s="13" t="s">
        <v>118</v>
      </c>
      <c r="N245" s="145" t="s">
        <v>461</v>
      </c>
      <c r="O245" s="145" t="s">
        <v>461</v>
      </c>
      <c r="P245" s="28">
        <v>29</v>
      </c>
      <c r="Q245" s="13" t="s">
        <v>54</v>
      </c>
      <c r="R245" s="13" t="s">
        <v>28</v>
      </c>
      <c r="S245" s="13"/>
      <c r="T245" s="13"/>
      <c r="U245" s="13" t="s">
        <v>1120</v>
      </c>
      <c r="V245" s="13" t="s">
        <v>1120</v>
      </c>
      <c r="W245" s="60">
        <f>+J245/$W$2</f>
        <v>1.0369405534132416E-4</v>
      </c>
    </row>
    <row r="246" spans="1:23">
      <c r="A246" s="13" t="s">
        <v>1330</v>
      </c>
      <c r="B246" s="13" t="s">
        <v>675</v>
      </c>
      <c r="C246" s="145">
        <v>46177</v>
      </c>
      <c r="D246" s="145" t="s">
        <v>469</v>
      </c>
      <c r="E246" s="28">
        <v>0.98358902000000004</v>
      </c>
      <c r="F246" s="13"/>
      <c r="G246" s="18">
        <v>45000000</v>
      </c>
      <c r="H246" s="18">
        <v>44261506.090000004</v>
      </c>
      <c r="I246" s="18">
        <v>45000000</v>
      </c>
      <c r="J246" s="18">
        <v>44261506.090000004</v>
      </c>
      <c r="K246" s="15">
        <v>147628</v>
      </c>
      <c r="L246" s="13" t="s">
        <v>117</v>
      </c>
      <c r="M246" s="13" t="s">
        <v>118</v>
      </c>
      <c r="N246" s="145" t="s">
        <v>216</v>
      </c>
      <c r="O246" s="145" t="s">
        <v>216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1621</v>
      </c>
      <c r="V246" s="13" t="s">
        <v>1621</v>
      </c>
      <c r="W246" s="60">
        <f>+J246/$W$2</f>
        <v>1.1665581602131484E-3</v>
      </c>
    </row>
    <row r="247" spans="1:23">
      <c r="A247" s="13" t="s">
        <v>1764</v>
      </c>
      <c r="B247" s="13" t="s">
        <v>675</v>
      </c>
      <c r="C247" s="145">
        <v>46177</v>
      </c>
      <c r="D247" s="145" t="s">
        <v>469</v>
      </c>
      <c r="E247" s="28">
        <v>0.98414590999999996</v>
      </c>
      <c r="F247" s="13"/>
      <c r="G247" s="18">
        <v>8700000</v>
      </c>
      <c r="H247" s="18">
        <v>8562069.3900000006</v>
      </c>
      <c r="I247" s="18">
        <v>8700000</v>
      </c>
      <c r="J247" s="18">
        <v>8562069.3900000006</v>
      </c>
      <c r="K247" s="15">
        <v>6034638</v>
      </c>
      <c r="L247" s="13" t="s">
        <v>117</v>
      </c>
      <c r="M247" s="13" t="s">
        <v>118</v>
      </c>
      <c r="N247" s="145" t="s">
        <v>462</v>
      </c>
      <c r="O247" s="145" t="s">
        <v>462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1717</v>
      </c>
      <c r="V247" s="13" t="s">
        <v>1717</v>
      </c>
      <c r="W247" s="60">
        <f>+J247/$W$2</f>
        <v>2.2566226948776008E-4</v>
      </c>
    </row>
    <row r="248" spans="1:23">
      <c r="A248" s="13" t="s">
        <v>780</v>
      </c>
      <c r="B248" s="13" t="s">
        <v>675</v>
      </c>
      <c r="C248" s="145">
        <v>46177</v>
      </c>
      <c r="D248" s="145" t="s">
        <v>469</v>
      </c>
      <c r="E248" s="28">
        <v>0.97695463999999999</v>
      </c>
      <c r="F248" s="13"/>
      <c r="G248" s="18">
        <v>10918371.689999999</v>
      </c>
      <c r="H248" s="18">
        <v>10666753.859999999</v>
      </c>
      <c r="I248" s="18">
        <v>10918371.689999999</v>
      </c>
      <c r="J248" s="18">
        <v>10666753.859999999</v>
      </c>
      <c r="K248" s="15">
        <v>30448</v>
      </c>
      <c r="L248" s="13" t="s">
        <v>117</v>
      </c>
      <c r="M248" s="13" t="s">
        <v>118</v>
      </c>
      <c r="N248" s="145" t="s">
        <v>291</v>
      </c>
      <c r="O248" s="145" t="s">
        <v>291</v>
      </c>
      <c r="P248" s="28">
        <v>41</v>
      </c>
      <c r="Q248" s="13" t="s">
        <v>54</v>
      </c>
      <c r="R248" s="13" t="s">
        <v>28</v>
      </c>
      <c r="S248" s="13"/>
      <c r="T248" s="13"/>
      <c r="U248" s="13" t="s">
        <v>892</v>
      </c>
      <c r="V248" s="13" t="s">
        <v>892</v>
      </c>
      <c r="W248" s="60">
        <f>+J248/$W$2</f>
        <v>2.8113342399750451E-4</v>
      </c>
    </row>
    <row r="249" spans="1:23">
      <c r="A249" s="13" t="s">
        <v>780</v>
      </c>
      <c r="B249" s="13" t="s">
        <v>675</v>
      </c>
      <c r="C249" s="145">
        <v>46177</v>
      </c>
      <c r="D249" s="145" t="s">
        <v>469</v>
      </c>
      <c r="E249" s="28">
        <v>0.97695463999999999</v>
      </c>
      <c r="F249" s="13"/>
      <c r="G249" s="18">
        <v>11171159.59</v>
      </c>
      <c r="H249" s="18">
        <v>10913716.18</v>
      </c>
      <c r="I249" s="18">
        <v>11171159.59</v>
      </c>
      <c r="J249" s="18">
        <v>10913716.18</v>
      </c>
      <c r="K249" s="15">
        <v>30371</v>
      </c>
      <c r="L249" s="13" t="s">
        <v>117</v>
      </c>
      <c r="M249" s="13" t="s">
        <v>118</v>
      </c>
      <c r="N249" s="145" t="s">
        <v>291</v>
      </c>
      <c r="O249" s="145" t="s">
        <v>291</v>
      </c>
      <c r="P249" s="28">
        <v>41</v>
      </c>
      <c r="Q249" s="13" t="s">
        <v>54</v>
      </c>
      <c r="R249" s="13" t="s">
        <v>28</v>
      </c>
      <c r="S249" s="13"/>
      <c r="T249" s="13"/>
      <c r="U249" s="13" t="s">
        <v>897</v>
      </c>
      <c r="V249" s="13" t="s">
        <v>897</v>
      </c>
      <c r="W249" s="60">
        <f>+J249/$W$2</f>
        <v>2.8764237353653206E-4</v>
      </c>
    </row>
    <row r="250" spans="1:23">
      <c r="A250" s="13" t="s">
        <v>550</v>
      </c>
      <c r="B250" s="13" t="s">
        <v>675</v>
      </c>
      <c r="C250" s="145">
        <v>46177</v>
      </c>
      <c r="D250" s="145" t="s">
        <v>469</v>
      </c>
      <c r="E250" s="28">
        <v>0.97695463999999999</v>
      </c>
      <c r="F250" s="13"/>
      <c r="G250" s="18">
        <v>20000000</v>
      </c>
      <c r="H250" s="18">
        <v>19539092.760000002</v>
      </c>
      <c r="I250" s="18">
        <v>20000000</v>
      </c>
      <c r="J250" s="18">
        <v>19539092.760000002</v>
      </c>
      <c r="K250" s="15">
        <v>13318411</v>
      </c>
      <c r="L250" s="13" t="s">
        <v>117</v>
      </c>
      <c r="M250" s="13" t="s">
        <v>118</v>
      </c>
      <c r="N250" s="145" t="s">
        <v>291</v>
      </c>
      <c r="O250" s="145" t="s">
        <v>291</v>
      </c>
      <c r="P250" s="28">
        <v>41</v>
      </c>
      <c r="Q250" s="13" t="s">
        <v>54</v>
      </c>
      <c r="R250" s="13" t="s">
        <v>28</v>
      </c>
      <c r="S250" s="13"/>
      <c r="T250" s="13"/>
      <c r="U250" s="13" t="s">
        <v>874</v>
      </c>
      <c r="V250" s="13" t="s">
        <v>874</v>
      </c>
      <c r="W250" s="60">
        <f>+J250/$W$2</f>
        <v>5.1497317004966039E-4</v>
      </c>
    </row>
    <row r="251" spans="1:23">
      <c r="A251" s="13" t="s">
        <v>267</v>
      </c>
      <c r="B251" s="13" t="s">
        <v>675</v>
      </c>
      <c r="C251" s="145">
        <v>46177</v>
      </c>
      <c r="D251" s="145" t="s">
        <v>469</v>
      </c>
      <c r="E251" s="28">
        <v>0.97750406999999995</v>
      </c>
      <c r="F251" s="13"/>
      <c r="G251" s="18">
        <v>7500000</v>
      </c>
      <c r="H251" s="18">
        <v>7331280.5599999996</v>
      </c>
      <c r="I251" s="18">
        <v>7500000</v>
      </c>
      <c r="J251" s="18">
        <v>7331280.5599999996</v>
      </c>
      <c r="K251" s="15">
        <v>210</v>
      </c>
      <c r="L251" s="13" t="s">
        <v>117</v>
      </c>
      <c r="M251" s="13" t="s">
        <v>118</v>
      </c>
      <c r="N251" s="145" t="s">
        <v>210</v>
      </c>
      <c r="O251" s="145" t="s">
        <v>210</v>
      </c>
      <c r="P251" s="28">
        <v>40</v>
      </c>
      <c r="Q251" s="13" t="s">
        <v>54</v>
      </c>
      <c r="R251" s="13" t="s">
        <v>28</v>
      </c>
      <c r="S251" s="13"/>
      <c r="T251" s="13"/>
      <c r="U251" s="13" t="s">
        <v>487</v>
      </c>
      <c r="V251" s="13" t="s">
        <v>487</v>
      </c>
      <c r="W251" s="60">
        <f>+J251/$W$2</f>
        <v>1.9322354609194498E-4</v>
      </c>
    </row>
    <row r="252" spans="1:23">
      <c r="A252" s="13" t="s">
        <v>526</v>
      </c>
      <c r="B252" s="13" t="s">
        <v>675</v>
      </c>
      <c r="C252" s="145">
        <v>46177</v>
      </c>
      <c r="D252" s="145" t="s">
        <v>469</v>
      </c>
      <c r="E252" s="28">
        <v>0.97585759000000005</v>
      </c>
      <c r="F252" s="13"/>
      <c r="G252" s="18">
        <v>3000000</v>
      </c>
      <c r="H252" s="18">
        <v>2927572.78</v>
      </c>
      <c r="I252" s="18">
        <v>3000000</v>
      </c>
      <c r="J252" s="18">
        <v>2927572.78</v>
      </c>
      <c r="K252" s="15">
        <v>3179</v>
      </c>
      <c r="L252" s="13" t="s">
        <v>117</v>
      </c>
      <c r="M252" s="13" t="s">
        <v>118</v>
      </c>
      <c r="N252" s="145" t="s">
        <v>206</v>
      </c>
      <c r="O252" s="145" t="s">
        <v>206</v>
      </c>
      <c r="P252" s="28">
        <v>43</v>
      </c>
      <c r="Q252" s="13" t="s">
        <v>54</v>
      </c>
      <c r="R252" s="13" t="s">
        <v>28</v>
      </c>
      <c r="S252" s="13"/>
      <c r="T252" s="13"/>
      <c r="U252" s="13" t="s">
        <v>698</v>
      </c>
      <c r="V252" s="13" t="s">
        <v>698</v>
      </c>
      <c r="W252" s="60">
        <f>+J252/$W$2</f>
        <v>7.7159234238043334E-5</v>
      </c>
    </row>
    <row r="253" spans="1:23">
      <c r="A253" s="13" t="s">
        <v>734</v>
      </c>
      <c r="B253" s="13" t="s">
        <v>675</v>
      </c>
      <c r="C253" s="145">
        <v>46178</v>
      </c>
      <c r="D253" s="145" t="s">
        <v>469</v>
      </c>
      <c r="E253" s="28">
        <v>0.97302202999999998</v>
      </c>
      <c r="F253" s="13"/>
      <c r="G253" s="18">
        <v>20000000</v>
      </c>
      <c r="H253" s="18">
        <v>19460440.620000001</v>
      </c>
      <c r="I253" s="18">
        <v>20000000</v>
      </c>
      <c r="J253" s="18">
        <v>19460440.620000001</v>
      </c>
      <c r="K253" s="15">
        <v>70219518</v>
      </c>
      <c r="L253" s="13" t="s">
        <v>117</v>
      </c>
      <c r="M253" s="13" t="s">
        <v>118</v>
      </c>
      <c r="N253" s="145" t="s">
        <v>425</v>
      </c>
      <c r="O253" s="145" t="s">
        <v>425</v>
      </c>
      <c r="P253" s="28">
        <v>46</v>
      </c>
      <c r="Q253" s="13" t="s">
        <v>54</v>
      </c>
      <c r="R253" s="13" t="s">
        <v>28</v>
      </c>
      <c r="S253" s="13"/>
      <c r="T253" s="13"/>
      <c r="U253" s="13" t="s">
        <v>978</v>
      </c>
      <c r="V253" s="13" t="s">
        <v>978</v>
      </c>
      <c r="W253" s="60">
        <f>+J253/$W$2</f>
        <v>5.129002108614063E-4</v>
      </c>
    </row>
    <row r="254" spans="1:23">
      <c r="A254" s="13" t="s">
        <v>939</v>
      </c>
      <c r="B254" s="13" t="s">
        <v>675</v>
      </c>
      <c r="C254" s="145">
        <v>46178</v>
      </c>
      <c r="D254" s="145" t="s">
        <v>469</v>
      </c>
      <c r="E254" s="28">
        <v>0.97588366999999998</v>
      </c>
      <c r="F254" s="13"/>
      <c r="G254" s="18">
        <v>2000000</v>
      </c>
      <c r="H254" s="18">
        <v>1951767.34</v>
      </c>
      <c r="I254" s="18">
        <v>2000000</v>
      </c>
      <c r="J254" s="18">
        <v>1951767.34</v>
      </c>
      <c r="K254" s="15">
        <v>12384440</v>
      </c>
      <c r="L254" s="13" t="s">
        <v>117</v>
      </c>
      <c r="M254" s="13" t="s">
        <v>118</v>
      </c>
      <c r="N254" s="145" t="s">
        <v>291</v>
      </c>
      <c r="O254" s="145" t="s">
        <v>291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907</v>
      </c>
      <c r="V254" s="13" t="s">
        <v>907</v>
      </c>
      <c r="W254" s="60">
        <f>+J254/$W$2</f>
        <v>5.1440864047527722E-5</v>
      </c>
    </row>
    <row r="255" spans="1:23">
      <c r="A255" s="13" t="s">
        <v>265</v>
      </c>
      <c r="B255" s="13" t="s">
        <v>675</v>
      </c>
      <c r="C255" s="145">
        <v>46178</v>
      </c>
      <c r="D255" s="145" t="s">
        <v>469</v>
      </c>
      <c r="E255" s="28">
        <v>0.97876224000000001</v>
      </c>
      <c r="F255" s="13"/>
      <c r="G255" s="18">
        <v>34135700.630000003</v>
      </c>
      <c r="H255" s="18">
        <v>33410734.760000002</v>
      </c>
      <c r="I255" s="18">
        <v>34135700.630000003</v>
      </c>
      <c r="J255" s="18">
        <v>33410734.760000002</v>
      </c>
      <c r="K255" s="15">
        <v>535159</v>
      </c>
      <c r="L255" s="13" t="s">
        <v>117</v>
      </c>
      <c r="M255" s="13" t="s">
        <v>118</v>
      </c>
      <c r="N255" s="145" t="s">
        <v>308</v>
      </c>
      <c r="O255" s="145" t="s">
        <v>308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431</v>
      </c>
      <c r="V255" s="13" t="s">
        <v>431</v>
      </c>
      <c r="W255" s="60">
        <f>+J255/$W$2</f>
        <v>8.8057476385334371E-4</v>
      </c>
    </row>
    <row r="256" spans="1:23">
      <c r="A256" s="13" t="s">
        <v>265</v>
      </c>
      <c r="B256" s="13" t="s">
        <v>675</v>
      </c>
      <c r="C256" s="145">
        <v>46178</v>
      </c>
      <c r="D256" s="145" t="s">
        <v>469</v>
      </c>
      <c r="E256" s="28">
        <v>0.97876224000000001</v>
      </c>
      <c r="F256" s="13"/>
      <c r="G256" s="18">
        <v>40810395.880000003</v>
      </c>
      <c r="H256" s="18">
        <v>39943674.43</v>
      </c>
      <c r="I256" s="18">
        <v>40810395.880000003</v>
      </c>
      <c r="J256" s="18">
        <v>39943674.43</v>
      </c>
      <c r="K256" s="15">
        <v>535154</v>
      </c>
      <c r="L256" s="13" t="s">
        <v>117</v>
      </c>
      <c r="M256" s="13" t="s">
        <v>118</v>
      </c>
      <c r="N256" s="145" t="s">
        <v>308</v>
      </c>
      <c r="O256" s="145" t="s">
        <v>308</v>
      </c>
      <c r="P256" s="28">
        <v>36</v>
      </c>
      <c r="Q256" s="13" t="s">
        <v>54</v>
      </c>
      <c r="R256" s="13" t="s">
        <v>28</v>
      </c>
      <c r="S256" s="13"/>
      <c r="T256" s="13"/>
      <c r="U256" s="13" t="s">
        <v>432</v>
      </c>
      <c r="V256" s="13" t="s">
        <v>432</v>
      </c>
      <c r="W256" s="60">
        <f>+J256/$W$2</f>
        <v>1.0527572030754133E-3</v>
      </c>
    </row>
    <row r="257" spans="1:29">
      <c r="A257" s="13" t="s">
        <v>265</v>
      </c>
      <c r="B257" s="13" t="s">
        <v>675</v>
      </c>
      <c r="C257" s="145">
        <v>46178</v>
      </c>
      <c r="D257" s="145" t="s">
        <v>469</v>
      </c>
      <c r="E257" s="28">
        <v>0.97876224000000001</v>
      </c>
      <c r="F257" s="13"/>
      <c r="G257" s="18">
        <v>41096650.579999998</v>
      </c>
      <c r="H257" s="18">
        <v>40223849.719999999</v>
      </c>
      <c r="I257" s="18">
        <v>41096650.579999998</v>
      </c>
      <c r="J257" s="18">
        <v>40223849.719999999</v>
      </c>
      <c r="K257" s="15">
        <v>535195</v>
      </c>
      <c r="L257" s="13" t="s">
        <v>117</v>
      </c>
      <c r="M257" s="13" t="s">
        <v>118</v>
      </c>
      <c r="N257" s="145" t="s">
        <v>308</v>
      </c>
      <c r="O257" s="145" t="s">
        <v>308</v>
      </c>
      <c r="P257" s="28">
        <v>36</v>
      </c>
      <c r="Q257" s="13" t="s">
        <v>54</v>
      </c>
      <c r="R257" s="13" t="s">
        <v>28</v>
      </c>
      <c r="S257" s="13"/>
      <c r="T257" s="13"/>
      <c r="U257" s="13" t="s">
        <v>433</v>
      </c>
      <c r="V257" s="13" t="s">
        <v>433</v>
      </c>
      <c r="W257" s="60">
        <f>+J257/$W$2</f>
        <v>1.0601415150817647E-3</v>
      </c>
    </row>
    <row r="258" spans="1:29">
      <c r="A258" s="13" t="s">
        <v>265</v>
      </c>
      <c r="B258" s="13" t="s">
        <v>675</v>
      </c>
      <c r="C258" s="145">
        <v>46178</v>
      </c>
      <c r="D258" s="145" t="s">
        <v>469</v>
      </c>
      <c r="E258" s="28">
        <v>0.97876224000000001</v>
      </c>
      <c r="F258" s="13"/>
      <c r="G258" s="18">
        <v>23922046.510000002</v>
      </c>
      <c r="H258" s="18">
        <v>23413995.789999999</v>
      </c>
      <c r="I258" s="18">
        <v>23922046.510000002</v>
      </c>
      <c r="J258" s="18">
        <v>23413995.789999999</v>
      </c>
      <c r="K258" s="15">
        <v>535167</v>
      </c>
      <c r="L258" s="13" t="s">
        <v>117</v>
      </c>
      <c r="M258" s="13" t="s">
        <v>118</v>
      </c>
      <c r="N258" s="145" t="s">
        <v>308</v>
      </c>
      <c r="O258" s="145" t="s">
        <v>308</v>
      </c>
      <c r="P258" s="28">
        <v>36</v>
      </c>
      <c r="Q258" s="13" t="s">
        <v>54</v>
      </c>
      <c r="R258" s="13" t="s">
        <v>28</v>
      </c>
      <c r="S258" s="13"/>
      <c r="T258" s="13"/>
      <c r="U258" s="13" t="s">
        <v>434</v>
      </c>
      <c r="V258" s="13" t="s">
        <v>434</v>
      </c>
      <c r="W258" s="60">
        <f>+J258/$W$2</f>
        <v>6.1710028114456323E-4</v>
      </c>
      <c r="AC258" s="57"/>
    </row>
    <row r="259" spans="1:29">
      <c r="A259" s="13" t="s">
        <v>265</v>
      </c>
      <c r="B259" s="13" t="s">
        <v>675</v>
      </c>
      <c r="C259" s="145">
        <v>46178</v>
      </c>
      <c r="D259" s="145" t="s">
        <v>469</v>
      </c>
      <c r="E259" s="28">
        <v>0.97876224000000001</v>
      </c>
      <c r="F259" s="13"/>
      <c r="G259" s="18">
        <v>12430325.390000001</v>
      </c>
      <c r="H259" s="18">
        <v>12166333.1</v>
      </c>
      <c r="I259" s="18">
        <v>12430325.390000001</v>
      </c>
      <c r="J259" s="18">
        <v>12166333.1</v>
      </c>
      <c r="K259" s="15">
        <v>535182</v>
      </c>
      <c r="L259" s="13" t="s">
        <v>117</v>
      </c>
      <c r="M259" s="13" t="s">
        <v>118</v>
      </c>
      <c r="N259" s="145" t="s">
        <v>308</v>
      </c>
      <c r="O259" s="145" t="s">
        <v>308</v>
      </c>
      <c r="P259" s="28">
        <v>36</v>
      </c>
      <c r="Q259" s="13" t="s">
        <v>54</v>
      </c>
      <c r="R259" s="13" t="s">
        <v>28</v>
      </c>
      <c r="S259" s="13"/>
      <c r="T259" s="13"/>
      <c r="U259" s="13" t="s">
        <v>435</v>
      </c>
      <c r="V259" s="13" t="s">
        <v>435</v>
      </c>
      <c r="W259" s="60">
        <f>+J259/$W$2</f>
        <v>3.2065639901220831E-4</v>
      </c>
    </row>
    <row r="260" spans="1:29">
      <c r="A260" s="13" t="s">
        <v>265</v>
      </c>
      <c r="B260" s="13" t="s">
        <v>675</v>
      </c>
      <c r="C260" s="145">
        <v>46178</v>
      </c>
      <c r="D260" s="145" t="s">
        <v>469</v>
      </c>
      <c r="E260" s="28">
        <v>0.97876224000000001</v>
      </c>
      <c r="F260" s="13"/>
      <c r="G260" s="18">
        <v>15602439.939999999</v>
      </c>
      <c r="H260" s="18">
        <v>15271079.039999999</v>
      </c>
      <c r="I260" s="18">
        <v>15602439.939999999</v>
      </c>
      <c r="J260" s="18">
        <v>15271079.039999999</v>
      </c>
      <c r="K260" s="15">
        <v>535170</v>
      </c>
      <c r="L260" s="13" t="s">
        <v>117</v>
      </c>
      <c r="M260" s="13" t="s">
        <v>118</v>
      </c>
      <c r="N260" s="145" t="s">
        <v>308</v>
      </c>
      <c r="O260" s="145" t="s">
        <v>308</v>
      </c>
      <c r="P260" s="28">
        <v>36</v>
      </c>
      <c r="Q260" s="13" t="s">
        <v>54</v>
      </c>
      <c r="R260" s="13" t="s">
        <v>28</v>
      </c>
      <c r="S260" s="13"/>
      <c r="T260" s="13"/>
      <c r="U260" s="13" t="s">
        <v>436</v>
      </c>
      <c r="V260" s="13" t="s">
        <v>436</v>
      </c>
      <c r="W260" s="60">
        <f>+J260/$W$2</f>
        <v>4.02485216683506E-4</v>
      </c>
    </row>
    <row r="261" spans="1:29">
      <c r="A261" s="13" t="s">
        <v>265</v>
      </c>
      <c r="B261" s="13" t="s">
        <v>675</v>
      </c>
      <c r="C261" s="145">
        <v>46178</v>
      </c>
      <c r="D261" s="145" t="s">
        <v>469</v>
      </c>
      <c r="E261" s="28">
        <v>0.97876224000000001</v>
      </c>
      <c r="F261" s="13"/>
      <c r="G261" s="18">
        <v>13748562.060000001</v>
      </c>
      <c r="H261" s="18">
        <v>13456573.390000001</v>
      </c>
      <c r="I261" s="18">
        <v>13748562.060000001</v>
      </c>
      <c r="J261" s="18">
        <v>13456573.390000001</v>
      </c>
      <c r="K261" s="15">
        <v>535175</v>
      </c>
      <c r="L261" s="13" t="s">
        <v>117</v>
      </c>
      <c r="M261" s="13" t="s">
        <v>118</v>
      </c>
      <c r="N261" s="145" t="s">
        <v>308</v>
      </c>
      <c r="O261" s="145" t="s">
        <v>308</v>
      </c>
      <c r="P261" s="28">
        <v>36</v>
      </c>
      <c r="Q261" s="13" t="s">
        <v>54</v>
      </c>
      <c r="R261" s="13" t="s">
        <v>28</v>
      </c>
      <c r="S261" s="13"/>
      <c r="T261" s="13"/>
      <c r="U261" s="13" t="s">
        <v>437</v>
      </c>
      <c r="V261" s="13" t="s">
        <v>437</v>
      </c>
      <c r="W261" s="60">
        <f>+J261/$W$2</f>
        <v>3.5466202764750088E-4</v>
      </c>
    </row>
    <row r="262" spans="1:29">
      <c r="A262" s="13" t="s">
        <v>265</v>
      </c>
      <c r="B262" s="13" t="s">
        <v>675</v>
      </c>
      <c r="C262" s="145">
        <v>46178</v>
      </c>
      <c r="D262" s="145" t="s">
        <v>469</v>
      </c>
      <c r="E262" s="28">
        <v>0.97876224000000001</v>
      </c>
      <c r="F262" s="13"/>
      <c r="G262" s="18">
        <v>36521375.57</v>
      </c>
      <c r="H262" s="18">
        <v>35745743.310000002</v>
      </c>
      <c r="I262" s="18">
        <v>36521375.57</v>
      </c>
      <c r="J262" s="18">
        <v>35745743.310000002</v>
      </c>
      <c r="K262" s="15">
        <v>535187</v>
      </c>
      <c r="L262" s="13" t="s">
        <v>117</v>
      </c>
      <c r="M262" s="13" t="s">
        <v>118</v>
      </c>
      <c r="N262" s="145" t="s">
        <v>308</v>
      </c>
      <c r="O262" s="145" t="s">
        <v>308</v>
      </c>
      <c r="P262" s="28">
        <v>36</v>
      </c>
      <c r="Q262" s="13" t="s">
        <v>54</v>
      </c>
      <c r="R262" s="13" t="s">
        <v>28</v>
      </c>
      <c r="S262" s="13"/>
      <c r="T262" s="13"/>
      <c r="U262" s="13" t="s">
        <v>438</v>
      </c>
      <c r="V262" s="13" t="s">
        <v>438</v>
      </c>
      <c r="W262" s="60">
        <f>+J262/$W$2</f>
        <v>9.421163497323066E-4</v>
      </c>
    </row>
    <row r="263" spans="1:29">
      <c r="A263" s="13" t="s">
        <v>265</v>
      </c>
      <c r="B263" s="13" t="s">
        <v>675</v>
      </c>
      <c r="C263" s="145">
        <v>46178</v>
      </c>
      <c r="D263" s="145" t="s">
        <v>469</v>
      </c>
      <c r="E263" s="28">
        <v>0.97876224000000001</v>
      </c>
      <c r="F263" s="13"/>
      <c r="G263" s="18">
        <v>18406614.07</v>
      </c>
      <c r="H263" s="18">
        <v>18015698.789999999</v>
      </c>
      <c r="I263" s="18">
        <v>18406614.07</v>
      </c>
      <c r="J263" s="18">
        <v>18015698.789999999</v>
      </c>
      <c r="K263" s="15">
        <v>535178</v>
      </c>
      <c r="L263" s="13" t="s">
        <v>117</v>
      </c>
      <c r="M263" s="13" t="s">
        <v>118</v>
      </c>
      <c r="N263" s="145" t="s">
        <v>308</v>
      </c>
      <c r="O263" s="145" t="s">
        <v>308</v>
      </c>
      <c r="P263" s="28">
        <v>36</v>
      </c>
      <c r="Q263" s="13" t="s">
        <v>54</v>
      </c>
      <c r="R263" s="13" t="s">
        <v>28</v>
      </c>
      <c r="S263" s="13"/>
      <c r="T263" s="13"/>
      <c r="U263" s="13" t="s">
        <v>439</v>
      </c>
      <c r="V263" s="13" t="s">
        <v>439</v>
      </c>
      <c r="W263" s="60">
        <f>+J263/$W$2</f>
        <v>4.7482253298571932E-4</v>
      </c>
      <c r="AC263" s="57"/>
    </row>
    <row r="264" spans="1:29">
      <c r="A264" s="13" t="s">
        <v>265</v>
      </c>
      <c r="B264" s="13" t="s">
        <v>675</v>
      </c>
      <c r="C264" s="145">
        <v>46178</v>
      </c>
      <c r="D264" s="145" t="s">
        <v>469</v>
      </c>
      <c r="E264" s="28">
        <v>0.97876222999999996</v>
      </c>
      <c r="F264" s="13"/>
      <c r="G264" s="18">
        <v>2726842.54</v>
      </c>
      <c r="H264" s="18">
        <v>2668930.4900000002</v>
      </c>
      <c r="I264" s="18">
        <v>2726842.54</v>
      </c>
      <c r="J264" s="18">
        <v>2668930.4900000002</v>
      </c>
      <c r="K264" s="15">
        <v>535203</v>
      </c>
      <c r="L264" s="13" t="s">
        <v>117</v>
      </c>
      <c r="M264" s="13" t="s">
        <v>118</v>
      </c>
      <c r="N264" s="145" t="s">
        <v>308</v>
      </c>
      <c r="O264" s="145" t="s">
        <v>308</v>
      </c>
      <c r="P264" s="28">
        <v>36</v>
      </c>
      <c r="Q264" s="13" t="s">
        <v>54</v>
      </c>
      <c r="R264" s="13" t="s">
        <v>28</v>
      </c>
      <c r="S264" s="13"/>
      <c r="T264" s="13"/>
      <c r="U264" s="13" t="s">
        <v>440</v>
      </c>
      <c r="V264" s="13" t="s">
        <v>440</v>
      </c>
      <c r="W264" s="60">
        <f>+J264/$W$2</f>
        <v>7.0342446906807837E-5</v>
      </c>
    </row>
    <row r="265" spans="1:29">
      <c r="A265" s="13" t="s">
        <v>483</v>
      </c>
      <c r="B265" s="13" t="s">
        <v>675</v>
      </c>
      <c r="C265" s="145">
        <v>46178</v>
      </c>
      <c r="D265" s="145" t="s">
        <v>469</v>
      </c>
      <c r="E265" s="28">
        <v>0.97302200000000005</v>
      </c>
      <c r="F265" s="13"/>
      <c r="G265" s="18">
        <v>20000000</v>
      </c>
      <c r="H265" s="18">
        <v>19460440.059999999</v>
      </c>
      <c r="I265" s="18">
        <v>20000000</v>
      </c>
      <c r="J265" s="18">
        <v>19460440.059999999</v>
      </c>
      <c r="K265" s="15">
        <v>1606</v>
      </c>
      <c r="L265" s="13" t="s">
        <v>117</v>
      </c>
      <c r="M265" s="13" t="s">
        <v>118</v>
      </c>
      <c r="N265" s="145" t="s">
        <v>283</v>
      </c>
      <c r="O265" s="145" t="s">
        <v>283</v>
      </c>
      <c r="P265" s="28">
        <v>46</v>
      </c>
      <c r="Q265" s="13" t="s">
        <v>54</v>
      </c>
      <c r="R265" s="13" t="s">
        <v>28</v>
      </c>
      <c r="S265" s="13"/>
      <c r="T265" s="13"/>
      <c r="U265" s="13" t="s">
        <v>477</v>
      </c>
      <c r="V265" s="13" t="s">
        <v>477</v>
      </c>
      <c r="W265" s="60">
        <f>+J265/$W$2</f>
        <v>5.1290019610202215E-4</v>
      </c>
    </row>
    <row r="266" spans="1:29">
      <c r="A266" s="13" t="s">
        <v>327</v>
      </c>
      <c r="B266" s="13" t="s">
        <v>675</v>
      </c>
      <c r="C266" s="145">
        <v>46178</v>
      </c>
      <c r="D266" s="145" t="s">
        <v>469</v>
      </c>
      <c r="E266" s="28">
        <v>0.97876222000000002</v>
      </c>
      <c r="F266" s="13"/>
      <c r="G266" s="18">
        <v>25000000</v>
      </c>
      <c r="H266" s="18">
        <v>24469055.390000001</v>
      </c>
      <c r="I266" s="18">
        <v>25000000</v>
      </c>
      <c r="J266" s="18">
        <v>24469055.390000001</v>
      </c>
      <c r="K266" s="15">
        <v>1169938</v>
      </c>
      <c r="L266" s="13" t="s">
        <v>117</v>
      </c>
      <c r="M266" s="13" t="s">
        <v>118</v>
      </c>
      <c r="N266" s="145" t="s">
        <v>385</v>
      </c>
      <c r="O266" s="145" t="s">
        <v>385</v>
      </c>
      <c r="P266" s="28">
        <v>36</v>
      </c>
      <c r="Q266" s="13" t="s">
        <v>54</v>
      </c>
      <c r="R266" s="13" t="s">
        <v>28</v>
      </c>
      <c r="S266" s="13"/>
      <c r="T266" s="13"/>
      <c r="U266" s="13" t="s">
        <v>963</v>
      </c>
      <c r="V266" s="13" t="s">
        <v>963</v>
      </c>
      <c r="W266" s="60">
        <f>+J266/$W$2</f>
        <v>6.4490747738837331E-4</v>
      </c>
      <c r="AC266" s="57"/>
    </row>
    <row r="267" spans="1:29">
      <c r="A267" s="13" t="s">
        <v>780</v>
      </c>
      <c r="B267" s="13" t="s">
        <v>675</v>
      </c>
      <c r="C267" s="145">
        <v>46178</v>
      </c>
      <c r="D267" s="145" t="s">
        <v>469</v>
      </c>
      <c r="E267" s="28">
        <v>0.97588366999999998</v>
      </c>
      <c r="F267" s="13"/>
      <c r="G267" s="18">
        <v>11171159.439999999</v>
      </c>
      <c r="H267" s="18">
        <v>10901752.039999999</v>
      </c>
      <c r="I267" s="18">
        <v>11171159.439999999</v>
      </c>
      <c r="J267" s="18">
        <v>10901752.039999999</v>
      </c>
      <c r="K267" s="15">
        <v>30372</v>
      </c>
      <c r="L267" s="13" t="s">
        <v>117</v>
      </c>
      <c r="M267" s="13" t="s">
        <v>118</v>
      </c>
      <c r="N267" s="145" t="s">
        <v>291</v>
      </c>
      <c r="O267" s="145" t="s">
        <v>291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893</v>
      </c>
      <c r="V267" s="13" t="s">
        <v>893</v>
      </c>
      <c r="W267" s="60">
        <f>+J267/$W$2</f>
        <v>2.8732704614756898E-4</v>
      </c>
    </row>
    <row r="268" spans="1:29">
      <c r="A268" s="13" t="s">
        <v>780</v>
      </c>
      <c r="B268" s="13" t="s">
        <v>675</v>
      </c>
      <c r="C268" s="145">
        <v>46178</v>
      </c>
      <c r="D268" s="145" t="s">
        <v>469</v>
      </c>
      <c r="E268" s="28">
        <v>0.97588366999999998</v>
      </c>
      <c r="F268" s="13"/>
      <c r="G268" s="18">
        <v>10918371.689999999</v>
      </c>
      <c r="H268" s="18">
        <v>10655060.609999999</v>
      </c>
      <c r="I268" s="18">
        <v>10918371.689999999</v>
      </c>
      <c r="J268" s="18">
        <v>10655060.609999999</v>
      </c>
      <c r="K268" s="15">
        <v>30449</v>
      </c>
      <c r="L268" s="13" t="s">
        <v>117</v>
      </c>
      <c r="M268" s="13" t="s">
        <v>118</v>
      </c>
      <c r="N268" s="145" t="s">
        <v>291</v>
      </c>
      <c r="O268" s="145" t="s">
        <v>291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894</v>
      </c>
      <c r="V268" s="13" t="s">
        <v>894</v>
      </c>
      <c r="W268" s="60">
        <f>+J268/$W$2</f>
        <v>2.8082523619704473E-4</v>
      </c>
    </row>
    <row r="269" spans="1:29">
      <c r="A269" s="13" t="s">
        <v>780</v>
      </c>
      <c r="B269" s="13" t="s">
        <v>675</v>
      </c>
      <c r="C269" s="145">
        <v>46178</v>
      </c>
      <c r="D269" s="145" t="s">
        <v>469</v>
      </c>
      <c r="E269" s="28">
        <v>0.97588366999999998</v>
      </c>
      <c r="F269" s="13"/>
      <c r="G269" s="18">
        <v>13296076.9</v>
      </c>
      <c r="H269" s="18">
        <v>12975424.289999999</v>
      </c>
      <c r="I269" s="18">
        <v>13296076.9</v>
      </c>
      <c r="J269" s="18">
        <v>12975424.289999999</v>
      </c>
      <c r="K269" s="15">
        <v>30429</v>
      </c>
      <c r="L269" s="13" t="s">
        <v>117</v>
      </c>
      <c r="M269" s="13" t="s">
        <v>118</v>
      </c>
      <c r="N269" s="145" t="s">
        <v>291</v>
      </c>
      <c r="O269" s="145" t="s">
        <v>291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901</v>
      </c>
      <c r="V269" s="13" t="s">
        <v>901</v>
      </c>
      <c r="W269" s="60">
        <f>+J269/$W$2</f>
        <v>3.4198084125174408E-4</v>
      </c>
    </row>
    <row r="270" spans="1:29">
      <c r="A270" s="13" t="s">
        <v>550</v>
      </c>
      <c r="B270" s="13" t="s">
        <v>675</v>
      </c>
      <c r="C270" s="145">
        <v>46178</v>
      </c>
      <c r="D270" s="145" t="s">
        <v>469</v>
      </c>
      <c r="E270" s="28">
        <v>0.97588366999999998</v>
      </c>
      <c r="F270" s="13"/>
      <c r="G270" s="18">
        <v>20000000</v>
      </c>
      <c r="H270" s="18">
        <v>19517673.359999999</v>
      </c>
      <c r="I270" s="18">
        <v>20000000</v>
      </c>
      <c r="J270" s="18">
        <v>19517673.359999999</v>
      </c>
      <c r="K270" s="15">
        <v>13318412</v>
      </c>
      <c r="L270" s="13" t="s">
        <v>117</v>
      </c>
      <c r="M270" s="13" t="s">
        <v>118</v>
      </c>
      <c r="N270" s="145" t="s">
        <v>291</v>
      </c>
      <c r="O270" s="145" t="s">
        <v>291</v>
      </c>
      <c r="P270" s="28">
        <v>41</v>
      </c>
      <c r="Q270" s="13" t="s">
        <v>54</v>
      </c>
      <c r="R270" s="13" t="s">
        <v>28</v>
      </c>
      <c r="S270" s="13"/>
      <c r="T270" s="13"/>
      <c r="U270" s="13" t="s">
        <v>866</v>
      </c>
      <c r="V270" s="13" t="s">
        <v>866</v>
      </c>
      <c r="W270" s="60">
        <f>+J270/$W$2</f>
        <v>5.1440863942103549E-4</v>
      </c>
    </row>
    <row r="271" spans="1:29">
      <c r="A271" s="13" t="s">
        <v>526</v>
      </c>
      <c r="B271" s="13" t="s">
        <v>675</v>
      </c>
      <c r="C271" s="145">
        <v>46178</v>
      </c>
      <c r="D271" s="145" t="s">
        <v>469</v>
      </c>
      <c r="E271" s="28">
        <v>0.97473697000000004</v>
      </c>
      <c r="F271" s="13"/>
      <c r="G271" s="18">
        <v>3000000</v>
      </c>
      <c r="H271" s="18">
        <v>2924210.9</v>
      </c>
      <c r="I271" s="18">
        <v>3000000</v>
      </c>
      <c r="J271" s="18">
        <v>2924210.9</v>
      </c>
      <c r="K271" s="15">
        <v>3180</v>
      </c>
      <c r="L271" s="13" t="s">
        <v>117</v>
      </c>
      <c r="M271" s="13" t="s">
        <v>118</v>
      </c>
      <c r="N271" s="145" t="s">
        <v>206</v>
      </c>
      <c r="O271" s="145" t="s">
        <v>206</v>
      </c>
      <c r="P271" s="28">
        <v>43</v>
      </c>
      <c r="Q271" s="13" t="s">
        <v>54</v>
      </c>
      <c r="R271" s="13" t="s">
        <v>28</v>
      </c>
      <c r="S271" s="13"/>
      <c r="T271" s="13"/>
      <c r="U271" s="13" t="s">
        <v>699</v>
      </c>
      <c r="V271" s="13" t="s">
        <v>699</v>
      </c>
      <c r="W271" s="60">
        <f>+J271/$W$2</f>
        <v>7.7070628384015631E-5</v>
      </c>
    </row>
    <row r="272" spans="1:29">
      <c r="A272" s="13" t="s">
        <v>734</v>
      </c>
      <c r="B272" s="13" t="s">
        <v>675</v>
      </c>
      <c r="C272" s="145">
        <v>46181</v>
      </c>
      <c r="D272" s="145" t="s">
        <v>469</v>
      </c>
      <c r="E272" s="28">
        <v>0.96945561000000002</v>
      </c>
      <c r="F272" s="13"/>
      <c r="G272" s="18">
        <v>20000000</v>
      </c>
      <c r="H272" s="18">
        <v>19389112.25</v>
      </c>
      <c r="I272" s="18">
        <v>20000000</v>
      </c>
      <c r="J272" s="18">
        <v>19389112.25</v>
      </c>
      <c r="K272" s="15">
        <v>70219521</v>
      </c>
      <c r="L272" s="13" t="s">
        <v>117</v>
      </c>
      <c r="M272" s="13" t="s">
        <v>118</v>
      </c>
      <c r="N272" s="145" t="s">
        <v>425</v>
      </c>
      <c r="O272" s="145" t="s">
        <v>425</v>
      </c>
      <c r="P272" s="28">
        <v>46</v>
      </c>
      <c r="Q272" s="13" t="s">
        <v>54</v>
      </c>
      <c r="R272" s="13" t="s">
        <v>28</v>
      </c>
      <c r="S272" s="13"/>
      <c r="T272" s="13"/>
      <c r="U272" s="13" t="s">
        <v>973</v>
      </c>
      <c r="V272" s="13" t="s">
        <v>973</v>
      </c>
      <c r="W272" s="60">
        <f>+J272/$W$2</f>
        <v>5.1102027727060149E-4</v>
      </c>
    </row>
    <row r="273" spans="1:29">
      <c r="A273" s="13" t="s">
        <v>734</v>
      </c>
      <c r="B273" s="13" t="s">
        <v>675</v>
      </c>
      <c r="C273" s="145">
        <v>46181</v>
      </c>
      <c r="D273" s="145" t="s">
        <v>469</v>
      </c>
      <c r="E273" s="28">
        <v>0.96945561000000002</v>
      </c>
      <c r="F273" s="13"/>
      <c r="G273" s="18">
        <v>20000000</v>
      </c>
      <c r="H273" s="18">
        <v>19389112.25</v>
      </c>
      <c r="I273" s="18">
        <v>20000000</v>
      </c>
      <c r="J273" s="18">
        <v>19389112.25</v>
      </c>
      <c r="K273" s="15">
        <v>70219520</v>
      </c>
      <c r="L273" s="13" t="s">
        <v>117</v>
      </c>
      <c r="M273" s="13" t="s">
        <v>118</v>
      </c>
      <c r="N273" s="145" t="s">
        <v>425</v>
      </c>
      <c r="O273" s="145" t="s">
        <v>425</v>
      </c>
      <c r="P273" s="28">
        <v>46</v>
      </c>
      <c r="Q273" s="13" t="s">
        <v>54</v>
      </c>
      <c r="R273" s="13" t="s">
        <v>28</v>
      </c>
      <c r="S273" s="13"/>
      <c r="T273" s="13"/>
      <c r="U273" s="13" t="s">
        <v>974</v>
      </c>
      <c r="V273" s="13" t="s">
        <v>974</v>
      </c>
      <c r="W273" s="60">
        <f>+J273/$W$2</f>
        <v>5.1102027727060149E-4</v>
      </c>
    </row>
    <row r="274" spans="1:29">
      <c r="A274" s="13" t="s">
        <v>734</v>
      </c>
      <c r="B274" s="13" t="s">
        <v>675</v>
      </c>
      <c r="C274" s="145">
        <v>46181</v>
      </c>
      <c r="D274" s="145" t="s">
        <v>469</v>
      </c>
      <c r="E274" s="28">
        <v>0.96945561000000002</v>
      </c>
      <c r="F274" s="13"/>
      <c r="G274" s="18">
        <v>20000000</v>
      </c>
      <c r="H274" s="18">
        <v>19389112.25</v>
      </c>
      <c r="I274" s="18">
        <v>20000000</v>
      </c>
      <c r="J274" s="18">
        <v>19389112.25</v>
      </c>
      <c r="K274" s="15">
        <v>70219519</v>
      </c>
      <c r="L274" s="13" t="s">
        <v>117</v>
      </c>
      <c r="M274" s="13" t="s">
        <v>118</v>
      </c>
      <c r="N274" s="145" t="s">
        <v>425</v>
      </c>
      <c r="O274" s="145" t="s">
        <v>425</v>
      </c>
      <c r="P274" s="28">
        <v>46</v>
      </c>
      <c r="Q274" s="13" t="s">
        <v>54</v>
      </c>
      <c r="R274" s="13" t="s">
        <v>28</v>
      </c>
      <c r="S274" s="13"/>
      <c r="T274" s="13"/>
      <c r="U274" s="13" t="s">
        <v>975</v>
      </c>
      <c r="V274" s="13" t="s">
        <v>975</v>
      </c>
      <c r="W274" s="60">
        <f>+J274/$W$2</f>
        <v>5.1102027727060149E-4</v>
      </c>
    </row>
    <row r="275" spans="1:29">
      <c r="A275" s="13" t="s">
        <v>406</v>
      </c>
      <c r="B275" s="13" t="s">
        <v>675</v>
      </c>
      <c r="C275" s="145">
        <v>46181</v>
      </c>
      <c r="D275" s="145" t="s">
        <v>469</v>
      </c>
      <c r="E275" s="28">
        <v>0.97658869000000004</v>
      </c>
      <c r="F275" s="13"/>
      <c r="G275" s="18">
        <v>5000000</v>
      </c>
      <c r="H275" s="18">
        <v>4882943.4400000004</v>
      </c>
      <c r="I275" s="18">
        <v>5000000</v>
      </c>
      <c r="J275" s="18">
        <v>4882943.4400000004</v>
      </c>
      <c r="K275" s="15">
        <v>90000056</v>
      </c>
      <c r="L275" s="13" t="s">
        <v>117</v>
      </c>
      <c r="M275" s="13" t="s">
        <v>118</v>
      </c>
      <c r="N275" s="145" t="s">
        <v>304</v>
      </c>
      <c r="O275" s="145" t="s">
        <v>304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648</v>
      </c>
      <c r="V275" s="13" t="s">
        <v>648</v>
      </c>
      <c r="W275" s="60">
        <f>+J275/$W$2</f>
        <v>1.2869506754263412E-4</v>
      </c>
    </row>
    <row r="276" spans="1:29">
      <c r="A276" s="13" t="s">
        <v>266</v>
      </c>
      <c r="B276" s="13" t="s">
        <v>675</v>
      </c>
      <c r="C276" s="145">
        <v>46181</v>
      </c>
      <c r="D276" s="145" t="s">
        <v>469</v>
      </c>
      <c r="E276" s="28">
        <v>0.98184265000000004</v>
      </c>
      <c r="F276" s="13"/>
      <c r="G276" s="18">
        <v>10608716.66</v>
      </c>
      <c r="H276" s="18">
        <v>10416090.439999999</v>
      </c>
      <c r="I276" s="18">
        <v>10608716.66</v>
      </c>
      <c r="J276" s="18">
        <v>10416090.439999999</v>
      </c>
      <c r="K276" s="15">
        <v>2708</v>
      </c>
      <c r="L276" s="13" t="s">
        <v>117</v>
      </c>
      <c r="M276" s="13" t="s">
        <v>118</v>
      </c>
      <c r="N276" s="145" t="s">
        <v>209</v>
      </c>
      <c r="O276" s="145" t="s">
        <v>209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823</v>
      </c>
      <c r="V276" s="13" t="s">
        <v>823</v>
      </c>
      <c r="W276" s="60">
        <f>+J276/$W$2</f>
        <v>2.7452692810752392E-4</v>
      </c>
      <c r="AC276" s="57"/>
    </row>
    <row r="277" spans="1:29">
      <c r="A277" s="13" t="s">
        <v>266</v>
      </c>
      <c r="B277" s="13" t="s">
        <v>675</v>
      </c>
      <c r="C277" s="145">
        <v>46181</v>
      </c>
      <c r="D277" s="145" t="s">
        <v>469</v>
      </c>
      <c r="E277" s="28">
        <v>0.98184265000000004</v>
      </c>
      <c r="F277" s="13"/>
      <c r="G277" s="18">
        <v>5795550.9000000004</v>
      </c>
      <c r="H277" s="18">
        <v>5690319.0300000003</v>
      </c>
      <c r="I277" s="18">
        <v>5795550.9000000004</v>
      </c>
      <c r="J277" s="18">
        <v>5690319.0300000003</v>
      </c>
      <c r="K277" s="15">
        <v>2709</v>
      </c>
      <c r="L277" s="13" t="s">
        <v>117</v>
      </c>
      <c r="M277" s="13" t="s">
        <v>118</v>
      </c>
      <c r="N277" s="145" t="s">
        <v>209</v>
      </c>
      <c r="O277" s="145" t="s">
        <v>209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824</v>
      </c>
      <c r="V277" s="13" t="s">
        <v>824</v>
      </c>
      <c r="W277" s="60">
        <f>+J277/$W$2</f>
        <v>1.4997429335470377E-4</v>
      </c>
    </row>
    <row r="278" spans="1:29">
      <c r="A278" s="13" t="s">
        <v>780</v>
      </c>
      <c r="B278" s="13" t="s">
        <v>675</v>
      </c>
      <c r="C278" s="145">
        <v>46181</v>
      </c>
      <c r="D278" s="145" t="s">
        <v>469</v>
      </c>
      <c r="E278" s="28">
        <v>0.97268493</v>
      </c>
      <c r="F278" s="13"/>
      <c r="G278" s="18">
        <v>10918371.689999999</v>
      </c>
      <c r="H278" s="18">
        <v>10620135.59</v>
      </c>
      <c r="I278" s="18">
        <v>10918371.689999999</v>
      </c>
      <c r="J278" s="18">
        <v>10620135.59</v>
      </c>
      <c r="K278" s="15">
        <v>30450</v>
      </c>
      <c r="L278" s="13" t="s">
        <v>117</v>
      </c>
      <c r="M278" s="13" t="s">
        <v>118</v>
      </c>
      <c r="N278" s="145" t="s">
        <v>291</v>
      </c>
      <c r="O278" s="145" t="s">
        <v>291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885</v>
      </c>
      <c r="V278" s="13" t="s">
        <v>885</v>
      </c>
      <c r="W278" s="60">
        <f>+J278/$W$2</f>
        <v>2.7990475086620752E-4</v>
      </c>
      <c r="AC278" s="57"/>
    </row>
    <row r="279" spans="1:29">
      <c r="A279" s="13" t="s">
        <v>780</v>
      </c>
      <c r="B279" s="13" t="s">
        <v>675</v>
      </c>
      <c r="C279" s="145">
        <v>46181</v>
      </c>
      <c r="D279" s="145" t="s">
        <v>469</v>
      </c>
      <c r="E279" s="28">
        <v>0.97268493</v>
      </c>
      <c r="F279" s="13"/>
      <c r="G279" s="18">
        <v>13296076.9</v>
      </c>
      <c r="H279" s="18">
        <v>12932893.619999999</v>
      </c>
      <c r="I279" s="18">
        <v>13296076.9</v>
      </c>
      <c r="J279" s="18">
        <v>12932893.619999999</v>
      </c>
      <c r="K279" s="15">
        <v>30430</v>
      </c>
      <c r="L279" s="13" t="s">
        <v>117</v>
      </c>
      <c r="M279" s="13" t="s">
        <v>118</v>
      </c>
      <c r="N279" s="145" t="s">
        <v>291</v>
      </c>
      <c r="O279" s="145" t="s">
        <v>291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902</v>
      </c>
      <c r="V279" s="13" t="s">
        <v>902</v>
      </c>
      <c r="W279" s="60">
        <f>+J279/$W$2</f>
        <v>3.4085990108204117E-4</v>
      </c>
    </row>
    <row r="280" spans="1:29">
      <c r="A280" s="13" t="s">
        <v>550</v>
      </c>
      <c r="B280" s="13" t="s">
        <v>675</v>
      </c>
      <c r="C280" s="145">
        <v>46181</v>
      </c>
      <c r="D280" s="145" t="s">
        <v>469</v>
      </c>
      <c r="E280" s="28">
        <v>0.97268493</v>
      </c>
      <c r="F280" s="13"/>
      <c r="G280" s="18">
        <v>20000000</v>
      </c>
      <c r="H280" s="18">
        <v>19453698.579999998</v>
      </c>
      <c r="I280" s="18">
        <v>20000000</v>
      </c>
      <c r="J280" s="18">
        <v>19453698.579999998</v>
      </c>
      <c r="K280" s="15">
        <v>13318413</v>
      </c>
      <c r="L280" s="13" t="s">
        <v>117</v>
      </c>
      <c r="M280" s="13" t="s">
        <v>118</v>
      </c>
      <c r="N280" s="145" t="s">
        <v>291</v>
      </c>
      <c r="O280" s="145" t="s">
        <v>291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867</v>
      </c>
      <c r="V280" s="13" t="s">
        <v>867</v>
      </c>
      <c r="W280" s="60">
        <f>+J280/$W$2</f>
        <v>5.1272251736488375E-4</v>
      </c>
    </row>
    <row r="281" spans="1:29">
      <c r="A281" s="13" t="s">
        <v>526</v>
      </c>
      <c r="B281" s="13" t="s">
        <v>675</v>
      </c>
      <c r="C281" s="145">
        <v>46181</v>
      </c>
      <c r="D281" s="145" t="s">
        <v>469</v>
      </c>
      <c r="E281" s="28">
        <v>0.97139059000000005</v>
      </c>
      <c r="F281" s="13"/>
      <c r="G281" s="18">
        <v>3000000</v>
      </c>
      <c r="H281" s="18">
        <v>2914171.77</v>
      </c>
      <c r="I281" s="18">
        <v>3000000</v>
      </c>
      <c r="J281" s="18">
        <v>2914171.77</v>
      </c>
      <c r="K281" s="15">
        <v>3181</v>
      </c>
      <c r="L281" s="13" t="s">
        <v>117</v>
      </c>
      <c r="M281" s="13" t="s">
        <v>118</v>
      </c>
      <c r="N281" s="145" t="s">
        <v>206</v>
      </c>
      <c r="O281" s="145" t="s">
        <v>206</v>
      </c>
      <c r="P281" s="28">
        <v>43</v>
      </c>
      <c r="Q281" s="13" t="s">
        <v>54</v>
      </c>
      <c r="R281" s="13" t="s">
        <v>28</v>
      </c>
      <c r="S281" s="13"/>
      <c r="T281" s="13"/>
      <c r="U281" s="13" t="s">
        <v>700</v>
      </c>
      <c r="V281" s="13" t="s">
        <v>700</v>
      </c>
      <c r="W281" s="60">
        <f>+J281/$W$2</f>
        <v>7.6806036641494997E-5</v>
      </c>
    </row>
    <row r="282" spans="1:29">
      <c r="A282" s="13" t="s">
        <v>1392</v>
      </c>
      <c r="B282" s="13" t="s">
        <v>675</v>
      </c>
      <c r="C282" s="145">
        <v>46182</v>
      </c>
      <c r="D282" s="145" t="s">
        <v>469</v>
      </c>
      <c r="E282" s="28">
        <v>0.97162338999999998</v>
      </c>
      <c r="F282" s="13"/>
      <c r="G282" s="18">
        <v>120000000</v>
      </c>
      <c r="H282" s="18">
        <v>116594807.36</v>
      </c>
      <c r="I282" s="18">
        <v>120000000</v>
      </c>
      <c r="J282" s="18">
        <v>116594807.36</v>
      </c>
      <c r="K282" s="15">
        <v>70369600</v>
      </c>
      <c r="L282" s="13" t="s">
        <v>117</v>
      </c>
      <c r="M282" s="13" t="s">
        <v>118</v>
      </c>
      <c r="N282" s="145" t="s">
        <v>445</v>
      </c>
      <c r="O282" s="145" t="s">
        <v>445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1380</v>
      </c>
      <c r="V282" s="13" t="s">
        <v>1380</v>
      </c>
      <c r="W282" s="60">
        <f>+J282/$W$2</f>
        <v>3.0729777628379848E-3</v>
      </c>
    </row>
    <row r="283" spans="1:29">
      <c r="A283" s="13" t="s">
        <v>734</v>
      </c>
      <c r="B283" s="13" t="s">
        <v>675</v>
      </c>
      <c r="C283" s="145">
        <v>46182</v>
      </c>
      <c r="D283" s="145" t="s">
        <v>469</v>
      </c>
      <c r="E283" s="28">
        <v>0.96827255000000001</v>
      </c>
      <c r="F283" s="13"/>
      <c r="G283" s="18">
        <v>20000000</v>
      </c>
      <c r="H283" s="18">
        <v>19365450.969999999</v>
      </c>
      <c r="I283" s="18">
        <v>20000000</v>
      </c>
      <c r="J283" s="18">
        <v>19365450.969999999</v>
      </c>
      <c r="K283" s="15">
        <v>70219522</v>
      </c>
      <c r="L283" s="13" t="s">
        <v>117</v>
      </c>
      <c r="M283" s="13" t="s">
        <v>118</v>
      </c>
      <c r="N283" s="145" t="s">
        <v>425</v>
      </c>
      <c r="O283" s="145" t="s">
        <v>425</v>
      </c>
      <c r="P283" s="28">
        <v>46</v>
      </c>
      <c r="Q283" s="13" t="s">
        <v>54</v>
      </c>
      <c r="R283" s="13" t="s">
        <v>28</v>
      </c>
      <c r="S283" s="13"/>
      <c r="T283" s="13"/>
      <c r="U283" s="13" t="s">
        <v>979</v>
      </c>
      <c r="V283" s="13" t="s">
        <v>979</v>
      </c>
      <c r="W283" s="60">
        <f>+J283/$W$2</f>
        <v>5.1039665955617116E-4</v>
      </c>
      <c r="AC283" s="57"/>
    </row>
    <row r="284" spans="1:29">
      <c r="A284" s="13" t="s">
        <v>444</v>
      </c>
      <c r="B284" s="13" t="s">
        <v>675</v>
      </c>
      <c r="C284" s="145">
        <v>46182</v>
      </c>
      <c r="D284" s="145" t="s">
        <v>469</v>
      </c>
      <c r="E284" s="28">
        <v>0.97364501000000003</v>
      </c>
      <c r="F284" s="13"/>
      <c r="G284" s="18">
        <v>5000000</v>
      </c>
      <c r="H284" s="18">
        <v>4868225.07</v>
      </c>
      <c r="I284" s="18">
        <v>5000000</v>
      </c>
      <c r="J284" s="18">
        <v>4868225.07</v>
      </c>
      <c r="K284" s="15">
        <v>60524150</v>
      </c>
      <c r="L284" s="13" t="s">
        <v>117</v>
      </c>
      <c r="M284" s="13" t="s">
        <v>118</v>
      </c>
      <c r="N284" s="145" t="s">
        <v>209</v>
      </c>
      <c r="O284" s="145" t="s">
        <v>209</v>
      </c>
      <c r="P284" s="28">
        <v>38</v>
      </c>
      <c r="Q284" s="13" t="s">
        <v>54</v>
      </c>
      <c r="R284" s="13" t="s">
        <v>28</v>
      </c>
      <c r="S284" s="13"/>
      <c r="T284" s="13"/>
      <c r="U284" s="13" t="s">
        <v>860</v>
      </c>
      <c r="V284" s="13" t="s">
        <v>860</v>
      </c>
      <c r="W284" s="60">
        <f>+J284/$W$2</f>
        <v>1.2830714954920608E-4</v>
      </c>
    </row>
    <row r="285" spans="1:29">
      <c r="A285" s="13" t="s">
        <v>676</v>
      </c>
      <c r="B285" s="13" t="s">
        <v>675</v>
      </c>
      <c r="C285" s="145">
        <v>46182</v>
      </c>
      <c r="D285" s="145" t="s">
        <v>469</v>
      </c>
      <c r="E285" s="28">
        <v>0.97567501000000001</v>
      </c>
      <c r="F285" s="13"/>
      <c r="G285" s="18">
        <v>10000000</v>
      </c>
      <c r="H285" s="18">
        <v>9756750.0700000003</v>
      </c>
      <c r="I285" s="18">
        <v>10000000</v>
      </c>
      <c r="J285" s="18">
        <v>9756750.0700000003</v>
      </c>
      <c r="K285" s="15">
        <v>383</v>
      </c>
      <c r="L285" s="13" t="s">
        <v>117</v>
      </c>
      <c r="M285" s="13" t="s">
        <v>118</v>
      </c>
      <c r="N285" s="145" t="s">
        <v>528</v>
      </c>
      <c r="O285" s="145" t="s">
        <v>528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1290</v>
      </c>
      <c r="V285" s="13" t="s">
        <v>1290</v>
      </c>
      <c r="W285" s="60">
        <f>+J285/$W$2</f>
        <v>2.5714932492751754E-4</v>
      </c>
    </row>
    <row r="286" spans="1:29">
      <c r="A286" s="13" t="s">
        <v>406</v>
      </c>
      <c r="B286" s="13" t="s">
        <v>675</v>
      </c>
      <c r="C286" s="145">
        <v>46182</v>
      </c>
      <c r="D286" s="145" t="s">
        <v>469</v>
      </c>
      <c r="E286" s="28">
        <v>0.97907725999999995</v>
      </c>
      <c r="F286" s="13"/>
      <c r="G286" s="18">
        <v>18000000</v>
      </c>
      <c r="H286" s="18">
        <v>17623390.600000001</v>
      </c>
      <c r="I286" s="18">
        <v>18000000</v>
      </c>
      <c r="J286" s="18">
        <v>17623390.600000001</v>
      </c>
      <c r="K286" s="15">
        <v>14164</v>
      </c>
      <c r="L286" s="13" t="s">
        <v>117</v>
      </c>
      <c r="M286" s="13" t="s">
        <v>118</v>
      </c>
      <c r="N286" s="145" t="s">
        <v>385</v>
      </c>
      <c r="O286" s="145" t="s">
        <v>385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962</v>
      </c>
      <c r="V286" s="13" t="s">
        <v>962</v>
      </c>
      <c r="W286" s="60">
        <f>+J286/$W$2</f>
        <v>4.6448284143902013E-4</v>
      </c>
    </row>
    <row r="287" spans="1:29">
      <c r="A287" s="13" t="s">
        <v>863</v>
      </c>
      <c r="B287" s="13" t="s">
        <v>675</v>
      </c>
      <c r="C287" s="145">
        <v>46182</v>
      </c>
      <c r="D287" s="145" t="s">
        <v>469</v>
      </c>
      <c r="E287" s="28">
        <v>0.97976065000000001</v>
      </c>
      <c r="F287" s="13"/>
      <c r="G287" s="18">
        <v>12500000</v>
      </c>
      <c r="H287" s="18">
        <v>12247008.09</v>
      </c>
      <c r="I287" s="18">
        <v>12500000</v>
      </c>
      <c r="J287" s="18">
        <v>12247008.09</v>
      </c>
      <c r="K287" s="15">
        <v>28996505</v>
      </c>
      <c r="L287" s="13" t="s">
        <v>117</v>
      </c>
      <c r="M287" s="13" t="s">
        <v>118</v>
      </c>
      <c r="N287" s="145" t="s">
        <v>209</v>
      </c>
      <c r="O287" s="145" t="s">
        <v>209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806</v>
      </c>
      <c r="V287" s="13" t="s">
        <v>806</v>
      </c>
      <c r="W287" s="60">
        <f>+J287/$W$2</f>
        <v>3.2278267252215735E-4</v>
      </c>
    </row>
    <row r="288" spans="1:29">
      <c r="A288" s="13" t="s">
        <v>957</v>
      </c>
      <c r="B288" s="13" t="s">
        <v>675</v>
      </c>
      <c r="C288" s="145">
        <v>46182</v>
      </c>
      <c r="D288" s="145" t="s">
        <v>469</v>
      </c>
      <c r="E288" s="28">
        <v>0.97976063000000002</v>
      </c>
      <c r="F288" s="13"/>
      <c r="G288" s="18">
        <v>4000000</v>
      </c>
      <c r="H288" s="18">
        <v>3919042.53</v>
      </c>
      <c r="I288" s="18">
        <v>4000000</v>
      </c>
      <c r="J288" s="18">
        <v>3919042.53</v>
      </c>
      <c r="K288" s="15">
        <v>842</v>
      </c>
      <c r="L288" s="13" t="s">
        <v>117</v>
      </c>
      <c r="M288" s="13" t="s">
        <v>118</v>
      </c>
      <c r="N288" s="145" t="s">
        <v>461</v>
      </c>
      <c r="O288" s="145" t="s">
        <v>461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1122</v>
      </c>
      <c r="V288" s="13" t="s">
        <v>1122</v>
      </c>
      <c r="W288" s="60">
        <f>+J288/$W$2</f>
        <v>1.0329045365735502E-4</v>
      </c>
    </row>
    <row r="289" spans="1:29">
      <c r="A289" s="13" t="s">
        <v>219</v>
      </c>
      <c r="B289" s="13" t="s">
        <v>675</v>
      </c>
      <c r="C289" s="145">
        <v>46182</v>
      </c>
      <c r="D289" s="145" t="s">
        <v>469</v>
      </c>
      <c r="E289" s="28">
        <v>0.98181622999999996</v>
      </c>
      <c r="F289" s="13"/>
      <c r="G289" s="18">
        <v>20000000</v>
      </c>
      <c r="H289" s="18">
        <v>19636324.649999999</v>
      </c>
      <c r="I289" s="18">
        <v>20000000</v>
      </c>
      <c r="J289" s="18">
        <v>19636324.649999999</v>
      </c>
      <c r="K289" s="15">
        <v>90026749</v>
      </c>
      <c r="L289" s="13" t="s">
        <v>117</v>
      </c>
      <c r="M289" s="13" t="s">
        <v>118</v>
      </c>
      <c r="N289" s="145" t="s">
        <v>428</v>
      </c>
      <c r="O289" s="145" t="s">
        <v>428</v>
      </c>
      <c r="P289" s="28">
        <v>26</v>
      </c>
      <c r="Q289" s="13" t="s">
        <v>54</v>
      </c>
      <c r="R289" s="13" t="s">
        <v>28</v>
      </c>
      <c r="S289" s="13"/>
      <c r="T289" s="13"/>
      <c r="U289" s="13" t="s">
        <v>1684</v>
      </c>
      <c r="V289" s="13" t="s">
        <v>1684</v>
      </c>
      <c r="W289" s="60">
        <f>+J289/$W$2</f>
        <v>5.1753581792887639E-4</v>
      </c>
    </row>
    <row r="290" spans="1:29">
      <c r="A290" s="13" t="s">
        <v>1330</v>
      </c>
      <c r="B290" s="13" t="s">
        <v>675</v>
      </c>
      <c r="C290" s="145">
        <v>46182</v>
      </c>
      <c r="D290" s="145" t="s">
        <v>469</v>
      </c>
      <c r="E290" s="28">
        <v>0.97976065000000001</v>
      </c>
      <c r="F290" s="13"/>
      <c r="G290" s="18">
        <v>50000000</v>
      </c>
      <c r="H290" s="18">
        <v>48988032.369999997</v>
      </c>
      <c r="I290" s="18">
        <v>50000000</v>
      </c>
      <c r="J290" s="18">
        <v>48988032.369999997</v>
      </c>
      <c r="K290" s="15">
        <v>147629</v>
      </c>
      <c r="L290" s="13" t="s">
        <v>117</v>
      </c>
      <c r="M290" s="13" t="s">
        <v>118</v>
      </c>
      <c r="N290" s="145" t="s">
        <v>216</v>
      </c>
      <c r="O290" s="145" t="s">
        <v>216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1625</v>
      </c>
      <c r="V290" s="13" t="s">
        <v>1625</v>
      </c>
      <c r="W290" s="60">
        <f>+J290/$W$2</f>
        <v>1.2911306903521898E-3</v>
      </c>
    </row>
    <row r="291" spans="1:29">
      <c r="A291" s="13" t="s">
        <v>1330</v>
      </c>
      <c r="B291" s="13" t="s">
        <v>675</v>
      </c>
      <c r="C291" s="145">
        <v>46182</v>
      </c>
      <c r="D291" s="145" t="s">
        <v>469</v>
      </c>
      <c r="E291" s="28">
        <v>0.98044485000000003</v>
      </c>
      <c r="F291" s="13"/>
      <c r="G291" s="18">
        <v>12000000</v>
      </c>
      <c r="H291" s="18">
        <v>11765338.220000001</v>
      </c>
      <c r="I291" s="18">
        <v>12000000</v>
      </c>
      <c r="J291" s="18">
        <v>11765338.220000001</v>
      </c>
      <c r="K291" s="15">
        <v>90000618</v>
      </c>
      <c r="L291" s="13" t="s">
        <v>117</v>
      </c>
      <c r="M291" s="13" t="s">
        <v>118</v>
      </c>
      <c r="N291" s="145" t="s">
        <v>462</v>
      </c>
      <c r="O291" s="145" t="s">
        <v>462</v>
      </c>
      <c r="P291" s="28">
        <v>28</v>
      </c>
      <c r="Q291" s="13" t="s">
        <v>54</v>
      </c>
      <c r="R291" s="13" t="s">
        <v>28</v>
      </c>
      <c r="S291" s="13"/>
      <c r="T291" s="13"/>
      <c r="U291" s="13" t="s">
        <v>1744</v>
      </c>
      <c r="V291" s="13" t="s">
        <v>1744</v>
      </c>
      <c r="W291" s="60">
        <f>+J291/$W$2</f>
        <v>3.1008776068985856E-4</v>
      </c>
    </row>
    <row r="292" spans="1:29">
      <c r="A292" s="13" t="s">
        <v>1330</v>
      </c>
      <c r="B292" s="13" t="s">
        <v>675</v>
      </c>
      <c r="C292" s="145">
        <v>46182</v>
      </c>
      <c r="D292" s="145" t="s">
        <v>469</v>
      </c>
      <c r="E292" s="28">
        <v>0.98113004999999998</v>
      </c>
      <c r="F292" s="13"/>
      <c r="G292" s="18">
        <v>15200000</v>
      </c>
      <c r="H292" s="18">
        <v>14913176.810000001</v>
      </c>
      <c r="I292" s="18">
        <v>15200000</v>
      </c>
      <c r="J292" s="18">
        <v>14913176.810000001</v>
      </c>
      <c r="K292" s="15">
        <v>2598</v>
      </c>
      <c r="L292" s="13" t="s">
        <v>117</v>
      </c>
      <c r="M292" s="13" t="s">
        <v>118</v>
      </c>
      <c r="N292" s="145" t="s">
        <v>428</v>
      </c>
      <c r="O292" s="145" t="s">
        <v>428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1673</v>
      </c>
      <c r="V292" s="13" t="s">
        <v>1673</v>
      </c>
      <c r="W292" s="60">
        <f>+J292/$W$2</f>
        <v>3.9305233009993558E-4</v>
      </c>
    </row>
    <row r="293" spans="1:29">
      <c r="A293" s="13" t="s">
        <v>266</v>
      </c>
      <c r="B293" s="13" t="s">
        <v>675</v>
      </c>
      <c r="C293" s="145">
        <v>46182</v>
      </c>
      <c r="D293" s="145" t="s">
        <v>469</v>
      </c>
      <c r="E293" s="28">
        <v>0.98113013000000004</v>
      </c>
      <c r="F293" s="13"/>
      <c r="G293" s="18">
        <v>4419130.95</v>
      </c>
      <c r="H293" s="18">
        <v>4335742.5199999996</v>
      </c>
      <c r="I293" s="18">
        <v>4419130.95</v>
      </c>
      <c r="J293" s="18">
        <v>4335742.5199999996</v>
      </c>
      <c r="K293" s="15">
        <v>5808</v>
      </c>
      <c r="L293" s="13" t="s">
        <v>117</v>
      </c>
      <c r="M293" s="13" t="s">
        <v>118</v>
      </c>
      <c r="N293" s="145" t="s">
        <v>205</v>
      </c>
      <c r="O293" s="145" t="s">
        <v>205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1032</v>
      </c>
      <c r="V293" s="13" t="s">
        <v>1032</v>
      </c>
      <c r="W293" s="60">
        <f>+J293/$W$2</f>
        <v>1.1427301653505751E-4</v>
      </c>
    </row>
    <row r="294" spans="1:29">
      <c r="A294" s="13" t="s">
        <v>266</v>
      </c>
      <c r="B294" s="13" t="s">
        <v>675</v>
      </c>
      <c r="C294" s="145">
        <v>46182</v>
      </c>
      <c r="D294" s="145" t="s">
        <v>469</v>
      </c>
      <c r="E294" s="28">
        <v>0.98113013000000004</v>
      </c>
      <c r="F294" s="13"/>
      <c r="G294" s="18">
        <v>10938133.199999999</v>
      </c>
      <c r="H294" s="18">
        <v>10731732.01</v>
      </c>
      <c r="I294" s="18">
        <v>10938133.199999999</v>
      </c>
      <c r="J294" s="18">
        <v>10731732.01</v>
      </c>
      <c r="K294" s="15">
        <v>5809</v>
      </c>
      <c r="L294" s="13" t="s">
        <v>117</v>
      </c>
      <c r="M294" s="13" t="s">
        <v>118</v>
      </c>
      <c r="N294" s="145" t="s">
        <v>205</v>
      </c>
      <c r="O294" s="145" t="s">
        <v>205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1033</v>
      </c>
      <c r="V294" s="13" t="s">
        <v>1033</v>
      </c>
      <c r="W294" s="60">
        <f>+J294/$W$2</f>
        <v>2.8284599091657687E-4</v>
      </c>
      <c r="AC294" s="57"/>
    </row>
    <row r="295" spans="1:29">
      <c r="A295" s="13" t="s">
        <v>780</v>
      </c>
      <c r="B295" s="13" t="s">
        <v>675</v>
      </c>
      <c r="C295" s="145">
        <v>46182</v>
      </c>
      <c r="D295" s="145" t="s">
        <v>469</v>
      </c>
      <c r="E295" s="28">
        <v>0.97162329000000003</v>
      </c>
      <c r="F295" s="13"/>
      <c r="G295" s="18">
        <v>10918371.689999999</v>
      </c>
      <c r="H295" s="18">
        <v>10608544.23</v>
      </c>
      <c r="I295" s="18">
        <v>10918371.689999999</v>
      </c>
      <c r="J295" s="18">
        <v>10608544.23</v>
      </c>
      <c r="K295" s="15">
        <v>30451</v>
      </c>
      <c r="L295" s="13" t="s">
        <v>117</v>
      </c>
      <c r="M295" s="13" t="s">
        <v>118</v>
      </c>
      <c r="N295" s="145" t="s">
        <v>291</v>
      </c>
      <c r="O295" s="145" t="s">
        <v>291</v>
      </c>
      <c r="P295" s="28">
        <v>41</v>
      </c>
      <c r="Q295" s="13" t="s">
        <v>54</v>
      </c>
      <c r="R295" s="13" t="s">
        <v>28</v>
      </c>
      <c r="S295" s="13"/>
      <c r="T295" s="13"/>
      <c r="U295" s="13" t="s">
        <v>886</v>
      </c>
      <c r="V295" s="13" t="s">
        <v>886</v>
      </c>
      <c r="W295" s="60">
        <f>+J295/$W$2</f>
        <v>2.7959924848297476E-4</v>
      </c>
    </row>
    <row r="296" spans="1:29">
      <c r="A296" s="13" t="s">
        <v>780</v>
      </c>
      <c r="B296" s="13" t="s">
        <v>675</v>
      </c>
      <c r="C296" s="145">
        <v>46182</v>
      </c>
      <c r="D296" s="145" t="s">
        <v>469</v>
      </c>
      <c r="E296" s="28">
        <v>0.97162329000000003</v>
      </c>
      <c r="F296" s="13"/>
      <c r="G296" s="18">
        <v>13296076.9</v>
      </c>
      <c r="H296" s="18">
        <v>12918777.99</v>
      </c>
      <c r="I296" s="18">
        <v>13296076.9</v>
      </c>
      <c r="J296" s="18">
        <v>12918777.99</v>
      </c>
      <c r="K296" s="15">
        <v>30431</v>
      </c>
      <c r="L296" s="13" t="s">
        <v>117</v>
      </c>
      <c r="M296" s="13" t="s">
        <v>118</v>
      </c>
      <c r="N296" s="145" t="s">
        <v>291</v>
      </c>
      <c r="O296" s="145" t="s">
        <v>291</v>
      </c>
      <c r="P296" s="28">
        <v>41</v>
      </c>
      <c r="Q296" s="13" t="s">
        <v>54</v>
      </c>
      <c r="R296" s="13" t="s">
        <v>28</v>
      </c>
      <c r="S296" s="13"/>
      <c r="T296" s="13"/>
      <c r="U296" s="13" t="s">
        <v>903</v>
      </c>
      <c r="V296" s="13" t="s">
        <v>903</v>
      </c>
      <c r="W296" s="60">
        <f>+J296/$W$2</f>
        <v>3.4048786893000444E-4</v>
      </c>
      <c r="AC296" s="57"/>
    </row>
    <row r="297" spans="1:29">
      <c r="A297" s="13" t="s">
        <v>550</v>
      </c>
      <c r="B297" s="13" t="s">
        <v>675</v>
      </c>
      <c r="C297" s="145">
        <v>46182</v>
      </c>
      <c r="D297" s="145" t="s">
        <v>469</v>
      </c>
      <c r="E297" s="28">
        <v>0.97162329000000003</v>
      </c>
      <c r="F297" s="13"/>
      <c r="G297" s="18">
        <v>20000000</v>
      </c>
      <c r="H297" s="18">
        <v>19432465.809999999</v>
      </c>
      <c r="I297" s="18">
        <v>20000000</v>
      </c>
      <c r="J297" s="18">
        <v>19432465.809999999</v>
      </c>
      <c r="K297" s="15">
        <v>13318414</v>
      </c>
      <c r="L297" s="13" t="s">
        <v>117</v>
      </c>
      <c r="M297" s="13" t="s">
        <v>118</v>
      </c>
      <c r="N297" s="145" t="s">
        <v>291</v>
      </c>
      <c r="O297" s="145" t="s">
        <v>291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868</v>
      </c>
      <c r="V297" s="13" t="s">
        <v>868</v>
      </c>
      <c r="W297" s="60">
        <f>+J297/$W$2</f>
        <v>5.1216290556457442E-4</v>
      </c>
      <c r="AC297" s="57"/>
    </row>
    <row r="298" spans="1:29">
      <c r="A298" s="13" t="s">
        <v>677</v>
      </c>
      <c r="B298" s="13" t="s">
        <v>675</v>
      </c>
      <c r="C298" s="145">
        <v>46182</v>
      </c>
      <c r="D298" s="145" t="s">
        <v>469</v>
      </c>
      <c r="E298" s="28">
        <v>0.97364501000000003</v>
      </c>
      <c r="F298" s="13"/>
      <c r="G298" s="18">
        <v>240000000</v>
      </c>
      <c r="H298" s="18">
        <v>233674802.34999999</v>
      </c>
      <c r="I298" s="18">
        <v>240000000</v>
      </c>
      <c r="J298" s="18">
        <v>233674802.34999999</v>
      </c>
      <c r="K298" s="15">
        <v>66782912</v>
      </c>
      <c r="L298" s="13" t="s">
        <v>117</v>
      </c>
      <c r="M298" s="13" t="s">
        <v>118</v>
      </c>
      <c r="N298" s="145" t="s">
        <v>446</v>
      </c>
      <c r="O298" s="145" t="s">
        <v>446</v>
      </c>
      <c r="P298" s="28">
        <v>38</v>
      </c>
      <c r="Q298" s="13" t="s">
        <v>54</v>
      </c>
      <c r="R298" s="13" t="s">
        <v>28</v>
      </c>
      <c r="S298" s="13"/>
      <c r="T298" s="13"/>
      <c r="U298" s="13" t="s">
        <v>1844</v>
      </c>
      <c r="V298" s="13" t="s">
        <v>1844</v>
      </c>
      <c r="W298" s="60">
        <f>+J298/$W$2</f>
        <v>6.1587431517422875E-3</v>
      </c>
      <c r="AC298" s="57"/>
    </row>
    <row r="299" spans="1:29">
      <c r="A299" s="13" t="s">
        <v>1251</v>
      </c>
      <c r="B299" s="13" t="s">
        <v>675</v>
      </c>
      <c r="C299" s="145">
        <v>46182</v>
      </c>
      <c r="D299" s="145" t="s">
        <v>469</v>
      </c>
      <c r="E299" s="28">
        <v>0.97907730000000004</v>
      </c>
      <c r="F299" s="13"/>
      <c r="G299" s="18">
        <v>6000000</v>
      </c>
      <c r="H299" s="18">
        <v>5874463.7699999996</v>
      </c>
      <c r="I299" s="18">
        <v>6000000</v>
      </c>
      <c r="J299" s="18">
        <v>5874463.7699999996</v>
      </c>
      <c r="K299" s="15">
        <v>10926492</v>
      </c>
      <c r="L299" s="13" t="s">
        <v>117</v>
      </c>
      <c r="M299" s="13" t="s">
        <v>118</v>
      </c>
      <c r="N299" s="145" t="s">
        <v>528</v>
      </c>
      <c r="O299" s="145" t="s">
        <v>528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1275</v>
      </c>
      <c r="V299" s="13" t="s">
        <v>1275</v>
      </c>
      <c r="W299" s="60">
        <f>+J299/$W$2</f>
        <v>1.5482762005060354E-4</v>
      </c>
    </row>
    <row r="300" spans="1:29">
      <c r="A300" s="13" t="s">
        <v>526</v>
      </c>
      <c r="B300" s="13" t="s">
        <v>675</v>
      </c>
      <c r="C300" s="145">
        <v>46182</v>
      </c>
      <c r="D300" s="145" t="s">
        <v>469</v>
      </c>
      <c r="E300" s="28">
        <v>0.97162336999999999</v>
      </c>
      <c r="F300" s="13"/>
      <c r="G300" s="18">
        <v>2164521.13</v>
      </c>
      <c r="H300" s="18">
        <v>2103099.3199999998</v>
      </c>
      <c r="I300" s="18">
        <v>2164521.13</v>
      </c>
      <c r="J300" s="18">
        <v>2103099.3199999998</v>
      </c>
      <c r="K300" s="15">
        <v>3182</v>
      </c>
      <c r="L300" s="13" t="s">
        <v>117</v>
      </c>
      <c r="M300" s="13" t="s">
        <v>118</v>
      </c>
      <c r="N300" s="145" t="s">
        <v>387</v>
      </c>
      <c r="O300" s="145" t="s">
        <v>387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769</v>
      </c>
      <c r="V300" s="13" t="s">
        <v>769</v>
      </c>
      <c r="W300" s="60">
        <f>+J300/$W$2</f>
        <v>5.5429376228094883E-5</v>
      </c>
    </row>
    <row r="301" spans="1:29">
      <c r="A301" s="13" t="s">
        <v>1509</v>
      </c>
      <c r="B301" s="13" t="s">
        <v>675</v>
      </c>
      <c r="C301" s="145">
        <v>46183</v>
      </c>
      <c r="D301" s="145" t="s">
        <v>469</v>
      </c>
      <c r="E301" s="28">
        <v>0.97265906999999996</v>
      </c>
      <c r="F301" s="13"/>
      <c r="G301" s="18">
        <v>6000000</v>
      </c>
      <c r="H301" s="18">
        <v>5835954.4299999997</v>
      </c>
      <c r="I301" s="18">
        <v>6000000</v>
      </c>
      <c r="J301" s="18">
        <v>5835954.4299999997</v>
      </c>
      <c r="K301" s="15">
        <v>90025541</v>
      </c>
      <c r="L301" s="13" t="s">
        <v>117</v>
      </c>
      <c r="M301" s="13" t="s">
        <v>118</v>
      </c>
      <c r="N301" s="145" t="s">
        <v>411</v>
      </c>
      <c r="O301" s="145" t="s">
        <v>411</v>
      </c>
      <c r="P301" s="28">
        <v>38</v>
      </c>
      <c r="Q301" s="13" t="s">
        <v>54</v>
      </c>
      <c r="R301" s="13" t="s">
        <v>28</v>
      </c>
      <c r="S301" s="13"/>
      <c r="T301" s="13"/>
      <c r="U301" s="13" t="s">
        <v>1502</v>
      </c>
      <c r="V301" s="13" t="s">
        <v>1502</v>
      </c>
      <c r="W301" s="60">
        <f>+J301/$W$2</f>
        <v>1.5381266622752131E-4</v>
      </c>
    </row>
    <row r="302" spans="1:29">
      <c r="A302" s="13" t="s">
        <v>1822</v>
      </c>
      <c r="B302" s="13" t="s">
        <v>675</v>
      </c>
      <c r="C302" s="145">
        <v>46183</v>
      </c>
      <c r="D302" s="145" t="s">
        <v>469</v>
      </c>
      <c r="E302" s="28">
        <v>0.97476324999999997</v>
      </c>
      <c r="F302" s="13"/>
      <c r="G302" s="18">
        <v>2000000</v>
      </c>
      <c r="H302" s="18">
        <v>1949526.5</v>
      </c>
      <c r="I302" s="18">
        <v>2000000</v>
      </c>
      <c r="J302" s="18">
        <v>1949526.5</v>
      </c>
      <c r="K302" s="15">
        <v>7738</v>
      </c>
      <c r="L302" s="13" t="s">
        <v>117</v>
      </c>
      <c r="M302" s="13" t="s">
        <v>118</v>
      </c>
      <c r="N302" s="145" t="s">
        <v>464</v>
      </c>
      <c r="O302" s="145" t="s">
        <v>464</v>
      </c>
      <c r="P302" s="28">
        <v>35</v>
      </c>
      <c r="Q302" s="13" t="s">
        <v>54</v>
      </c>
      <c r="R302" s="13" t="s">
        <v>28</v>
      </c>
      <c r="S302" s="13"/>
      <c r="T302" s="13"/>
      <c r="U302" s="13" t="s">
        <v>1817</v>
      </c>
      <c r="V302" s="13" t="s">
        <v>1817</v>
      </c>
      <c r="W302" s="60">
        <f>+J302/$W$2</f>
        <v>5.1381804372007039E-5</v>
      </c>
    </row>
    <row r="303" spans="1:29">
      <c r="A303" s="13" t="s">
        <v>734</v>
      </c>
      <c r="B303" s="13" t="s">
        <v>675</v>
      </c>
      <c r="C303" s="145">
        <v>46183</v>
      </c>
      <c r="D303" s="145" t="s">
        <v>469</v>
      </c>
      <c r="E303" s="28">
        <v>0.96709237000000003</v>
      </c>
      <c r="F303" s="13"/>
      <c r="G303" s="18">
        <v>20000000</v>
      </c>
      <c r="H303" s="18">
        <v>19341847.329999998</v>
      </c>
      <c r="I303" s="18">
        <v>20000000</v>
      </c>
      <c r="J303" s="18">
        <v>19341847.329999998</v>
      </c>
      <c r="K303" s="15">
        <v>70219523</v>
      </c>
      <c r="L303" s="13" t="s">
        <v>117</v>
      </c>
      <c r="M303" s="13" t="s">
        <v>118</v>
      </c>
      <c r="N303" s="145" t="s">
        <v>425</v>
      </c>
      <c r="O303" s="145" t="s">
        <v>425</v>
      </c>
      <c r="P303" s="28">
        <v>46</v>
      </c>
      <c r="Q303" s="13" t="s">
        <v>54</v>
      </c>
      <c r="R303" s="13" t="s">
        <v>28</v>
      </c>
      <c r="S303" s="13"/>
      <c r="T303" s="13"/>
      <c r="U303" s="13" t="s">
        <v>976</v>
      </c>
      <c r="V303" s="13" t="s">
        <v>976</v>
      </c>
      <c r="W303" s="60">
        <f>+J303/$W$2</f>
        <v>5.097745610040626E-4</v>
      </c>
    </row>
    <row r="304" spans="1:29">
      <c r="A304" s="13" t="s">
        <v>734</v>
      </c>
      <c r="B304" s="13" t="s">
        <v>675</v>
      </c>
      <c r="C304" s="145">
        <v>46183</v>
      </c>
      <c r="D304" s="145" t="s">
        <v>469</v>
      </c>
      <c r="E304" s="28">
        <v>0.96709237000000003</v>
      </c>
      <c r="F304" s="13"/>
      <c r="G304" s="18">
        <v>20000000</v>
      </c>
      <c r="H304" s="18">
        <v>19341847.329999998</v>
      </c>
      <c r="I304" s="18">
        <v>20000000</v>
      </c>
      <c r="J304" s="18">
        <v>19341847.329999998</v>
      </c>
      <c r="K304" s="15">
        <v>70219524</v>
      </c>
      <c r="L304" s="13" t="s">
        <v>117</v>
      </c>
      <c r="M304" s="13" t="s">
        <v>118</v>
      </c>
      <c r="N304" s="145" t="s">
        <v>425</v>
      </c>
      <c r="O304" s="145" t="s">
        <v>425</v>
      </c>
      <c r="P304" s="28">
        <v>46</v>
      </c>
      <c r="Q304" s="13" t="s">
        <v>54</v>
      </c>
      <c r="R304" s="13" t="s">
        <v>28</v>
      </c>
      <c r="S304" s="13"/>
      <c r="T304" s="13"/>
      <c r="U304" s="13" t="s">
        <v>977</v>
      </c>
      <c r="V304" s="13" t="s">
        <v>977</v>
      </c>
      <c r="W304" s="60">
        <f>+J304/$W$2</f>
        <v>5.097745610040626E-4</v>
      </c>
    </row>
    <row r="305" spans="1:29">
      <c r="A305" s="13" t="s">
        <v>939</v>
      </c>
      <c r="B305" s="13" t="s">
        <v>675</v>
      </c>
      <c r="C305" s="145">
        <v>46183</v>
      </c>
      <c r="D305" s="145" t="s">
        <v>469</v>
      </c>
      <c r="E305" s="28">
        <v>0.97056412000000003</v>
      </c>
      <c r="F305" s="13"/>
      <c r="G305" s="18">
        <v>2000000</v>
      </c>
      <c r="H305" s="18">
        <v>1941128.24</v>
      </c>
      <c r="I305" s="18">
        <v>2000000</v>
      </c>
      <c r="J305" s="18">
        <v>1941128.24</v>
      </c>
      <c r="K305" s="15">
        <v>12384441</v>
      </c>
      <c r="L305" s="13" t="s">
        <v>117</v>
      </c>
      <c r="M305" s="13" t="s">
        <v>118</v>
      </c>
      <c r="N305" s="145" t="s">
        <v>291</v>
      </c>
      <c r="O305" s="145" t="s">
        <v>291</v>
      </c>
      <c r="P305" s="28">
        <v>41</v>
      </c>
      <c r="Q305" s="13" t="s">
        <v>54</v>
      </c>
      <c r="R305" s="13" t="s">
        <v>28</v>
      </c>
      <c r="S305" s="13"/>
      <c r="T305" s="13"/>
      <c r="U305" s="13" t="s">
        <v>908</v>
      </c>
      <c r="V305" s="13" t="s">
        <v>908</v>
      </c>
      <c r="W305" s="60">
        <f>+J305/$W$2</f>
        <v>5.1160459469855031E-5</v>
      </c>
      <c r="AC305" s="57"/>
    </row>
    <row r="306" spans="1:29">
      <c r="A306" s="13" t="s">
        <v>399</v>
      </c>
      <c r="B306" s="13" t="s">
        <v>675</v>
      </c>
      <c r="C306" s="145">
        <v>46183</v>
      </c>
      <c r="D306" s="145" t="s">
        <v>469</v>
      </c>
      <c r="E306" s="28">
        <v>0.98113022000000005</v>
      </c>
      <c r="F306" s="13"/>
      <c r="G306" s="18">
        <v>138969390</v>
      </c>
      <c r="H306" s="18">
        <v>136347068.56</v>
      </c>
      <c r="I306" s="18">
        <v>138969390</v>
      </c>
      <c r="J306" s="18">
        <v>136347068.56</v>
      </c>
      <c r="K306" s="15">
        <v>30012967</v>
      </c>
      <c r="L306" s="13" t="s">
        <v>117</v>
      </c>
      <c r="M306" s="13" t="s">
        <v>118</v>
      </c>
      <c r="N306" s="145" t="s">
        <v>460</v>
      </c>
      <c r="O306" s="145" t="s">
        <v>460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1828</v>
      </c>
      <c r="V306" s="13" t="s">
        <v>1828</v>
      </c>
      <c r="W306" s="60">
        <f>+J306/$W$2</f>
        <v>3.5935692094703773E-3</v>
      </c>
    </row>
    <row r="307" spans="1:29">
      <c r="A307" s="13" t="s">
        <v>399</v>
      </c>
      <c r="B307" s="13" t="s">
        <v>675</v>
      </c>
      <c r="C307" s="145">
        <v>46183</v>
      </c>
      <c r="D307" s="145" t="s">
        <v>469</v>
      </c>
      <c r="E307" s="28">
        <v>0.98113022000000005</v>
      </c>
      <c r="F307" s="13"/>
      <c r="G307" s="18">
        <v>409578017.30000001</v>
      </c>
      <c r="H307" s="18">
        <v>401849371.32999998</v>
      </c>
      <c r="I307" s="18">
        <v>409578017.30000001</v>
      </c>
      <c r="J307" s="18">
        <v>401849371.32999998</v>
      </c>
      <c r="K307" s="15">
        <v>30012965</v>
      </c>
      <c r="L307" s="13" t="s">
        <v>117</v>
      </c>
      <c r="M307" s="13" t="s">
        <v>118</v>
      </c>
      <c r="N307" s="145" t="s">
        <v>460</v>
      </c>
      <c r="O307" s="145" t="s">
        <v>460</v>
      </c>
      <c r="P307" s="28">
        <v>26</v>
      </c>
      <c r="Q307" s="13" t="s">
        <v>54</v>
      </c>
      <c r="R307" s="13" t="s">
        <v>28</v>
      </c>
      <c r="S307" s="13"/>
      <c r="T307" s="13"/>
      <c r="U307" s="13" t="s">
        <v>1829</v>
      </c>
      <c r="V307" s="13" t="s">
        <v>1829</v>
      </c>
      <c r="W307" s="60">
        <f>+J307/$W$2</f>
        <v>1.0591159332633885E-2</v>
      </c>
    </row>
    <row r="308" spans="1:29">
      <c r="A308" s="13" t="s">
        <v>399</v>
      </c>
      <c r="B308" s="13" t="s">
        <v>675</v>
      </c>
      <c r="C308" s="145">
        <v>46183</v>
      </c>
      <c r="D308" s="145" t="s">
        <v>469</v>
      </c>
      <c r="E308" s="28">
        <v>0.98113022000000005</v>
      </c>
      <c r="F308" s="13"/>
      <c r="G308" s="18">
        <v>285628140</v>
      </c>
      <c r="H308" s="18">
        <v>280238400.61000001</v>
      </c>
      <c r="I308" s="18">
        <v>285628140</v>
      </c>
      <c r="J308" s="18">
        <v>280238400.61000001</v>
      </c>
      <c r="K308" s="15">
        <v>30012968</v>
      </c>
      <c r="L308" s="13" t="s">
        <v>117</v>
      </c>
      <c r="M308" s="13" t="s">
        <v>118</v>
      </c>
      <c r="N308" s="145" t="s">
        <v>460</v>
      </c>
      <c r="O308" s="145" t="s">
        <v>460</v>
      </c>
      <c r="P308" s="28">
        <v>26</v>
      </c>
      <c r="Q308" s="13" t="s">
        <v>54</v>
      </c>
      <c r="R308" s="13" t="s">
        <v>28</v>
      </c>
      <c r="S308" s="13"/>
      <c r="T308" s="13"/>
      <c r="U308" s="13" t="s">
        <v>1830</v>
      </c>
      <c r="V308" s="13" t="s">
        <v>1830</v>
      </c>
      <c r="W308" s="60">
        <f>+J308/$W$2</f>
        <v>7.3859753523058853E-3</v>
      </c>
    </row>
    <row r="309" spans="1:29">
      <c r="A309" s="13" t="s">
        <v>399</v>
      </c>
      <c r="B309" s="13" t="s">
        <v>675</v>
      </c>
      <c r="C309" s="145">
        <v>46183</v>
      </c>
      <c r="D309" s="145" t="s">
        <v>469</v>
      </c>
      <c r="E309" s="28">
        <v>0.98113022000000005</v>
      </c>
      <c r="F309" s="13"/>
      <c r="G309" s="18">
        <v>18466213.440000001</v>
      </c>
      <c r="H309" s="18">
        <v>18117760.100000001</v>
      </c>
      <c r="I309" s="18">
        <v>18466213.440000001</v>
      </c>
      <c r="J309" s="18">
        <v>18117760.100000001</v>
      </c>
      <c r="K309" s="15">
        <v>30012966</v>
      </c>
      <c r="L309" s="13" t="s">
        <v>117</v>
      </c>
      <c r="M309" s="13" t="s">
        <v>118</v>
      </c>
      <c r="N309" s="145" t="s">
        <v>460</v>
      </c>
      <c r="O309" s="145" t="s">
        <v>460</v>
      </c>
      <c r="P309" s="28">
        <v>26</v>
      </c>
      <c r="Q309" s="13" t="s">
        <v>54</v>
      </c>
      <c r="R309" s="13" t="s">
        <v>28</v>
      </c>
      <c r="S309" s="13"/>
      <c r="T309" s="13"/>
      <c r="U309" s="13" t="s">
        <v>1831</v>
      </c>
      <c r="V309" s="13" t="s">
        <v>1831</v>
      </c>
      <c r="W309" s="60">
        <f>+J309/$W$2</f>
        <v>4.7751246526638892E-4</v>
      </c>
    </row>
    <row r="310" spans="1:29">
      <c r="A310" s="13" t="s">
        <v>532</v>
      </c>
      <c r="B310" s="13" t="s">
        <v>675</v>
      </c>
      <c r="C310" s="145">
        <v>46183</v>
      </c>
      <c r="D310" s="145" t="s">
        <v>469</v>
      </c>
      <c r="E310" s="28">
        <v>0.97126140000000005</v>
      </c>
      <c r="F310" s="13"/>
      <c r="G310" s="18">
        <v>10000000</v>
      </c>
      <c r="H310" s="18">
        <v>9712614</v>
      </c>
      <c r="I310" s="18">
        <v>10000000</v>
      </c>
      <c r="J310" s="18">
        <v>9712614</v>
      </c>
      <c r="K310" s="15">
        <v>1341</v>
      </c>
      <c r="L310" s="13" t="s">
        <v>117</v>
      </c>
      <c r="M310" s="13" t="s">
        <v>118</v>
      </c>
      <c r="N310" s="145" t="s">
        <v>368</v>
      </c>
      <c r="O310" s="145" t="s">
        <v>368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542</v>
      </c>
      <c r="V310" s="13" t="s">
        <v>542</v>
      </c>
      <c r="W310" s="60">
        <f>+J310/$W$2</f>
        <v>2.5598607276629314E-4</v>
      </c>
    </row>
    <row r="311" spans="1:29">
      <c r="A311" s="13" t="s">
        <v>573</v>
      </c>
      <c r="B311" s="13" t="s">
        <v>675</v>
      </c>
      <c r="C311" s="145">
        <v>46183</v>
      </c>
      <c r="D311" s="145" t="s">
        <v>469</v>
      </c>
      <c r="E311" s="28">
        <v>0.97265906999999996</v>
      </c>
      <c r="F311" s="13"/>
      <c r="G311" s="18">
        <v>100000000</v>
      </c>
      <c r="H311" s="18">
        <v>97265907.049999997</v>
      </c>
      <c r="I311" s="18">
        <v>100000000</v>
      </c>
      <c r="J311" s="18">
        <v>97265907.049999997</v>
      </c>
      <c r="K311" s="15">
        <v>3257451</v>
      </c>
      <c r="L311" s="13" t="s">
        <v>117</v>
      </c>
      <c r="M311" s="13" t="s">
        <v>118</v>
      </c>
      <c r="N311" s="145" t="s">
        <v>388</v>
      </c>
      <c r="O311" s="145" t="s">
        <v>388</v>
      </c>
      <c r="P311" s="28">
        <v>38</v>
      </c>
      <c r="Q311" s="13" t="s">
        <v>54</v>
      </c>
      <c r="R311" s="13" t="s">
        <v>28</v>
      </c>
      <c r="S311" s="13"/>
      <c r="T311" s="13"/>
      <c r="U311" s="13" t="s">
        <v>731</v>
      </c>
      <c r="V311" s="13" t="s">
        <v>731</v>
      </c>
      <c r="W311" s="60">
        <f>+J311/$W$2</f>
        <v>2.5635444340504836E-3</v>
      </c>
      <c r="AC311" s="57"/>
    </row>
    <row r="312" spans="1:29">
      <c r="A312" s="13" t="s">
        <v>1764</v>
      </c>
      <c r="B312" s="13" t="s">
        <v>675</v>
      </c>
      <c r="C312" s="145">
        <v>46183</v>
      </c>
      <c r="D312" s="145" t="s">
        <v>469</v>
      </c>
      <c r="E312" s="28">
        <v>0.97970813999999995</v>
      </c>
      <c r="F312" s="13"/>
      <c r="G312" s="18">
        <v>5000000</v>
      </c>
      <c r="H312" s="18">
        <v>4898540.68</v>
      </c>
      <c r="I312" s="18">
        <v>5000000</v>
      </c>
      <c r="J312" s="18">
        <v>4898540.68</v>
      </c>
      <c r="K312" s="15">
        <v>6034639</v>
      </c>
      <c r="L312" s="13" t="s">
        <v>117</v>
      </c>
      <c r="M312" s="13" t="s">
        <v>118</v>
      </c>
      <c r="N312" s="145" t="s">
        <v>462</v>
      </c>
      <c r="O312" s="145" t="s">
        <v>462</v>
      </c>
      <c r="P312" s="28">
        <v>28</v>
      </c>
      <c r="Q312" s="13" t="s">
        <v>54</v>
      </c>
      <c r="R312" s="13" t="s">
        <v>28</v>
      </c>
      <c r="S312" s="13"/>
      <c r="T312" s="13"/>
      <c r="U312" s="13" t="s">
        <v>1718</v>
      </c>
      <c r="V312" s="13" t="s">
        <v>1718</v>
      </c>
      <c r="W312" s="60">
        <f>+J312/$W$2</f>
        <v>1.2910614907162243E-4</v>
      </c>
    </row>
    <row r="313" spans="1:29">
      <c r="A313" s="13" t="s">
        <v>780</v>
      </c>
      <c r="B313" s="13" t="s">
        <v>675</v>
      </c>
      <c r="C313" s="145">
        <v>46183</v>
      </c>
      <c r="D313" s="145" t="s">
        <v>469</v>
      </c>
      <c r="E313" s="28">
        <v>0.97056410999999998</v>
      </c>
      <c r="F313" s="13"/>
      <c r="G313" s="18">
        <v>13296076.83</v>
      </c>
      <c r="H313" s="18">
        <v>12904695.02</v>
      </c>
      <c r="I313" s="18">
        <v>13296076.83</v>
      </c>
      <c r="J313" s="18">
        <v>12904695.02</v>
      </c>
      <c r="K313" s="15">
        <v>30432</v>
      </c>
      <c r="L313" s="13" t="s">
        <v>117</v>
      </c>
      <c r="M313" s="13" t="s">
        <v>118</v>
      </c>
      <c r="N313" s="145" t="s">
        <v>291</v>
      </c>
      <c r="O313" s="145" t="s">
        <v>291</v>
      </c>
      <c r="P313" s="28">
        <v>41</v>
      </c>
      <c r="Q313" s="13" t="s">
        <v>54</v>
      </c>
      <c r="R313" s="13" t="s">
        <v>28</v>
      </c>
      <c r="S313" s="13"/>
      <c r="T313" s="13"/>
      <c r="U313" s="13" t="s">
        <v>904</v>
      </c>
      <c r="V313" s="13" t="s">
        <v>904</v>
      </c>
      <c r="W313" s="60">
        <f>+J313/$W$2</f>
        <v>3.4011669756633391E-4</v>
      </c>
    </row>
    <row r="314" spans="1:29">
      <c r="A314" s="13" t="s">
        <v>1101</v>
      </c>
      <c r="B314" s="13" t="s">
        <v>675</v>
      </c>
      <c r="C314" s="145">
        <v>46183</v>
      </c>
      <c r="D314" s="145" t="s">
        <v>469</v>
      </c>
      <c r="E314" s="28">
        <v>0.98184267000000003</v>
      </c>
      <c r="F314" s="13"/>
      <c r="G314" s="18">
        <v>996595</v>
      </c>
      <c r="H314" s="18">
        <v>978499.49</v>
      </c>
      <c r="I314" s="18">
        <v>996595</v>
      </c>
      <c r="J314" s="18">
        <v>978499.49</v>
      </c>
      <c r="K314" s="15">
        <v>14303478</v>
      </c>
      <c r="L314" s="13" t="s">
        <v>117</v>
      </c>
      <c r="M314" s="13" t="s">
        <v>118</v>
      </c>
      <c r="N314" s="145" t="s">
        <v>461</v>
      </c>
      <c r="O314" s="145" t="s">
        <v>461</v>
      </c>
      <c r="P314" s="28">
        <v>25</v>
      </c>
      <c r="Q314" s="13" t="s">
        <v>54</v>
      </c>
      <c r="R314" s="13" t="s">
        <v>28</v>
      </c>
      <c r="S314" s="13"/>
      <c r="T314" s="13"/>
      <c r="U314" s="13" t="s">
        <v>1142</v>
      </c>
      <c r="V314" s="13" t="s">
        <v>1142</v>
      </c>
      <c r="W314" s="60">
        <f>+J314/$W$2</f>
        <v>2.5789374688309523E-5</v>
      </c>
    </row>
    <row r="315" spans="1:29">
      <c r="A315" s="13" t="s">
        <v>1101</v>
      </c>
      <c r="B315" s="13" t="s">
        <v>675</v>
      </c>
      <c r="C315" s="145">
        <v>46183</v>
      </c>
      <c r="D315" s="145" t="s">
        <v>469</v>
      </c>
      <c r="E315" s="28">
        <v>0.98184265999999998</v>
      </c>
      <c r="F315" s="13"/>
      <c r="G315" s="18">
        <v>696310</v>
      </c>
      <c r="H315" s="18">
        <v>683666.86</v>
      </c>
      <c r="I315" s="18">
        <v>696310</v>
      </c>
      <c r="J315" s="18">
        <v>683666.86</v>
      </c>
      <c r="K315" s="15">
        <v>16303475</v>
      </c>
      <c r="L315" s="13" t="s">
        <v>117</v>
      </c>
      <c r="M315" s="13" t="s">
        <v>118</v>
      </c>
      <c r="N315" s="145" t="s">
        <v>461</v>
      </c>
      <c r="O315" s="145" t="s">
        <v>461</v>
      </c>
      <c r="P315" s="28">
        <v>25</v>
      </c>
      <c r="Q315" s="13" t="s">
        <v>54</v>
      </c>
      <c r="R315" s="13" t="s">
        <v>28</v>
      </c>
      <c r="S315" s="13"/>
      <c r="T315" s="13"/>
      <c r="U315" s="13" t="s">
        <v>1143</v>
      </c>
      <c r="V315" s="13" t="s">
        <v>1143</v>
      </c>
      <c r="W315" s="60">
        <f>+J315/$W$2</f>
        <v>1.8018753197837693E-5</v>
      </c>
    </row>
    <row r="316" spans="1:29">
      <c r="A316" s="13" t="s">
        <v>1101</v>
      </c>
      <c r="B316" s="13" t="s">
        <v>675</v>
      </c>
      <c r="C316" s="145">
        <v>46183</v>
      </c>
      <c r="D316" s="145" t="s">
        <v>469</v>
      </c>
      <c r="E316" s="28">
        <v>0.98184267000000003</v>
      </c>
      <c r="F316" s="13"/>
      <c r="G316" s="18">
        <v>643398.03</v>
      </c>
      <c r="H316" s="18">
        <v>631715.64</v>
      </c>
      <c r="I316" s="18">
        <v>643398.03</v>
      </c>
      <c r="J316" s="18">
        <v>631715.64</v>
      </c>
      <c r="K316" s="15">
        <v>383</v>
      </c>
      <c r="L316" s="13" t="s">
        <v>117</v>
      </c>
      <c r="M316" s="13" t="s">
        <v>118</v>
      </c>
      <c r="N316" s="145" t="s">
        <v>461</v>
      </c>
      <c r="O316" s="145" t="s">
        <v>461</v>
      </c>
      <c r="P316" s="28">
        <v>25</v>
      </c>
      <c r="Q316" s="13" t="s">
        <v>54</v>
      </c>
      <c r="R316" s="13" t="s">
        <v>28</v>
      </c>
      <c r="S316" s="13"/>
      <c r="T316" s="13"/>
      <c r="U316" s="13" t="s">
        <v>1144</v>
      </c>
      <c r="V316" s="13" t="s">
        <v>1144</v>
      </c>
      <c r="W316" s="60">
        <f>+J316/$W$2</f>
        <v>1.6649524606727443E-5</v>
      </c>
    </row>
    <row r="317" spans="1:29">
      <c r="A317" s="13" t="s">
        <v>1101</v>
      </c>
      <c r="B317" s="13" t="s">
        <v>675</v>
      </c>
      <c r="C317" s="145">
        <v>46183</v>
      </c>
      <c r="D317" s="145" t="s">
        <v>469</v>
      </c>
      <c r="E317" s="28">
        <v>0.98184269000000002</v>
      </c>
      <c r="F317" s="13"/>
      <c r="G317" s="18">
        <v>186067</v>
      </c>
      <c r="H317" s="18">
        <v>182688.52</v>
      </c>
      <c r="I317" s="18">
        <v>186067</v>
      </c>
      <c r="J317" s="18">
        <v>182688.52</v>
      </c>
      <c r="K317" s="15">
        <v>135</v>
      </c>
      <c r="L317" s="13" t="s">
        <v>117</v>
      </c>
      <c r="M317" s="13" t="s">
        <v>118</v>
      </c>
      <c r="N317" s="145" t="s">
        <v>461</v>
      </c>
      <c r="O317" s="145" t="s">
        <v>461</v>
      </c>
      <c r="P317" s="28">
        <v>25</v>
      </c>
      <c r="Q317" s="13" t="s">
        <v>54</v>
      </c>
      <c r="R317" s="13" t="s">
        <v>28</v>
      </c>
      <c r="S317" s="13"/>
      <c r="T317" s="13"/>
      <c r="U317" s="13" t="s">
        <v>1145</v>
      </c>
      <c r="V317" s="13" t="s">
        <v>1145</v>
      </c>
      <c r="W317" s="60">
        <f>+J317/$W$2</f>
        <v>4.8149464988813922E-6</v>
      </c>
    </row>
    <row r="318" spans="1:29">
      <c r="A318" s="13" t="s">
        <v>1101</v>
      </c>
      <c r="B318" s="13" t="s">
        <v>675</v>
      </c>
      <c r="C318" s="145">
        <v>46183</v>
      </c>
      <c r="D318" s="145" t="s">
        <v>469</v>
      </c>
      <c r="E318" s="28">
        <v>0.98184263999999999</v>
      </c>
      <c r="F318" s="13"/>
      <c r="G318" s="18">
        <v>137605.5</v>
      </c>
      <c r="H318" s="18">
        <v>135106.95000000001</v>
      </c>
      <c r="I318" s="18">
        <v>137605.5</v>
      </c>
      <c r="J318" s="18">
        <v>135106.95000000001</v>
      </c>
      <c r="K318" s="15">
        <v>45</v>
      </c>
      <c r="L318" s="13" t="s">
        <v>117</v>
      </c>
      <c r="M318" s="13" t="s">
        <v>118</v>
      </c>
      <c r="N318" s="145" t="s">
        <v>461</v>
      </c>
      <c r="O318" s="145" t="s">
        <v>461</v>
      </c>
      <c r="P318" s="28">
        <v>25</v>
      </c>
      <c r="Q318" s="13" t="s">
        <v>54</v>
      </c>
      <c r="R318" s="13" t="s">
        <v>28</v>
      </c>
      <c r="S318" s="13"/>
      <c r="T318" s="13"/>
      <c r="U318" s="13" t="s">
        <v>1146</v>
      </c>
      <c r="V318" s="13" t="s">
        <v>1146</v>
      </c>
      <c r="W318" s="60">
        <f>+J318/$W$2</f>
        <v>3.5608845913089855E-6</v>
      </c>
    </row>
    <row r="319" spans="1:29">
      <c r="A319" s="13" t="s">
        <v>1101</v>
      </c>
      <c r="B319" s="13" t="s">
        <v>675</v>
      </c>
      <c r="C319" s="145">
        <v>46183</v>
      </c>
      <c r="D319" s="145" t="s">
        <v>469</v>
      </c>
      <c r="E319" s="28">
        <v>0.98184269000000002</v>
      </c>
      <c r="F319" s="13"/>
      <c r="G319" s="18">
        <v>577850.63</v>
      </c>
      <c r="H319" s="18">
        <v>567358.42000000004</v>
      </c>
      <c r="I319" s="18">
        <v>577850.63</v>
      </c>
      <c r="J319" s="18">
        <v>567358.42000000004</v>
      </c>
      <c r="K319" s="15">
        <v>4446</v>
      </c>
      <c r="L319" s="13" t="s">
        <v>117</v>
      </c>
      <c r="M319" s="13" t="s">
        <v>118</v>
      </c>
      <c r="N319" s="145" t="s">
        <v>461</v>
      </c>
      <c r="O319" s="145" t="s">
        <v>461</v>
      </c>
      <c r="P319" s="28">
        <v>25</v>
      </c>
      <c r="Q319" s="13" t="s">
        <v>54</v>
      </c>
      <c r="R319" s="13" t="s">
        <v>28</v>
      </c>
      <c r="S319" s="13"/>
      <c r="T319" s="13"/>
      <c r="U319" s="13" t="s">
        <v>1147</v>
      </c>
      <c r="V319" s="13" t="s">
        <v>1147</v>
      </c>
      <c r="W319" s="60">
        <f>+J319/$W$2</f>
        <v>1.4953322945469583E-5</v>
      </c>
    </row>
    <row r="320" spans="1:29">
      <c r="A320" s="13" t="s">
        <v>1101</v>
      </c>
      <c r="B320" s="13" t="s">
        <v>675</v>
      </c>
      <c r="C320" s="145">
        <v>46183</v>
      </c>
      <c r="D320" s="145" t="s">
        <v>469</v>
      </c>
      <c r="E320" s="28">
        <v>0.98184265999999998</v>
      </c>
      <c r="F320" s="13"/>
      <c r="G320" s="18">
        <v>325760.8</v>
      </c>
      <c r="H320" s="18">
        <v>319845.84999999998</v>
      </c>
      <c r="I320" s="18">
        <v>325760.8</v>
      </c>
      <c r="J320" s="18">
        <v>319845.84999999998</v>
      </c>
      <c r="K320" s="15">
        <v>46</v>
      </c>
      <c r="L320" s="13" t="s">
        <v>117</v>
      </c>
      <c r="M320" s="13" t="s">
        <v>118</v>
      </c>
      <c r="N320" s="145" t="s">
        <v>461</v>
      </c>
      <c r="O320" s="145" t="s">
        <v>461</v>
      </c>
      <c r="P320" s="28">
        <v>25</v>
      </c>
      <c r="Q320" s="13" t="s">
        <v>54</v>
      </c>
      <c r="R320" s="13" t="s">
        <v>28</v>
      </c>
      <c r="S320" s="13"/>
      <c r="T320" s="13"/>
      <c r="U320" s="13" t="s">
        <v>1148</v>
      </c>
      <c r="V320" s="13" t="s">
        <v>1148</v>
      </c>
      <c r="W320" s="60">
        <f>+J320/$W$2</f>
        <v>8.4298709937506919E-6</v>
      </c>
    </row>
    <row r="321" spans="1:29">
      <c r="A321" s="13" t="s">
        <v>1101</v>
      </c>
      <c r="B321" s="13" t="s">
        <v>675</v>
      </c>
      <c r="C321" s="145">
        <v>46183</v>
      </c>
      <c r="D321" s="145" t="s">
        <v>469</v>
      </c>
      <c r="E321" s="28">
        <v>0.98184271000000001</v>
      </c>
      <c r="F321" s="13"/>
      <c r="G321" s="18">
        <v>113740</v>
      </c>
      <c r="H321" s="18">
        <v>111674.79</v>
      </c>
      <c r="I321" s="18">
        <v>113740</v>
      </c>
      <c r="J321" s="18">
        <v>111674.79</v>
      </c>
      <c r="K321" s="15">
        <v>14903483</v>
      </c>
      <c r="L321" s="13" t="s">
        <v>117</v>
      </c>
      <c r="M321" s="13" t="s">
        <v>118</v>
      </c>
      <c r="N321" s="145" t="s">
        <v>461</v>
      </c>
      <c r="O321" s="145" t="s">
        <v>461</v>
      </c>
      <c r="P321" s="28">
        <v>25</v>
      </c>
      <c r="Q321" s="13" t="s">
        <v>54</v>
      </c>
      <c r="R321" s="13" t="s">
        <v>28</v>
      </c>
      <c r="S321" s="13"/>
      <c r="T321" s="13"/>
      <c r="U321" s="13" t="s">
        <v>1149</v>
      </c>
      <c r="V321" s="13" t="s">
        <v>1149</v>
      </c>
      <c r="W321" s="60">
        <f>+J321/$W$2</f>
        <v>2.9433055734635913E-6</v>
      </c>
      <c r="AC321" s="57"/>
    </row>
    <row r="322" spans="1:29">
      <c r="A322" s="13" t="s">
        <v>780</v>
      </c>
      <c r="B322" s="13" t="s">
        <v>675</v>
      </c>
      <c r="C322" s="145">
        <v>46183</v>
      </c>
      <c r="D322" s="145" t="s">
        <v>469</v>
      </c>
      <c r="E322" s="28">
        <v>0.97056410999999998</v>
      </c>
      <c r="F322" s="13"/>
      <c r="G322" s="18">
        <v>10918371.689999999</v>
      </c>
      <c r="H322" s="18">
        <v>10596979.720000001</v>
      </c>
      <c r="I322" s="18">
        <v>10918371.689999999</v>
      </c>
      <c r="J322" s="18">
        <v>10596979.720000001</v>
      </c>
      <c r="K322" s="15">
        <v>30452</v>
      </c>
      <c r="L322" s="13" t="s">
        <v>117</v>
      </c>
      <c r="M322" s="13" t="s">
        <v>118</v>
      </c>
      <c r="N322" s="145" t="s">
        <v>291</v>
      </c>
      <c r="O322" s="145" t="s">
        <v>291</v>
      </c>
      <c r="P322" s="28">
        <v>41</v>
      </c>
      <c r="Q322" s="13" t="s">
        <v>54</v>
      </c>
      <c r="R322" s="13" t="s">
        <v>28</v>
      </c>
      <c r="S322" s="13"/>
      <c r="T322" s="13"/>
      <c r="U322" s="13" t="s">
        <v>887</v>
      </c>
      <c r="V322" s="13" t="s">
        <v>887</v>
      </c>
      <c r="W322" s="60">
        <f>+J322/$W$2</f>
        <v>2.7929445375949799E-4</v>
      </c>
      <c r="AC322" s="57"/>
    </row>
    <row r="323" spans="1:29">
      <c r="A323" s="13" t="s">
        <v>550</v>
      </c>
      <c r="B323" s="13" t="s">
        <v>675</v>
      </c>
      <c r="C323" s="145">
        <v>46183</v>
      </c>
      <c r="D323" s="145" t="s">
        <v>469</v>
      </c>
      <c r="E323" s="28">
        <v>0.97056410999999998</v>
      </c>
      <c r="F323" s="13"/>
      <c r="G323" s="18">
        <v>20000000</v>
      </c>
      <c r="H323" s="18">
        <v>19411282.27</v>
      </c>
      <c r="I323" s="18">
        <v>20000000</v>
      </c>
      <c r="J323" s="18">
        <v>19411282.27</v>
      </c>
      <c r="K323" s="15">
        <v>13318415</v>
      </c>
      <c r="L323" s="13" t="s">
        <v>117</v>
      </c>
      <c r="M323" s="13" t="s">
        <v>118</v>
      </c>
      <c r="N323" s="145" t="s">
        <v>291</v>
      </c>
      <c r="O323" s="145" t="s">
        <v>291</v>
      </c>
      <c r="P323" s="28">
        <v>41</v>
      </c>
      <c r="Q323" s="13" t="s">
        <v>54</v>
      </c>
      <c r="R323" s="13" t="s">
        <v>28</v>
      </c>
      <c r="S323" s="13"/>
      <c r="T323" s="13"/>
      <c r="U323" s="13" t="s">
        <v>869</v>
      </c>
      <c r="V323" s="13" t="s">
        <v>869</v>
      </c>
      <c r="W323" s="60">
        <f>+J323/$W$2</f>
        <v>5.1160459127226469E-4</v>
      </c>
    </row>
    <row r="324" spans="1:29">
      <c r="A324" s="13" t="s">
        <v>196</v>
      </c>
      <c r="B324" s="13" t="s">
        <v>675</v>
      </c>
      <c r="C324" s="145">
        <v>46183</v>
      </c>
      <c r="D324" s="145" t="s">
        <v>469</v>
      </c>
      <c r="E324" s="28">
        <v>0.97406066999999996</v>
      </c>
      <c r="F324" s="13"/>
      <c r="G324" s="18">
        <v>5000000</v>
      </c>
      <c r="H324" s="18">
        <v>4870303.37</v>
      </c>
      <c r="I324" s="18">
        <v>5000000</v>
      </c>
      <c r="J324" s="18">
        <v>4870303.37</v>
      </c>
      <c r="K324" s="15">
        <v>13420540</v>
      </c>
      <c r="L324" s="13" t="s">
        <v>117</v>
      </c>
      <c r="M324" s="13" t="s">
        <v>118</v>
      </c>
      <c r="N324" s="145" t="s">
        <v>442</v>
      </c>
      <c r="O324" s="145" t="s">
        <v>442</v>
      </c>
      <c r="P324" s="28">
        <v>36</v>
      </c>
      <c r="Q324" s="13" t="s">
        <v>54</v>
      </c>
      <c r="R324" s="13" t="s">
        <v>28</v>
      </c>
      <c r="S324" s="13"/>
      <c r="T324" s="13"/>
      <c r="U324" s="13" t="s">
        <v>987</v>
      </c>
      <c r="V324" s="13" t="s">
        <v>987</v>
      </c>
      <c r="W324" s="60">
        <f>+J324/$W$2</f>
        <v>1.283619253134885E-4</v>
      </c>
    </row>
    <row r="325" spans="1:29">
      <c r="A325" s="13" t="s">
        <v>1509</v>
      </c>
      <c r="B325" s="13" t="s">
        <v>675</v>
      </c>
      <c r="C325" s="145">
        <v>46184</v>
      </c>
      <c r="D325" s="145" t="s">
        <v>469</v>
      </c>
      <c r="E325" s="28">
        <v>0.97167506999999997</v>
      </c>
      <c r="F325" s="13"/>
      <c r="G325" s="18">
        <v>6000000</v>
      </c>
      <c r="H325" s="18">
        <v>5830050.4400000004</v>
      </c>
      <c r="I325" s="18">
        <v>6000000</v>
      </c>
      <c r="J325" s="18">
        <v>5830050.4400000004</v>
      </c>
      <c r="K325" s="15">
        <v>90025542</v>
      </c>
      <c r="L325" s="13" t="s">
        <v>117</v>
      </c>
      <c r="M325" s="13" t="s">
        <v>118</v>
      </c>
      <c r="N325" s="145" t="s">
        <v>411</v>
      </c>
      <c r="O325" s="145" t="s">
        <v>411</v>
      </c>
      <c r="P325" s="28">
        <v>38</v>
      </c>
      <c r="Q325" s="13" t="s">
        <v>54</v>
      </c>
      <c r="R325" s="13" t="s">
        <v>28</v>
      </c>
      <c r="S325" s="13"/>
      <c r="T325" s="13"/>
      <c r="U325" s="13" t="s">
        <v>1496</v>
      </c>
      <c r="V325" s="13" t="s">
        <v>1496</v>
      </c>
      <c r="W325" s="60">
        <f>+J325/$W$2</f>
        <v>1.5365706041288159E-4</v>
      </c>
    </row>
    <row r="326" spans="1:29">
      <c r="A326" s="13" t="s">
        <v>734</v>
      </c>
      <c r="B326" s="13" t="s">
        <v>675</v>
      </c>
      <c r="C326" s="145">
        <v>46184</v>
      </c>
      <c r="D326" s="145" t="s">
        <v>469</v>
      </c>
      <c r="E326" s="28">
        <v>0.96591528000000004</v>
      </c>
      <c r="F326" s="13"/>
      <c r="G326" s="18">
        <v>42000000</v>
      </c>
      <c r="H326" s="18">
        <v>40568441.579999998</v>
      </c>
      <c r="I326" s="18">
        <v>42000000</v>
      </c>
      <c r="J326" s="18">
        <v>40568441.579999998</v>
      </c>
      <c r="K326" s="15">
        <v>145438</v>
      </c>
      <c r="L326" s="13" t="s">
        <v>117</v>
      </c>
      <c r="M326" s="13" t="s">
        <v>118</v>
      </c>
      <c r="N326" s="145" t="s">
        <v>386</v>
      </c>
      <c r="O326" s="145" t="s">
        <v>386</v>
      </c>
      <c r="P326" s="28">
        <v>46</v>
      </c>
      <c r="Q326" s="13" t="s">
        <v>54</v>
      </c>
      <c r="R326" s="13" t="s">
        <v>28</v>
      </c>
      <c r="S326" s="13"/>
      <c r="T326" s="13"/>
      <c r="U326" s="13" t="s">
        <v>1019</v>
      </c>
      <c r="V326" s="13" t="s">
        <v>1019</v>
      </c>
      <c r="W326" s="60">
        <f>+J326/$W$2</f>
        <v>1.0692235929805295E-3</v>
      </c>
    </row>
    <row r="327" spans="1:29">
      <c r="A327" s="13" t="s">
        <v>730</v>
      </c>
      <c r="B327" s="13" t="s">
        <v>675</v>
      </c>
      <c r="C327" s="145">
        <v>46184</v>
      </c>
      <c r="D327" s="145" t="s">
        <v>469</v>
      </c>
      <c r="E327" s="28">
        <v>0.96878666999999996</v>
      </c>
      <c r="F327" s="13"/>
      <c r="G327" s="18">
        <v>19618198</v>
      </c>
      <c r="H327" s="18">
        <v>19005848.649999999</v>
      </c>
      <c r="I327" s="18">
        <v>19618198</v>
      </c>
      <c r="J327" s="18">
        <v>19005848.649999999</v>
      </c>
      <c r="K327" s="15">
        <v>98808324</v>
      </c>
      <c r="L327" s="13" t="s">
        <v>117</v>
      </c>
      <c r="M327" s="13" t="s">
        <v>118</v>
      </c>
      <c r="N327" s="145" t="s">
        <v>462</v>
      </c>
      <c r="O327" s="145" t="s">
        <v>462</v>
      </c>
      <c r="P327" s="28">
        <v>42</v>
      </c>
      <c r="Q327" s="13" t="s">
        <v>54</v>
      </c>
      <c r="R327" s="13" t="s">
        <v>28</v>
      </c>
      <c r="S327" s="13"/>
      <c r="T327" s="13"/>
      <c r="U327" s="13" t="s">
        <v>1754</v>
      </c>
      <c r="V327" s="13" t="s">
        <v>1754</v>
      </c>
      <c r="W327" s="60">
        <f>+J327/$W$2</f>
        <v>5.0091896532736236E-4</v>
      </c>
    </row>
    <row r="328" spans="1:29">
      <c r="A328" s="13" t="s">
        <v>201</v>
      </c>
      <c r="B328" s="13" t="s">
        <v>675</v>
      </c>
      <c r="C328" s="145">
        <v>46184</v>
      </c>
      <c r="D328" s="145" t="s">
        <v>469</v>
      </c>
      <c r="E328" s="28">
        <v>0.96591517000000005</v>
      </c>
      <c r="F328" s="13"/>
      <c r="G328" s="18">
        <v>20000000</v>
      </c>
      <c r="H328" s="18">
        <v>19318303.449999999</v>
      </c>
      <c r="I328" s="18">
        <v>20000000</v>
      </c>
      <c r="J328" s="18">
        <v>19318303.449999999</v>
      </c>
      <c r="K328" s="15">
        <v>3979</v>
      </c>
      <c r="L328" s="13" t="s">
        <v>117</v>
      </c>
      <c r="M328" s="13" t="s">
        <v>118</v>
      </c>
      <c r="N328" s="145" t="s">
        <v>302</v>
      </c>
      <c r="O328" s="145" t="s">
        <v>302</v>
      </c>
      <c r="P328" s="28">
        <v>46</v>
      </c>
      <c r="Q328" s="13" t="s">
        <v>54</v>
      </c>
      <c r="R328" s="13" t="s">
        <v>28</v>
      </c>
      <c r="S328" s="13"/>
      <c r="T328" s="13"/>
      <c r="U328" s="13" t="s">
        <v>630</v>
      </c>
      <c r="V328" s="13" t="s">
        <v>630</v>
      </c>
      <c r="W328" s="60">
        <f>+J328/$W$2</f>
        <v>5.0915403748908708E-4</v>
      </c>
    </row>
    <row r="329" spans="1:29">
      <c r="A329" s="13" t="s">
        <v>951</v>
      </c>
      <c r="B329" s="13" t="s">
        <v>675</v>
      </c>
      <c r="C329" s="145">
        <v>46184</v>
      </c>
      <c r="D329" s="145" t="s">
        <v>469</v>
      </c>
      <c r="E329" s="28">
        <v>0.97750413000000003</v>
      </c>
      <c r="F329" s="13"/>
      <c r="G329" s="18">
        <v>213099761.59999999</v>
      </c>
      <c r="H329" s="18">
        <v>208305896.77000001</v>
      </c>
      <c r="I329" s="18">
        <v>213099761.59999999</v>
      </c>
      <c r="J329" s="18">
        <v>208305896.77000001</v>
      </c>
      <c r="K329" s="15">
        <v>30004140</v>
      </c>
      <c r="L329" s="13" t="s">
        <v>117</v>
      </c>
      <c r="M329" s="13" t="s">
        <v>118</v>
      </c>
      <c r="N329" s="145" t="s">
        <v>390</v>
      </c>
      <c r="O329" s="145" t="s">
        <v>390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946</v>
      </c>
      <c r="V329" s="13" t="s">
        <v>946</v>
      </c>
      <c r="W329" s="60">
        <f>+J329/$W$2</f>
        <v>5.4901191840026967E-3</v>
      </c>
    </row>
    <row r="330" spans="1:29">
      <c r="A330" s="13" t="s">
        <v>951</v>
      </c>
      <c r="B330" s="13" t="s">
        <v>675</v>
      </c>
      <c r="C330" s="145">
        <v>46184</v>
      </c>
      <c r="D330" s="145" t="s">
        <v>469</v>
      </c>
      <c r="E330" s="28">
        <v>0.97750413000000003</v>
      </c>
      <c r="F330" s="13"/>
      <c r="G330" s="18">
        <v>8834999.9700000007</v>
      </c>
      <c r="H330" s="18">
        <v>8636248.9499999993</v>
      </c>
      <c r="I330" s="18">
        <v>8834999.9700000007</v>
      </c>
      <c r="J330" s="18">
        <v>8636248.9499999993</v>
      </c>
      <c r="K330" s="15">
        <v>30004135</v>
      </c>
      <c r="L330" s="13" t="s">
        <v>117</v>
      </c>
      <c r="M330" s="13" t="s">
        <v>118</v>
      </c>
      <c r="N330" s="145" t="s">
        <v>390</v>
      </c>
      <c r="O330" s="145" t="s">
        <v>390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947</v>
      </c>
      <c r="V330" s="13" t="s">
        <v>947</v>
      </c>
      <c r="W330" s="60">
        <f>+J330/$W$2</f>
        <v>2.2761734916496449E-4</v>
      </c>
    </row>
    <row r="331" spans="1:29">
      <c r="A331" s="13" t="s">
        <v>538</v>
      </c>
      <c r="B331" s="13" t="s">
        <v>675</v>
      </c>
      <c r="C331" s="145">
        <v>46184</v>
      </c>
      <c r="D331" s="145" t="s">
        <v>469</v>
      </c>
      <c r="E331" s="28">
        <v>0.96950705000000004</v>
      </c>
      <c r="F331" s="13"/>
      <c r="G331" s="18">
        <v>18208333</v>
      </c>
      <c r="H331" s="18">
        <v>17653107.27</v>
      </c>
      <c r="I331" s="18">
        <v>18208333</v>
      </c>
      <c r="J331" s="18">
        <v>17653107.27</v>
      </c>
      <c r="K331" s="15">
        <v>1976</v>
      </c>
      <c r="L331" s="13" t="s">
        <v>117</v>
      </c>
      <c r="M331" s="13" t="s">
        <v>118</v>
      </c>
      <c r="N331" s="145" t="s">
        <v>305</v>
      </c>
      <c r="O331" s="145" t="s">
        <v>305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534</v>
      </c>
      <c r="V331" s="13" t="s">
        <v>534</v>
      </c>
      <c r="W331" s="60">
        <f>+J331/$W$2</f>
        <v>4.652660552730087E-4</v>
      </c>
    </row>
    <row r="332" spans="1:29">
      <c r="A332" s="13" t="s">
        <v>662</v>
      </c>
      <c r="B332" s="13" t="s">
        <v>675</v>
      </c>
      <c r="C332" s="145">
        <v>46184</v>
      </c>
      <c r="D332" s="145" t="s">
        <v>469</v>
      </c>
      <c r="E332" s="28">
        <v>0.97167508999999996</v>
      </c>
      <c r="F332" s="13"/>
      <c r="G332" s="18">
        <v>438000000</v>
      </c>
      <c r="H332" s="18">
        <v>425593691.56999999</v>
      </c>
      <c r="I332" s="18">
        <v>438000000</v>
      </c>
      <c r="J332" s="18">
        <v>425593691.56999999</v>
      </c>
      <c r="K332" s="15">
        <v>171</v>
      </c>
      <c r="L332" s="13" t="s">
        <v>117</v>
      </c>
      <c r="M332" s="13" t="s">
        <v>118</v>
      </c>
      <c r="N332" s="145" t="s">
        <v>304</v>
      </c>
      <c r="O332" s="145" t="s">
        <v>304</v>
      </c>
      <c r="P332" s="28">
        <v>38</v>
      </c>
      <c r="Q332" s="13" t="s">
        <v>54</v>
      </c>
      <c r="R332" s="13" t="s">
        <v>28</v>
      </c>
      <c r="S332" s="13"/>
      <c r="T332" s="13"/>
      <c r="U332" s="13" t="s">
        <v>661</v>
      </c>
      <c r="V332" s="13" t="s">
        <v>661</v>
      </c>
      <c r="W332" s="60">
        <f>+J332/$W$2</f>
        <v>1.1216965659204962E-2</v>
      </c>
    </row>
    <row r="333" spans="1:29">
      <c r="A333" s="13" t="s">
        <v>406</v>
      </c>
      <c r="B333" s="13" t="s">
        <v>675</v>
      </c>
      <c r="C333" s="145">
        <v>46184</v>
      </c>
      <c r="D333" s="145" t="s">
        <v>469</v>
      </c>
      <c r="E333" s="28">
        <v>0.97385279999999996</v>
      </c>
      <c r="F333" s="13"/>
      <c r="G333" s="18">
        <v>5000000</v>
      </c>
      <c r="H333" s="18">
        <v>4869264</v>
      </c>
      <c r="I333" s="18">
        <v>5000000</v>
      </c>
      <c r="J333" s="18">
        <v>4869264</v>
      </c>
      <c r="K333" s="15">
        <v>90000052</v>
      </c>
      <c r="L333" s="13" t="s">
        <v>117</v>
      </c>
      <c r="M333" s="13" t="s">
        <v>118</v>
      </c>
      <c r="N333" s="145" t="s">
        <v>304</v>
      </c>
      <c r="O333" s="145" t="s">
        <v>304</v>
      </c>
      <c r="P333" s="28">
        <v>35</v>
      </c>
      <c r="Q333" s="13" t="s">
        <v>54</v>
      </c>
      <c r="R333" s="13" t="s">
        <v>28</v>
      </c>
      <c r="S333" s="13"/>
      <c r="T333" s="13"/>
      <c r="U333" s="13" t="s">
        <v>650</v>
      </c>
      <c r="V333" s="13" t="s">
        <v>650</v>
      </c>
      <c r="W333" s="60">
        <f>+J333/$W$2</f>
        <v>1.283345316330178E-4</v>
      </c>
    </row>
    <row r="334" spans="1:29">
      <c r="A334" s="13" t="s">
        <v>1330</v>
      </c>
      <c r="B334" s="13" t="s">
        <v>675</v>
      </c>
      <c r="C334" s="145">
        <v>46184</v>
      </c>
      <c r="D334" s="145" t="s">
        <v>469</v>
      </c>
      <c r="E334" s="28">
        <v>0.97970805000000005</v>
      </c>
      <c r="F334" s="13"/>
      <c r="G334" s="18">
        <v>15200000</v>
      </c>
      <c r="H334" s="18">
        <v>14891562.390000001</v>
      </c>
      <c r="I334" s="18">
        <v>15200000</v>
      </c>
      <c r="J334" s="18">
        <v>14891562.390000001</v>
      </c>
      <c r="K334" s="15">
        <v>2599</v>
      </c>
      <c r="L334" s="13" t="s">
        <v>117</v>
      </c>
      <c r="M334" s="13" t="s">
        <v>118</v>
      </c>
      <c r="N334" s="145" t="s">
        <v>428</v>
      </c>
      <c r="O334" s="145" t="s">
        <v>428</v>
      </c>
      <c r="P334" s="28">
        <v>27</v>
      </c>
      <c r="Q334" s="13" t="s">
        <v>54</v>
      </c>
      <c r="R334" s="13" t="s">
        <v>28</v>
      </c>
      <c r="S334" s="13"/>
      <c r="T334" s="13"/>
      <c r="U334" s="13" t="s">
        <v>1676</v>
      </c>
      <c r="V334" s="13" t="s">
        <v>1676</v>
      </c>
      <c r="W334" s="60">
        <f>+J334/$W$2</f>
        <v>3.9248265951579401E-4</v>
      </c>
    </row>
    <row r="335" spans="1:29">
      <c r="A335" s="13" t="s">
        <v>376</v>
      </c>
      <c r="B335" s="13" t="s">
        <v>675</v>
      </c>
      <c r="C335" s="145">
        <v>46184</v>
      </c>
      <c r="D335" s="145" t="s">
        <v>469</v>
      </c>
      <c r="E335" s="28">
        <v>0.96878668999999995</v>
      </c>
      <c r="F335" s="13"/>
      <c r="G335" s="18">
        <v>17368953.050000001</v>
      </c>
      <c r="H335" s="18">
        <v>16826810.539999999</v>
      </c>
      <c r="I335" s="18">
        <v>17368953.050000001</v>
      </c>
      <c r="J335" s="18">
        <v>16826810.539999999</v>
      </c>
      <c r="K335" s="15">
        <v>5108</v>
      </c>
      <c r="L335" s="13" t="s">
        <v>117</v>
      </c>
      <c r="M335" s="13" t="s">
        <v>118</v>
      </c>
      <c r="N335" s="145" t="s">
        <v>457</v>
      </c>
      <c r="O335" s="145" t="s">
        <v>457</v>
      </c>
      <c r="P335" s="28">
        <v>42</v>
      </c>
      <c r="Q335" s="13" t="s">
        <v>54</v>
      </c>
      <c r="R335" s="13" t="s">
        <v>28</v>
      </c>
      <c r="S335" s="13"/>
      <c r="T335" s="13"/>
      <c r="U335" s="13" t="s">
        <v>1538</v>
      </c>
      <c r="V335" s="13" t="s">
        <v>1538</v>
      </c>
      <c r="W335" s="60">
        <f>+J335/$W$2</f>
        <v>4.4348814308043831E-4</v>
      </c>
    </row>
    <row r="336" spans="1:29">
      <c r="A336" s="13" t="s">
        <v>1764</v>
      </c>
      <c r="B336" s="13" t="s">
        <v>675</v>
      </c>
      <c r="C336" s="145">
        <v>46184</v>
      </c>
      <c r="D336" s="145" t="s">
        <v>469</v>
      </c>
      <c r="E336" s="28">
        <v>0.97897232999999995</v>
      </c>
      <c r="F336" s="13"/>
      <c r="G336" s="18">
        <v>5000000</v>
      </c>
      <c r="H336" s="18">
        <v>4894861.6500000004</v>
      </c>
      <c r="I336" s="18">
        <v>5000000</v>
      </c>
      <c r="J336" s="18">
        <v>4894861.6500000004</v>
      </c>
      <c r="K336" s="15">
        <v>6034640</v>
      </c>
      <c r="L336" s="13" t="s">
        <v>117</v>
      </c>
      <c r="M336" s="13" t="s">
        <v>118</v>
      </c>
      <c r="N336" s="145" t="s">
        <v>462</v>
      </c>
      <c r="O336" s="145" t="s">
        <v>462</v>
      </c>
      <c r="P336" s="28">
        <v>28</v>
      </c>
      <c r="Q336" s="13" t="s">
        <v>54</v>
      </c>
      <c r="R336" s="13" t="s">
        <v>28</v>
      </c>
      <c r="S336" s="13"/>
      <c r="T336" s="13"/>
      <c r="U336" s="13" t="s">
        <v>1719</v>
      </c>
      <c r="V336" s="13" t="s">
        <v>1719</v>
      </c>
      <c r="W336" s="60">
        <f>+J336/$W$2</f>
        <v>1.2900918439853965E-4</v>
      </c>
      <c r="AC336" s="57"/>
    </row>
    <row r="337" spans="1:29">
      <c r="A337" s="13" t="s">
        <v>1101</v>
      </c>
      <c r="B337" s="13" t="s">
        <v>675</v>
      </c>
      <c r="C337" s="145">
        <v>46184</v>
      </c>
      <c r="D337" s="145" t="s">
        <v>469</v>
      </c>
      <c r="E337" s="28">
        <v>0.98118285000000005</v>
      </c>
      <c r="F337" s="13"/>
      <c r="G337" s="18">
        <v>321666.46000000002</v>
      </c>
      <c r="H337" s="18">
        <v>315613.61</v>
      </c>
      <c r="I337" s="18">
        <v>321666.46000000002</v>
      </c>
      <c r="J337" s="18">
        <v>315613.61</v>
      </c>
      <c r="K337" s="15">
        <v>762</v>
      </c>
      <c r="L337" s="13" t="s">
        <v>117</v>
      </c>
      <c r="M337" s="13" t="s">
        <v>118</v>
      </c>
      <c r="N337" s="145" t="s">
        <v>461</v>
      </c>
      <c r="O337" s="145" t="s">
        <v>461</v>
      </c>
      <c r="P337" s="28">
        <v>25</v>
      </c>
      <c r="Q337" s="13" t="s">
        <v>54</v>
      </c>
      <c r="R337" s="13" t="s">
        <v>28</v>
      </c>
      <c r="S337" s="13"/>
      <c r="T337" s="13"/>
      <c r="U337" s="13" t="s">
        <v>1140</v>
      </c>
      <c r="V337" s="13" t="s">
        <v>1140</v>
      </c>
      <c r="W337" s="60">
        <f>+J337/$W$2</f>
        <v>8.3183258940891152E-6</v>
      </c>
    </row>
    <row r="338" spans="1:29">
      <c r="A338" s="13" t="s">
        <v>1101</v>
      </c>
      <c r="B338" s="13" t="s">
        <v>675</v>
      </c>
      <c r="C338" s="145">
        <v>46184</v>
      </c>
      <c r="D338" s="145" t="s">
        <v>469</v>
      </c>
      <c r="E338" s="28">
        <v>0.98118295</v>
      </c>
      <c r="F338" s="13"/>
      <c r="G338" s="18">
        <v>250000</v>
      </c>
      <c r="H338" s="18">
        <v>245295.74</v>
      </c>
      <c r="I338" s="18">
        <v>250000</v>
      </c>
      <c r="J338" s="18">
        <v>245295.74</v>
      </c>
      <c r="K338" s="15">
        <v>90000276</v>
      </c>
      <c r="L338" s="13" t="s">
        <v>117</v>
      </c>
      <c r="M338" s="13" t="s">
        <v>118</v>
      </c>
      <c r="N338" s="145" t="s">
        <v>461</v>
      </c>
      <c r="O338" s="145" t="s">
        <v>461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1141</v>
      </c>
      <c r="V338" s="13" t="s">
        <v>1141</v>
      </c>
      <c r="W338" s="60">
        <f>+J338/$W$2</f>
        <v>6.4650250847919748E-6</v>
      </c>
    </row>
    <row r="339" spans="1:29">
      <c r="A339" s="13" t="s">
        <v>1330</v>
      </c>
      <c r="B339" s="13" t="s">
        <v>675</v>
      </c>
      <c r="C339" s="145">
        <v>46184</v>
      </c>
      <c r="D339" s="145" t="s">
        <v>469</v>
      </c>
      <c r="E339" s="28">
        <v>0.97897232000000001</v>
      </c>
      <c r="F339" s="13"/>
      <c r="G339" s="18">
        <v>10000000</v>
      </c>
      <c r="H339" s="18">
        <v>9789723.2400000002</v>
      </c>
      <c r="I339" s="18">
        <v>10000000</v>
      </c>
      <c r="J339" s="18">
        <v>9789723.2400000002</v>
      </c>
      <c r="K339" s="15">
        <v>66290675</v>
      </c>
      <c r="L339" s="13" t="s">
        <v>117</v>
      </c>
      <c r="M339" s="13" t="s">
        <v>118</v>
      </c>
      <c r="N339" s="145" t="s">
        <v>528</v>
      </c>
      <c r="O339" s="145" t="s">
        <v>528</v>
      </c>
      <c r="P339" s="28">
        <v>28</v>
      </c>
      <c r="Q339" s="13" t="s">
        <v>54</v>
      </c>
      <c r="R339" s="13" t="s">
        <v>28</v>
      </c>
      <c r="S339" s="13"/>
      <c r="T339" s="13"/>
      <c r="U339" s="13" t="s">
        <v>1264</v>
      </c>
      <c r="V339" s="13" t="s">
        <v>1264</v>
      </c>
      <c r="W339" s="60">
        <f>+J339/$W$2</f>
        <v>2.5801836721571671E-4</v>
      </c>
    </row>
    <row r="340" spans="1:29">
      <c r="A340" s="13" t="s">
        <v>266</v>
      </c>
      <c r="B340" s="13" t="s">
        <v>675</v>
      </c>
      <c r="C340" s="145">
        <v>46184</v>
      </c>
      <c r="D340" s="145" t="s">
        <v>469</v>
      </c>
      <c r="E340" s="28">
        <v>0.97970802000000001</v>
      </c>
      <c r="F340" s="13"/>
      <c r="G340" s="18">
        <v>20146795.890000001</v>
      </c>
      <c r="H340" s="18">
        <v>19737977.559999999</v>
      </c>
      <c r="I340" s="18">
        <v>20146795.890000001</v>
      </c>
      <c r="J340" s="18">
        <v>19737977.559999999</v>
      </c>
      <c r="K340" s="15">
        <v>1509</v>
      </c>
      <c r="L340" s="13" t="s">
        <v>117</v>
      </c>
      <c r="M340" s="13" t="s">
        <v>118</v>
      </c>
      <c r="N340" s="145" t="s">
        <v>291</v>
      </c>
      <c r="O340" s="145" t="s">
        <v>291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918</v>
      </c>
      <c r="V340" s="13" t="s">
        <v>918</v>
      </c>
      <c r="W340" s="60">
        <f>+J340/$W$2</f>
        <v>5.2021498640156196E-4</v>
      </c>
      <c r="AC340"/>
    </row>
    <row r="341" spans="1:29">
      <c r="A341" s="13" t="s">
        <v>266</v>
      </c>
      <c r="B341" s="13" t="s">
        <v>675</v>
      </c>
      <c r="C341" s="145">
        <v>46184</v>
      </c>
      <c r="D341" s="145" t="s">
        <v>469</v>
      </c>
      <c r="E341" s="28">
        <v>0.97970802000000001</v>
      </c>
      <c r="F341" s="13"/>
      <c r="G341" s="18">
        <v>7921214.3099999996</v>
      </c>
      <c r="H341" s="18">
        <v>7760477.21</v>
      </c>
      <c r="I341" s="18">
        <v>7921214.3099999996</v>
      </c>
      <c r="J341" s="18">
        <v>7760477.21</v>
      </c>
      <c r="K341" s="15">
        <v>1510</v>
      </c>
      <c r="L341" s="13" t="s">
        <v>117</v>
      </c>
      <c r="M341" s="13" t="s">
        <v>118</v>
      </c>
      <c r="N341" s="145" t="s">
        <v>291</v>
      </c>
      <c r="O341" s="145" t="s">
        <v>291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919</v>
      </c>
      <c r="V341" s="13" t="s">
        <v>919</v>
      </c>
      <c r="W341" s="60">
        <f>+J341/$W$2</f>
        <v>2.0453547147865854E-4</v>
      </c>
    </row>
    <row r="342" spans="1:29">
      <c r="A342" s="13" t="s">
        <v>266</v>
      </c>
      <c r="B342" s="13" t="s">
        <v>675</v>
      </c>
      <c r="C342" s="145">
        <v>46184</v>
      </c>
      <c r="D342" s="145" t="s">
        <v>469</v>
      </c>
      <c r="E342" s="28">
        <v>0.97970802000000001</v>
      </c>
      <c r="F342" s="13"/>
      <c r="G342" s="18">
        <v>8670779.9700000007</v>
      </c>
      <c r="H342" s="18">
        <v>8494832.6699999999</v>
      </c>
      <c r="I342" s="18">
        <v>8670779.9700000007</v>
      </c>
      <c r="J342" s="18">
        <v>8494832.6699999999</v>
      </c>
      <c r="K342" s="15">
        <v>1511</v>
      </c>
      <c r="L342" s="13" t="s">
        <v>117</v>
      </c>
      <c r="M342" s="13" t="s">
        <v>118</v>
      </c>
      <c r="N342" s="145" t="s">
        <v>291</v>
      </c>
      <c r="O342" s="145" t="s">
        <v>291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920</v>
      </c>
      <c r="V342" s="13" t="s">
        <v>920</v>
      </c>
      <c r="W342" s="60">
        <f>+J342/$W$2</f>
        <v>2.2389017560052362E-4</v>
      </c>
    </row>
    <row r="343" spans="1:29">
      <c r="A343" s="13" t="s">
        <v>266</v>
      </c>
      <c r="B343" s="13" t="s">
        <v>675</v>
      </c>
      <c r="C343" s="145">
        <v>46184</v>
      </c>
      <c r="D343" s="145" t="s">
        <v>469</v>
      </c>
      <c r="E343" s="28">
        <v>0.97970802000000001</v>
      </c>
      <c r="F343" s="13"/>
      <c r="G343" s="18">
        <v>4374979.37</v>
      </c>
      <c r="H343" s="18">
        <v>4286202.37</v>
      </c>
      <c r="I343" s="18">
        <v>4374979.37</v>
      </c>
      <c r="J343" s="18">
        <v>4286202.37</v>
      </c>
      <c r="K343" s="15">
        <v>1512</v>
      </c>
      <c r="L343" s="13" t="s">
        <v>117</v>
      </c>
      <c r="M343" s="13" t="s">
        <v>118</v>
      </c>
      <c r="N343" s="145" t="s">
        <v>291</v>
      </c>
      <c r="O343" s="145" t="s">
        <v>291</v>
      </c>
      <c r="P343" s="28">
        <v>27</v>
      </c>
      <c r="Q343" s="13" t="s">
        <v>54</v>
      </c>
      <c r="R343" s="13" t="s">
        <v>28</v>
      </c>
      <c r="S343" s="13"/>
      <c r="T343" s="13"/>
      <c r="U343" s="13" t="s">
        <v>921</v>
      </c>
      <c r="V343" s="13" t="s">
        <v>921</v>
      </c>
      <c r="W343" s="60">
        <f>+J343/$W$2</f>
        <v>1.1296733420867731E-4</v>
      </c>
    </row>
    <row r="344" spans="1:29">
      <c r="A344" s="13" t="s">
        <v>780</v>
      </c>
      <c r="B344" s="13" t="s">
        <v>675</v>
      </c>
      <c r="C344" s="145">
        <v>46184</v>
      </c>
      <c r="D344" s="145" t="s">
        <v>469</v>
      </c>
      <c r="E344" s="28">
        <v>0.96950709999999996</v>
      </c>
      <c r="F344" s="13"/>
      <c r="G344" s="18">
        <v>10918371.689999999</v>
      </c>
      <c r="H344" s="18">
        <v>10585438.83</v>
      </c>
      <c r="I344" s="18">
        <v>10918371.689999999</v>
      </c>
      <c r="J344" s="18">
        <v>10585438.83</v>
      </c>
      <c r="K344" s="15">
        <v>30453</v>
      </c>
      <c r="L344" s="13" t="s">
        <v>117</v>
      </c>
      <c r="M344" s="13" t="s">
        <v>118</v>
      </c>
      <c r="N344" s="145" t="s">
        <v>291</v>
      </c>
      <c r="O344" s="145" t="s">
        <v>291</v>
      </c>
      <c r="P344" s="28">
        <v>41</v>
      </c>
      <c r="Q344" s="13" t="s">
        <v>54</v>
      </c>
      <c r="R344" s="13" t="s">
        <v>28</v>
      </c>
      <c r="S344" s="13"/>
      <c r="T344" s="13"/>
      <c r="U344" s="13" t="s">
        <v>888</v>
      </c>
      <c r="V344" s="13" t="s">
        <v>888</v>
      </c>
      <c r="W344" s="60">
        <f>+J344/$W$2</f>
        <v>2.7899028156575819E-4</v>
      </c>
    </row>
    <row r="345" spans="1:29">
      <c r="A345" s="13" t="s">
        <v>550</v>
      </c>
      <c r="B345" s="13" t="s">
        <v>675</v>
      </c>
      <c r="C345" s="145">
        <v>46184</v>
      </c>
      <c r="D345" s="145" t="s">
        <v>469</v>
      </c>
      <c r="E345" s="28">
        <v>0.96950709999999996</v>
      </c>
      <c r="F345" s="13"/>
      <c r="G345" s="18">
        <v>20000000</v>
      </c>
      <c r="H345" s="18">
        <v>19390141.899999999</v>
      </c>
      <c r="I345" s="18">
        <v>20000000</v>
      </c>
      <c r="J345" s="18">
        <v>19390141.899999999</v>
      </c>
      <c r="K345" s="15">
        <v>13318416</v>
      </c>
      <c r="L345" s="13" t="s">
        <v>117</v>
      </c>
      <c r="M345" s="13" t="s">
        <v>118</v>
      </c>
      <c r="N345" s="145" t="s">
        <v>291</v>
      </c>
      <c r="O345" s="145" t="s">
        <v>291</v>
      </c>
      <c r="P345" s="28">
        <v>41</v>
      </c>
      <c r="Q345" s="13" t="s">
        <v>54</v>
      </c>
      <c r="R345" s="13" t="s">
        <v>28</v>
      </c>
      <c r="S345" s="13"/>
      <c r="T345" s="13"/>
      <c r="U345" s="13" t="s">
        <v>870</v>
      </c>
      <c r="V345" s="13" t="s">
        <v>870</v>
      </c>
      <c r="W345" s="60">
        <f>+J345/$W$2</f>
        <v>5.1104741477033357E-4</v>
      </c>
    </row>
    <row r="346" spans="1:29">
      <c r="A346" s="13" t="s">
        <v>1509</v>
      </c>
      <c r="B346" s="13" t="s">
        <v>675</v>
      </c>
      <c r="C346" s="145">
        <v>46185</v>
      </c>
      <c r="D346" s="145" t="s">
        <v>469</v>
      </c>
      <c r="E346" s="28">
        <v>0.97069306</v>
      </c>
      <c r="F346" s="13"/>
      <c r="G346" s="18">
        <v>6000000</v>
      </c>
      <c r="H346" s="18">
        <v>5824158.3399999999</v>
      </c>
      <c r="I346" s="18">
        <v>6000000</v>
      </c>
      <c r="J346" s="18">
        <v>5824158.3399999999</v>
      </c>
      <c r="K346" s="15">
        <v>90025543</v>
      </c>
      <c r="L346" s="13" t="s">
        <v>117</v>
      </c>
      <c r="M346" s="13" t="s">
        <v>118</v>
      </c>
      <c r="N346" s="145" t="s">
        <v>411</v>
      </c>
      <c r="O346" s="145" t="s">
        <v>411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1495</v>
      </c>
      <c r="V346" s="13" t="s">
        <v>1495</v>
      </c>
      <c r="W346" s="60">
        <f>+J346/$W$2</f>
        <v>1.5350176797159374E-4</v>
      </c>
    </row>
    <row r="347" spans="1:29">
      <c r="A347" s="13" t="s">
        <v>734</v>
      </c>
      <c r="B347" s="13" t="s">
        <v>675</v>
      </c>
      <c r="C347" s="145">
        <v>46185</v>
      </c>
      <c r="D347" s="145" t="s">
        <v>469</v>
      </c>
      <c r="E347" s="28">
        <v>0.96474082999999999</v>
      </c>
      <c r="F347" s="13"/>
      <c r="G347" s="18">
        <v>42000000</v>
      </c>
      <c r="H347" s="18">
        <v>40519114.670000002</v>
      </c>
      <c r="I347" s="18">
        <v>42000000</v>
      </c>
      <c r="J347" s="18">
        <v>40519114.670000002</v>
      </c>
      <c r="K347" s="15">
        <v>145439</v>
      </c>
      <c r="L347" s="13" t="s">
        <v>117</v>
      </c>
      <c r="M347" s="13" t="s">
        <v>118</v>
      </c>
      <c r="N347" s="145" t="s">
        <v>386</v>
      </c>
      <c r="O347" s="145" t="s">
        <v>386</v>
      </c>
      <c r="P347" s="28">
        <v>46</v>
      </c>
      <c r="Q347" s="13" t="s">
        <v>54</v>
      </c>
      <c r="R347" s="13" t="s">
        <v>28</v>
      </c>
      <c r="S347" s="13"/>
      <c r="T347" s="13"/>
      <c r="U347" s="13" t="s">
        <v>1018</v>
      </c>
      <c r="V347" s="13" t="s">
        <v>1018</v>
      </c>
      <c r="W347" s="60">
        <f>+J347/$W$2</f>
        <v>1.0679235308167704E-3</v>
      </c>
    </row>
    <row r="348" spans="1:29">
      <c r="A348" s="13" t="s">
        <v>939</v>
      </c>
      <c r="B348" s="13" t="s">
        <v>675</v>
      </c>
      <c r="C348" s="145">
        <v>46185</v>
      </c>
      <c r="D348" s="145" t="s">
        <v>469</v>
      </c>
      <c r="E348" s="28">
        <v>0.96845238</v>
      </c>
      <c r="F348" s="13"/>
      <c r="G348" s="18">
        <v>2000000</v>
      </c>
      <c r="H348" s="18">
        <v>1936904.76</v>
      </c>
      <c r="I348" s="18">
        <v>2000000</v>
      </c>
      <c r="J348" s="18">
        <v>1936904.76</v>
      </c>
      <c r="K348" s="15">
        <v>12384442</v>
      </c>
      <c r="L348" s="13" t="s">
        <v>117</v>
      </c>
      <c r="M348" s="13" t="s">
        <v>118</v>
      </c>
      <c r="N348" s="145" t="s">
        <v>291</v>
      </c>
      <c r="O348" s="145" t="s">
        <v>291</v>
      </c>
      <c r="P348" s="28">
        <v>41</v>
      </c>
      <c r="Q348" s="13" t="s">
        <v>54</v>
      </c>
      <c r="R348" s="13" t="s">
        <v>28</v>
      </c>
      <c r="S348" s="13"/>
      <c r="T348" s="13"/>
      <c r="U348" s="13" t="s">
        <v>909</v>
      </c>
      <c r="V348" s="13" t="s">
        <v>909</v>
      </c>
      <c r="W348" s="60">
        <f>+J348/$W$2</f>
        <v>5.104914524913062E-5</v>
      </c>
    </row>
    <row r="349" spans="1:29">
      <c r="A349" s="13" t="s">
        <v>730</v>
      </c>
      <c r="B349" s="13" t="s">
        <v>675</v>
      </c>
      <c r="C349" s="145">
        <v>46185</v>
      </c>
      <c r="D349" s="145" t="s">
        <v>469</v>
      </c>
      <c r="E349" s="28">
        <v>0.96770782</v>
      </c>
      <c r="F349" s="13"/>
      <c r="G349" s="18">
        <v>19618198</v>
      </c>
      <c r="H349" s="18">
        <v>18984683.579999998</v>
      </c>
      <c r="I349" s="18">
        <v>19618198</v>
      </c>
      <c r="J349" s="18">
        <v>18984683.579999998</v>
      </c>
      <c r="K349" s="15">
        <v>98808325</v>
      </c>
      <c r="L349" s="13" t="s">
        <v>117</v>
      </c>
      <c r="M349" s="13" t="s">
        <v>118</v>
      </c>
      <c r="N349" s="145" t="s">
        <v>462</v>
      </c>
      <c r="O349" s="145" t="s">
        <v>462</v>
      </c>
      <c r="P349" s="28">
        <v>42</v>
      </c>
      <c r="Q349" s="13" t="s">
        <v>54</v>
      </c>
      <c r="R349" s="13" t="s">
        <v>28</v>
      </c>
      <c r="S349" s="13"/>
      <c r="T349" s="13"/>
      <c r="U349" s="13" t="s">
        <v>1755</v>
      </c>
      <c r="V349" s="13" t="s">
        <v>1755</v>
      </c>
      <c r="W349" s="60">
        <f>+J349/$W$2</f>
        <v>5.0036113783116776E-4</v>
      </c>
    </row>
    <row r="350" spans="1:29">
      <c r="A350" s="13" t="s">
        <v>406</v>
      </c>
      <c r="B350" s="13" t="s">
        <v>675</v>
      </c>
      <c r="C350" s="145">
        <v>46185</v>
      </c>
      <c r="D350" s="145" t="s">
        <v>469</v>
      </c>
      <c r="E350" s="28">
        <v>0.97671931999999995</v>
      </c>
      <c r="F350" s="13"/>
      <c r="G350" s="18">
        <v>3500000</v>
      </c>
      <c r="H350" s="18">
        <v>3418517.62</v>
      </c>
      <c r="I350" s="18">
        <v>3500000</v>
      </c>
      <c r="J350" s="18">
        <v>3418517.62</v>
      </c>
      <c r="K350" s="15">
        <v>324</v>
      </c>
      <c r="L350" s="13" t="s">
        <v>117</v>
      </c>
      <c r="M350" s="13" t="s">
        <v>118</v>
      </c>
      <c r="N350" s="145" t="s">
        <v>385</v>
      </c>
      <c r="O350" s="145" t="s">
        <v>385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959</v>
      </c>
      <c r="V350" s="13" t="s">
        <v>959</v>
      </c>
      <c r="W350" s="60">
        <f>+J350/$W$2</f>
        <v>9.0098597579001423E-5</v>
      </c>
    </row>
    <row r="351" spans="1:29">
      <c r="A351" s="13" t="s">
        <v>190</v>
      </c>
      <c r="B351" s="13" t="s">
        <v>675</v>
      </c>
      <c r="C351" s="145">
        <v>46185</v>
      </c>
      <c r="D351" s="145" t="s">
        <v>469</v>
      </c>
      <c r="E351" s="28">
        <v>0.9699451</v>
      </c>
      <c r="F351" s="13"/>
      <c r="G351" s="18">
        <v>115000000</v>
      </c>
      <c r="H351" s="18">
        <v>111543686.48</v>
      </c>
      <c r="I351" s="18">
        <v>115000000</v>
      </c>
      <c r="J351" s="18">
        <v>111543686.48</v>
      </c>
      <c r="K351" s="15">
        <v>7340</v>
      </c>
      <c r="L351" s="13" t="s">
        <v>117</v>
      </c>
      <c r="M351" s="13" t="s">
        <v>118</v>
      </c>
      <c r="N351" s="145" t="s">
        <v>367</v>
      </c>
      <c r="O351" s="145" t="s">
        <v>367</v>
      </c>
      <c r="P351" s="28">
        <v>39</v>
      </c>
      <c r="Q351" s="13" t="s">
        <v>54</v>
      </c>
      <c r="R351" s="13" t="s">
        <v>28</v>
      </c>
      <c r="S351" s="13"/>
      <c r="T351" s="13"/>
      <c r="U351" s="13" t="s">
        <v>678</v>
      </c>
      <c r="V351" s="13" t="s">
        <v>678</v>
      </c>
      <c r="W351" s="60">
        <f>+J351/$W$2</f>
        <v>2.9398502034457324E-3</v>
      </c>
    </row>
    <row r="352" spans="1:29">
      <c r="A352" s="13" t="s">
        <v>1330</v>
      </c>
      <c r="B352" s="13" t="s">
        <v>675</v>
      </c>
      <c r="C352" s="145">
        <v>46185</v>
      </c>
      <c r="D352" s="145" t="s">
        <v>469</v>
      </c>
      <c r="E352" s="28">
        <v>0.97976072000000003</v>
      </c>
      <c r="F352" s="13"/>
      <c r="G352" s="18">
        <v>16000000</v>
      </c>
      <c r="H352" s="18">
        <v>15676171.49</v>
      </c>
      <c r="I352" s="18">
        <v>16000000</v>
      </c>
      <c r="J352" s="18">
        <v>15676171.49</v>
      </c>
      <c r="K352" s="15">
        <v>90000617</v>
      </c>
      <c r="L352" s="13" t="s">
        <v>117</v>
      </c>
      <c r="M352" s="13" t="s">
        <v>118</v>
      </c>
      <c r="N352" s="145" t="s">
        <v>400</v>
      </c>
      <c r="O352" s="145" t="s">
        <v>400</v>
      </c>
      <c r="P352" s="28">
        <v>26</v>
      </c>
      <c r="Q352" s="13" t="s">
        <v>54</v>
      </c>
      <c r="R352" s="13" t="s">
        <v>28</v>
      </c>
      <c r="S352" s="13"/>
      <c r="T352" s="13"/>
      <c r="U352" s="13" t="s">
        <v>1631</v>
      </c>
      <c r="V352" s="13" t="s">
        <v>1631</v>
      </c>
      <c r="W352" s="60">
        <f>+J352/$W$2</f>
        <v>4.1316185073719905E-4</v>
      </c>
    </row>
    <row r="353" spans="1:29">
      <c r="A353" s="13" t="s">
        <v>1101</v>
      </c>
      <c r="B353" s="13" t="s">
        <v>675</v>
      </c>
      <c r="C353" s="145">
        <v>46185</v>
      </c>
      <c r="D353" s="145" t="s">
        <v>469</v>
      </c>
      <c r="E353" s="28">
        <v>0.97976065000000001</v>
      </c>
      <c r="F353" s="13"/>
      <c r="G353" s="18">
        <v>1215596.28</v>
      </c>
      <c r="H353" s="18">
        <v>1190993.3999999999</v>
      </c>
      <c r="I353" s="18">
        <v>1215596.28</v>
      </c>
      <c r="J353" s="18">
        <v>1190993.3999999999</v>
      </c>
      <c r="K353" s="15">
        <v>6800087</v>
      </c>
      <c r="L353" s="13" t="s">
        <v>117</v>
      </c>
      <c r="M353" s="13" t="s">
        <v>118</v>
      </c>
      <c r="N353" s="145" t="s">
        <v>461</v>
      </c>
      <c r="O353" s="145" t="s">
        <v>461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1152</v>
      </c>
      <c r="V353" s="13" t="s">
        <v>1152</v>
      </c>
      <c r="W353" s="60">
        <f>+J353/$W$2</f>
        <v>3.1389873329319466E-5</v>
      </c>
    </row>
    <row r="354" spans="1:29">
      <c r="A354" s="13" t="s">
        <v>1330</v>
      </c>
      <c r="B354" s="13" t="s">
        <v>675</v>
      </c>
      <c r="C354" s="145">
        <v>46185</v>
      </c>
      <c r="D354" s="145" t="s">
        <v>469</v>
      </c>
      <c r="E354" s="28">
        <v>0.97823762999999997</v>
      </c>
      <c r="F354" s="13"/>
      <c r="G354" s="18">
        <v>10000000</v>
      </c>
      <c r="H354" s="18">
        <v>9782376.3399999999</v>
      </c>
      <c r="I354" s="18">
        <v>10000000</v>
      </c>
      <c r="J354" s="18">
        <v>9782376.3399999999</v>
      </c>
      <c r="K354" s="15">
        <v>66290706</v>
      </c>
      <c r="L354" s="13" t="s">
        <v>117</v>
      </c>
      <c r="M354" s="13" t="s">
        <v>118</v>
      </c>
      <c r="N354" s="145" t="s">
        <v>528</v>
      </c>
      <c r="O354" s="145" t="s">
        <v>528</v>
      </c>
      <c r="P354" s="28">
        <v>28</v>
      </c>
      <c r="Q354" s="13" t="s">
        <v>54</v>
      </c>
      <c r="R354" s="13" t="s">
        <v>28</v>
      </c>
      <c r="S354" s="13"/>
      <c r="T354" s="13"/>
      <c r="U354" s="13" t="s">
        <v>1263</v>
      </c>
      <c r="V354" s="13" t="s">
        <v>1263</v>
      </c>
      <c r="W354" s="60">
        <f>+J354/$W$2</f>
        <v>2.5782473200299162E-4</v>
      </c>
    </row>
    <row r="355" spans="1:29">
      <c r="A355" s="13" t="s">
        <v>780</v>
      </c>
      <c r="B355" s="13" t="s">
        <v>675</v>
      </c>
      <c r="C355" s="145">
        <v>46185</v>
      </c>
      <c r="D355" s="145" t="s">
        <v>469</v>
      </c>
      <c r="E355" s="28">
        <v>0.96845238</v>
      </c>
      <c r="F355" s="13"/>
      <c r="G355" s="18">
        <v>10918371.689999999</v>
      </c>
      <c r="H355" s="18">
        <v>10573923</v>
      </c>
      <c r="I355" s="18">
        <v>10918371.689999999</v>
      </c>
      <c r="J355" s="18">
        <v>10573923</v>
      </c>
      <c r="K355" s="15">
        <v>30454</v>
      </c>
      <c r="L355" s="13" t="s">
        <v>117</v>
      </c>
      <c r="M355" s="13" t="s">
        <v>118</v>
      </c>
      <c r="N355" s="145" t="s">
        <v>291</v>
      </c>
      <c r="O355" s="145" t="s">
        <v>291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889</v>
      </c>
      <c r="V355" s="13" t="s">
        <v>889</v>
      </c>
      <c r="W355" s="60">
        <f>+J355/$W$2</f>
        <v>2.7868676985445736E-4</v>
      </c>
    </row>
    <row r="356" spans="1:29">
      <c r="A356" s="13" t="s">
        <v>550</v>
      </c>
      <c r="B356" s="13" t="s">
        <v>675</v>
      </c>
      <c r="C356" s="145">
        <v>46185</v>
      </c>
      <c r="D356" s="145" t="s">
        <v>469</v>
      </c>
      <c r="E356" s="28">
        <v>0.96845238</v>
      </c>
      <c r="F356" s="13"/>
      <c r="G356" s="18">
        <v>20000000</v>
      </c>
      <c r="H356" s="18">
        <v>19369047.52</v>
      </c>
      <c r="I356" s="18">
        <v>20000000</v>
      </c>
      <c r="J356" s="18">
        <v>19369047.52</v>
      </c>
      <c r="K356" s="15">
        <v>13318417</v>
      </c>
      <c r="L356" s="13" t="s">
        <v>117</v>
      </c>
      <c r="M356" s="13" t="s">
        <v>118</v>
      </c>
      <c r="N356" s="145" t="s">
        <v>291</v>
      </c>
      <c r="O356" s="145" t="s">
        <v>291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871</v>
      </c>
      <c r="V356" s="13" t="s">
        <v>871</v>
      </c>
      <c r="W356" s="60">
        <f>+J356/$W$2</f>
        <v>5.1049145038282279E-4</v>
      </c>
    </row>
    <row r="357" spans="1:29">
      <c r="A357" s="13" t="s">
        <v>864</v>
      </c>
      <c r="B357" s="13" t="s">
        <v>675</v>
      </c>
      <c r="C357" s="145">
        <v>46185</v>
      </c>
      <c r="D357" s="145" t="s">
        <v>469</v>
      </c>
      <c r="E357" s="28">
        <v>0.97069304999999995</v>
      </c>
      <c r="F357" s="13"/>
      <c r="G357" s="18">
        <v>50000000</v>
      </c>
      <c r="H357" s="18">
        <v>48534652.409999996</v>
      </c>
      <c r="I357" s="18">
        <v>50000000</v>
      </c>
      <c r="J357" s="18">
        <v>48534652.409999996</v>
      </c>
      <c r="K357" s="15">
        <v>2422</v>
      </c>
      <c r="L357" s="13" t="s">
        <v>117</v>
      </c>
      <c r="M357" s="13" t="s">
        <v>118</v>
      </c>
      <c r="N357" s="145" t="s">
        <v>209</v>
      </c>
      <c r="O357" s="145" t="s">
        <v>209</v>
      </c>
      <c r="P357" s="28">
        <v>38</v>
      </c>
      <c r="Q357" s="13" t="s">
        <v>54</v>
      </c>
      <c r="R357" s="13" t="s">
        <v>28</v>
      </c>
      <c r="S357" s="13"/>
      <c r="T357" s="13"/>
      <c r="U357" s="13" t="s">
        <v>839</v>
      </c>
      <c r="V357" s="13" t="s">
        <v>839</v>
      </c>
      <c r="W357" s="60">
        <f>+J357/$W$2</f>
        <v>1.2791813886058895E-3</v>
      </c>
      <c r="AC357" s="57"/>
    </row>
    <row r="358" spans="1:29">
      <c r="A358" s="13" t="s">
        <v>500</v>
      </c>
      <c r="B358" s="13" t="s">
        <v>675</v>
      </c>
      <c r="C358" s="145">
        <v>46185</v>
      </c>
      <c r="D358" s="145" t="s">
        <v>469</v>
      </c>
      <c r="E358" s="28">
        <v>0.96919809999999995</v>
      </c>
      <c r="F358" s="13"/>
      <c r="G358" s="18">
        <v>25000000</v>
      </c>
      <c r="H358" s="18">
        <v>24229952.489999998</v>
      </c>
      <c r="I358" s="18">
        <v>25000000</v>
      </c>
      <c r="J358" s="18">
        <v>24229952.489999998</v>
      </c>
      <c r="K358" s="15">
        <v>6497</v>
      </c>
      <c r="L358" s="13" t="s">
        <v>117</v>
      </c>
      <c r="M358" s="13" t="s">
        <v>118</v>
      </c>
      <c r="N358" s="145" t="s">
        <v>334</v>
      </c>
      <c r="O358" s="145" t="s">
        <v>334</v>
      </c>
      <c r="P358" s="28">
        <v>40</v>
      </c>
      <c r="Q358" s="13" t="s">
        <v>54</v>
      </c>
      <c r="R358" s="13" t="s">
        <v>28</v>
      </c>
      <c r="S358" s="13"/>
      <c r="T358" s="13"/>
      <c r="U358" s="13" t="s">
        <v>502</v>
      </c>
      <c r="V358" s="13" t="s">
        <v>502</v>
      </c>
      <c r="W358" s="60">
        <f>+J358/$W$2</f>
        <v>6.3860567106125755E-4</v>
      </c>
    </row>
    <row r="359" spans="1:29">
      <c r="A359" s="13" t="s">
        <v>249</v>
      </c>
      <c r="B359" s="13" t="s">
        <v>675</v>
      </c>
      <c r="C359" s="145">
        <v>46185</v>
      </c>
      <c r="D359" s="145" t="s">
        <v>469</v>
      </c>
      <c r="E359" s="28">
        <v>0.96845245999999996</v>
      </c>
      <c r="F359" s="13"/>
      <c r="G359" s="18">
        <v>280000000</v>
      </c>
      <c r="H359" s="18">
        <v>271166690.12</v>
      </c>
      <c r="I359" s="18">
        <v>280000000</v>
      </c>
      <c r="J359" s="18">
        <v>271166690.12</v>
      </c>
      <c r="K359" s="15">
        <v>70370627</v>
      </c>
      <c r="L359" s="13" t="s">
        <v>117</v>
      </c>
      <c r="M359" s="13" t="s">
        <v>118</v>
      </c>
      <c r="N359" s="145" t="s">
        <v>442</v>
      </c>
      <c r="O359" s="145" t="s">
        <v>442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1001</v>
      </c>
      <c r="V359" s="13" t="s">
        <v>1001</v>
      </c>
      <c r="W359" s="60">
        <f>+J359/$W$2</f>
        <v>7.1468809600436283E-3</v>
      </c>
    </row>
    <row r="360" spans="1:29">
      <c r="A360" s="13" t="s">
        <v>249</v>
      </c>
      <c r="B360" s="13" t="s">
        <v>675</v>
      </c>
      <c r="C360" s="145">
        <v>46185</v>
      </c>
      <c r="D360" s="145" t="s">
        <v>469</v>
      </c>
      <c r="E360" s="28">
        <v>0.96845245999999996</v>
      </c>
      <c r="F360" s="13"/>
      <c r="G360" s="18">
        <v>139000000</v>
      </c>
      <c r="H360" s="18">
        <v>134614892.59</v>
      </c>
      <c r="I360" s="18">
        <v>139000000</v>
      </c>
      <c r="J360" s="18">
        <v>134614892.59</v>
      </c>
      <c r="K360" s="15">
        <v>70376435</v>
      </c>
      <c r="L360" s="13" t="s">
        <v>117</v>
      </c>
      <c r="M360" s="13" t="s">
        <v>118</v>
      </c>
      <c r="N360" s="145" t="s">
        <v>457</v>
      </c>
      <c r="O360" s="145" t="s">
        <v>457</v>
      </c>
      <c r="P360" s="28">
        <v>41</v>
      </c>
      <c r="Q360" s="13" t="s">
        <v>54</v>
      </c>
      <c r="R360" s="13" t="s">
        <v>28</v>
      </c>
      <c r="S360" s="13"/>
      <c r="T360" s="13"/>
      <c r="U360" s="13" t="s">
        <v>1547</v>
      </c>
      <c r="V360" s="13" t="s">
        <v>1547</v>
      </c>
      <c r="W360" s="60">
        <f>+J360/$W$2</f>
        <v>3.547915905025205E-3</v>
      </c>
    </row>
    <row r="361" spans="1:29">
      <c r="A361" s="13" t="s">
        <v>1509</v>
      </c>
      <c r="B361" s="13" t="s">
        <v>675</v>
      </c>
      <c r="C361" s="145">
        <v>46189</v>
      </c>
      <c r="D361" s="145" t="s">
        <v>469</v>
      </c>
      <c r="E361" s="28">
        <v>0.96678516999999997</v>
      </c>
      <c r="F361" s="13"/>
      <c r="G361" s="18">
        <v>6000000</v>
      </c>
      <c r="H361" s="18">
        <v>5800711.04</v>
      </c>
      <c r="I361" s="18">
        <v>6000000</v>
      </c>
      <c r="J361" s="18">
        <v>5800711.04</v>
      </c>
      <c r="K361" s="15">
        <v>90025544</v>
      </c>
      <c r="L361" s="13" t="s">
        <v>117</v>
      </c>
      <c r="M361" s="13" t="s">
        <v>118</v>
      </c>
      <c r="N361" s="145" t="s">
        <v>411</v>
      </c>
      <c r="O361" s="145" t="s">
        <v>411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1497</v>
      </c>
      <c r="V361" s="13" t="s">
        <v>1497</v>
      </c>
      <c r="W361" s="60">
        <f>+J361/$W$2</f>
        <v>1.5288378992325651E-4</v>
      </c>
      <c r="AC361" s="57"/>
    </row>
    <row r="362" spans="1:29">
      <c r="A362" s="13" t="s">
        <v>1822</v>
      </c>
      <c r="B362" s="13" t="s">
        <v>675</v>
      </c>
      <c r="C362" s="145">
        <v>46189</v>
      </c>
      <c r="D362" s="145" t="s">
        <v>469</v>
      </c>
      <c r="E362" s="28">
        <v>0.96932686999999995</v>
      </c>
      <c r="F362" s="13"/>
      <c r="G362" s="18">
        <v>2000000</v>
      </c>
      <c r="H362" s="18">
        <v>1938653.73</v>
      </c>
      <c r="I362" s="18">
        <v>2000000</v>
      </c>
      <c r="J362" s="18">
        <v>1938653.73</v>
      </c>
      <c r="K362" s="15">
        <v>7739</v>
      </c>
      <c r="L362" s="13" t="s">
        <v>117</v>
      </c>
      <c r="M362" s="13" t="s">
        <v>118</v>
      </c>
      <c r="N362" s="145" t="s">
        <v>464</v>
      </c>
      <c r="O362" s="145" t="s">
        <v>464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1815</v>
      </c>
      <c r="V362" s="13" t="s">
        <v>1815</v>
      </c>
      <c r="W362" s="60">
        <f>+J362/$W$2</f>
        <v>5.1095241177753547E-5</v>
      </c>
    </row>
    <row r="363" spans="1:29">
      <c r="A363" s="13" t="s">
        <v>734</v>
      </c>
      <c r="B363" s="13" t="s">
        <v>675</v>
      </c>
      <c r="C363" s="145">
        <v>46189</v>
      </c>
      <c r="D363" s="145" t="s">
        <v>469</v>
      </c>
      <c r="E363" s="28">
        <v>0.96007155</v>
      </c>
      <c r="F363" s="13"/>
      <c r="G363" s="18">
        <v>43000000</v>
      </c>
      <c r="H363" s="18">
        <v>41283076.579999998</v>
      </c>
      <c r="I363" s="18">
        <v>43000000</v>
      </c>
      <c r="J363" s="18">
        <v>41283076.579999998</v>
      </c>
      <c r="K363" s="15">
        <v>145441</v>
      </c>
      <c r="L363" s="13" t="s">
        <v>117</v>
      </c>
      <c r="M363" s="13" t="s">
        <v>118</v>
      </c>
      <c r="N363" s="145" t="s">
        <v>408</v>
      </c>
      <c r="O363" s="145" t="s">
        <v>408</v>
      </c>
      <c r="P363" s="28">
        <v>46</v>
      </c>
      <c r="Q363" s="13" t="s">
        <v>54</v>
      </c>
      <c r="R363" s="13" t="s">
        <v>28</v>
      </c>
      <c r="S363" s="13"/>
      <c r="T363" s="13"/>
      <c r="U363" s="13" t="s">
        <v>1067</v>
      </c>
      <c r="V363" s="13" t="s">
        <v>1067</v>
      </c>
      <c r="W363" s="60">
        <f>+J363/$W$2</f>
        <v>1.0880585438095586E-3</v>
      </c>
    </row>
    <row r="364" spans="1:29">
      <c r="A364" s="13" t="s">
        <v>734</v>
      </c>
      <c r="B364" s="13" t="s">
        <v>675</v>
      </c>
      <c r="C364" s="145">
        <v>46189</v>
      </c>
      <c r="D364" s="145" t="s">
        <v>469</v>
      </c>
      <c r="E364" s="28">
        <v>0.96007155</v>
      </c>
      <c r="F364" s="13"/>
      <c r="G364" s="18">
        <v>42000000</v>
      </c>
      <c r="H364" s="18">
        <v>40323005.030000001</v>
      </c>
      <c r="I364" s="18">
        <v>42000000</v>
      </c>
      <c r="J364" s="18">
        <v>40323005.030000001</v>
      </c>
      <c r="K364" s="15">
        <v>145440</v>
      </c>
      <c r="L364" s="13" t="s">
        <v>117</v>
      </c>
      <c r="M364" s="13" t="s">
        <v>118</v>
      </c>
      <c r="N364" s="145" t="s">
        <v>408</v>
      </c>
      <c r="O364" s="145" t="s">
        <v>408</v>
      </c>
      <c r="P364" s="28">
        <v>46</v>
      </c>
      <c r="Q364" s="13" t="s">
        <v>54</v>
      </c>
      <c r="R364" s="13" t="s">
        <v>28</v>
      </c>
      <c r="S364" s="13"/>
      <c r="T364" s="13"/>
      <c r="U364" s="13" t="s">
        <v>1068</v>
      </c>
      <c r="V364" s="13" t="s">
        <v>1068</v>
      </c>
      <c r="W364" s="60">
        <f>+J364/$W$2</f>
        <v>1.0627548567013149E-3</v>
      </c>
    </row>
    <row r="365" spans="1:29">
      <c r="A365" s="13" t="s">
        <v>781</v>
      </c>
      <c r="B365" s="13" t="s">
        <v>675</v>
      </c>
      <c r="C365" s="145">
        <v>46189</v>
      </c>
      <c r="D365" s="145" t="s">
        <v>469</v>
      </c>
      <c r="E365" s="28">
        <v>0.96425658999999997</v>
      </c>
      <c r="F365" s="13"/>
      <c r="G365" s="18">
        <v>2000000</v>
      </c>
      <c r="H365" s="18">
        <v>1928513.19</v>
      </c>
      <c r="I365" s="18">
        <v>2000000</v>
      </c>
      <c r="J365" s="18">
        <v>1928513.19</v>
      </c>
      <c r="K365" s="15">
        <v>11213037</v>
      </c>
      <c r="L365" s="13" t="s">
        <v>117</v>
      </c>
      <c r="M365" s="13" t="s">
        <v>118</v>
      </c>
      <c r="N365" s="145" t="s">
        <v>387</v>
      </c>
      <c r="O365" s="145" t="s">
        <v>387</v>
      </c>
      <c r="P365" s="28">
        <v>41</v>
      </c>
      <c r="Q365" s="13" t="s">
        <v>54</v>
      </c>
      <c r="R365" s="13" t="s">
        <v>28</v>
      </c>
      <c r="S365" s="13"/>
      <c r="T365" s="13"/>
      <c r="U365" s="13" t="s">
        <v>765</v>
      </c>
      <c r="V365" s="13" t="s">
        <v>765</v>
      </c>
      <c r="W365" s="60">
        <f>+J365/$W$2</f>
        <v>5.0827976668906651E-5</v>
      </c>
    </row>
    <row r="366" spans="1:29">
      <c r="A366" s="13" t="s">
        <v>538</v>
      </c>
      <c r="B366" s="13" t="s">
        <v>675</v>
      </c>
      <c r="C366" s="145">
        <v>46189</v>
      </c>
      <c r="D366" s="145" t="s">
        <v>469</v>
      </c>
      <c r="E366" s="28">
        <v>0.96425647000000003</v>
      </c>
      <c r="F366" s="13"/>
      <c r="G366" s="18">
        <v>18208333</v>
      </c>
      <c r="H366" s="18">
        <v>17557502.920000002</v>
      </c>
      <c r="I366" s="18">
        <v>18208333</v>
      </c>
      <c r="J366" s="18">
        <v>17557502.920000002</v>
      </c>
      <c r="K366" s="15">
        <v>1977</v>
      </c>
      <c r="L366" s="13" t="s">
        <v>117</v>
      </c>
      <c r="M366" s="13" t="s">
        <v>118</v>
      </c>
      <c r="N366" s="145" t="s">
        <v>305</v>
      </c>
      <c r="O366" s="145" t="s">
        <v>305</v>
      </c>
      <c r="P366" s="28">
        <v>41</v>
      </c>
      <c r="Q366" s="13" t="s">
        <v>54</v>
      </c>
      <c r="R366" s="13" t="s">
        <v>28</v>
      </c>
      <c r="S366" s="13"/>
      <c r="T366" s="13"/>
      <c r="U366" s="13" t="s">
        <v>536</v>
      </c>
      <c r="V366" s="13" t="s">
        <v>536</v>
      </c>
      <c r="W366" s="60">
        <f>+J366/$W$2</f>
        <v>4.6274630290810739E-4</v>
      </c>
      <c r="AC366" s="57"/>
    </row>
    <row r="367" spans="1:29">
      <c r="A367" s="13" t="s">
        <v>406</v>
      </c>
      <c r="B367" s="13" t="s">
        <v>675</v>
      </c>
      <c r="C367" s="145">
        <v>46189</v>
      </c>
      <c r="D367" s="145" t="s">
        <v>469</v>
      </c>
      <c r="E367" s="28">
        <v>0.96932682999999997</v>
      </c>
      <c r="F367" s="13"/>
      <c r="G367" s="18">
        <v>5000000</v>
      </c>
      <c r="H367" s="18">
        <v>4846634.16</v>
      </c>
      <c r="I367" s="18">
        <v>5000000</v>
      </c>
      <c r="J367" s="18">
        <v>4846634.16</v>
      </c>
      <c r="K367" s="15">
        <v>90000057</v>
      </c>
      <c r="L367" s="13" t="s">
        <v>117</v>
      </c>
      <c r="M367" s="13" t="s">
        <v>118</v>
      </c>
      <c r="N367" s="145" t="s">
        <v>304</v>
      </c>
      <c r="O367" s="145" t="s">
        <v>304</v>
      </c>
      <c r="P367" s="28">
        <v>35</v>
      </c>
      <c r="Q367" s="13" t="s">
        <v>54</v>
      </c>
      <c r="R367" s="13" t="s">
        <v>28</v>
      </c>
      <c r="S367" s="13"/>
      <c r="T367" s="13"/>
      <c r="U367" s="13" t="s">
        <v>651</v>
      </c>
      <c r="V367" s="13" t="s">
        <v>651</v>
      </c>
      <c r="W367" s="60">
        <f>+J367/$W$2</f>
        <v>1.2773809859563677E-4</v>
      </c>
    </row>
    <row r="368" spans="1:29">
      <c r="A368" s="13" t="s">
        <v>190</v>
      </c>
      <c r="B368" s="13" t="s">
        <v>675</v>
      </c>
      <c r="C368" s="145">
        <v>46189</v>
      </c>
      <c r="D368" s="145" t="s">
        <v>469</v>
      </c>
      <c r="E368" s="28">
        <v>0.96594077</v>
      </c>
      <c r="F368" s="13"/>
      <c r="G368" s="18">
        <v>115000000</v>
      </c>
      <c r="H368" s="18">
        <v>111083188.69</v>
      </c>
      <c r="I368" s="18">
        <v>115000000</v>
      </c>
      <c r="J368" s="18">
        <v>111083188.69</v>
      </c>
      <c r="K368" s="15">
        <v>7342</v>
      </c>
      <c r="L368" s="13" t="s">
        <v>117</v>
      </c>
      <c r="M368" s="13" t="s">
        <v>118</v>
      </c>
      <c r="N368" s="145" t="s">
        <v>367</v>
      </c>
      <c r="O368" s="145" t="s">
        <v>367</v>
      </c>
      <c r="P368" s="28">
        <v>39</v>
      </c>
      <c r="Q368" s="13" t="s">
        <v>54</v>
      </c>
      <c r="R368" s="13" t="s">
        <v>28</v>
      </c>
      <c r="S368" s="13"/>
      <c r="T368" s="13"/>
      <c r="U368" s="13" t="s">
        <v>679</v>
      </c>
      <c r="V368" s="13" t="s">
        <v>679</v>
      </c>
      <c r="W368" s="60">
        <f>+J368/$W$2</f>
        <v>2.9277133038654898E-3</v>
      </c>
    </row>
    <row r="369" spans="1:29">
      <c r="A369" s="13" t="s">
        <v>1330</v>
      </c>
      <c r="B369" s="13" t="s">
        <v>675</v>
      </c>
      <c r="C369" s="145">
        <v>46189</v>
      </c>
      <c r="D369" s="145" t="s">
        <v>469</v>
      </c>
      <c r="E369" s="28">
        <v>0.97531011000000001</v>
      </c>
      <c r="F369" s="13"/>
      <c r="G369" s="18">
        <v>5000000</v>
      </c>
      <c r="H369" s="18">
        <v>4876550.55</v>
      </c>
      <c r="I369" s="18">
        <v>5000000</v>
      </c>
      <c r="J369" s="18">
        <v>4876550.55</v>
      </c>
      <c r="K369" s="15">
        <v>66405016</v>
      </c>
      <c r="L369" s="13" t="s">
        <v>117</v>
      </c>
      <c r="M369" s="13" t="s">
        <v>118</v>
      </c>
      <c r="N369" s="145" t="s">
        <v>411</v>
      </c>
      <c r="O369" s="145" t="s">
        <v>411</v>
      </c>
      <c r="P369" s="28">
        <v>28</v>
      </c>
      <c r="Q369" s="13" t="s">
        <v>54</v>
      </c>
      <c r="R369" s="13" t="s">
        <v>28</v>
      </c>
      <c r="S369" s="13"/>
      <c r="T369" s="13"/>
      <c r="U369" s="13" t="s">
        <v>1435</v>
      </c>
      <c r="V369" s="13" t="s">
        <v>1435</v>
      </c>
      <c r="W369" s="60">
        <f>+J369/$W$2</f>
        <v>1.2852657625854447E-4</v>
      </c>
    </row>
    <row r="370" spans="1:29">
      <c r="A370" s="13" t="s">
        <v>1330</v>
      </c>
      <c r="B370" s="13" t="s">
        <v>675</v>
      </c>
      <c r="C370" s="145">
        <v>46189</v>
      </c>
      <c r="D370" s="145" t="s">
        <v>469</v>
      </c>
      <c r="E370" s="28">
        <v>0.97445081</v>
      </c>
      <c r="F370" s="13"/>
      <c r="G370" s="18">
        <v>50000000</v>
      </c>
      <c r="H370" s="18">
        <v>48722540.5</v>
      </c>
      <c r="I370" s="18">
        <v>50000000</v>
      </c>
      <c r="J370" s="18">
        <v>48722540.5</v>
      </c>
      <c r="K370" s="15">
        <v>147630</v>
      </c>
      <c r="L370" s="13" t="s">
        <v>117</v>
      </c>
      <c r="M370" s="13" t="s">
        <v>118</v>
      </c>
      <c r="N370" s="145" t="s">
        <v>216</v>
      </c>
      <c r="O370" s="145" t="s">
        <v>216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1622</v>
      </c>
      <c r="V370" s="13" t="s">
        <v>1622</v>
      </c>
      <c r="W370" s="60">
        <f>+J370/$W$2</f>
        <v>1.2841333751955617E-3</v>
      </c>
      <c r="AC370" s="57"/>
    </row>
    <row r="371" spans="1:29">
      <c r="A371" s="13" t="s">
        <v>1330</v>
      </c>
      <c r="B371" s="13" t="s">
        <v>675</v>
      </c>
      <c r="C371" s="145">
        <v>46189</v>
      </c>
      <c r="D371" s="145" t="s">
        <v>469</v>
      </c>
      <c r="E371" s="28">
        <v>0.97531002</v>
      </c>
      <c r="F371" s="13"/>
      <c r="G371" s="18">
        <v>5000000</v>
      </c>
      <c r="H371" s="18">
        <v>4876550.0999999996</v>
      </c>
      <c r="I371" s="18">
        <v>5000000</v>
      </c>
      <c r="J371" s="18">
        <v>4876550.0999999996</v>
      </c>
      <c r="K371" s="15">
        <v>66290724</v>
      </c>
      <c r="L371" s="13" t="s">
        <v>117</v>
      </c>
      <c r="M371" s="13" t="s">
        <v>118</v>
      </c>
      <c r="N371" s="145" t="s">
        <v>528</v>
      </c>
      <c r="O371" s="145" t="s">
        <v>528</v>
      </c>
      <c r="P371" s="28">
        <v>28</v>
      </c>
      <c r="Q371" s="13" t="s">
        <v>54</v>
      </c>
      <c r="R371" s="13" t="s">
        <v>28</v>
      </c>
      <c r="S371" s="13"/>
      <c r="T371" s="13"/>
      <c r="U371" s="13" t="s">
        <v>1265</v>
      </c>
      <c r="V371" s="13" t="s">
        <v>1265</v>
      </c>
      <c r="W371" s="60">
        <f>+J371/$W$2</f>
        <v>1.285265643983251E-4</v>
      </c>
    </row>
    <row r="372" spans="1:29">
      <c r="A372" s="13" t="s">
        <v>780</v>
      </c>
      <c r="B372" s="13" t="s">
        <v>675</v>
      </c>
      <c r="C372" s="145">
        <v>46189</v>
      </c>
      <c r="D372" s="145" t="s">
        <v>469</v>
      </c>
      <c r="E372" s="28">
        <v>0.96425649999999996</v>
      </c>
      <c r="F372" s="13"/>
      <c r="G372" s="18">
        <v>10918371.689999999</v>
      </c>
      <c r="H372" s="18">
        <v>10528110.82</v>
      </c>
      <c r="I372" s="18">
        <v>10918371.689999999</v>
      </c>
      <c r="J372" s="18">
        <v>10528110.82</v>
      </c>
      <c r="K372" s="15">
        <v>30455</v>
      </c>
      <c r="L372" s="13" t="s">
        <v>117</v>
      </c>
      <c r="M372" s="13" t="s">
        <v>118</v>
      </c>
      <c r="N372" s="145" t="s">
        <v>291</v>
      </c>
      <c r="O372" s="145" t="s">
        <v>291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890</v>
      </c>
      <c r="V372" s="13" t="s">
        <v>890</v>
      </c>
      <c r="W372" s="60">
        <f>+J372/$W$2</f>
        <v>2.7747934206590708E-4</v>
      </c>
    </row>
    <row r="373" spans="1:29">
      <c r="A373" s="13" t="s">
        <v>550</v>
      </c>
      <c r="B373" s="13" t="s">
        <v>675</v>
      </c>
      <c r="C373" s="145">
        <v>46189</v>
      </c>
      <c r="D373" s="145" t="s">
        <v>469</v>
      </c>
      <c r="E373" s="28">
        <v>0.96425649999999996</v>
      </c>
      <c r="F373" s="13"/>
      <c r="G373" s="18">
        <v>20000000</v>
      </c>
      <c r="H373" s="18">
        <v>19285129.899999999</v>
      </c>
      <c r="I373" s="18">
        <v>20000000</v>
      </c>
      <c r="J373" s="18">
        <v>19285129.899999999</v>
      </c>
      <c r="K373" s="15">
        <v>13318418</v>
      </c>
      <c r="L373" s="13" t="s">
        <v>117</v>
      </c>
      <c r="M373" s="13" t="s">
        <v>118</v>
      </c>
      <c r="N373" s="145" t="s">
        <v>291</v>
      </c>
      <c r="O373" s="145" t="s">
        <v>291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872</v>
      </c>
      <c r="V373" s="13" t="s">
        <v>872</v>
      </c>
      <c r="W373" s="60">
        <f>+J373/$W$2</f>
        <v>5.0827971397698034E-4</v>
      </c>
    </row>
    <row r="374" spans="1:29">
      <c r="A374" s="13" t="s">
        <v>526</v>
      </c>
      <c r="B374" s="13" t="s">
        <v>675</v>
      </c>
      <c r="C374" s="145">
        <v>46189</v>
      </c>
      <c r="D374" s="145" t="s">
        <v>469</v>
      </c>
      <c r="E374" s="28">
        <v>0.96257815999999996</v>
      </c>
      <c r="F374" s="13"/>
      <c r="G374" s="18">
        <v>3000000</v>
      </c>
      <c r="H374" s="18">
        <v>2887734.49</v>
      </c>
      <c r="I374" s="18">
        <v>3000000</v>
      </c>
      <c r="J374" s="18">
        <v>2887734.49</v>
      </c>
      <c r="K374" s="15">
        <v>3068</v>
      </c>
      <c r="L374" s="13" t="s">
        <v>117</v>
      </c>
      <c r="M374" s="13" t="s">
        <v>118</v>
      </c>
      <c r="N374" s="145" t="s">
        <v>290</v>
      </c>
      <c r="O374" s="145" t="s">
        <v>290</v>
      </c>
      <c r="P374" s="28">
        <v>43</v>
      </c>
      <c r="Q374" s="13" t="s">
        <v>54</v>
      </c>
      <c r="R374" s="13" t="s">
        <v>28</v>
      </c>
      <c r="S374" s="13"/>
      <c r="T374" s="13"/>
      <c r="U374" s="13" t="s">
        <v>514</v>
      </c>
      <c r="V374" s="13" t="s">
        <v>514</v>
      </c>
      <c r="W374" s="60">
        <f>+J374/$W$2</f>
        <v>7.6109254551542401E-5</v>
      </c>
      <c r="AC374" s="57"/>
    </row>
    <row r="375" spans="1:29">
      <c r="A375" s="13" t="s">
        <v>1510</v>
      </c>
      <c r="B375" s="13" t="s">
        <v>675</v>
      </c>
      <c r="C375" s="145">
        <v>46190</v>
      </c>
      <c r="D375" s="145" t="s">
        <v>469</v>
      </c>
      <c r="E375" s="28">
        <v>0.96842676999999999</v>
      </c>
      <c r="F375" s="13"/>
      <c r="G375" s="18">
        <v>100000000</v>
      </c>
      <c r="H375" s="18">
        <v>96842676.939999998</v>
      </c>
      <c r="I375" s="18">
        <v>100000000</v>
      </c>
      <c r="J375" s="18">
        <v>96842676.939999998</v>
      </c>
      <c r="K375" s="15">
        <v>66455545</v>
      </c>
      <c r="L375" s="13" t="s">
        <v>117</v>
      </c>
      <c r="M375" s="13" t="s">
        <v>118</v>
      </c>
      <c r="N375" s="145" t="s">
        <v>411</v>
      </c>
      <c r="O375" s="145" t="s">
        <v>411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1494</v>
      </c>
      <c r="V375" s="13" t="s">
        <v>1494</v>
      </c>
      <c r="W375" s="60">
        <f>+J375/$W$2</f>
        <v>2.5523897630489031E-3</v>
      </c>
    </row>
    <row r="376" spans="1:29">
      <c r="A376" s="13" t="s">
        <v>734</v>
      </c>
      <c r="B376" s="13" t="s">
        <v>675</v>
      </c>
      <c r="C376" s="145">
        <v>46190</v>
      </c>
      <c r="D376" s="145" t="s">
        <v>469</v>
      </c>
      <c r="E376" s="28">
        <v>0.97193379999999996</v>
      </c>
      <c r="F376" s="13"/>
      <c r="G376" s="18">
        <v>42000000</v>
      </c>
      <c r="H376" s="18">
        <v>40821219.409999996</v>
      </c>
      <c r="I376" s="18">
        <v>42000000</v>
      </c>
      <c r="J376" s="18">
        <v>40821219.409999996</v>
      </c>
      <c r="K376" s="15">
        <v>145442</v>
      </c>
      <c r="L376" s="13" t="s">
        <v>117</v>
      </c>
      <c r="M376" s="13" t="s">
        <v>118</v>
      </c>
      <c r="N376" s="145" t="s">
        <v>461</v>
      </c>
      <c r="O376" s="145" t="s">
        <v>461</v>
      </c>
      <c r="P376" s="28">
        <v>31</v>
      </c>
      <c r="Q376" s="13" t="s">
        <v>54</v>
      </c>
      <c r="R376" s="13" t="s">
        <v>28</v>
      </c>
      <c r="S376" s="13"/>
      <c r="T376" s="13"/>
      <c r="U376" s="13" t="s">
        <v>1167</v>
      </c>
      <c r="V376" s="13" t="s">
        <v>1167</v>
      </c>
      <c r="W376" s="60">
        <f>+J376/$W$2</f>
        <v>1.0758858163515072E-3</v>
      </c>
      <c r="AC376" s="57"/>
    </row>
    <row r="377" spans="1:29">
      <c r="A377" s="13" t="s">
        <v>145</v>
      </c>
      <c r="B377" s="13" t="s">
        <v>675</v>
      </c>
      <c r="C377" s="145">
        <v>46190</v>
      </c>
      <c r="D377" s="145" t="s">
        <v>469</v>
      </c>
      <c r="E377" s="28">
        <v>0.95891130999999996</v>
      </c>
      <c r="F377" s="13"/>
      <c r="G377" s="18">
        <v>10000000</v>
      </c>
      <c r="H377" s="18">
        <v>9589113.1199999992</v>
      </c>
      <c r="I377" s="18">
        <v>10000000</v>
      </c>
      <c r="J377" s="18">
        <v>9589113.1199999992</v>
      </c>
      <c r="K377" s="15">
        <v>3923</v>
      </c>
      <c r="L377" s="13" t="s">
        <v>117</v>
      </c>
      <c r="M377" s="13" t="s">
        <v>118</v>
      </c>
      <c r="N377" s="145" t="s">
        <v>144</v>
      </c>
      <c r="O377" s="145" t="s">
        <v>144</v>
      </c>
      <c r="P377" s="28">
        <v>46</v>
      </c>
      <c r="Q377" s="13" t="s">
        <v>54</v>
      </c>
      <c r="R377" s="13" t="s">
        <v>28</v>
      </c>
      <c r="S377" s="13"/>
      <c r="T377" s="13"/>
      <c r="U377" s="13" t="s">
        <v>225</v>
      </c>
      <c r="V377" s="13" t="s">
        <v>225</v>
      </c>
      <c r="W377" s="60">
        <f>+J377/$W$2</f>
        <v>2.5273107825561029E-4</v>
      </c>
    </row>
    <row r="378" spans="1:29">
      <c r="A378" s="13" t="s">
        <v>444</v>
      </c>
      <c r="B378" s="13" t="s">
        <v>675</v>
      </c>
      <c r="C378" s="145">
        <v>46190</v>
      </c>
      <c r="D378" s="145" t="s">
        <v>469</v>
      </c>
      <c r="E378" s="28">
        <v>0.96407827999999995</v>
      </c>
      <c r="F378" s="13"/>
      <c r="G378" s="18">
        <v>3000000</v>
      </c>
      <c r="H378" s="18">
        <v>2892234.83</v>
      </c>
      <c r="I378" s="18">
        <v>3000000</v>
      </c>
      <c r="J378" s="18">
        <v>2892234.83</v>
      </c>
      <c r="K378" s="15">
        <v>60524034</v>
      </c>
      <c r="L378" s="13" t="s">
        <v>117</v>
      </c>
      <c r="M378" s="13" t="s">
        <v>118</v>
      </c>
      <c r="N378" s="145" t="s">
        <v>303</v>
      </c>
      <c r="O378" s="145" t="s">
        <v>303</v>
      </c>
      <c r="P378" s="28">
        <v>40</v>
      </c>
      <c r="Q378" s="13" t="s">
        <v>54</v>
      </c>
      <c r="R378" s="13" t="s">
        <v>28</v>
      </c>
      <c r="S378" s="13"/>
      <c r="T378" s="13"/>
      <c r="U378" s="13" t="s">
        <v>605</v>
      </c>
      <c r="V378" s="13" t="s">
        <v>605</v>
      </c>
      <c r="W378" s="60">
        <f>+J378/$W$2</f>
        <v>7.6227865706347172E-5</v>
      </c>
      <c r="AC378" s="57"/>
    </row>
    <row r="379" spans="1:29">
      <c r="A379" s="13" t="s">
        <v>201</v>
      </c>
      <c r="B379" s="13" t="s">
        <v>675</v>
      </c>
      <c r="C379" s="145">
        <v>46190</v>
      </c>
      <c r="D379" s="145" t="s">
        <v>469</v>
      </c>
      <c r="E379" s="28">
        <v>0.95891143000000001</v>
      </c>
      <c r="F379" s="13"/>
      <c r="G379" s="18">
        <v>20000000</v>
      </c>
      <c r="H379" s="18">
        <v>19178228.699999999</v>
      </c>
      <c r="I379" s="18">
        <v>20000000</v>
      </c>
      <c r="J379" s="18">
        <v>19178228.699999999</v>
      </c>
      <c r="K379" s="15">
        <v>3980</v>
      </c>
      <c r="L379" s="13" t="s">
        <v>117</v>
      </c>
      <c r="M379" s="13" t="s">
        <v>118</v>
      </c>
      <c r="N379" s="145" t="s">
        <v>302</v>
      </c>
      <c r="O379" s="145" t="s">
        <v>302</v>
      </c>
      <c r="P379" s="28">
        <v>46</v>
      </c>
      <c r="Q379" s="13" t="s">
        <v>54</v>
      </c>
      <c r="R379" s="13" t="s">
        <v>28</v>
      </c>
      <c r="S379" s="13"/>
      <c r="T379" s="13"/>
      <c r="U379" s="13" t="s">
        <v>631</v>
      </c>
      <c r="V379" s="13" t="s">
        <v>631</v>
      </c>
      <c r="W379" s="60">
        <f>+J379/$W$2</f>
        <v>5.0546222134708653E-4</v>
      </c>
      <c r="AC379" s="57"/>
    </row>
    <row r="380" spans="1:29">
      <c r="A380" s="13" t="s">
        <v>532</v>
      </c>
      <c r="B380" s="13" t="s">
        <v>675</v>
      </c>
      <c r="C380" s="145">
        <v>46190</v>
      </c>
      <c r="D380" s="145" t="s">
        <v>469</v>
      </c>
      <c r="E380" s="28">
        <v>0.96407818999999995</v>
      </c>
      <c r="F380" s="13"/>
      <c r="G380" s="18">
        <v>10000000</v>
      </c>
      <c r="H380" s="18">
        <v>9640781.8800000008</v>
      </c>
      <c r="I380" s="18">
        <v>10000000</v>
      </c>
      <c r="J380" s="18">
        <v>9640781.8800000008</v>
      </c>
      <c r="K380" s="15">
        <v>1342</v>
      </c>
      <c r="L380" s="13" t="s">
        <v>117</v>
      </c>
      <c r="M380" s="13" t="s">
        <v>118</v>
      </c>
      <c r="N380" s="145" t="s">
        <v>368</v>
      </c>
      <c r="O380" s="145" t="s">
        <v>368</v>
      </c>
      <c r="P380" s="28">
        <v>40</v>
      </c>
      <c r="Q380" s="13" t="s">
        <v>54</v>
      </c>
      <c r="R380" s="13" t="s">
        <v>28</v>
      </c>
      <c r="S380" s="13"/>
      <c r="T380" s="13"/>
      <c r="U380" s="13" t="s">
        <v>544</v>
      </c>
      <c r="V380" s="13" t="s">
        <v>544</v>
      </c>
      <c r="W380" s="60">
        <f>+J380/$W$2</f>
        <v>2.5409286231879908E-4</v>
      </c>
    </row>
    <row r="381" spans="1:29">
      <c r="A381" s="13" t="s">
        <v>556</v>
      </c>
      <c r="B381" s="13" t="s">
        <v>675</v>
      </c>
      <c r="C381" s="145">
        <v>46190</v>
      </c>
      <c r="D381" s="145" t="s">
        <v>469</v>
      </c>
      <c r="E381" s="28">
        <v>0.96148783999999998</v>
      </c>
      <c r="F381" s="13"/>
      <c r="G381" s="18">
        <v>300000000</v>
      </c>
      <c r="H381" s="18">
        <v>288446352.44999999</v>
      </c>
      <c r="I381" s="18">
        <v>300000000</v>
      </c>
      <c r="J381" s="18">
        <v>288446352.44999999</v>
      </c>
      <c r="K381" s="15">
        <v>9564802</v>
      </c>
      <c r="L381" s="13" t="s">
        <v>117</v>
      </c>
      <c r="M381" s="13" t="s">
        <v>118</v>
      </c>
      <c r="N381" s="145" t="s">
        <v>324</v>
      </c>
      <c r="O381" s="145" t="s">
        <v>324</v>
      </c>
      <c r="P381" s="28">
        <v>43</v>
      </c>
      <c r="Q381" s="13" t="s">
        <v>54</v>
      </c>
      <c r="R381" s="13" t="s">
        <v>28</v>
      </c>
      <c r="S381" s="13"/>
      <c r="T381" s="13"/>
      <c r="U381" s="13" t="s">
        <v>555</v>
      </c>
      <c r="V381" s="13" t="s">
        <v>555</v>
      </c>
      <c r="W381" s="60">
        <f>+J381/$W$2</f>
        <v>7.6023044843991057E-3</v>
      </c>
    </row>
    <row r="382" spans="1:29">
      <c r="A382" s="13" t="s">
        <v>676</v>
      </c>
      <c r="B382" s="13" t="s">
        <v>675</v>
      </c>
      <c r="C382" s="145">
        <v>46190</v>
      </c>
      <c r="D382" s="145" t="s">
        <v>469</v>
      </c>
      <c r="E382" s="28">
        <v>0.96842665999999999</v>
      </c>
      <c r="F382" s="13"/>
      <c r="G382" s="18">
        <v>10000000</v>
      </c>
      <c r="H382" s="18">
        <v>9684266.5999999996</v>
      </c>
      <c r="I382" s="18">
        <v>10000000</v>
      </c>
      <c r="J382" s="18">
        <v>9684266.5999999996</v>
      </c>
      <c r="K382" s="15">
        <v>384</v>
      </c>
      <c r="L382" s="13" t="s">
        <v>117</v>
      </c>
      <c r="M382" s="13" t="s">
        <v>118</v>
      </c>
      <c r="N382" s="145" t="s">
        <v>528</v>
      </c>
      <c r="O382" s="145" t="s">
        <v>528</v>
      </c>
      <c r="P382" s="28">
        <v>35</v>
      </c>
      <c r="Q382" s="13" t="s">
        <v>54</v>
      </c>
      <c r="R382" s="13" t="s">
        <v>28</v>
      </c>
      <c r="S382" s="13"/>
      <c r="T382" s="13"/>
      <c r="U382" s="13" t="s">
        <v>1291</v>
      </c>
      <c r="V382" s="13" t="s">
        <v>1291</v>
      </c>
      <c r="W382" s="60">
        <f>+J382/$W$2</f>
        <v>2.5523894747137921E-4</v>
      </c>
    </row>
    <row r="383" spans="1:29">
      <c r="A383" s="13" t="s">
        <v>863</v>
      </c>
      <c r="B383" s="13" t="s">
        <v>675</v>
      </c>
      <c r="C383" s="145">
        <v>46190</v>
      </c>
      <c r="D383" s="145" t="s">
        <v>469</v>
      </c>
      <c r="E383" s="28">
        <v>0.97369691999999997</v>
      </c>
      <c r="F383" s="13"/>
      <c r="G383" s="18">
        <v>12500000</v>
      </c>
      <c r="H383" s="18">
        <v>12171211.52</v>
      </c>
      <c r="I383" s="18">
        <v>12500000</v>
      </c>
      <c r="J383" s="18">
        <v>12171211.52</v>
      </c>
      <c r="K383" s="15">
        <v>28996517</v>
      </c>
      <c r="L383" s="13" t="s">
        <v>117</v>
      </c>
      <c r="M383" s="13" t="s">
        <v>118</v>
      </c>
      <c r="N383" s="145" t="s">
        <v>209</v>
      </c>
      <c r="O383" s="145" t="s">
        <v>209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810</v>
      </c>
      <c r="V383" s="13" t="s">
        <v>810</v>
      </c>
      <c r="W383" s="60">
        <f>+J383/$W$2</f>
        <v>3.2078497485977153E-4</v>
      </c>
    </row>
    <row r="384" spans="1:29">
      <c r="A384" s="13" t="s">
        <v>219</v>
      </c>
      <c r="B384" s="13" t="s">
        <v>675</v>
      </c>
      <c r="C384" s="145">
        <v>46190</v>
      </c>
      <c r="D384" s="145" t="s">
        <v>469</v>
      </c>
      <c r="E384" s="28">
        <v>0.97635366999999995</v>
      </c>
      <c r="F384" s="13"/>
      <c r="G384" s="18">
        <v>25000000</v>
      </c>
      <c r="H384" s="18">
        <v>24408841.739999998</v>
      </c>
      <c r="I384" s="18">
        <v>25000000</v>
      </c>
      <c r="J384" s="18">
        <v>24408841.739999998</v>
      </c>
      <c r="K384" s="15">
        <v>90026750</v>
      </c>
      <c r="L384" s="13" t="s">
        <v>117</v>
      </c>
      <c r="M384" s="13" t="s">
        <v>118</v>
      </c>
      <c r="N384" s="145" t="s">
        <v>428</v>
      </c>
      <c r="O384" s="145" t="s">
        <v>428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1685</v>
      </c>
      <c r="V384" s="13" t="s">
        <v>1685</v>
      </c>
      <c r="W384" s="60">
        <f>+J384/$W$2</f>
        <v>6.4332048383643919E-4</v>
      </c>
    </row>
    <row r="385" spans="1:29">
      <c r="A385" s="13" t="s">
        <v>1330</v>
      </c>
      <c r="B385" s="13" t="s">
        <v>675</v>
      </c>
      <c r="C385" s="145">
        <v>46190</v>
      </c>
      <c r="D385" s="145" t="s">
        <v>469</v>
      </c>
      <c r="E385" s="28">
        <v>0.97458089999999997</v>
      </c>
      <c r="F385" s="13"/>
      <c r="G385" s="18">
        <v>10000000</v>
      </c>
      <c r="H385" s="18">
        <v>9745809.0299999993</v>
      </c>
      <c r="I385" s="18">
        <v>10000000</v>
      </c>
      <c r="J385" s="18">
        <v>9745809.0299999993</v>
      </c>
      <c r="K385" s="15">
        <v>66404952</v>
      </c>
      <c r="L385" s="13" t="s">
        <v>117</v>
      </c>
      <c r="M385" s="13" t="s">
        <v>118</v>
      </c>
      <c r="N385" s="145" t="s">
        <v>411</v>
      </c>
      <c r="O385" s="145" t="s">
        <v>411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1434</v>
      </c>
      <c r="V385" s="13" t="s">
        <v>1434</v>
      </c>
      <c r="W385" s="60">
        <f>+J385/$W$2</f>
        <v>2.5686096240620462E-4</v>
      </c>
    </row>
    <row r="386" spans="1:29">
      <c r="A386" s="13" t="s">
        <v>1330</v>
      </c>
      <c r="B386" s="13" t="s">
        <v>675</v>
      </c>
      <c r="C386" s="145">
        <v>46190</v>
      </c>
      <c r="D386" s="145" t="s">
        <v>469</v>
      </c>
      <c r="E386" s="28">
        <v>0.97546650999999995</v>
      </c>
      <c r="F386" s="13"/>
      <c r="G386" s="18">
        <v>15200000</v>
      </c>
      <c r="H386" s="18">
        <v>14827090.91</v>
      </c>
      <c r="I386" s="18">
        <v>15200000</v>
      </c>
      <c r="J386" s="18">
        <v>14827090.91</v>
      </c>
      <c r="K386" s="15">
        <v>2600</v>
      </c>
      <c r="L386" s="13" t="s">
        <v>117</v>
      </c>
      <c r="M386" s="13" t="s">
        <v>118</v>
      </c>
      <c r="N386" s="145" t="s">
        <v>428</v>
      </c>
      <c r="O386" s="145" t="s">
        <v>428</v>
      </c>
      <c r="P386" s="28">
        <v>27</v>
      </c>
      <c r="Q386" s="13" t="s">
        <v>54</v>
      </c>
      <c r="R386" s="13" t="s">
        <v>28</v>
      </c>
      <c r="S386" s="13"/>
      <c r="T386" s="13"/>
      <c r="U386" s="13" t="s">
        <v>1675</v>
      </c>
      <c r="V386" s="13" t="s">
        <v>1675</v>
      </c>
      <c r="W386" s="60">
        <f>+J386/$W$2</f>
        <v>3.9078344641305666E-4</v>
      </c>
    </row>
    <row r="387" spans="1:29">
      <c r="A387" s="13" t="s">
        <v>406</v>
      </c>
      <c r="B387" s="13" t="s">
        <v>675</v>
      </c>
      <c r="C387" s="145">
        <v>46190</v>
      </c>
      <c r="D387" s="145" t="s">
        <v>469</v>
      </c>
      <c r="E387" s="28">
        <v>0.97281454999999994</v>
      </c>
      <c r="F387" s="13"/>
      <c r="G387" s="18">
        <v>60000000</v>
      </c>
      <c r="H387" s="18">
        <v>58368872.899999999</v>
      </c>
      <c r="I387" s="18">
        <v>60000000</v>
      </c>
      <c r="J387" s="18">
        <v>58368872.899999999</v>
      </c>
      <c r="K387" s="15">
        <v>58</v>
      </c>
      <c r="L387" s="13" t="s">
        <v>117</v>
      </c>
      <c r="M387" s="13" t="s">
        <v>118</v>
      </c>
      <c r="N387" s="145" t="s">
        <v>410</v>
      </c>
      <c r="O387" s="145" t="s">
        <v>410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1789</v>
      </c>
      <c r="V387" s="13" t="s">
        <v>1789</v>
      </c>
      <c r="W387" s="60">
        <f>+J387/$W$2</f>
        <v>1.5383725272584616E-3</v>
      </c>
      <c r="AC387"/>
    </row>
    <row r="388" spans="1:29">
      <c r="A388" s="13" t="s">
        <v>1329</v>
      </c>
      <c r="B388" s="13" t="s">
        <v>675</v>
      </c>
      <c r="C388" s="145">
        <v>46190</v>
      </c>
      <c r="D388" s="145" t="s">
        <v>469</v>
      </c>
      <c r="E388" s="28">
        <v>0.96842665999999999</v>
      </c>
      <c r="F388" s="13"/>
      <c r="G388" s="18">
        <v>5450000</v>
      </c>
      <c r="H388" s="18">
        <v>5277925.3</v>
      </c>
      <c r="I388" s="18">
        <v>5450000</v>
      </c>
      <c r="J388" s="18">
        <v>5277925.3</v>
      </c>
      <c r="K388" s="15">
        <v>6922</v>
      </c>
      <c r="L388" s="13" t="s">
        <v>117</v>
      </c>
      <c r="M388" s="13" t="s">
        <v>118</v>
      </c>
      <c r="N388" s="145" t="s">
        <v>528</v>
      </c>
      <c r="O388" s="145" t="s">
        <v>528</v>
      </c>
      <c r="P388" s="28">
        <v>35</v>
      </c>
      <c r="Q388" s="13" t="s">
        <v>54</v>
      </c>
      <c r="R388" s="13" t="s">
        <v>28</v>
      </c>
      <c r="S388" s="13"/>
      <c r="T388" s="13"/>
      <c r="U388" s="13" t="s">
        <v>1320</v>
      </c>
      <c r="V388" s="13" t="s">
        <v>1320</v>
      </c>
      <c r="W388" s="60">
        <f>+J388/$W$2</f>
        <v>1.3910522645096978E-4</v>
      </c>
    </row>
    <row r="389" spans="1:29">
      <c r="A389" s="13" t="s">
        <v>266</v>
      </c>
      <c r="B389" s="13" t="s">
        <v>675</v>
      </c>
      <c r="C389" s="145">
        <v>46190</v>
      </c>
      <c r="D389" s="145" t="s">
        <v>469</v>
      </c>
      <c r="E389" s="28">
        <v>0.97546646000000004</v>
      </c>
      <c r="F389" s="13"/>
      <c r="G389" s="18">
        <v>8150793.21</v>
      </c>
      <c r="H389" s="18">
        <v>7950825.3700000001</v>
      </c>
      <c r="I389" s="18">
        <v>8150793.21</v>
      </c>
      <c r="J389" s="18">
        <v>7950825.3700000001</v>
      </c>
      <c r="K389" s="15">
        <v>1514</v>
      </c>
      <c r="L389" s="13" t="s">
        <v>117</v>
      </c>
      <c r="M389" s="13" t="s">
        <v>118</v>
      </c>
      <c r="N389" s="145" t="s">
        <v>291</v>
      </c>
      <c r="O389" s="145" t="s">
        <v>291</v>
      </c>
      <c r="P389" s="28">
        <v>27</v>
      </c>
      <c r="Q389" s="13" t="s">
        <v>54</v>
      </c>
      <c r="R389" s="13" t="s">
        <v>28</v>
      </c>
      <c r="S389" s="13"/>
      <c r="T389" s="13"/>
      <c r="U389" s="13" t="s">
        <v>922</v>
      </c>
      <c r="V389" s="13" t="s">
        <v>922</v>
      </c>
      <c r="W389" s="60">
        <f>+J389/$W$2</f>
        <v>2.0955229577917023E-4</v>
      </c>
    </row>
    <row r="390" spans="1:29">
      <c r="A390" s="13" t="s">
        <v>266</v>
      </c>
      <c r="B390" s="13" t="s">
        <v>675</v>
      </c>
      <c r="C390" s="145">
        <v>46190</v>
      </c>
      <c r="D390" s="145" t="s">
        <v>469</v>
      </c>
      <c r="E390" s="28">
        <v>0.97546646000000004</v>
      </c>
      <c r="F390" s="13"/>
      <c r="G390" s="18">
        <v>9628546.5999999996</v>
      </c>
      <c r="H390" s="18">
        <v>9392324.2300000004</v>
      </c>
      <c r="I390" s="18">
        <v>9628546.5999999996</v>
      </c>
      <c r="J390" s="18">
        <v>9392324.2300000004</v>
      </c>
      <c r="K390" s="15">
        <v>1515</v>
      </c>
      <c r="L390" s="13" t="s">
        <v>117</v>
      </c>
      <c r="M390" s="13" t="s">
        <v>118</v>
      </c>
      <c r="N390" s="145" t="s">
        <v>291</v>
      </c>
      <c r="O390" s="145" t="s">
        <v>291</v>
      </c>
      <c r="P390" s="28">
        <v>27</v>
      </c>
      <c r="Q390" s="13" t="s">
        <v>54</v>
      </c>
      <c r="R390" s="13" t="s">
        <v>28</v>
      </c>
      <c r="S390" s="13"/>
      <c r="T390" s="13"/>
      <c r="U390" s="13" t="s">
        <v>923</v>
      </c>
      <c r="V390" s="13" t="s">
        <v>923</v>
      </c>
      <c r="W390" s="60">
        <f>+J390/$W$2</f>
        <v>2.475445017979092E-4</v>
      </c>
      <c r="AC390" s="57"/>
    </row>
    <row r="391" spans="1:29">
      <c r="A391" s="13" t="s">
        <v>266</v>
      </c>
      <c r="B391" s="13" t="s">
        <v>675</v>
      </c>
      <c r="C391" s="145">
        <v>46190</v>
      </c>
      <c r="D391" s="145" t="s">
        <v>469</v>
      </c>
      <c r="E391" s="28">
        <v>0.97546646000000004</v>
      </c>
      <c r="F391" s="13"/>
      <c r="G391" s="18">
        <v>12499446.35</v>
      </c>
      <c r="H391" s="18">
        <v>12192790.630000001</v>
      </c>
      <c r="I391" s="18">
        <v>12499446.35</v>
      </c>
      <c r="J391" s="18">
        <v>12192790.630000001</v>
      </c>
      <c r="K391" s="15">
        <v>1516</v>
      </c>
      <c r="L391" s="13" t="s">
        <v>117</v>
      </c>
      <c r="M391" s="13" t="s">
        <v>118</v>
      </c>
      <c r="N391" s="145" t="s">
        <v>291</v>
      </c>
      <c r="O391" s="145" t="s">
        <v>291</v>
      </c>
      <c r="P391" s="28">
        <v>27</v>
      </c>
      <c r="Q391" s="13" t="s">
        <v>54</v>
      </c>
      <c r="R391" s="13" t="s">
        <v>28</v>
      </c>
      <c r="S391" s="13"/>
      <c r="T391" s="13"/>
      <c r="U391" s="13" t="s">
        <v>924</v>
      </c>
      <c r="V391" s="13" t="s">
        <v>924</v>
      </c>
      <c r="W391" s="60">
        <f>+J391/$W$2</f>
        <v>3.2135371481203283E-4</v>
      </c>
    </row>
    <row r="392" spans="1:29">
      <c r="A392" s="13" t="s">
        <v>266</v>
      </c>
      <c r="B392" s="13" t="s">
        <v>675</v>
      </c>
      <c r="C392" s="145">
        <v>46190</v>
      </c>
      <c r="D392" s="145" t="s">
        <v>469</v>
      </c>
      <c r="E392" s="28">
        <v>0.97546646000000004</v>
      </c>
      <c r="F392" s="13"/>
      <c r="G392" s="18">
        <v>11821171.93</v>
      </c>
      <c r="H392" s="18">
        <v>11531156.689999999</v>
      </c>
      <c r="I392" s="18">
        <v>11821171.93</v>
      </c>
      <c r="J392" s="18">
        <v>11531156.689999999</v>
      </c>
      <c r="K392" s="15">
        <v>1517</v>
      </c>
      <c r="L392" s="13" t="s">
        <v>117</v>
      </c>
      <c r="M392" s="13" t="s">
        <v>118</v>
      </c>
      <c r="N392" s="145" t="s">
        <v>291</v>
      </c>
      <c r="O392" s="145" t="s">
        <v>291</v>
      </c>
      <c r="P392" s="28">
        <v>27</v>
      </c>
      <c r="Q392" s="13" t="s">
        <v>54</v>
      </c>
      <c r="R392" s="13" t="s">
        <v>28</v>
      </c>
      <c r="S392" s="13"/>
      <c r="T392" s="13"/>
      <c r="U392" s="13" t="s">
        <v>925</v>
      </c>
      <c r="V392" s="13" t="s">
        <v>925</v>
      </c>
      <c r="W392" s="60">
        <f>+J392/$W$2</f>
        <v>3.0391566220235538E-4</v>
      </c>
    </row>
    <row r="393" spans="1:29">
      <c r="A393" s="13" t="s">
        <v>780</v>
      </c>
      <c r="B393" s="13" t="s">
        <v>675</v>
      </c>
      <c r="C393" s="145">
        <v>46190</v>
      </c>
      <c r="D393" s="145" t="s">
        <v>469</v>
      </c>
      <c r="E393" s="28">
        <v>0.96321332999999998</v>
      </c>
      <c r="F393" s="13"/>
      <c r="G393" s="18">
        <v>10918371.689999999</v>
      </c>
      <c r="H393" s="18">
        <v>10516721.109999999</v>
      </c>
      <c r="I393" s="18">
        <v>10918371.689999999</v>
      </c>
      <c r="J393" s="18">
        <v>10516721.109999999</v>
      </c>
      <c r="K393" s="15">
        <v>30456</v>
      </c>
      <c r="L393" s="13" t="s">
        <v>117</v>
      </c>
      <c r="M393" s="13" t="s">
        <v>118</v>
      </c>
      <c r="N393" s="145" t="s">
        <v>291</v>
      </c>
      <c r="O393" s="145" t="s">
        <v>291</v>
      </c>
      <c r="P393" s="28">
        <v>41</v>
      </c>
      <c r="Q393" s="13" t="s">
        <v>54</v>
      </c>
      <c r="R393" s="13" t="s">
        <v>28</v>
      </c>
      <c r="S393" s="13"/>
      <c r="T393" s="13"/>
      <c r="U393" s="13" t="s">
        <v>879</v>
      </c>
      <c r="V393" s="13" t="s">
        <v>879</v>
      </c>
      <c r="W393" s="60">
        <f>+J393/$W$2</f>
        <v>2.7717915437875643E-4</v>
      </c>
    </row>
    <row r="394" spans="1:29">
      <c r="A394" s="13" t="s">
        <v>463</v>
      </c>
      <c r="B394" s="13" t="s">
        <v>675</v>
      </c>
      <c r="C394" s="145">
        <v>46190</v>
      </c>
      <c r="D394" s="145" t="s">
        <v>469</v>
      </c>
      <c r="E394" s="28">
        <v>0.96755389999999997</v>
      </c>
      <c r="F394" s="13"/>
      <c r="G394" s="18">
        <v>16400000</v>
      </c>
      <c r="H394" s="18">
        <v>15867883.890000001</v>
      </c>
      <c r="I394" s="18">
        <v>16400000</v>
      </c>
      <c r="J394" s="18">
        <v>15867883.890000001</v>
      </c>
      <c r="K394" s="15">
        <v>95826334</v>
      </c>
      <c r="L394" s="13" t="s">
        <v>117</v>
      </c>
      <c r="M394" s="13" t="s">
        <v>118</v>
      </c>
      <c r="N394" s="145" t="s">
        <v>205</v>
      </c>
      <c r="O394" s="145" t="s">
        <v>205</v>
      </c>
      <c r="P394" s="28">
        <v>36</v>
      </c>
      <c r="Q394" s="13" t="s">
        <v>54</v>
      </c>
      <c r="R394" s="13" t="s">
        <v>28</v>
      </c>
      <c r="S394" s="13"/>
      <c r="T394" s="13"/>
      <c r="U394" s="13" t="s">
        <v>1064</v>
      </c>
      <c r="V394" s="13" t="s">
        <v>1064</v>
      </c>
      <c r="W394" s="60">
        <f>+J394/$W$2</f>
        <v>4.182146310058889E-4</v>
      </c>
      <c r="AC394" s="57"/>
    </row>
    <row r="395" spans="1:29">
      <c r="A395" s="13" t="s">
        <v>186</v>
      </c>
      <c r="B395" s="13" t="s">
        <v>675</v>
      </c>
      <c r="C395" s="145">
        <v>46190</v>
      </c>
      <c r="D395" s="145" t="s">
        <v>469</v>
      </c>
      <c r="E395" s="28">
        <v>0.96494479</v>
      </c>
      <c r="F395" s="13"/>
      <c r="G395" s="18">
        <v>100000000</v>
      </c>
      <c r="H395" s="18">
        <v>96494479.379999995</v>
      </c>
      <c r="I395" s="18">
        <v>100000000</v>
      </c>
      <c r="J395" s="18">
        <v>96494479.379999995</v>
      </c>
      <c r="K395" s="15">
        <v>638</v>
      </c>
      <c r="L395" s="13" t="s">
        <v>117</v>
      </c>
      <c r="M395" s="13" t="s">
        <v>118</v>
      </c>
      <c r="N395" s="145" t="s">
        <v>446</v>
      </c>
      <c r="O395" s="145" t="s">
        <v>446</v>
      </c>
      <c r="P395" s="28">
        <v>39</v>
      </c>
      <c r="Q395" s="13" t="s">
        <v>54</v>
      </c>
      <c r="R395" s="13" t="s">
        <v>28</v>
      </c>
      <c r="S395" s="13"/>
      <c r="T395" s="13"/>
      <c r="U395" s="13" t="s">
        <v>1836</v>
      </c>
      <c r="V395" s="13" t="s">
        <v>1836</v>
      </c>
      <c r="W395" s="60">
        <f>+J395/$W$2</f>
        <v>2.543212653165693E-3</v>
      </c>
    </row>
    <row r="396" spans="1:29">
      <c r="A396" s="13" t="s">
        <v>526</v>
      </c>
      <c r="B396" s="13" t="s">
        <v>675</v>
      </c>
      <c r="C396" s="145">
        <v>46190</v>
      </c>
      <c r="D396" s="145" t="s">
        <v>469</v>
      </c>
      <c r="E396" s="28">
        <v>0.9614878</v>
      </c>
      <c r="F396" s="13"/>
      <c r="G396" s="18">
        <v>3500000</v>
      </c>
      <c r="H396" s="18">
        <v>3365207.32</v>
      </c>
      <c r="I396" s="18">
        <v>3500000</v>
      </c>
      <c r="J396" s="18">
        <v>3365207.32</v>
      </c>
      <c r="K396" s="15">
        <v>3069</v>
      </c>
      <c r="L396" s="13" t="s">
        <v>117</v>
      </c>
      <c r="M396" s="13" t="s">
        <v>118</v>
      </c>
      <c r="N396" s="145" t="s">
        <v>290</v>
      </c>
      <c r="O396" s="145" t="s">
        <v>290</v>
      </c>
      <c r="P396" s="28">
        <v>43</v>
      </c>
      <c r="Q396" s="13" t="s">
        <v>54</v>
      </c>
      <c r="R396" s="13" t="s">
        <v>28</v>
      </c>
      <c r="S396" s="13"/>
      <c r="T396" s="13"/>
      <c r="U396" s="13" t="s">
        <v>516</v>
      </c>
      <c r="V396" s="13" t="s">
        <v>516</v>
      </c>
      <c r="W396" s="60">
        <f>+J396/$W$2</f>
        <v>8.8693549016895178E-5</v>
      </c>
    </row>
    <row r="397" spans="1:29">
      <c r="A397" s="13" t="s">
        <v>327</v>
      </c>
      <c r="B397" s="13" t="s">
        <v>675</v>
      </c>
      <c r="C397" s="145">
        <v>46190</v>
      </c>
      <c r="D397" s="145" t="s">
        <v>469</v>
      </c>
      <c r="E397" s="28">
        <v>0.96321318</v>
      </c>
      <c r="F397" s="13"/>
      <c r="G397" s="18">
        <v>45000000</v>
      </c>
      <c r="H397" s="18">
        <v>43344592.93</v>
      </c>
      <c r="I397" s="18">
        <v>45000000</v>
      </c>
      <c r="J397" s="18">
        <v>43344592.93</v>
      </c>
      <c r="K397" s="15">
        <v>64885008</v>
      </c>
      <c r="L397" s="13" t="s">
        <v>117</v>
      </c>
      <c r="M397" s="13" t="s">
        <v>118</v>
      </c>
      <c r="N397" s="145" t="s">
        <v>290</v>
      </c>
      <c r="O397" s="145" t="s">
        <v>290</v>
      </c>
      <c r="P397" s="28">
        <v>41</v>
      </c>
      <c r="Q397" s="13" t="s">
        <v>54</v>
      </c>
      <c r="R397" s="13" t="s">
        <v>28</v>
      </c>
      <c r="S397" s="13"/>
      <c r="T397" s="13"/>
      <c r="U397" s="13" t="s">
        <v>505</v>
      </c>
      <c r="V397" s="13" t="s">
        <v>505</v>
      </c>
      <c r="W397" s="60">
        <f>+J397/$W$2</f>
        <v>1.1423919574899543E-3</v>
      </c>
    </row>
    <row r="398" spans="1:29">
      <c r="A398" s="13" t="s">
        <v>1241</v>
      </c>
      <c r="B398" s="13" t="s">
        <v>675</v>
      </c>
      <c r="C398" s="145">
        <v>46191</v>
      </c>
      <c r="D398" s="145" t="s">
        <v>469</v>
      </c>
      <c r="E398" s="28">
        <v>0.9648428</v>
      </c>
      <c r="F398" s="13"/>
      <c r="G398" s="18">
        <v>4599318.34</v>
      </c>
      <c r="H398" s="18">
        <v>4437619.1900000004</v>
      </c>
      <c r="I398" s="18">
        <v>4599318.34</v>
      </c>
      <c r="J398" s="18">
        <v>4437619.1900000004</v>
      </c>
      <c r="K398" s="15">
        <v>568</v>
      </c>
      <c r="L398" s="13" t="s">
        <v>117</v>
      </c>
      <c r="M398" s="13" t="s">
        <v>118</v>
      </c>
      <c r="N398" s="145" t="s">
        <v>411</v>
      </c>
      <c r="O398" s="145" t="s">
        <v>411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1476</v>
      </c>
      <c r="V398" s="13" t="s">
        <v>1476</v>
      </c>
      <c r="W398" s="60">
        <f>+J398/$W$2</f>
        <v>1.1695808243593732E-4</v>
      </c>
      <c r="AC398" s="57"/>
    </row>
    <row r="399" spans="1:29">
      <c r="A399" s="13" t="s">
        <v>1248</v>
      </c>
      <c r="B399" s="13" t="s">
        <v>675</v>
      </c>
      <c r="C399" s="145">
        <v>46191</v>
      </c>
      <c r="D399" s="145" t="s">
        <v>469</v>
      </c>
      <c r="E399" s="28">
        <v>0.9648428</v>
      </c>
      <c r="F399" s="13"/>
      <c r="G399" s="18">
        <v>6110818.4299999997</v>
      </c>
      <c r="H399" s="18">
        <v>5895979.1799999997</v>
      </c>
      <c r="I399" s="18">
        <v>6110818.4299999997</v>
      </c>
      <c r="J399" s="18">
        <v>5895979.1799999997</v>
      </c>
      <c r="K399" s="15">
        <v>90000065</v>
      </c>
      <c r="L399" s="13" t="s">
        <v>117</v>
      </c>
      <c r="M399" s="13" t="s">
        <v>118</v>
      </c>
      <c r="N399" s="145" t="s">
        <v>411</v>
      </c>
      <c r="O399" s="145" t="s">
        <v>411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1483</v>
      </c>
      <c r="V399" s="13" t="s">
        <v>1483</v>
      </c>
      <c r="W399" s="60">
        <f>+J399/$W$2</f>
        <v>1.5539468112292214E-4</v>
      </c>
    </row>
    <row r="400" spans="1:29">
      <c r="A400" s="13" t="s">
        <v>1249</v>
      </c>
      <c r="B400" s="13" t="s">
        <v>675</v>
      </c>
      <c r="C400" s="145">
        <v>46191</v>
      </c>
      <c r="D400" s="145" t="s">
        <v>469</v>
      </c>
      <c r="E400" s="28">
        <v>0.96484272000000004</v>
      </c>
      <c r="F400" s="13"/>
      <c r="G400" s="18">
        <v>3519950.15</v>
      </c>
      <c r="H400" s="18">
        <v>3396198.27</v>
      </c>
      <c r="I400" s="18">
        <v>3519950.15</v>
      </c>
      <c r="J400" s="18">
        <v>3396198.27</v>
      </c>
      <c r="K400" s="15">
        <v>90000184</v>
      </c>
      <c r="L400" s="13" t="s">
        <v>117</v>
      </c>
      <c r="M400" s="13" t="s">
        <v>118</v>
      </c>
      <c r="N400" s="145" t="s">
        <v>461</v>
      </c>
      <c r="O400" s="145" t="s">
        <v>461</v>
      </c>
      <c r="P400" s="28">
        <v>38</v>
      </c>
      <c r="Q400" s="13" t="s">
        <v>54</v>
      </c>
      <c r="R400" s="13" t="s">
        <v>28</v>
      </c>
      <c r="S400" s="13"/>
      <c r="T400" s="13"/>
      <c r="U400" s="13" t="s">
        <v>1170</v>
      </c>
      <c r="V400" s="13" t="s">
        <v>1170</v>
      </c>
      <c r="W400" s="60">
        <f>+J400/$W$2</f>
        <v>8.9510347829428714E-5</v>
      </c>
      <c r="AC400" s="57"/>
    </row>
    <row r="401" spans="1:29">
      <c r="A401" s="13" t="s">
        <v>1512</v>
      </c>
      <c r="B401" s="13" t="s">
        <v>675</v>
      </c>
      <c r="C401" s="145">
        <v>46191</v>
      </c>
      <c r="D401" s="145" t="s">
        <v>469</v>
      </c>
      <c r="E401" s="28">
        <v>0.9648428</v>
      </c>
      <c r="F401" s="13"/>
      <c r="G401" s="18">
        <v>3926635</v>
      </c>
      <c r="H401" s="18">
        <v>3788585.5</v>
      </c>
      <c r="I401" s="18">
        <v>3926635</v>
      </c>
      <c r="J401" s="18">
        <v>3788585.5</v>
      </c>
      <c r="K401" s="15">
        <v>79398445</v>
      </c>
      <c r="L401" s="13" t="s">
        <v>117</v>
      </c>
      <c r="M401" s="13" t="s">
        <v>118</v>
      </c>
      <c r="N401" s="145" t="s">
        <v>411</v>
      </c>
      <c r="O401" s="145" t="s">
        <v>411</v>
      </c>
      <c r="P401" s="28">
        <v>38</v>
      </c>
      <c r="Q401" s="13" t="s">
        <v>54</v>
      </c>
      <c r="R401" s="13" t="s">
        <v>28</v>
      </c>
      <c r="S401" s="13"/>
      <c r="T401" s="13"/>
      <c r="U401" s="13" t="s">
        <v>1468</v>
      </c>
      <c r="V401" s="13" t="s">
        <v>1468</v>
      </c>
      <c r="W401" s="60">
        <f>+J401/$W$2</f>
        <v>9.9852122557771066E-5</v>
      </c>
    </row>
    <row r="402" spans="1:29">
      <c r="A402" s="13" t="s">
        <v>939</v>
      </c>
      <c r="B402" s="13" t="s">
        <v>675</v>
      </c>
      <c r="C402" s="145">
        <v>46191</v>
      </c>
      <c r="D402" s="145" t="s">
        <v>469</v>
      </c>
      <c r="E402" s="28">
        <v>0.96217224999999995</v>
      </c>
      <c r="F402" s="13"/>
      <c r="G402" s="18">
        <v>2000000</v>
      </c>
      <c r="H402" s="18">
        <v>1924344.5</v>
      </c>
      <c r="I402" s="18">
        <v>2000000</v>
      </c>
      <c r="J402" s="18">
        <v>1924344.5</v>
      </c>
      <c r="K402" s="15">
        <v>12384443</v>
      </c>
      <c r="L402" s="13" t="s">
        <v>117</v>
      </c>
      <c r="M402" s="13" t="s">
        <v>118</v>
      </c>
      <c r="N402" s="145" t="s">
        <v>291</v>
      </c>
      <c r="O402" s="145" t="s">
        <v>291</v>
      </c>
      <c r="P402" s="28">
        <v>41</v>
      </c>
      <c r="Q402" s="13" t="s">
        <v>54</v>
      </c>
      <c r="R402" s="13" t="s">
        <v>28</v>
      </c>
      <c r="S402" s="13"/>
      <c r="T402" s="13"/>
      <c r="U402" s="13" t="s">
        <v>910</v>
      </c>
      <c r="V402" s="13" t="s">
        <v>910</v>
      </c>
      <c r="W402" s="60">
        <f>+J402/$W$2</f>
        <v>5.071810649578126E-5</v>
      </c>
      <c r="AC402" s="57"/>
    </row>
    <row r="403" spans="1:29">
      <c r="A403" s="13" t="s">
        <v>1026</v>
      </c>
      <c r="B403" s="13" t="s">
        <v>675</v>
      </c>
      <c r="C403" s="145">
        <v>46191</v>
      </c>
      <c r="D403" s="145" t="s">
        <v>469</v>
      </c>
      <c r="E403" s="28">
        <v>0.97022876000000002</v>
      </c>
      <c r="F403" s="13"/>
      <c r="G403" s="18">
        <v>2131442.7999999998</v>
      </c>
      <c r="H403" s="18">
        <v>2067987.1</v>
      </c>
      <c r="I403" s="18">
        <v>2131442.7999999998</v>
      </c>
      <c r="J403" s="18">
        <v>2067987.1</v>
      </c>
      <c r="K403" s="15">
        <v>9888</v>
      </c>
      <c r="L403" s="13" t="s">
        <v>117</v>
      </c>
      <c r="M403" s="13" t="s">
        <v>118</v>
      </c>
      <c r="N403" s="145" t="s">
        <v>462</v>
      </c>
      <c r="O403" s="145" t="s">
        <v>462</v>
      </c>
      <c r="P403" s="28">
        <v>32</v>
      </c>
      <c r="Q403" s="13" t="s">
        <v>54</v>
      </c>
      <c r="R403" s="13" t="s">
        <v>28</v>
      </c>
      <c r="S403" s="13"/>
      <c r="T403" s="13"/>
      <c r="U403" s="13" t="s">
        <v>1746</v>
      </c>
      <c r="V403" s="13" t="s">
        <v>1746</v>
      </c>
      <c r="W403" s="60">
        <f>+J403/$W$2</f>
        <v>5.4503957045997664E-5</v>
      </c>
    </row>
    <row r="404" spans="1:29">
      <c r="A404" s="13" t="s">
        <v>307</v>
      </c>
      <c r="B404" s="13" t="s">
        <v>675</v>
      </c>
      <c r="C404" s="145">
        <v>46191</v>
      </c>
      <c r="D404" s="145" t="s">
        <v>469</v>
      </c>
      <c r="E404" s="28">
        <v>0.96306073000000003</v>
      </c>
      <c r="F404" s="13"/>
      <c r="G404" s="18">
        <v>3800000</v>
      </c>
      <c r="H404" s="18">
        <v>3659630.78</v>
      </c>
      <c r="I404" s="18">
        <v>3800000</v>
      </c>
      <c r="J404" s="18">
        <v>3659630.78</v>
      </c>
      <c r="K404" s="15">
        <v>1017</v>
      </c>
      <c r="L404" s="13" t="s">
        <v>117</v>
      </c>
      <c r="M404" s="13" t="s">
        <v>118</v>
      </c>
      <c r="N404" s="145" t="s">
        <v>328</v>
      </c>
      <c r="O404" s="145" t="s">
        <v>328</v>
      </c>
      <c r="P404" s="28">
        <v>40</v>
      </c>
      <c r="Q404" s="13" t="s">
        <v>54</v>
      </c>
      <c r="R404" s="13" t="s">
        <v>28</v>
      </c>
      <c r="S404" s="13"/>
      <c r="T404" s="13"/>
      <c r="U404" s="13" t="s">
        <v>622</v>
      </c>
      <c r="V404" s="13" t="s">
        <v>622</v>
      </c>
      <c r="W404" s="60">
        <f>+J404/$W$2</f>
        <v>9.6453386405229949E-5</v>
      </c>
    </row>
    <row r="405" spans="1:29">
      <c r="A405" s="13" t="s">
        <v>201</v>
      </c>
      <c r="B405" s="13" t="s">
        <v>675</v>
      </c>
      <c r="C405" s="145">
        <v>46191</v>
      </c>
      <c r="D405" s="145" t="s">
        <v>469</v>
      </c>
      <c r="E405" s="28">
        <v>0.95775396000000002</v>
      </c>
      <c r="F405" s="13"/>
      <c r="G405" s="18">
        <v>20000000</v>
      </c>
      <c r="H405" s="18">
        <v>19155079.18</v>
      </c>
      <c r="I405" s="18">
        <v>20000000</v>
      </c>
      <c r="J405" s="18">
        <v>19155079.18</v>
      </c>
      <c r="K405" s="15">
        <v>3981</v>
      </c>
      <c r="L405" s="13" t="s">
        <v>117</v>
      </c>
      <c r="M405" s="13" t="s">
        <v>118</v>
      </c>
      <c r="N405" s="145" t="s">
        <v>302</v>
      </c>
      <c r="O405" s="145" t="s">
        <v>302</v>
      </c>
      <c r="P405" s="28">
        <v>46</v>
      </c>
      <c r="Q405" s="13" t="s">
        <v>54</v>
      </c>
      <c r="R405" s="13" t="s">
        <v>28</v>
      </c>
      <c r="S405" s="13"/>
      <c r="T405" s="13"/>
      <c r="U405" s="13" t="s">
        <v>632</v>
      </c>
      <c r="V405" s="13" t="s">
        <v>632</v>
      </c>
      <c r="W405" s="60">
        <f>+J405/$W$2</f>
        <v>5.0485209160125032E-4</v>
      </c>
      <c r="AC405" s="57"/>
    </row>
    <row r="406" spans="1:29">
      <c r="A406" s="13" t="s">
        <v>941</v>
      </c>
      <c r="B406" s="13" t="s">
        <v>675</v>
      </c>
      <c r="C406" s="145">
        <v>46191</v>
      </c>
      <c r="D406" s="145" t="s">
        <v>469</v>
      </c>
      <c r="E406" s="28">
        <v>0.96217224999999995</v>
      </c>
      <c r="F406" s="13"/>
      <c r="G406" s="18">
        <v>1149527</v>
      </c>
      <c r="H406" s="18">
        <v>1106042.98</v>
      </c>
      <c r="I406" s="18">
        <v>1149527</v>
      </c>
      <c r="J406" s="18">
        <v>1106042.98</v>
      </c>
      <c r="K406" s="15">
        <v>9939</v>
      </c>
      <c r="L406" s="13" t="s">
        <v>117</v>
      </c>
      <c r="M406" s="13" t="s">
        <v>118</v>
      </c>
      <c r="N406" s="145" t="s">
        <v>291</v>
      </c>
      <c r="O406" s="145" t="s">
        <v>291</v>
      </c>
      <c r="P406" s="28">
        <v>41</v>
      </c>
      <c r="Q406" s="13" t="s">
        <v>54</v>
      </c>
      <c r="R406" s="13" t="s">
        <v>28</v>
      </c>
      <c r="S406" s="13"/>
      <c r="T406" s="13"/>
      <c r="U406" s="13" t="s">
        <v>916</v>
      </c>
      <c r="V406" s="13" t="s">
        <v>916</v>
      </c>
      <c r="W406" s="60">
        <f>+J406/$W$2</f>
        <v>2.9150916402209302E-5</v>
      </c>
      <c r="AC406" s="57"/>
    </row>
    <row r="407" spans="1:29">
      <c r="A407" s="13" t="s">
        <v>556</v>
      </c>
      <c r="B407" s="13" t="s">
        <v>675</v>
      </c>
      <c r="C407" s="145">
        <v>46191</v>
      </c>
      <c r="D407" s="145" t="s">
        <v>469</v>
      </c>
      <c r="E407" s="28">
        <v>0.96039998999999998</v>
      </c>
      <c r="F407" s="13"/>
      <c r="G407" s="18">
        <v>300000000</v>
      </c>
      <c r="H407" s="18">
        <v>288119995.88999999</v>
      </c>
      <c r="I407" s="18">
        <v>300000000</v>
      </c>
      <c r="J407" s="18">
        <v>288119995.88999999</v>
      </c>
      <c r="K407" s="15">
        <v>9564811</v>
      </c>
      <c r="L407" s="13" t="s">
        <v>117</v>
      </c>
      <c r="M407" s="13" t="s">
        <v>118</v>
      </c>
      <c r="N407" s="145" t="s">
        <v>322</v>
      </c>
      <c r="O407" s="145" t="s">
        <v>322</v>
      </c>
      <c r="P407" s="28">
        <v>43</v>
      </c>
      <c r="Q407" s="13" t="s">
        <v>54</v>
      </c>
      <c r="R407" s="13" t="s">
        <v>28</v>
      </c>
      <c r="S407" s="13"/>
      <c r="T407" s="13"/>
      <c r="U407" s="13" t="s">
        <v>571</v>
      </c>
      <c r="V407" s="13" t="s">
        <v>571</v>
      </c>
      <c r="W407" s="60">
        <f>+J407/$W$2</f>
        <v>7.5937030168522724E-3</v>
      </c>
    </row>
    <row r="408" spans="1:29">
      <c r="A408" s="13" t="s">
        <v>556</v>
      </c>
      <c r="B408" s="13" t="s">
        <v>675</v>
      </c>
      <c r="C408" s="145">
        <v>46191</v>
      </c>
      <c r="D408" s="145" t="s">
        <v>469</v>
      </c>
      <c r="E408" s="28">
        <v>0.96039998999999998</v>
      </c>
      <c r="F408" s="13"/>
      <c r="G408" s="18">
        <v>300000000</v>
      </c>
      <c r="H408" s="18">
        <v>288119995.88999999</v>
      </c>
      <c r="I408" s="18">
        <v>300000000</v>
      </c>
      <c r="J408" s="18">
        <v>288119995.88999999</v>
      </c>
      <c r="K408" s="15">
        <v>9564812</v>
      </c>
      <c r="L408" s="13" t="s">
        <v>117</v>
      </c>
      <c r="M408" s="13" t="s">
        <v>118</v>
      </c>
      <c r="N408" s="145" t="s">
        <v>322</v>
      </c>
      <c r="O408" s="145" t="s">
        <v>322</v>
      </c>
      <c r="P408" s="28">
        <v>43</v>
      </c>
      <c r="Q408" s="13" t="s">
        <v>54</v>
      </c>
      <c r="R408" s="13" t="s">
        <v>28</v>
      </c>
      <c r="S408" s="13"/>
      <c r="T408" s="13"/>
      <c r="U408" s="13" t="s">
        <v>572</v>
      </c>
      <c r="V408" s="13" t="s">
        <v>572</v>
      </c>
      <c r="W408" s="60">
        <f>+J408/$W$2</f>
        <v>7.5937030168522724E-3</v>
      </c>
      <c r="AC408" s="57"/>
    </row>
    <row r="409" spans="1:29">
      <c r="A409" s="13" t="s">
        <v>406</v>
      </c>
      <c r="B409" s="13" t="s">
        <v>675</v>
      </c>
      <c r="C409" s="145">
        <v>46191</v>
      </c>
      <c r="D409" s="145" t="s">
        <v>469</v>
      </c>
      <c r="E409" s="28">
        <v>0.96752826999999997</v>
      </c>
      <c r="F409" s="13"/>
      <c r="G409" s="18">
        <v>5000000</v>
      </c>
      <c r="H409" s="18">
        <v>4837641.34</v>
      </c>
      <c r="I409" s="18">
        <v>5000000</v>
      </c>
      <c r="J409" s="18">
        <v>4837641.34</v>
      </c>
      <c r="K409" s="15">
        <v>90000053</v>
      </c>
      <c r="L409" s="13" t="s">
        <v>117</v>
      </c>
      <c r="M409" s="13" t="s">
        <v>118</v>
      </c>
      <c r="N409" s="145" t="s">
        <v>304</v>
      </c>
      <c r="O409" s="145" t="s">
        <v>304</v>
      </c>
      <c r="P409" s="28">
        <v>35</v>
      </c>
      <c r="Q409" s="13" t="s">
        <v>54</v>
      </c>
      <c r="R409" s="13" t="s">
        <v>28</v>
      </c>
      <c r="S409" s="13"/>
      <c r="T409" s="13"/>
      <c r="U409" s="13" t="s">
        <v>652</v>
      </c>
      <c r="V409" s="13" t="s">
        <v>652</v>
      </c>
      <c r="W409" s="60">
        <f>+J409/$W$2</f>
        <v>1.2750108344452562E-4</v>
      </c>
    </row>
    <row r="410" spans="1:29">
      <c r="A410" s="13" t="s">
        <v>405</v>
      </c>
      <c r="B410" s="13" t="s">
        <v>675</v>
      </c>
      <c r="C410" s="145">
        <v>46191</v>
      </c>
      <c r="D410" s="145" t="s">
        <v>469</v>
      </c>
      <c r="E410" s="28">
        <v>0.97203742000000004</v>
      </c>
      <c r="F410" s="13"/>
      <c r="G410" s="18">
        <v>17302222</v>
      </c>
      <c r="H410" s="18">
        <v>16818407.300000001</v>
      </c>
      <c r="I410" s="18">
        <v>17302222</v>
      </c>
      <c r="J410" s="18">
        <v>16818407.300000001</v>
      </c>
      <c r="K410" s="15">
        <v>1532</v>
      </c>
      <c r="L410" s="13" t="s">
        <v>117</v>
      </c>
      <c r="M410" s="13" t="s">
        <v>118</v>
      </c>
      <c r="N410" s="145" t="s">
        <v>528</v>
      </c>
      <c r="O410" s="145" t="s">
        <v>528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1300</v>
      </c>
      <c r="V410" s="13" t="s">
        <v>1300</v>
      </c>
      <c r="W410" s="60">
        <f>+J410/$W$2</f>
        <v>4.4326666692519193E-4</v>
      </c>
      <c r="AC410" s="57"/>
    </row>
    <row r="411" spans="1:29">
      <c r="A411" s="13" t="s">
        <v>405</v>
      </c>
      <c r="B411" s="13" t="s">
        <v>675</v>
      </c>
      <c r="C411" s="145">
        <v>46191</v>
      </c>
      <c r="D411" s="145" t="s">
        <v>469</v>
      </c>
      <c r="E411" s="28">
        <v>0.97294429000000004</v>
      </c>
      <c r="F411" s="13"/>
      <c r="G411" s="18">
        <v>40000000</v>
      </c>
      <c r="H411" s="18">
        <v>38917771.670000002</v>
      </c>
      <c r="I411" s="18">
        <v>40000000</v>
      </c>
      <c r="J411" s="18">
        <v>38917771.670000002</v>
      </c>
      <c r="K411" s="15">
        <v>90041866</v>
      </c>
      <c r="L411" s="13" t="s">
        <v>117</v>
      </c>
      <c r="M411" s="13" t="s">
        <v>118</v>
      </c>
      <c r="N411" s="145" t="s">
        <v>528</v>
      </c>
      <c r="O411" s="145" t="s">
        <v>528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1269</v>
      </c>
      <c r="V411" s="13" t="s">
        <v>1269</v>
      </c>
      <c r="W411" s="60">
        <f>+J411/$W$2</f>
        <v>1.0257184657620083E-3</v>
      </c>
    </row>
    <row r="412" spans="1:29">
      <c r="A412" s="13" t="s">
        <v>379</v>
      </c>
      <c r="B412" s="13" t="s">
        <v>675</v>
      </c>
      <c r="C412" s="145">
        <v>46191</v>
      </c>
      <c r="D412" s="145" t="s">
        <v>469</v>
      </c>
      <c r="E412" s="28">
        <v>0.96484281000000005</v>
      </c>
      <c r="F412" s="13"/>
      <c r="G412" s="18">
        <v>5450000</v>
      </c>
      <c r="H412" s="18">
        <v>5258393.33</v>
      </c>
      <c r="I412" s="18">
        <v>5450000</v>
      </c>
      <c r="J412" s="18">
        <v>5258393.33</v>
      </c>
      <c r="K412" s="15">
        <v>28513</v>
      </c>
      <c r="L412" s="13" t="s">
        <v>117</v>
      </c>
      <c r="M412" s="13" t="s">
        <v>118</v>
      </c>
      <c r="N412" s="145" t="s">
        <v>385</v>
      </c>
      <c r="O412" s="145" t="s">
        <v>385</v>
      </c>
      <c r="P412" s="28">
        <v>38</v>
      </c>
      <c r="Q412" s="13" t="s">
        <v>54</v>
      </c>
      <c r="R412" s="13" t="s">
        <v>28</v>
      </c>
      <c r="S412" s="13"/>
      <c r="T412" s="13"/>
      <c r="U412" s="13" t="s">
        <v>964</v>
      </c>
      <c r="V412" s="13" t="s">
        <v>964</v>
      </c>
      <c r="W412" s="60">
        <f>+J412/$W$2</f>
        <v>1.3859044100868938E-4</v>
      </c>
    </row>
    <row r="413" spans="1:29">
      <c r="A413" s="13" t="s">
        <v>1330</v>
      </c>
      <c r="B413" s="13" t="s">
        <v>675</v>
      </c>
      <c r="C413" s="145">
        <v>46191</v>
      </c>
      <c r="D413" s="145" t="s">
        <v>469</v>
      </c>
      <c r="E413" s="28">
        <v>0.97385277999999997</v>
      </c>
      <c r="F413" s="13"/>
      <c r="G413" s="18">
        <v>10000000</v>
      </c>
      <c r="H413" s="18">
        <v>9738527.8300000001</v>
      </c>
      <c r="I413" s="18">
        <v>10000000</v>
      </c>
      <c r="J413" s="18">
        <v>9738527.8300000001</v>
      </c>
      <c r="K413" s="15">
        <v>66404989</v>
      </c>
      <c r="L413" s="13" t="s">
        <v>117</v>
      </c>
      <c r="M413" s="13" t="s">
        <v>118</v>
      </c>
      <c r="N413" s="145" t="s">
        <v>411</v>
      </c>
      <c r="O413" s="145" t="s">
        <v>411</v>
      </c>
      <c r="P413" s="28">
        <v>28</v>
      </c>
      <c r="Q413" s="13" t="s">
        <v>54</v>
      </c>
      <c r="R413" s="13" t="s">
        <v>28</v>
      </c>
      <c r="S413" s="13"/>
      <c r="T413" s="13"/>
      <c r="U413" s="13" t="s">
        <v>1433</v>
      </c>
      <c r="V413" s="13" t="s">
        <v>1433</v>
      </c>
      <c r="W413" s="60">
        <f>+J413/$W$2</f>
        <v>2.5666905878550831E-4</v>
      </c>
    </row>
    <row r="414" spans="1:29">
      <c r="A414" s="13" t="s">
        <v>1330</v>
      </c>
      <c r="B414" s="13" t="s">
        <v>675</v>
      </c>
      <c r="C414" s="145">
        <v>46191</v>
      </c>
      <c r="D414" s="145" t="s">
        <v>469</v>
      </c>
      <c r="E414" s="28">
        <v>0.97294415999999995</v>
      </c>
      <c r="F414" s="13"/>
      <c r="G414" s="18">
        <v>50000000</v>
      </c>
      <c r="H414" s="18">
        <v>48647208.060000002</v>
      </c>
      <c r="I414" s="18">
        <v>50000000</v>
      </c>
      <c r="J414" s="18">
        <v>48647208.060000002</v>
      </c>
      <c r="K414" s="15">
        <v>147631</v>
      </c>
      <c r="L414" s="13" t="s">
        <v>117</v>
      </c>
      <c r="M414" s="13" t="s">
        <v>118</v>
      </c>
      <c r="N414" s="145" t="s">
        <v>216</v>
      </c>
      <c r="O414" s="145" t="s">
        <v>216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1626</v>
      </c>
      <c r="V414" s="13" t="s">
        <v>1626</v>
      </c>
      <c r="W414" s="60">
        <f>+J414/$W$2</f>
        <v>1.2821479101634394E-3</v>
      </c>
      <c r="AC414" s="57"/>
    </row>
    <row r="415" spans="1:29">
      <c r="A415" s="13" t="s">
        <v>1330</v>
      </c>
      <c r="B415" s="13" t="s">
        <v>675</v>
      </c>
      <c r="C415" s="145">
        <v>46191</v>
      </c>
      <c r="D415" s="145" t="s">
        <v>469</v>
      </c>
      <c r="E415" s="28">
        <v>0.97476309000000005</v>
      </c>
      <c r="F415" s="13"/>
      <c r="G415" s="18">
        <v>15200000</v>
      </c>
      <c r="H415" s="18">
        <v>14816398.99</v>
      </c>
      <c r="I415" s="18">
        <v>15200000</v>
      </c>
      <c r="J415" s="18">
        <v>14816398.99</v>
      </c>
      <c r="K415" s="15">
        <v>2601</v>
      </c>
      <c r="L415" s="13" t="s">
        <v>117</v>
      </c>
      <c r="M415" s="13" t="s">
        <v>118</v>
      </c>
      <c r="N415" s="145" t="s">
        <v>428</v>
      </c>
      <c r="O415" s="145" t="s">
        <v>428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1677</v>
      </c>
      <c r="V415" s="13" t="s">
        <v>1677</v>
      </c>
      <c r="W415" s="60">
        <f>+J415/$W$2</f>
        <v>3.9050164970918974E-4</v>
      </c>
    </row>
    <row r="416" spans="1:29">
      <c r="A416" s="13" t="s">
        <v>406</v>
      </c>
      <c r="B416" s="13" t="s">
        <v>675</v>
      </c>
      <c r="C416" s="145">
        <v>46191</v>
      </c>
      <c r="D416" s="145" t="s">
        <v>469</v>
      </c>
      <c r="E416" s="28">
        <v>0.97294427000000006</v>
      </c>
      <c r="F416" s="13"/>
      <c r="G416" s="18">
        <v>4166666.66</v>
      </c>
      <c r="H416" s="18">
        <v>4053934.44</v>
      </c>
      <c r="I416" s="18">
        <v>4166666.66</v>
      </c>
      <c r="J416" s="18">
        <v>4053934.44</v>
      </c>
      <c r="K416" s="15">
        <v>13567712</v>
      </c>
      <c r="L416" s="13" t="s">
        <v>117</v>
      </c>
      <c r="M416" s="13" t="s">
        <v>118</v>
      </c>
      <c r="N416" s="145" t="s">
        <v>428</v>
      </c>
      <c r="O416" s="145" t="s">
        <v>428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1693</v>
      </c>
      <c r="V416" s="13" t="s">
        <v>1693</v>
      </c>
      <c r="W416" s="60">
        <f>+J416/$W$2</f>
        <v>1.0684567064516534E-4</v>
      </c>
    </row>
    <row r="417" spans="1:29">
      <c r="A417" s="13" t="s">
        <v>1764</v>
      </c>
      <c r="B417" s="13" t="s">
        <v>675</v>
      </c>
      <c r="C417" s="145">
        <v>46191</v>
      </c>
      <c r="D417" s="145" t="s">
        <v>469</v>
      </c>
      <c r="E417" s="28">
        <v>0.97385286000000004</v>
      </c>
      <c r="F417" s="13"/>
      <c r="G417" s="18">
        <v>5000000</v>
      </c>
      <c r="H417" s="18">
        <v>4869264.29</v>
      </c>
      <c r="I417" s="18">
        <v>5000000</v>
      </c>
      <c r="J417" s="18">
        <v>4869264.29</v>
      </c>
      <c r="K417" s="15">
        <v>6034641</v>
      </c>
      <c r="L417" s="13" t="s">
        <v>117</v>
      </c>
      <c r="M417" s="13" t="s">
        <v>118</v>
      </c>
      <c r="N417" s="145" t="s">
        <v>462</v>
      </c>
      <c r="O417" s="145" t="s">
        <v>462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1720</v>
      </c>
      <c r="V417" s="13" t="s">
        <v>1720</v>
      </c>
      <c r="W417" s="60">
        <f>+J417/$W$2</f>
        <v>1.2833453927627028E-4</v>
      </c>
      <c r="AC417" s="57"/>
    </row>
    <row r="418" spans="1:29">
      <c r="A418" s="13" t="s">
        <v>1764</v>
      </c>
      <c r="B418" s="13" t="s">
        <v>675</v>
      </c>
      <c r="C418" s="145">
        <v>46191</v>
      </c>
      <c r="D418" s="145" t="s">
        <v>469</v>
      </c>
      <c r="E418" s="28">
        <v>0.97385286000000004</v>
      </c>
      <c r="F418" s="13"/>
      <c r="G418" s="18">
        <v>5000000</v>
      </c>
      <c r="H418" s="18">
        <v>4869264.29</v>
      </c>
      <c r="I418" s="18">
        <v>5000000</v>
      </c>
      <c r="J418" s="18">
        <v>4869264.29</v>
      </c>
      <c r="K418" s="15">
        <v>6034642</v>
      </c>
      <c r="L418" s="13" t="s">
        <v>117</v>
      </c>
      <c r="M418" s="13" t="s">
        <v>118</v>
      </c>
      <c r="N418" s="145" t="s">
        <v>462</v>
      </c>
      <c r="O418" s="145" t="s">
        <v>462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1721</v>
      </c>
      <c r="V418" s="13" t="s">
        <v>1721</v>
      </c>
      <c r="W418" s="60">
        <f>+J418/$W$2</f>
        <v>1.2833453927627028E-4</v>
      </c>
    </row>
    <row r="419" spans="1:29">
      <c r="A419" s="13" t="s">
        <v>266</v>
      </c>
      <c r="B419" s="13" t="s">
        <v>675</v>
      </c>
      <c r="C419" s="145">
        <v>46191</v>
      </c>
      <c r="D419" s="145" t="s">
        <v>469</v>
      </c>
      <c r="E419" s="28">
        <v>0.97476306000000001</v>
      </c>
      <c r="F419" s="13"/>
      <c r="G419" s="18">
        <v>10622333.02</v>
      </c>
      <c r="H419" s="18">
        <v>10354257.82</v>
      </c>
      <c r="I419" s="18">
        <v>10622333.02</v>
      </c>
      <c r="J419" s="18">
        <v>10354257.82</v>
      </c>
      <c r="K419" s="15">
        <v>1518</v>
      </c>
      <c r="L419" s="13" t="s">
        <v>117</v>
      </c>
      <c r="M419" s="13" t="s">
        <v>118</v>
      </c>
      <c r="N419" s="145" t="s">
        <v>291</v>
      </c>
      <c r="O419" s="145" t="s">
        <v>291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926</v>
      </c>
      <c r="V419" s="13" t="s">
        <v>926</v>
      </c>
      <c r="W419" s="60">
        <f>+J419/$W$2</f>
        <v>2.7289726491256419E-4</v>
      </c>
      <c r="AC419" s="57"/>
    </row>
    <row r="420" spans="1:29">
      <c r="A420" s="13" t="s">
        <v>780</v>
      </c>
      <c r="B420" s="13" t="s">
        <v>675</v>
      </c>
      <c r="C420" s="145">
        <v>46191</v>
      </c>
      <c r="D420" s="145" t="s">
        <v>469</v>
      </c>
      <c r="E420" s="28">
        <v>0.96217224000000001</v>
      </c>
      <c r="F420" s="13"/>
      <c r="G420" s="18">
        <v>10918371.689999999</v>
      </c>
      <c r="H420" s="18">
        <v>10505354.189999999</v>
      </c>
      <c r="I420" s="18">
        <v>10918371.689999999</v>
      </c>
      <c r="J420" s="18">
        <v>10505354.189999999</v>
      </c>
      <c r="K420" s="15">
        <v>30457</v>
      </c>
      <c r="L420" s="13" t="s">
        <v>117</v>
      </c>
      <c r="M420" s="13" t="s">
        <v>118</v>
      </c>
      <c r="N420" s="145" t="s">
        <v>291</v>
      </c>
      <c r="O420" s="145" t="s">
        <v>291</v>
      </c>
      <c r="P420" s="28">
        <v>41</v>
      </c>
      <c r="Q420" s="13" t="s">
        <v>54</v>
      </c>
      <c r="R420" s="13" t="s">
        <v>28</v>
      </c>
      <c r="S420" s="13"/>
      <c r="T420" s="13"/>
      <c r="U420" s="13" t="s">
        <v>880</v>
      </c>
      <c r="V420" s="13" t="s">
        <v>880</v>
      </c>
      <c r="W420" s="60">
        <f>+J420/$W$2</f>
        <v>2.7687956734582701E-4</v>
      </c>
      <c r="AC420" s="57"/>
    </row>
    <row r="421" spans="1:29">
      <c r="A421" s="13" t="s">
        <v>196</v>
      </c>
      <c r="B421" s="13" t="s">
        <v>675</v>
      </c>
      <c r="C421" s="145">
        <v>46191</v>
      </c>
      <c r="D421" s="145" t="s">
        <v>469</v>
      </c>
      <c r="E421" s="28">
        <v>0.96663138000000004</v>
      </c>
      <c r="F421" s="13"/>
      <c r="G421" s="18">
        <v>5000000</v>
      </c>
      <c r="H421" s="18">
        <v>4833156.88</v>
      </c>
      <c r="I421" s="18">
        <v>5000000</v>
      </c>
      <c r="J421" s="18">
        <v>4833156.88</v>
      </c>
      <c r="K421" s="15">
        <v>13420539</v>
      </c>
      <c r="L421" s="13" t="s">
        <v>117</v>
      </c>
      <c r="M421" s="13" t="s">
        <v>118</v>
      </c>
      <c r="N421" s="145" t="s">
        <v>442</v>
      </c>
      <c r="O421" s="145" t="s">
        <v>442</v>
      </c>
      <c r="P421" s="28">
        <v>36</v>
      </c>
      <c r="Q421" s="13" t="s">
        <v>54</v>
      </c>
      <c r="R421" s="13" t="s">
        <v>28</v>
      </c>
      <c r="S421" s="13"/>
      <c r="T421" s="13"/>
      <c r="U421" s="13" t="s">
        <v>988</v>
      </c>
      <c r="V421" s="13" t="s">
        <v>988</v>
      </c>
      <c r="W421" s="60">
        <f>+J421/$W$2</f>
        <v>1.2738289082368456E-4</v>
      </c>
    </row>
    <row r="422" spans="1:29">
      <c r="A422" s="13" t="s">
        <v>722</v>
      </c>
      <c r="B422" s="13" t="s">
        <v>675</v>
      </c>
      <c r="C422" s="145">
        <v>46191</v>
      </c>
      <c r="D422" s="145" t="s">
        <v>469</v>
      </c>
      <c r="E422" s="28">
        <v>0.96306080000000005</v>
      </c>
      <c r="F422" s="13"/>
      <c r="G422" s="18">
        <v>40000000</v>
      </c>
      <c r="H422" s="18">
        <v>38522431.920000002</v>
      </c>
      <c r="I422" s="18">
        <v>40000000</v>
      </c>
      <c r="J422" s="18">
        <v>38522431.920000002</v>
      </c>
      <c r="K422" s="15">
        <v>227</v>
      </c>
      <c r="L422" s="13" t="s">
        <v>117</v>
      </c>
      <c r="M422" s="13" t="s">
        <v>118</v>
      </c>
      <c r="N422" s="145" t="s">
        <v>403</v>
      </c>
      <c r="O422" s="145" t="s">
        <v>403</v>
      </c>
      <c r="P422" s="28">
        <v>40</v>
      </c>
      <c r="Q422" s="13" t="s">
        <v>54</v>
      </c>
      <c r="R422" s="13" t="s">
        <v>28</v>
      </c>
      <c r="S422" s="13"/>
      <c r="T422" s="13"/>
      <c r="U422" s="13" t="s">
        <v>723</v>
      </c>
      <c r="V422" s="13" t="s">
        <v>723</v>
      </c>
      <c r="W422" s="60">
        <f>+J422/$W$2</f>
        <v>1.0152988742894234E-3</v>
      </c>
    </row>
    <row r="423" spans="1:29">
      <c r="A423" s="13" t="s">
        <v>249</v>
      </c>
      <c r="B423" s="13" t="s">
        <v>675</v>
      </c>
      <c r="C423" s="145">
        <v>46191</v>
      </c>
      <c r="D423" s="145" t="s">
        <v>469</v>
      </c>
      <c r="E423" s="28">
        <v>0.96217213999999995</v>
      </c>
      <c r="F423" s="13"/>
      <c r="G423" s="18">
        <v>127500000</v>
      </c>
      <c r="H423" s="18">
        <v>122676948.31999999</v>
      </c>
      <c r="I423" s="18">
        <v>127500000</v>
      </c>
      <c r="J423" s="18">
        <v>122676948.31999999</v>
      </c>
      <c r="K423" s="15">
        <v>70376446</v>
      </c>
      <c r="L423" s="13" t="s">
        <v>117</v>
      </c>
      <c r="M423" s="13" t="s">
        <v>118</v>
      </c>
      <c r="N423" s="145" t="s">
        <v>216</v>
      </c>
      <c r="O423" s="145" t="s">
        <v>216</v>
      </c>
      <c r="P423" s="28">
        <v>41</v>
      </c>
      <c r="Q423" s="13" t="s">
        <v>54</v>
      </c>
      <c r="R423" s="13" t="s">
        <v>28</v>
      </c>
      <c r="S423" s="13"/>
      <c r="T423" s="13"/>
      <c r="U423" s="13" t="s">
        <v>1629</v>
      </c>
      <c r="V423" s="13" t="s">
        <v>1629</v>
      </c>
      <c r="W423" s="60">
        <f>+J423/$W$2</f>
        <v>3.2332789318498915E-3</v>
      </c>
    </row>
    <row r="424" spans="1:29">
      <c r="A424" s="13" t="s">
        <v>249</v>
      </c>
      <c r="B424" s="13" t="s">
        <v>675</v>
      </c>
      <c r="C424" s="145">
        <v>46191</v>
      </c>
      <c r="D424" s="145" t="s">
        <v>469</v>
      </c>
      <c r="E424" s="28">
        <v>0.96217222000000002</v>
      </c>
      <c r="F424" s="13"/>
      <c r="G424" s="18">
        <v>128500000</v>
      </c>
      <c r="H424" s="18">
        <v>123639129.81</v>
      </c>
      <c r="I424" s="18">
        <v>128500000</v>
      </c>
      <c r="J424" s="18">
        <v>123639129.81</v>
      </c>
      <c r="K424" s="15">
        <v>70376447</v>
      </c>
      <c r="L424" s="13" t="s">
        <v>117</v>
      </c>
      <c r="M424" s="13" t="s">
        <v>118</v>
      </c>
      <c r="N424" s="145" t="s">
        <v>400</v>
      </c>
      <c r="O424" s="145" t="s">
        <v>400</v>
      </c>
      <c r="P424" s="28">
        <v>41</v>
      </c>
      <c r="Q424" s="13" t="s">
        <v>54</v>
      </c>
      <c r="R424" s="13" t="s">
        <v>28</v>
      </c>
      <c r="S424" s="13"/>
      <c r="T424" s="13"/>
      <c r="U424" s="13" t="s">
        <v>1630</v>
      </c>
      <c r="V424" s="13" t="s">
        <v>1630</v>
      </c>
      <c r="W424" s="60">
        <f>+J424/$W$2</f>
        <v>3.2586382286276202E-3</v>
      </c>
    </row>
    <row r="425" spans="1:29">
      <c r="A425" s="13" t="s">
        <v>463</v>
      </c>
      <c r="B425" s="13" t="s">
        <v>675</v>
      </c>
      <c r="C425" s="145">
        <v>46191</v>
      </c>
      <c r="D425" s="145" t="s">
        <v>469</v>
      </c>
      <c r="E425" s="28">
        <v>0.96663149000000004</v>
      </c>
      <c r="F425" s="13"/>
      <c r="G425" s="18">
        <v>16400000</v>
      </c>
      <c r="H425" s="18">
        <v>15852756.5</v>
      </c>
      <c r="I425" s="18">
        <v>16400000</v>
      </c>
      <c r="J425" s="18">
        <v>15852756.5</v>
      </c>
      <c r="K425" s="15">
        <v>95826365</v>
      </c>
      <c r="L425" s="13" t="s">
        <v>117</v>
      </c>
      <c r="M425" s="13" t="s">
        <v>118</v>
      </c>
      <c r="N425" s="145" t="s">
        <v>443</v>
      </c>
      <c r="O425" s="145" t="s">
        <v>443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1070</v>
      </c>
      <c r="V425" s="13" t="s">
        <v>1070</v>
      </c>
      <c r="W425" s="60">
        <f>+J425/$W$2</f>
        <v>4.1781593286373026E-4</v>
      </c>
    </row>
    <row r="426" spans="1:29">
      <c r="A426" s="13" t="s">
        <v>526</v>
      </c>
      <c r="B426" s="13" t="s">
        <v>675</v>
      </c>
      <c r="C426" s="145">
        <v>46191</v>
      </c>
      <c r="D426" s="145" t="s">
        <v>469</v>
      </c>
      <c r="E426" s="28">
        <v>0.96040002999999996</v>
      </c>
      <c r="F426" s="13"/>
      <c r="G426" s="18">
        <v>3500000</v>
      </c>
      <c r="H426" s="18">
        <v>3361400.12</v>
      </c>
      <c r="I426" s="18">
        <v>3500000</v>
      </c>
      <c r="J426" s="18">
        <v>3361400.12</v>
      </c>
      <c r="K426" s="15">
        <v>3070</v>
      </c>
      <c r="L426" s="13" t="s">
        <v>117</v>
      </c>
      <c r="M426" s="13" t="s">
        <v>118</v>
      </c>
      <c r="N426" s="145" t="s">
        <v>290</v>
      </c>
      <c r="O426" s="145" t="s">
        <v>290</v>
      </c>
      <c r="P426" s="28">
        <v>43</v>
      </c>
      <c r="Q426" s="13" t="s">
        <v>54</v>
      </c>
      <c r="R426" s="13" t="s">
        <v>28</v>
      </c>
      <c r="S426" s="13"/>
      <c r="T426" s="13"/>
      <c r="U426" s="13" t="s">
        <v>523</v>
      </c>
      <c r="V426" s="13" t="s">
        <v>523</v>
      </c>
      <c r="W426" s="60">
        <f>+J426/$W$2</f>
        <v>8.8593206289773956E-5</v>
      </c>
    </row>
    <row r="427" spans="1:29">
      <c r="A427" s="13" t="s">
        <v>471</v>
      </c>
      <c r="B427" s="13" t="s">
        <v>675</v>
      </c>
      <c r="C427" s="145">
        <v>46191</v>
      </c>
      <c r="D427" s="145" t="s">
        <v>469</v>
      </c>
      <c r="E427" s="28">
        <v>0.97022872999999998</v>
      </c>
      <c r="F427" s="13"/>
      <c r="G427" s="18">
        <v>100000000</v>
      </c>
      <c r="H427" s="18">
        <v>97022872.549999997</v>
      </c>
      <c r="I427" s="18">
        <v>100000000</v>
      </c>
      <c r="J427" s="18">
        <v>97022872.549999997</v>
      </c>
      <c r="K427" s="15">
        <v>16751403</v>
      </c>
      <c r="L427" s="13" t="s">
        <v>117</v>
      </c>
      <c r="M427" s="13" t="s">
        <v>118</v>
      </c>
      <c r="N427" s="145" t="s">
        <v>469</v>
      </c>
      <c r="O427" s="145" t="s">
        <v>469</v>
      </c>
      <c r="P427" s="28">
        <v>32</v>
      </c>
      <c r="Q427" s="13" t="s">
        <v>54</v>
      </c>
      <c r="R427" s="13" t="s">
        <v>28</v>
      </c>
      <c r="S427" s="13"/>
      <c r="T427" s="13"/>
      <c r="U427" s="13" t="s">
        <v>1913</v>
      </c>
      <c r="V427" s="13" t="s">
        <v>1913</v>
      </c>
      <c r="W427" s="60">
        <f>+J427/$W$2</f>
        <v>2.5571390063044907E-3</v>
      </c>
    </row>
    <row r="428" spans="1:29">
      <c r="A428" s="13" t="s">
        <v>717</v>
      </c>
      <c r="B428" s="13" t="s">
        <v>675</v>
      </c>
      <c r="C428" s="145">
        <v>46192</v>
      </c>
      <c r="D428" s="145" t="s">
        <v>469</v>
      </c>
      <c r="E428" s="28">
        <v>0.96204540999999999</v>
      </c>
      <c r="F428" s="13"/>
      <c r="G428" s="18">
        <v>100000000</v>
      </c>
      <c r="H428" s="18">
        <v>96204540.959999993</v>
      </c>
      <c r="I428" s="18">
        <v>100000000</v>
      </c>
      <c r="J428" s="18">
        <v>96204540.959999993</v>
      </c>
      <c r="K428" s="15">
        <v>304</v>
      </c>
      <c r="L428" s="13" t="s">
        <v>117</v>
      </c>
      <c r="M428" s="13" t="s">
        <v>118</v>
      </c>
      <c r="N428" s="145" t="s">
        <v>403</v>
      </c>
      <c r="O428" s="145" t="s">
        <v>403</v>
      </c>
      <c r="P428" s="28">
        <v>40</v>
      </c>
      <c r="Q428" s="13" t="s">
        <v>54</v>
      </c>
      <c r="R428" s="13" t="s">
        <v>28</v>
      </c>
      <c r="S428" s="13"/>
      <c r="T428" s="13"/>
      <c r="U428" s="13" t="s">
        <v>721</v>
      </c>
      <c r="V428" s="13" t="s">
        <v>721</v>
      </c>
      <c r="W428" s="60">
        <f>+J428/$W$2</f>
        <v>2.5355710236847039E-3</v>
      </c>
    </row>
    <row r="429" spans="1:29">
      <c r="A429" s="13" t="s">
        <v>939</v>
      </c>
      <c r="B429" s="13" t="s">
        <v>675</v>
      </c>
      <c r="C429" s="145">
        <v>46192</v>
      </c>
      <c r="D429" s="145" t="s">
        <v>469</v>
      </c>
      <c r="E429" s="28">
        <v>0.96113340999999997</v>
      </c>
      <c r="F429" s="13"/>
      <c r="G429" s="18">
        <v>2000000</v>
      </c>
      <c r="H429" s="18">
        <v>1922266.82</v>
      </c>
      <c r="I429" s="18">
        <v>2000000</v>
      </c>
      <c r="J429" s="18">
        <v>1922266.82</v>
      </c>
      <c r="K429" s="15">
        <v>12384444</v>
      </c>
      <c r="L429" s="13" t="s">
        <v>117</v>
      </c>
      <c r="M429" s="13" t="s">
        <v>118</v>
      </c>
      <c r="N429" s="145" t="s">
        <v>291</v>
      </c>
      <c r="O429" s="145" t="s">
        <v>291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911</v>
      </c>
      <c r="V429" s="13" t="s">
        <v>911</v>
      </c>
      <c r="W429" s="60">
        <f>+J429/$W$2</f>
        <v>5.0663347072245529E-5</v>
      </c>
      <c r="AC429" s="57"/>
    </row>
    <row r="430" spans="1:29">
      <c r="A430" s="13" t="s">
        <v>444</v>
      </c>
      <c r="B430" s="13" t="s">
        <v>675</v>
      </c>
      <c r="C430" s="145">
        <v>46192</v>
      </c>
      <c r="D430" s="145" t="s">
        <v>469</v>
      </c>
      <c r="E430" s="28">
        <v>0.96387462000000002</v>
      </c>
      <c r="F430" s="13"/>
      <c r="G430" s="18">
        <v>7000000</v>
      </c>
      <c r="H430" s="18">
        <v>6747122.3499999996</v>
      </c>
      <c r="I430" s="18">
        <v>7000000</v>
      </c>
      <c r="J430" s="18">
        <v>6747122.3499999996</v>
      </c>
      <c r="K430" s="15">
        <v>60524089</v>
      </c>
      <c r="L430" s="13" t="s">
        <v>117</v>
      </c>
      <c r="M430" s="13" t="s">
        <v>118</v>
      </c>
      <c r="N430" s="145" t="s">
        <v>378</v>
      </c>
      <c r="O430" s="145" t="s">
        <v>378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729</v>
      </c>
      <c r="V430" s="13" t="s">
        <v>729</v>
      </c>
      <c r="W430" s="60">
        <f>+J430/$W$2</f>
        <v>1.7782744715791061E-4</v>
      </c>
    </row>
    <row r="431" spans="1:29">
      <c r="A431" s="13" t="s">
        <v>863</v>
      </c>
      <c r="B431" s="13" t="s">
        <v>675</v>
      </c>
      <c r="C431" s="145">
        <v>46192</v>
      </c>
      <c r="D431" s="145" t="s">
        <v>469</v>
      </c>
      <c r="E431" s="28">
        <v>0.97219264000000005</v>
      </c>
      <c r="F431" s="13"/>
      <c r="G431" s="18">
        <v>12500000</v>
      </c>
      <c r="H431" s="18">
        <v>12152407.970000001</v>
      </c>
      <c r="I431" s="18">
        <v>12500000</v>
      </c>
      <c r="J431" s="18">
        <v>12152407.970000001</v>
      </c>
      <c r="K431" s="15">
        <v>28996513</v>
      </c>
      <c r="L431" s="13" t="s">
        <v>117</v>
      </c>
      <c r="M431" s="13" t="s">
        <v>118</v>
      </c>
      <c r="N431" s="145" t="s">
        <v>209</v>
      </c>
      <c r="O431" s="145" t="s">
        <v>209</v>
      </c>
      <c r="P431" s="28">
        <v>29</v>
      </c>
      <c r="Q431" s="13" t="s">
        <v>54</v>
      </c>
      <c r="R431" s="13" t="s">
        <v>28</v>
      </c>
      <c r="S431" s="13"/>
      <c r="T431" s="13"/>
      <c r="U431" s="13" t="s">
        <v>813</v>
      </c>
      <c r="V431" s="13" t="s">
        <v>813</v>
      </c>
      <c r="W431" s="60">
        <f>+J431/$W$2</f>
        <v>3.202893876863737E-4</v>
      </c>
    </row>
    <row r="432" spans="1:29">
      <c r="A432" s="13" t="s">
        <v>405</v>
      </c>
      <c r="B432" s="13" t="s">
        <v>675</v>
      </c>
      <c r="C432" s="145">
        <v>46192</v>
      </c>
      <c r="D432" s="145" t="s">
        <v>469</v>
      </c>
      <c r="E432" s="28">
        <v>0.97126140000000005</v>
      </c>
      <c r="F432" s="13"/>
      <c r="G432" s="18">
        <v>17224555</v>
      </c>
      <c r="H432" s="18">
        <v>16729545.470000001</v>
      </c>
      <c r="I432" s="18">
        <v>17224555</v>
      </c>
      <c r="J432" s="18">
        <v>16729545.470000001</v>
      </c>
      <c r="K432" s="15">
        <v>1533</v>
      </c>
      <c r="L432" s="13" t="s">
        <v>117</v>
      </c>
      <c r="M432" s="13" t="s">
        <v>118</v>
      </c>
      <c r="N432" s="145" t="s">
        <v>528</v>
      </c>
      <c r="O432" s="145" t="s">
        <v>528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1301</v>
      </c>
      <c r="V432" s="13" t="s">
        <v>1301</v>
      </c>
      <c r="W432" s="60">
        <f>+J432/$W$2</f>
        <v>4.4092462070771367E-4</v>
      </c>
      <c r="AC432" s="57"/>
    </row>
    <row r="433" spans="1:23">
      <c r="A433" s="13" t="s">
        <v>592</v>
      </c>
      <c r="B433" s="13" t="s">
        <v>675</v>
      </c>
      <c r="C433" s="145">
        <v>46192</v>
      </c>
      <c r="D433" s="145" t="s">
        <v>469</v>
      </c>
      <c r="E433" s="28">
        <v>0.97499745999999998</v>
      </c>
      <c r="F433" s="13"/>
      <c r="G433" s="18">
        <v>105680999.8</v>
      </c>
      <c r="H433" s="18">
        <v>103038706.58</v>
      </c>
      <c r="I433" s="18">
        <v>105680999.8</v>
      </c>
      <c r="J433" s="18">
        <v>103038706.58</v>
      </c>
      <c r="K433" s="15">
        <v>76335659</v>
      </c>
      <c r="L433" s="13" t="s">
        <v>117</v>
      </c>
      <c r="M433" s="13" t="s">
        <v>118</v>
      </c>
      <c r="N433" s="145" t="s">
        <v>410</v>
      </c>
      <c r="O433" s="145" t="s">
        <v>410</v>
      </c>
      <c r="P433" s="28">
        <v>26</v>
      </c>
      <c r="Q433" s="13" t="s">
        <v>54</v>
      </c>
      <c r="R433" s="13" t="s">
        <v>28</v>
      </c>
      <c r="S433" s="13"/>
      <c r="T433" s="13"/>
      <c r="U433" s="13" t="s">
        <v>1769</v>
      </c>
      <c r="V433" s="13" t="s">
        <v>1769</v>
      </c>
      <c r="W433" s="60">
        <f>+J433/$W$2</f>
        <v>2.7156925870144336E-3</v>
      </c>
    </row>
    <row r="434" spans="1:23">
      <c r="A434" s="13" t="s">
        <v>780</v>
      </c>
      <c r="B434" s="13" t="s">
        <v>675</v>
      </c>
      <c r="C434" s="145">
        <v>46192</v>
      </c>
      <c r="D434" s="145" t="s">
        <v>469</v>
      </c>
      <c r="E434" s="28">
        <v>0.96113340999999997</v>
      </c>
      <c r="F434" s="13"/>
      <c r="G434" s="18">
        <v>10918371.689999999</v>
      </c>
      <c r="H434" s="18">
        <v>10494011.810000001</v>
      </c>
      <c r="I434" s="18">
        <v>10918371.689999999</v>
      </c>
      <c r="J434" s="18">
        <v>10494011.810000001</v>
      </c>
      <c r="K434" s="15">
        <v>30458</v>
      </c>
      <c r="L434" s="13" t="s">
        <v>117</v>
      </c>
      <c r="M434" s="13" t="s">
        <v>118</v>
      </c>
      <c r="N434" s="145" t="s">
        <v>291</v>
      </c>
      <c r="O434" s="145" t="s">
        <v>291</v>
      </c>
      <c r="P434" s="28">
        <v>41</v>
      </c>
      <c r="Q434" s="13" t="s">
        <v>54</v>
      </c>
      <c r="R434" s="13" t="s">
        <v>28</v>
      </c>
      <c r="S434" s="13"/>
      <c r="T434" s="13"/>
      <c r="U434" s="13" t="s">
        <v>881</v>
      </c>
      <c r="V434" s="13" t="s">
        <v>881</v>
      </c>
      <c r="W434" s="60">
        <f>+J434/$W$2</f>
        <v>2.7658062709019424E-4</v>
      </c>
    </row>
    <row r="435" spans="1:23">
      <c r="A435" s="13" t="s">
        <v>864</v>
      </c>
      <c r="B435" s="13" t="s">
        <v>675</v>
      </c>
      <c r="C435" s="145">
        <v>46192</v>
      </c>
      <c r="D435" s="145" t="s">
        <v>469</v>
      </c>
      <c r="E435" s="28">
        <v>0.96387451999999996</v>
      </c>
      <c r="F435" s="13"/>
      <c r="G435" s="18">
        <v>50000000</v>
      </c>
      <c r="H435" s="18">
        <v>48193726.219999999</v>
      </c>
      <c r="I435" s="18">
        <v>50000000</v>
      </c>
      <c r="J435" s="18">
        <v>48193726.219999999</v>
      </c>
      <c r="K435" s="15">
        <v>2423</v>
      </c>
      <c r="L435" s="13" t="s">
        <v>117</v>
      </c>
      <c r="M435" s="13" t="s">
        <v>118</v>
      </c>
      <c r="N435" s="145" t="s">
        <v>209</v>
      </c>
      <c r="O435" s="145" t="s">
        <v>209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840</v>
      </c>
      <c r="V435" s="13" t="s">
        <v>840</v>
      </c>
      <c r="W435" s="60">
        <f>+J435/$W$2</f>
        <v>1.2701959232634726E-3</v>
      </c>
    </row>
    <row r="436" spans="1:23">
      <c r="A436" s="13" t="s">
        <v>471</v>
      </c>
      <c r="B436" s="13" t="s">
        <v>675</v>
      </c>
      <c r="C436" s="145">
        <v>46192</v>
      </c>
      <c r="D436" s="145" t="s">
        <v>469</v>
      </c>
      <c r="E436" s="28">
        <v>0.96940406000000001</v>
      </c>
      <c r="F436" s="13"/>
      <c r="G436" s="18">
        <v>100000000</v>
      </c>
      <c r="H436" s="18">
        <v>96940405.650000006</v>
      </c>
      <c r="I436" s="18">
        <v>100000000</v>
      </c>
      <c r="J436" s="18">
        <v>96940405.650000006</v>
      </c>
      <c r="K436" s="15">
        <v>16751404</v>
      </c>
      <c r="L436" s="13" t="s">
        <v>117</v>
      </c>
      <c r="M436" s="13" t="s">
        <v>118</v>
      </c>
      <c r="N436" s="145" t="s">
        <v>469</v>
      </c>
      <c r="O436" s="145" t="s">
        <v>469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1912</v>
      </c>
      <c r="V436" s="13" t="s">
        <v>1912</v>
      </c>
      <c r="W436" s="60">
        <f>+J436/$W$2</f>
        <v>2.5549655051374303E-3</v>
      </c>
    </row>
    <row r="437" spans="1:23">
      <c r="A437" s="13" t="s">
        <v>781</v>
      </c>
      <c r="B437" s="13" t="s">
        <v>675</v>
      </c>
      <c r="C437" s="145">
        <v>46195</v>
      </c>
      <c r="D437" s="145" t="s">
        <v>469</v>
      </c>
      <c r="E437" s="28">
        <v>0.95803042000000005</v>
      </c>
      <c r="F437" s="13"/>
      <c r="G437" s="18">
        <v>2000000</v>
      </c>
      <c r="H437" s="18">
        <v>1916060.84</v>
      </c>
      <c r="I437" s="18">
        <v>2000000</v>
      </c>
      <c r="J437" s="18">
        <v>1916060.84</v>
      </c>
      <c r="K437" s="15">
        <v>11213038</v>
      </c>
      <c r="L437" s="13" t="s">
        <v>117</v>
      </c>
      <c r="M437" s="13" t="s">
        <v>118</v>
      </c>
      <c r="N437" s="145" t="s">
        <v>387</v>
      </c>
      <c r="O437" s="145" t="s">
        <v>387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767</v>
      </c>
      <c r="V437" s="13" t="s">
        <v>767</v>
      </c>
      <c r="W437" s="60">
        <f>+J437/$W$2</f>
        <v>5.049978199616342E-5</v>
      </c>
    </row>
    <row r="438" spans="1:23">
      <c r="A438" s="13" t="s">
        <v>406</v>
      </c>
      <c r="B438" s="13" t="s">
        <v>675</v>
      </c>
      <c r="C438" s="145">
        <v>46195</v>
      </c>
      <c r="D438" s="145" t="s">
        <v>469</v>
      </c>
      <c r="E438" s="28">
        <v>0.96395098000000001</v>
      </c>
      <c r="F438" s="13"/>
      <c r="G438" s="18">
        <v>5000000</v>
      </c>
      <c r="H438" s="18">
        <v>4819754.8899999997</v>
      </c>
      <c r="I438" s="18">
        <v>5000000</v>
      </c>
      <c r="J438" s="18">
        <v>4819754.8899999997</v>
      </c>
      <c r="K438" s="15">
        <v>90000058</v>
      </c>
      <c r="L438" s="13" t="s">
        <v>117</v>
      </c>
      <c r="M438" s="13" t="s">
        <v>118</v>
      </c>
      <c r="N438" s="145" t="s">
        <v>304</v>
      </c>
      <c r="O438" s="145" t="s">
        <v>304</v>
      </c>
      <c r="P438" s="28">
        <v>35</v>
      </c>
      <c r="Q438" s="13" t="s">
        <v>54</v>
      </c>
      <c r="R438" s="13" t="s">
        <v>28</v>
      </c>
      <c r="S438" s="13"/>
      <c r="T438" s="13"/>
      <c r="U438" s="13" t="s">
        <v>653</v>
      </c>
      <c r="V438" s="13" t="s">
        <v>653</v>
      </c>
      <c r="W438" s="60">
        <f>+J438/$W$2</f>
        <v>1.2702966739821402E-4</v>
      </c>
    </row>
    <row r="439" spans="1:23">
      <c r="A439" s="13" t="s">
        <v>190</v>
      </c>
      <c r="B439" s="13" t="s">
        <v>675</v>
      </c>
      <c r="C439" s="145">
        <v>46195</v>
      </c>
      <c r="D439" s="145" t="s">
        <v>469</v>
      </c>
      <c r="E439" s="28">
        <v>0.96196926999999999</v>
      </c>
      <c r="F439" s="13"/>
      <c r="G439" s="18">
        <v>85000000</v>
      </c>
      <c r="H439" s="18">
        <v>81767387.920000002</v>
      </c>
      <c r="I439" s="18">
        <v>85000000</v>
      </c>
      <c r="J439" s="18">
        <v>81767387.920000002</v>
      </c>
      <c r="K439" s="15">
        <v>7361</v>
      </c>
      <c r="L439" s="13" t="s">
        <v>117</v>
      </c>
      <c r="M439" s="13" t="s">
        <v>118</v>
      </c>
      <c r="N439" s="145" t="s">
        <v>442</v>
      </c>
      <c r="O439" s="145" t="s">
        <v>442</v>
      </c>
      <c r="P439" s="28">
        <v>37</v>
      </c>
      <c r="Q439" s="13" t="s">
        <v>54</v>
      </c>
      <c r="R439" s="13" t="s">
        <v>28</v>
      </c>
      <c r="S439" s="13"/>
      <c r="T439" s="13"/>
      <c r="U439" s="13" t="s">
        <v>984</v>
      </c>
      <c r="V439" s="13" t="s">
        <v>984</v>
      </c>
      <c r="W439" s="60">
        <f>+J439/$W$2</f>
        <v>2.1550647965623711E-3</v>
      </c>
    </row>
    <row r="440" spans="1:23">
      <c r="A440" s="13" t="s">
        <v>1330</v>
      </c>
      <c r="B440" s="13" t="s">
        <v>675</v>
      </c>
      <c r="C440" s="145">
        <v>46195</v>
      </c>
      <c r="D440" s="145" t="s">
        <v>469</v>
      </c>
      <c r="E440" s="28">
        <v>0.96994517000000002</v>
      </c>
      <c r="F440" s="13"/>
      <c r="G440" s="18">
        <v>50000000</v>
      </c>
      <c r="H440" s="18">
        <v>48497258.609999999</v>
      </c>
      <c r="I440" s="18">
        <v>50000000</v>
      </c>
      <c r="J440" s="18">
        <v>48497258.609999999</v>
      </c>
      <c r="K440" s="15">
        <v>147632</v>
      </c>
      <c r="L440" s="13" t="s">
        <v>117</v>
      </c>
      <c r="M440" s="13" t="s">
        <v>118</v>
      </c>
      <c r="N440" s="145" t="s">
        <v>216</v>
      </c>
      <c r="O440" s="145" t="s">
        <v>216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1623</v>
      </c>
      <c r="V440" s="13" t="s">
        <v>1623</v>
      </c>
      <c r="W440" s="60">
        <f>+J440/$W$2</f>
        <v>1.2781958360030777E-3</v>
      </c>
    </row>
    <row r="441" spans="1:23">
      <c r="A441" s="13" t="s">
        <v>1390</v>
      </c>
      <c r="B441" s="13" t="s">
        <v>675</v>
      </c>
      <c r="C441" s="145">
        <v>46195</v>
      </c>
      <c r="D441" s="145" t="s">
        <v>469</v>
      </c>
      <c r="E441" s="28">
        <v>0.97195962999999996</v>
      </c>
      <c r="F441" s="13"/>
      <c r="G441" s="18">
        <v>10000000</v>
      </c>
      <c r="H441" s="18">
        <v>9719596.3200000003</v>
      </c>
      <c r="I441" s="18">
        <v>10000000</v>
      </c>
      <c r="J441" s="18">
        <v>9719596.3200000003</v>
      </c>
      <c r="K441" s="15">
        <v>30172</v>
      </c>
      <c r="L441" s="13" t="s">
        <v>117</v>
      </c>
      <c r="M441" s="13" t="s">
        <v>118</v>
      </c>
      <c r="N441" s="145" t="s">
        <v>445</v>
      </c>
      <c r="O441" s="145" t="s">
        <v>445</v>
      </c>
      <c r="P441" s="28">
        <v>27</v>
      </c>
      <c r="Q441" s="13" t="s">
        <v>54</v>
      </c>
      <c r="R441" s="13" t="s">
        <v>28</v>
      </c>
      <c r="S441" s="13"/>
      <c r="T441" s="13"/>
      <c r="U441" s="13" t="s">
        <v>1381</v>
      </c>
      <c r="V441" s="13" t="s">
        <v>1381</v>
      </c>
      <c r="W441" s="60">
        <f>+J441/$W$2</f>
        <v>2.5617009909284104E-4</v>
      </c>
    </row>
    <row r="442" spans="1:23">
      <c r="A442" s="13" t="s">
        <v>1390</v>
      </c>
      <c r="B442" s="13" t="s">
        <v>675</v>
      </c>
      <c r="C442" s="145">
        <v>46195</v>
      </c>
      <c r="D442" s="145" t="s">
        <v>469</v>
      </c>
      <c r="E442" s="28">
        <v>0.97195962999999996</v>
      </c>
      <c r="F442" s="13"/>
      <c r="G442" s="18">
        <v>10000000</v>
      </c>
      <c r="H442" s="18">
        <v>9719596.3200000003</v>
      </c>
      <c r="I442" s="18">
        <v>10000000</v>
      </c>
      <c r="J442" s="18">
        <v>9719596.3200000003</v>
      </c>
      <c r="K442" s="15">
        <v>30173</v>
      </c>
      <c r="L442" s="13" t="s">
        <v>117</v>
      </c>
      <c r="M442" s="13" t="s">
        <v>118</v>
      </c>
      <c r="N442" s="145" t="s">
        <v>445</v>
      </c>
      <c r="O442" s="145" t="s">
        <v>445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1387</v>
      </c>
      <c r="V442" s="13" t="s">
        <v>1387</v>
      </c>
      <c r="W442" s="60">
        <f>+J442/$W$2</f>
        <v>2.5617009909284104E-4</v>
      </c>
    </row>
    <row r="443" spans="1:23">
      <c r="A443" s="13" t="s">
        <v>1390</v>
      </c>
      <c r="B443" s="13" t="s">
        <v>675</v>
      </c>
      <c r="C443" s="145">
        <v>46195</v>
      </c>
      <c r="D443" s="145" t="s">
        <v>469</v>
      </c>
      <c r="E443" s="28">
        <v>0.97195962999999996</v>
      </c>
      <c r="F443" s="13"/>
      <c r="G443" s="18">
        <v>10000000</v>
      </c>
      <c r="H443" s="18">
        <v>9719596.3200000003</v>
      </c>
      <c r="I443" s="18">
        <v>10000000</v>
      </c>
      <c r="J443" s="18">
        <v>9719596.3200000003</v>
      </c>
      <c r="K443" s="15">
        <v>30171</v>
      </c>
      <c r="L443" s="13" t="s">
        <v>117</v>
      </c>
      <c r="M443" s="13" t="s">
        <v>118</v>
      </c>
      <c r="N443" s="145" t="s">
        <v>445</v>
      </c>
      <c r="O443" s="145" t="s">
        <v>445</v>
      </c>
      <c r="P443" s="28">
        <v>27</v>
      </c>
      <c r="Q443" s="13" t="s">
        <v>54</v>
      </c>
      <c r="R443" s="13" t="s">
        <v>28</v>
      </c>
      <c r="S443" s="13"/>
      <c r="T443" s="13"/>
      <c r="U443" s="13" t="s">
        <v>1388</v>
      </c>
      <c r="V443" s="13" t="s">
        <v>1388</v>
      </c>
      <c r="W443" s="60">
        <f>+J443/$W$2</f>
        <v>2.5617009909284104E-4</v>
      </c>
    </row>
    <row r="444" spans="1:23">
      <c r="A444" s="13" t="s">
        <v>266</v>
      </c>
      <c r="B444" s="13" t="s">
        <v>675</v>
      </c>
      <c r="C444" s="145">
        <v>46195</v>
      </c>
      <c r="D444" s="145" t="s">
        <v>469</v>
      </c>
      <c r="E444" s="28">
        <v>0.97195966</v>
      </c>
      <c r="F444" s="13"/>
      <c r="G444" s="18">
        <v>38020423.149999999</v>
      </c>
      <c r="H444" s="18">
        <v>36954317.619999997</v>
      </c>
      <c r="I444" s="18">
        <v>38020423.149999999</v>
      </c>
      <c r="J444" s="18">
        <v>36954317.619999997</v>
      </c>
      <c r="K444" s="15">
        <v>2721</v>
      </c>
      <c r="L444" s="13" t="s">
        <v>117</v>
      </c>
      <c r="M444" s="13" t="s">
        <v>118</v>
      </c>
      <c r="N444" s="145" t="s">
        <v>209</v>
      </c>
      <c r="O444" s="145" t="s">
        <v>209</v>
      </c>
      <c r="P444" s="28">
        <v>27</v>
      </c>
      <c r="Q444" s="13" t="s">
        <v>54</v>
      </c>
      <c r="R444" s="13" t="s">
        <v>28</v>
      </c>
      <c r="S444" s="13"/>
      <c r="T444" s="13"/>
      <c r="U444" s="13" t="s">
        <v>835</v>
      </c>
      <c r="V444" s="13" t="s">
        <v>835</v>
      </c>
      <c r="W444" s="60">
        <f>+J444/$W$2</f>
        <v>9.7396958628254225E-4</v>
      </c>
    </row>
    <row r="445" spans="1:23">
      <c r="A445" s="13" t="s">
        <v>780</v>
      </c>
      <c r="B445" s="13" t="s">
        <v>675</v>
      </c>
      <c r="C445" s="145">
        <v>46195</v>
      </c>
      <c r="D445" s="145" t="s">
        <v>469</v>
      </c>
      <c r="E445" s="28">
        <v>0.95803048999999996</v>
      </c>
      <c r="F445" s="13"/>
      <c r="G445" s="18">
        <v>10918371.689999999</v>
      </c>
      <c r="H445" s="18">
        <v>10460132.99</v>
      </c>
      <c r="I445" s="18">
        <v>10918371.689999999</v>
      </c>
      <c r="J445" s="18">
        <v>10460132.99</v>
      </c>
      <c r="K445" s="15">
        <v>30459</v>
      </c>
      <c r="L445" s="13" t="s">
        <v>117</v>
      </c>
      <c r="M445" s="13" t="s">
        <v>118</v>
      </c>
      <c r="N445" s="145" t="s">
        <v>291</v>
      </c>
      <c r="O445" s="145" t="s">
        <v>291</v>
      </c>
      <c r="P445" s="28">
        <v>41</v>
      </c>
      <c r="Q445" s="13" t="s">
        <v>54</v>
      </c>
      <c r="R445" s="13" t="s">
        <v>28</v>
      </c>
      <c r="S445" s="13"/>
      <c r="T445" s="13"/>
      <c r="U445" s="13" t="s">
        <v>882</v>
      </c>
      <c r="V445" s="13" t="s">
        <v>882</v>
      </c>
      <c r="W445" s="60">
        <f>+J445/$W$2</f>
        <v>2.7568771545160176E-4</v>
      </c>
    </row>
    <row r="446" spans="1:23">
      <c r="A446" s="13" t="s">
        <v>677</v>
      </c>
      <c r="B446" s="13" t="s">
        <v>675</v>
      </c>
      <c r="C446" s="145">
        <v>46195</v>
      </c>
      <c r="D446" s="145" t="s">
        <v>469</v>
      </c>
      <c r="E446" s="28">
        <v>0.95901214999999995</v>
      </c>
      <c r="F446" s="13"/>
      <c r="G446" s="18">
        <v>50000000</v>
      </c>
      <c r="H446" s="18">
        <v>47950607.700000003</v>
      </c>
      <c r="I446" s="18">
        <v>50000000</v>
      </c>
      <c r="J446" s="18">
        <v>47950607.700000003</v>
      </c>
      <c r="K446" s="15">
        <v>66452109</v>
      </c>
      <c r="L446" s="13" t="s">
        <v>117</v>
      </c>
      <c r="M446" s="13" t="s">
        <v>118</v>
      </c>
      <c r="N446" s="145" t="s">
        <v>411</v>
      </c>
      <c r="O446" s="145" t="s">
        <v>411</v>
      </c>
      <c r="P446" s="28">
        <v>40</v>
      </c>
      <c r="Q446" s="13" t="s">
        <v>54</v>
      </c>
      <c r="R446" s="13" t="s">
        <v>28</v>
      </c>
      <c r="S446" s="13"/>
      <c r="T446" s="13"/>
      <c r="U446" s="13" t="s">
        <v>1458</v>
      </c>
      <c r="V446" s="13" t="s">
        <v>1458</v>
      </c>
      <c r="W446" s="60">
        <f>+J446/$W$2</f>
        <v>1.2637882810827422E-3</v>
      </c>
    </row>
    <row r="447" spans="1:23">
      <c r="A447" s="13" t="s">
        <v>463</v>
      </c>
      <c r="B447" s="13" t="s">
        <v>675</v>
      </c>
      <c r="C447" s="145">
        <v>46195</v>
      </c>
      <c r="D447" s="145" t="s">
        <v>469</v>
      </c>
      <c r="E447" s="28">
        <v>0.96295920999999995</v>
      </c>
      <c r="F447" s="13"/>
      <c r="G447" s="18">
        <v>16400000</v>
      </c>
      <c r="H447" s="18">
        <v>15792530.99</v>
      </c>
      <c r="I447" s="18">
        <v>16400000</v>
      </c>
      <c r="J447" s="18">
        <v>15792530.99</v>
      </c>
      <c r="K447" s="15">
        <v>14199</v>
      </c>
      <c r="L447" s="13" t="s">
        <v>117</v>
      </c>
      <c r="M447" s="13" t="s">
        <v>118</v>
      </c>
      <c r="N447" s="145" t="s">
        <v>528</v>
      </c>
      <c r="O447" s="145" t="s">
        <v>528</v>
      </c>
      <c r="P447" s="28">
        <v>36</v>
      </c>
      <c r="Q447" s="13" t="s">
        <v>54</v>
      </c>
      <c r="R447" s="13" t="s">
        <v>28</v>
      </c>
      <c r="S447" s="13"/>
      <c r="T447" s="13"/>
      <c r="U447" s="13" t="s">
        <v>1287</v>
      </c>
      <c r="V447" s="13" t="s">
        <v>1287</v>
      </c>
      <c r="W447" s="60">
        <f>+J447/$W$2</f>
        <v>4.1622862672912561E-4</v>
      </c>
    </row>
    <row r="448" spans="1:23">
      <c r="A448" s="13" t="s">
        <v>471</v>
      </c>
      <c r="B448" s="13" t="s">
        <v>675</v>
      </c>
      <c r="C448" s="145">
        <v>46195</v>
      </c>
      <c r="D448" s="145" t="s">
        <v>469</v>
      </c>
      <c r="E448" s="28">
        <v>0.96693874000000002</v>
      </c>
      <c r="F448" s="13"/>
      <c r="G448" s="18">
        <v>150000000</v>
      </c>
      <c r="H448" s="18">
        <v>145040810.96000001</v>
      </c>
      <c r="I448" s="18">
        <v>150000000</v>
      </c>
      <c r="J448" s="18">
        <v>145040810.96000001</v>
      </c>
      <c r="K448" s="15">
        <v>16751405</v>
      </c>
      <c r="L448" s="13" t="s">
        <v>117</v>
      </c>
      <c r="M448" s="13" t="s">
        <v>118</v>
      </c>
      <c r="N448" s="145" t="s">
        <v>469</v>
      </c>
      <c r="O448" s="145" t="s">
        <v>469</v>
      </c>
      <c r="P448" s="28">
        <v>32</v>
      </c>
      <c r="Q448" s="13" t="s">
        <v>54</v>
      </c>
      <c r="R448" s="13" t="s">
        <v>28</v>
      </c>
      <c r="S448" s="13"/>
      <c r="T448" s="13"/>
      <c r="U448" s="13" t="s">
        <v>1914</v>
      </c>
      <c r="V448" s="13" t="s">
        <v>1914</v>
      </c>
      <c r="W448" s="60">
        <f>+J448/$W$2</f>
        <v>3.8227018584789563E-3</v>
      </c>
    </row>
    <row r="449" spans="1:29">
      <c r="A449" s="13" t="s">
        <v>327</v>
      </c>
      <c r="B449" s="13" t="s">
        <v>675</v>
      </c>
      <c r="C449" s="145">
        <v>46195</v>
      </c>
      <c r="D449" s="145" t="s">
        <v>469</v>
      </c>
      <c r="E449" s="28">
        <v>0.95803046999999997</v>
      </c>
      <c r="F449" s="13"/>
      <c r="G449" s="18">
        <v>45000000</v>
      </c>
      <c r="H449" s="18">
        <v>43111371.109999999</v>
      </c>
      <c r="I449" s="18">
        <v>45000000</v>
      </c>
      <c r="J449" s="18">
        <v>43111371.109999999</v>
      </c>
      <c r="K449" s="15">
        <v>64885035</v>
      </c>
      <c r="L449" s="13" t="s">
        <v>117</v>
      </c>
      <c r="M449" s="13" t="s">
        <v>118</v>
      </c>
      <c r="N449" s="145" t="s">
        <v>290</v>
      </c>
      <c r="O449" s="145" t="s">
        <v>290</v>
      </c>
      <c r="P449" s="28">
        <v>41</v>
      </c>
      <c r="Q449" s="13" t="s">
        <v>54</v>
      </c>
      <c r="R449" s="13" t="s">
        <v>28</v>
      </c>
      <c r="S449" s="13"/>
      <c r="T449" s="13"/>
      <c r="U449" s="13" t="s">
        <v>506</v>
      </c>
      <c r="V449" s="13" t="s">
        <v>506</v>
      </c>
      <c r="W449" s="60">
        <f>+J449/$W$2</f>
        <v>1.1362451531605321E-3</v>
      </c>
    </row>
    <row r="450" spans="1:29">
      <c r="A450" s="13" t="s">
        <v>1331</v>
      </c>
      <c r="B450" s="13" t="s">
        <v>675</v>
      </c>
      <c r="C450" s="145">
        <v>46196</v>
      </c>
      <c r="D450" s="145" t="s">
        <v>469</v>
      </c>
      <c r="E450" s="28">
        <v>0.96306077999999995</v>
      </c>
      <c r="F450" s="13"/>
      <c r="G450" s="18">
        <v>10000000</v>
      </c>
      <c r="H450" s="18">
        <v>9630607.8100000005</v>
      </c>
      <c r="I450" s="18">
        <v>10000000</v>
      </c>
      <c r="J450" s="18">
        <v>9630607.8100000005</v>
      </c>
      <c r="K450" s="15">
        <v>29098105</v>
      </c>
      <c r="L450" s="13" t="s">
        <v>117</v>
      </c>
      <c r="M450" s="13" t="s">
        <v>118</v>
      </c>
      <c r="N450" s="145" t="s">
        <v>528</v>
      </c>
      <c r="O450" s="145" t="s">
        <v>528</v>
      </c>
      <c r="P450" s="28">
        <v>35</v>
      </c>
      <c r="Q450" s="13" t="s">
        <v>54</v>
      </c>
      <c r="R450" s="13" t="s">
        <v>28</v>
      </c>
      <c r="S450" s="13"/>
      <c r="T450" s="13"/>
      <c r="U450" s="13" t="s">
        <v>1311</v>
      </c>
      <c r="V450" s="13" t="s">
        <v>1311</v>
      </c>
      <c r="W450" s="60">
        <f>+J450/$W$2</f>
        <v>2.5382471409182852E-4</v>
      </c>
    </row>
    <row r="451" spans="1:29">
      <c r="A451" s="13" t="s">
        <v>1392</v>
      </c>
      <c r="B451" s="13" t="s">
        <v>675</v>
      </c>
      <c r="C451" s="145">
        <v>46196</v>
      </c>
      <c r="D451" s="145" t="s">
        <v>469</v>
      </c>
      <c r="E451" s="28">
        <v>0.95700070000000004</v>
      </c>
      <c r="F451" s="13"/>
      <c r="G451" s="18">
        <v>130000000</v>
      </c>
      <c r="H451" s="18">
        <v>124410091.13</v>
      </c>
      <c r="I451" s="18">
        <v>130000000</v>
      </c>
      <c r="J451" s="18">
        <v>124410091.13</v>
      </c>
      <c r="K451" s="15">
        <v>70369601</v>
      </c>
      <c r="L451" s="13" t="s">
        <v>117</v>
      </c>
      <c r="M451" s="13" t="s">
        <v>118</v>
      </c>
      <c r="N451" s="145" t="s">
        <v>445</v>
      </c>
      <c r="O451" s="145" t="s">
        <v>445</v>
      </c>
      <c r="P451" s="28">
        <v>41</v>
      </c>
      <c r="Q451" s="13" t="s">
        <v>54</v>
      </c>
      <c r="R451" s="13" t="s">
        <v>28</v>
      </c>
      <c r="S451" s="13"/>
      <c r="T451" s="13"/>
      <c r="U451" s="13" t="s">
        <v>1379</v>
      </c>
      <c r="V451" s="13" t="s">
        <v>1379</v>
      </c>
      <c r="W451" s="60">
        <f>+J451/$W$2</f>
        <v>3.2789577183717318E-3</v>
      </c>
    </row>
    <row r="452" spans="1:29">
      <c r="A452" s="13" t="s">
        <v>1512</v>
      </c>
      <c r="B452" s="13" t="s">
        <v>675</v>
      </c>
      <c r="C452" s="145">
        <v>46196</v>
      </c>
      <c r="D452" s="145" t="s">
        <v>469</v>
      </c>
      <c r="E452" s="28">
        <v>0.96002103999999999</v>
      </c>
      <c r="F452" s="13"/>
      <c r="G452" s="18">
        <v>3926635.97</v>
      </c>
      <c r="H452" s="18">
        <v>3769653.16</v>
      </c>
      <c r="I452" s="18">
        <v>3926635.97</v>
      </c>
      <c r="J452" s="18">
        <v>3769653.16</v>
      </c>
      <c r="K452" s="15">
        <v>79398447</v>
      </c>
      <c r="L452" s="13" t="s">
        <v>117</v>
      </c>
      <c r="M452" s="13" t="s">
        <v>118</v>
      </c>
      <c r="N452" s="145" t="s">
        <v>411</v>
      </c>
      <c r="O452" s="145" t="s">
        <v>411</v>
      </c>
      <c r="P452" s="28">
        <v>38</v>
      </c>
      <c r="Q452" s="13" t="s">
        <v>54</v>
      </c>
      <c r="R452" s="13" t="s">
        <v>28</v>
      </c>
      <c r="S452" s="13"/>
      <c r="T452" s="13"/>
      <c r="U452" s="13" t="s">
        <v>1467</v>
      </c>
      <c r="V452" s="13" t="s">
        <v>1467</v>
      </c>
      <c r="W452" s="60">
        <f>+J452/$W$2</f>
        <v>9.9353140989588069E-5</v>
      </c>
      <c r="AC452" s="57"/>
    </row>
    <row r="453" spans="1:29">
      <c r="A453" s="13" t="s">
        <v>1822</v>
      </c>
      <c r="B453" s="13" t="s">
        <v>675</v>
      </c>
      <c r="C453" s="145">
        <v>46196</v>
      </c>
      <c r="D453" s="145" t="s">
        <v>469</v>
      </c>
      <c r="E453" s="28">
        <v>0.96306080000000005</v>
      </c>
      <c r="F453" s="13"/>
      <c r="G453" s="18">
        <v>2000000</v>
      </c>
      <c r="H453" s="18">
        <v>1926121.6</v>
      </c>
      <c r="I453" s="18">
        <v>2000000</v>
      </c>
      <c r="J453" s="18">
        <v>1926121.6</v>
      </c>
      <c r="K453" s="15">
        <v>7740</v>
      </c>
      <c r="L453" s="13" t="s">
        <v>117</v>
      </c>
      <c r="M453" s="13" t="s">
        <v>118</v>
      </c>
      <c r="N453" s="145" t="s">
        <v>464</v>
      </c>
      <c r="O453" s="145" t="s">
        <v>464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1816</v>
      </c>
      <c r="V453" s="13" t="s">
        <v>1816</v>
      </c>
      <c r="W453" s="60">
        <f>+J453/$W$2</f>
        <v>5.0764943819895343E-5</v>
      </c>
    </row>
    <row r="454" spans="1:29">
      <c r="A454" s="13" t="s">
        <v>676</v>
      </c>
      <c r="B454" s="13" t="s">
        <v>675</v>
      </c>
      <c r="C454" s="145">
        <v>46196</v>
      </c>
      <c r="D454" s="145" t="s">
        <v>469</v>
      </c>
      <c r="E454" s="28">
        <v>0.96306077999999995</v>
      </c>
      <c r="F454" s="13"/>
      <c r="G454" s="18">
        <v>10000000</v>
      </c>
      <c r="H454" s="18">
        <v>9630607.8100000005</v>
      </c>
      <c r="I454" s="18">
        <v>10000000</v>
      </c>
      <c r="J454" s="18">
        <v>9630607.8100000005</v>
      </c>
      <c r="K454" s="15">
        <v>385</v>
      </c>
      <c r="L454" s="13" t="s">
        <v>117</v>
      </c>
      <c r="M454" s="13" t="s">
        <v>118</v>
      </c>
      <c r="N454" s="145" t="s">
        <v>528</v>
      </c>
      <c r="O454" s="145" t="s">
        <v>528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1293</v>
      </c>
      <c r="V454" s="13" t="s">
        <v>1293</v>
      </c>
      <c r="W454" s="60">
        <f>+J454/$W$2</f>
        <v>2.5382471409182852E-4</v>
      </c>
    </row>
    <row r="455" spans="1:29">
      <c r="A455" s="13" t="s">
        <v>1028</v>
      </c>
      <c r="B455" s="13" t="s">
        <v>675</v>
      </c>
      <c r="C455" s="145">
        <v>46196</v>
      </c>
      <c r="D455" s="145" t="s">
        <v>469</v>
      </c>
      <c r="E455" s="28">
        <v>0.97645806000000002</v>
      </c>
      <c r="F455" s="13"/>
      <c r="G455" s="18">
        <v>4000000</v>
      </c>
      <c r="H455" s="18">
        <v>3905832.25</v>
      </c>
      <c r="I455" s="18">
        <v>4000000</v>
      </c>
      <c r="J455" s="18">
        <v>3905832.25</v>
      </c>
      <c r="K455" s="15">
        <v>64816600</v>
      </c>
      <c r="L455" s="13" t="s">
        <v>117</v>
      </c>
      <c r="M455" s="13" t="s">
        <v>118</v>
      </c>
      <c r="N455" s="145" t="s">
        <v>386</v>
      </c>
      <c r="O455" s="145" t="s">
        <v>386</v>
      </c>
      <c r="P455" s="28">
        <v>22</v>
      </c>
      <c r="Q455" s="13" t="s">
        <v>54</v>
      </c>
      <c r="R455" s="13" t="s">
        <v>28</v>
      </c>
      <c r="S455" s="13"/>
      <c r="T455" s="13"/>
      <c r="U455" s="13" t="s">
        <v>1015</v>
      </c>
      <c r="V455" s="13" t="s">
        <v>1015</v>
      </c>
      <c r="W455" s="60">
        <f>+J455/$W$2</f>
        <v>1.0294228294889866E-4</v>
      </c>
    </row>
    <row r="456" spans="1:29">
      <c r="A456" s="13" t="s">
        <v>458</v>
      </c>
      <c r="B456" s="13" t="s">
        <v>675</v>
      </c>
      <c r="C456" s="145">
        <v>46196</v>
      </c>
      <c r="D456" s="145" t="s">
        <v>469</v>
      </c>
      <c r="E456" s="28">
        <v>0.95599791000000001</v>
      </c>
      <c r="F456" s="13"/>
      <c r="G456" s="18">
        <v>14350000</v>
      </c>
      <c r="H456" s="18">
        <v>13718570.050000001</v>
      </c>
      <c r="I456" s="18">
        <v>14350000</v>
      </c>
      <c r="J456" s="18">
        <v>13718570.050000001</v>
      </c>
      <c r="K456" s="15">
        <v>512</v>
      </c>
      <c r="L456" s="13" t="s">
        <v>117</v>
      </c>
      <c r="M456" s="13" t="s">
        <v>118</v>
      </c>
      <c r="N456" s="145" t="s">
        <v>269</v>
      </c>
      <c r="O456" s="145" t="s">
        <v>269</v>
      </c>
      <c r="P456" s="28">
        <v>42</v>
      </c>
      <c r="Q456" s="13" t="s">
        <v>54</v>
      </c>
      <c r="R456" s="13" t="s">
        <v>28</v>
      </c>
      <c r="S456" s="13"/>
      <c r="T456" s="13"/>
      <c r="U456" s="13" t="s">
        <v>455</v>
      </c>
      <c r="V456" s="13" t="s">
        <v>455</v>
      </c>
      <c r="W456" s="60">
        <f>+J456/$W$2</f>
        <v>3.6156722289888075E-4</v>
      </c>
    </row>
    <row r="457" spans="1:29">
      <c r="A457" s="13" t="s">
        <v>532</v>
      </c>
      <c r="B457" s="13" t="s">
        <v>675</v>
      </c>
      <c r="C457" s="145">
        <v>46196</v>
      </c>
      <c r="D457" s="145" t="s">
        <v>469</v>
      </c>
      <c r="E457" s="28">
        <v>0.95800529999999995</v>
      </c>
      <c r="F457" s="13"/>
      <c r="G457" s="18">
        <v>10000000</v>
      </c>
      <c r="H457" s="18">
        <v>9580052.9900000002</v>
      </c>
      <c r="I457" s="18">
        <v>10000000</v>
      </c>
      <c r="J457" s="18">
        <v>9580052.9900000002</v>
      </c>
      <c r="K457" s="15">
        <v>1343</v>
      </c>
      <c r="L457" s="13" t="s">
        <v>117</v>
      </c>
      <c r="M457" s="13" t="s">
        <v>118</v>
      </c>
      <c r="N457" s="145" t="s">
        <v>368</v>
      </c>
      <c r="O457" s="145" t="s">
        <v>368</v>
      </c>
      <c r="P457" s="28">
        <v>40</v>
      </c>
      <c r="Q457" s="13" t="s">
        <v>54</v>
      </c>
      <c r="R457" s="13" t="s">
        <v>28</v>
      </c>
      <c r="S457" s="13"/>
      <c r="T457" s="13"/>
      <c r="U457" s="13" t="s">
        <v>540</v>
      </c>
      <c r="V457" s="13" t="s">
        <v>540</v>
      </c>
      <c r="W457" s="60">
        <f>+J457/$W$2</f>
        <v>2.5249228907924112E-4</v>
      </c>
    </row>
    <row r="458" spans="1:29">
      <c r="A458" s="13" t="s">
        <v>1391</v>
      </c>
      <c r="B458" s="13" t="s">
        <v>675</v>
      </c>
      <c r="C458" s="145">
        <v>46196</v>
      </c>
      <c r="D458" s="145" t="s">
        <v>469</v>
      </c>
      <c r="E458" s="28">
        <v>0.97229633000000004</v>
      </c>
      <c r="F458" s="13"/>
      <c r="G458" s="18">
        <v>10000000</v>
      </c>
      <c r="H458" s="18">
        <v>9722963.3300000001</v>
      </c>
      <c r="I458" s="18">
        <v>10000000</v>
      </c>
      <c r="J458" s="18">
        <v>9722963.3300000001</v>
      </c>
      <c r="K458" s="15">
        <v>1742532</v>
      </c>
      <c r="L458" s="13" t="s">
        <v>117</v>
      </c>
      <c r="M458" s="13" t="s">
        <v>118</v>
      </c>
      <c r="N458" s="145" t="s">
        <v>445</v>
      </c>
      <c r="O458" s="145" t="s">
        <v>445</v>
      </c>
      <c r="P458" s="28">
        <v>26</v>
      </c>
      <c r="Q458" s="13" t="s">
        <v>54</v>
      </c>
      <c r="R458" s="13" t="s">
        <v>28</v>
      </c>
      <c r="S458" s="13"/>
      <c r="T458" s="13"/>
      <c r="U458" s="13" t="s">
        <v>1367</v>
      </c>
      <c r="V458" s="13" t="s">
        <v>1367</v>
      </c>
      <c r="W458" s="60">
        <f>+J458/$W$2</f>
        <v>2.562588401533696E-4</v>
      </c>
    </row>
    <row r="459" spans="1:29">
      <c r="A459" s="13" t="s">
        <v>863</v>
      </c>
      <c r="B459" s="13" t="s">
        <v>675</v>
      </c>
      <c r="C459" s="145">
        <v>46196</v>
      </c>
      <c r="D459" s="145" t="s">
        <v>469</v>
      </c>
      <c r="E459" s="28">
        <v>0.96919822</v>
      </c>
      <c r="F459" s="13"/>
      <c r="G459" s="18">
        <v>12500000</v>
      </c>
      <c r="H459" s="18">
        <v>12114977.699999999</v>
      </c>
      <c r="I459" s="18">
        <v>12500000</v>
      </c>
      <c r="J459" s="18">
        <v>12114977.699999999</v>
      </c>
      <c r="K459" s="15">
        <v>28996522</v>
      </c>
      <c r="L459" s="13" t="s">
        <v>117</v>
      </c>
      <c r="M459" s="13" t="s">
        <v>118</v>
      </c>
      <c r="N459" s="145" t="s">
        <v>209</v>
      </c>
      <c r="O459" s="145" t="s">
        <v>209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815</v>
      </c>
      <c r="V459" s="13" t="s">
        <v>815</v>
      </c>
      <c r="W459" s="60">
        <f>+J459/$W$2</f>
        <v>3.1930287387867145E-4</v>
      </c>
    </row>
    <row r="460" spans="1:29">
      <c r="A460" s="13" t="s">
        <v>405</v>
      </c>
      <c r="B460" s="13" t="s">
        <v>675</v>
      </c>
      <c r="C460" s="145">
        <v>46196</v>
      </c>
      <c r="D460" s="145" t="s">
        <v>469</v>
      </c>
      <c r="E460" s="28">
        <v>0.96816983999999995</v>
      </c>
      <c r="F460" s="13"/>
      <c r="G460" s="18">
        <v>17098333</v>
      </c>
      <c r="H460" s="18">
        <v>16554090.380000001</v>
      </c>
      <c r="I460" s="18">
        <v>17098333</v>
      </c>
      <c r="J460" s="18">
        <v>16554090.380000001</v>
      </c>
      <c r="K460" s="15">
        <v>1535</v>
      </c>
      <c r="L460" s="13" t="s">
        <v>117</v>
      </c>
      <c r="M460" s="13" t="s">
        <v>118</v>
      </c>
      <c r="N460" s="145" t="s">
        <v>528</v>
      </c>
      <c r="O460" s="145" t="s">
        <v>528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1302</v>
      </c>
      <c r="V460" s="13" t="s">
        <v>1302</v>
      </c>
      <c r="W460" s="60">
        <f>+J460/$W$2</f>
        <v>4.3630031880135189E-4</v>
      </c>
    </row>
    <row r="461" spans="1:29">
      <c r="A461" s="13" t="s">
        <v>203</v>
      </c>
      <c r="B461" s="13" t="s">
        <v>675</v>
      </c>
      <c r="C461" s="145">
        <v>46196</v>
      </c>
      <c r="D461" s="145" t="s">
        <v>469</v>
      </c>
      <c r="E461" s="28">
        <v>0.97022872999999998</v>
      </c>
      <c r="F461" s="13"/>
      <c r="G461" s="18">
        <v>50000000</v>
      </c>
      <c r="H461" s="18">
        <v>48511436.280000001</v>
      </c>
      <c r="I461" s="18">
        <v>50000000</v>
      </c>
      <c r="J461" s="18">
        <v>48511436.280000001</v>
      </c>
      <c r="K461" s="15">
        <v>4634</v>
      </c>
      <c r="L461" s="13" t="s">
        <v>117</v>
      </c>
      <c r="M461" s="13" t="s">
        <v>118</v>
      </c>
      <c r="N461" s="145" t="s">
        <v>446</v>
      </c>
      <c r="O461" s="145" t="s">
        <v>446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1850</v>
      </c>
      <c r="V461" s="13" t="s">
        <v>1850</v>
      </c>
      <c r="W461" s="60">
        <f>+J461/$W$2</f>
        <v>1.2785695032840256E-3</v>
      </c>
    </row>
    <row r="462" spans="1:29">
      <c r="A462" s="13" t="s">
        <v>266</v>
      </c>
      <c r="B462" s="13" t="s">
        <v>675</v>
      </c>
      <c r="C462" s="145">
        <v>46196</v>
      </c>
      <c r="D462" s="145" t="s">
        <v>469</v>
      </c>
      <c r="E462" s="28">
        <v>0.97126142999999998</v>
      </c>
      <c r="F462" s="13"/>
      <c r="G462" s="18">
        <v>8695148.9399999995</v>
      </c>
      <c r="H462" s="18">
        <v>8445262.7799999993</v>
      </c>
      <c r="I462" s="18">
        <v>8695148.9399999995</v>
      </c>
      <c r="J462" s="18">
        <v>8445262.7799999993</v>
      </c>
      <c r="K462" s="15">
        <v>5812</v>
      </c>
      <c r="L462" s="13" t="s">
        <v>117</v>
      </c>
      <c r="M462" s="13" t="s">
        <v>118</v>
      </c>
      <c r="N462" s="145" t="s">
        <v>205</v>
      </c>
      <c r="O462" s="145" t="s">
        <v>205</v>
      </c>
      <c r="P462" s="28">
        <v>27</v>
      </c>
      <c r="Q462" s="13" t="s">
        <v>54</v>
      </c>
      <c r="R462" s="13" t="s">
        <v>28</v>
      </c>
      <c r="S462" s="13"/>
      <c r="T462" s="13"/>
      <c r="U462" s="13" t="s">
        <v>1035</v>
      </c>
      <c r="V462" s="13" t="s">
        <v>1035</v>
      </c>
      <c r="W462" s="60">
        <f>+J462/$W$2</f>
        <v>2.2258370944542292E-4</v>
      </c>
    </row>
    <row r="463" spans="1:29">
      <c r="A463" s="13" t="s">
        <v>266</v>
      </c>
      <c r="B463" s="13" t="s">
        <v>675</v>
      </c>
      <c r="C463" s="145">
        <v>46196</v>
      </c>
      <c r="D463" s="145" t="s">
        <v>469</v>
      </c>
      <c r="E463" s="28">
        <v>0.97126142999999998</v>
      </c>
      <c r="F463" s="13"/>
      <c r="G463" s="18">
        <v>9052127.2200000007</v>
      </c>
      <c r="H463" s="18">
        <v>8791982.0099999998</v>
      </c>
      <c r="I463" s="18">
        <v>9052127.2200000007</v>
      </c>
      <c r="J463" s="18">
        <v>8791982.0099999998</v>
      </c>
      <c r="K463" s="15">
        <v>5813</v>
      </c>
      <c r="L463" s="13" t="s">
        <v>117</v>
      </c>
      <c r="M463" s="13" t="s">
        <v>118</v>
      </c>
      <c r="N463" s="145" t="s">
        <v>205</v>
      </c>
      <c r="O463" s="145" t="s">
        <v>205</v>
      </c>
      <c r="P463" s="28">
        <v>27</v>
      </c>
      <c r="Q463" s="13" t="s">
        <v>54</v>
      </c>
      <c r="R463" s="13" t="s">
        <v>28</v>
      </c>
      <c r="S463" s="13"/>
      <c r="T463" s="13"/>
      <c r="U463" s="13" t="s">
        <v>1036</v>
      </c>
      <c r="V463" s="13" t="s">
        <v>1036</v>
      </c>
      <c r="W463" s="60">
        <f>+J463/$W$2</f>
        <v>2.3172185639950277E-4</v>
      </c>
    </row>
    <row r="464" spans="1:29">
      <c r="A464" s="13" t="s">
        <v>780</v>
      </c>
      <c r="B464" s="13" t="s">
        <v>675</v>
      </c>
      <c r="C464" s="145">
        <v>46196</v>
      </c>
      <c r="D464" s="145" t="s">
        <v>469</v>
      </c>
      <c r="E464" s="28">
        <v>0.95700057000000005</v>
      </c>
      <c r="F464" s="13"/>
      <c r="G464" s="18">
        <v>10918371.689999999</v>
      </c>
      <c r="H464" s="18">
        <v>10448887.949999999</v>
      </c>
      <c r="I464" s="18">
        <v>10918371.689999999</v>
      </c>
      <c r="J464" s="18">
        <v>10448887.949999999</v>
      </c>
      <c r="K464" s="15">
        <v>30460</v>
      </c>
      <c r="L464" s="13" t="s">
        <v>117</v>
      </c>
      <c r="M464" s="13" t="s">
        <v>118</v>
      </c>
      <c r="N464" s="145" t="s">
        <v>291</v>
      </c>
      <c r="O464" s="145" t="s">
        <v>291</v>
      </c>
      <c r="P464" s="28">
        <v>41</v>
      </c>
      <c r="Q464" s="13" t="s">
        <v>54</v>
      </c>
      <c r="R464" s="13" t="s">
        <v>28</v>
      </c>
      <c r="S464" s="13"/>
      <c r="T464" s="13"/>
      <c r="U464" s="13" t="s">
        <v>883</v>
      </c>
      <c r="V464" s="13" t="s">
        <v>883</v>
      </c>
      <c r="W464" s="60">
        <f>+J464/$W$2</f>
        <v>2.7539134069319994E-4</v>
      </c>
    </row>
    <row r="465" spans="1:29">
      <c r="A465" s="13" t="s">
        <v>550</v>
      </c>
      <c r="B465" s="13" t="s">
        <v>675</v>
      </c>
      <c r="C465" s="145">
        <v>46196</v>
      </c>
      <c r="D465" s="145" t="s">
        <v>469</v>
      </c>
      <c r="E465" s="28">
        <v>0.95700068000000005</v>
      </c>
      <c r="F465" s="13"/>
      <c r="G465" s="18">
        <v>20000000</v>
      </c>
      <c r="H465" s="18">
        <v>19140013.52</v>
      </c>
      <c r="I465" s="18">
        <v>20000000</v>
      </c>
      <c r="J465" s="18">
        <v>19140013.52</v>
      </c>
      <c r="K465" s="15">
        <v>13318402</v>
      </c>
      <c r="L465" s="13" t="s">
        <v>117</v>
      </c>
      <c r="M465" s="13" t="s">
        <v>118</v>
      </c>
      <c r="N465" s="145" t="s">
        <v>387</v>
      </c>
      <c r="O465" s="145" t="s">
        <v>387</v>
      </c>
      <c r="P465" s="28">
        <v>41</v>
      </c>
      <c r="Q465" s="13" t="s">
        <v>54</v>
      </c>
      <c r="R465" s="13" t="s">
        <v>28</v>
      </c>
      <c r="S465" s="13"/>
      <c r="T465" s="13"/>
      <c r="U465" s="13" t="s">
        <v>743</v>
      </c>
      <c r="V465" s="13" t="s">
        <v>743</v>
      </c>
      <c r="W465" s="60">
        <f>+J465/$W$2</f>
        <v>5.0445502041762951E-4</v>
      </c>
    </row>
    <row r="466" spans="1:29">
      <c r="A466" s="13" t="s">
        <v>249</v>
      </c>
      <c r="B466" s="13" t="s">
        <v>675</v>
      </c>
      <c r="C466" s="145">
        <v>46196</v>
      </c>
      <c r="D466" s="145" t="s">
        <v>469</v>
      </c>
      <c r="E466" s="28">
        <v>0.95700056</v>
      </c>
      <c r="F466" s="13"/>
      <c r="G466" s="18">
        <v>64000000</v>
      </c>
      <c r="H466" s="18">
        <v>61248036.060000002</v>
      </c>
      <c r="I466" s="18">
        <v>64000000</v>
      </c>
      <c r="J466" s="18">
        <v>61248036.060000002</v>
      </c>
      <c r="K466" s="15">
        <v>70379137</v>
      </c>
      <c r="L466" s="13" t="s">
        <v>117</v>
      </c>
      <c r="M466" s="13" t="s">
        <v>118</v>
      </c>
      <c r="N466" s="145" t="s">
        <v>591</v>
      </c>
      <c r="O466" s="145" t="s">
        <v>591</v>
      </c>
      <c r="P466" s="28">
        <v>41</v>
      </c>
      <c r="Q466" s="13" t="s">
        <v>54</v>
      </c>
      <c r="R466" s="13" t="s">
        <v>28</v>
      </c>
      <c r="S466" s="13"/>
      <c r="T466" s="13"/>
      <c r="U466" s="13" t="s">
        <v>1800</v>
      </c>
      <c r="V466" s="13" t="s">
        <v>1800</v>
      </c>
      <c r="W466" s="60">
        <f>+J466/$W$2</f>
        <v>1.6142558754674804E-3</v>
      </c>
    </row>
    <row r="467" spans="1:29">
      <c r="A467" s="13" t="s">
        <v>629</v>
      </c>
      <c r="B467" s="13" t="s">
        <v>675</v>
      </c>
      <c r="C467" s="145">
        <v>46196</v>
      </c>
      <c r="D467" s="145" t="s">
        <v>469</v>
      </c>
      <c r="E467" s="28">
        <v>0.96407821999999999</v>
      </c>
      <c r="F467" s="13"/>
      <c r="G467" s="18">
        <v>625000000</v>
      </c>
      <c r="H467" s="18">
        <v>602548885.25</v>
      </c>
      <c r="I467" s="18">
        <v>625000000</v>
      </c>
      <c r="J467" s="18">
        <v>602548885.25</v>
      </c>
      <c r="K467" s="15">
        <v>148747</v>
      </c>
      <c r="L467" s="13" t="s">
        <v>117</v>
      </c>
      <c r="M467" s="13" t="s">
        <v>118</v>
      </c>
      <c r="N467" s="145" t="s">
        <v>591</v>
      </c>
      <c r="O467" s="145" t="s">
        <v>591</v>
      </c>
      <c r="P467" s="28">
        <v>34</v>
      </c>
      <c r="Q467" s="13" t="s">
        <v>54</v>
      </c>
      <c r="R467" s="13" t="s">
        <v>28</v>
      </c>
      <c r="S467" s="13"/>
      <c r="T467" s="13"/>
      <c r="U467" s="13" t="s">
        <v>1807</v>
      </c>
      <c r="V467" s="13" t="s">
        <v>1807</v>
      </c>
      <c r="W467" s="60">
        <f>+J467/$W$2</f>
        <v>1.5880804362744708E-2</v>
      </c>
      <c r="AC467" s="57"/>
    </row>
    <row r="468" spans="1:29">
      <c r="A468" s="13" t="s">
        <v>629</v>
      </c>
      <c r="B468" s="13" t="s">
        <v>675</v>
      </c>
      <c r="C468" s="145">
        <v>46196</v>
      </c>
      <c r="D468" s="145" t="s">
        <v>469</v>
      </c>
      <c r="E468" s="28">
        <v>0.96407821999999999</v>
      </c>
      <c r="F468" s="13"/>
      <c r="G468" s="18">
        <v>625000000</v>
      </c>
      <c r="H468" s="18">
        <v>602548885.25</v>
      </c>
      <c r="I468" s="18">
        <v>625000000</v>
      </c>
      <c r="J468" s="18">
        <v>602548885.25</v>
      </c>
      <c r="K468" s="15">
        <v>148748</v>
      </c>
      <c r="L468" s="13" t="s">
        <v>117</v>
      </c>
      <c r="M468" s="13" t="s">
        <v>118</v>
      </c>
      <c r="N468" s="145" t="s">
        <v>591</v>
      </c>
      <c r="O468" s="145" t="s">
        <v>591</v>
      </c>
      <c r="P468" s="28">
        <v>34</v>
      </c>
      <c r="Q468" s="13" t="s">
        <v>54</v>
      </c>
      <c r="R468" s="13" t="s">
        <v>28</v>
      </c>
      <c r="S468" s="13"/>
      <c r="T468" s="13"/>
      <c r="U468" s="13" t="s">
        <v>1808</v>
      </c>
      <c r="V468" s="13" t="s">
        <v>1808</v>
      </c>
      <c r="W468" s="60">
        <f>+J468/$W$2</f>
        <v>1.5880804362744708E-2</v>
      </c>
    </row>
    <row r="469" spans="1:29">
      <c r="A469" s="13" t="s">
        <v>1244</v>
      </c>
      <c r="B469" s="13" t="s">
        <v>675</v>
      </c>
      <c r="C469" s="145">
        <v>46197</v>
      </c>
      <c r="D469" s="145" t="s">
        <v>469</v>
      </c>
      <c r="E469" s="28">
        <v>0.95906256000000001</v>
      </c>
      <c r="F469" s="13"/>
      <c r="G469" s="18">
        <v>3511491.25</v>
      </c>
      <c r="H469" s="18">
        <v>3367739.79</v>
      </c>
      <c r="I469" s="18">
        <v>3511491.25</v>
      </c>
      <c r="J469" s="18">
        <v>3367739.79</v>
      </c>
      <c r="K469" s="15">
        <v>13270632</v>
      </c>
      <c r="L469" s="13" t="s">
        <v>117</v>
      </c>
      <c r="M469" s="13" t="s">
        <v>118</v>
      </c>
      <c r="N469" s="145" t="s">
        <v>461</v>
      </c>
      <c r="O469" s="145" t="s">
        <v>461</v>
      </c>
      <c r="P469" s="28">
        <v>38</v>
      </c>
      <c r="Q469" s="13" t="s">
        <v>54</v>
      </c>
      <c r="R469" s="13" t="s">
        <v>28</v>
      </c>
      <c r="S469" s="13"/>
      <c r="T469" s="13"/>
      <c r="U469" s="13" t="s">
        <v>1175</v>
      </c>
      <c r="V469" s="13" t="s">
        <v>1175</v>
      </c>
      <c r="W469" s="60">
        <f>+J469/$W$2</f>
        <v>8.8760294905252152E-5</v>
      </c>
    </row>
    <row r="470" spans="1:29">
      <c r="A470" s="13" t="s">
        <v>1822</v>
      </c>
      <c r="B470" s="13" t="s">
        <v>675</v>
      </c>
      <c r="C470" s="145">
        <v>46197</v>
      </c>
      <c r="D470" s="145" t="s">
        <v>469</v>
      </c>
      <c r="E470" s="28">
        <v>0.96217216999999999</v>
      </c>
      <c r="F470" s="13"/>
      <c r="G470" s="18">
        <v>2000000</v>
      </c>
      <c r="H470" s="18">
        <v>1924344.34</v>
      </c>
      <c r="I470" s="18">
        <v>2000000</v>
      </c>
      <c r="J470" s="18">
        <v>1924344.34</v>
      </c>
      <c r="K470" s="15">
        <v>7741</v>
      </c>
      <c r="L470" s="13" t="s">
        <v>117</v>
      </c>
      <c r="M470" s="13" t="s">
        <v>118</v>
      </c>
      <c r="N470" s="145" t="s">
        <v>464</v>
      </c>
      <c r="O470" s="145" t="s">
        <v>464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1819</v>
      </c>
      <c r="V470" s="13" t="s">
        <v>1819</v>
      </c>
      <c r="W470" s="60">
        <f>+J470/$W$2</f>
        <v>5.0718102278814369E-5</v>
      </c>
    </row>
    <row r="471" spans="1:29">
      <c r="A471" s="13" t="s">
        <v>1859</v>
      </c>
      <c r="B471" s="13" t="s">
        <v>675</v>
      </c>
      <c r="C471" s="145">
        <v>46197</v>
      </c>
      <c r="D471" s="145" t="s">
        <v>469</v>
      </c>
      <c r="E471" s="28">
        <v>0.96950707000000003</v>
      </c>
      <c r="F471" s="13"/>
      <c r="G471" s="18">
        <v>3665841.29</v>
      </c>
      <c r="H471" s="18">
        <v>3554059.04</v>
      </c>
      <c r="I471" s="18">
        <v>3665841.29</v>
      </c>
      <c r="J471" s="18">
        <v>3554059.04</v>
      </c>
      <c r="K471" s="15">
        <v>13668324</v>
      </c>
      <c r="L471" s="13" t="s">
        <v>117</v>
      </c>
      <c r="M471" s="13" t="s">
        <v>118</v>
      </c>
      <c r="N471" s="145" t="s">
        <v>446</v>
      </c>
      <c r="O471" s="145" t="s">
        <v>446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1845</v>
      </c>
      <c r="V471" s="13" t="s">
        <v>1845</v>
      </c>
      <c r="W471" s="60">
        <f>+J471/$W$2</f>
        <v>9.3670933080336767E-5</v>
      </c>
    </row>
    <row r="472" spans="1:29">
      <c r="A472" s="13" t="s">
        <v>939</v>
      </c>
      <c r="B472" s="13" t="s">
        <v>675</v>
      </c>
      <c r="C472" s="145">
        <v>46197</v>
      </c>
      <c r="D472" s="145" t="s">
        <v>469</v>
      </c>
      <c r="E472" s="28">
        <v>0.95597304999999999</v>
      </c>
      <c r="F472" s="13"/>
      <c r="G472" s="18">
        <v>2000000</v>
      </c>
      <c r="H472" s="18">
        <v>1911946.1</v>
      </c>
      <c r="I472" s="18">
        <v>2000000</v>
      </c>
      <c r="J472" s="18">
        <v>1911946.1</v>
      </c>
      <c r="K472" s="15">
        <v>12384445</v>
      </c>
      <c r="L472" s="13" t="s">
        <v>117</v>
      </c>
      <c r="M472" s="13" t="s">
        <v>118</v>
      </c>
      <c r="N472" s="145" t="s">
        <v>291</v>
      </c>
      <c r="O472" s="145" t="s">
        <v>291</v>
      </c>
      <c r="P472" s="28">
        <v>41</v>
      </c>
      <c r="Q472" s="13" t="s">
        <v>54</v>
      </c>
      <c r="R472" s="13" t="s">
        <v>28</v>
      </c>
      <c r="S472" s="13"/>
      <c r="T472" s="13"/>
      <c r="U472" s="13" t="s">
        <v>905</v>
      </c>
      <c r="V472" s="13" t="s">
        <v>905</v>
      </c>
      <c r="W472" s="60">
        <f>+J472/$W$2</f>
        <v>5.0391333731560879E-5</v>
      </c>
    </row>
    <row r="473" spans="1:29">
      <c r="A473" s="13" t="s">
        <v>1026</v>
      </c>
      <c r="B473" s="13" t="s">
        <v>675</v>
      </c>
      <c r="C473" s="145">
        <v>46197</v>
      </c>
      <c r="D473" s="145" t="s">
        <v>469</v>
      </c>
      <c r="E473" s="28">
        <v>0.97588368000000003</v>
      </c>
      <c r="F473" s="13"/>
      <c r="G473" s="18">
        <v>4341150</v>
      </c>
      <c r="H473" s="18">
        <v>4236457.42</v>
      </c>
      <c r="I473" s="18">
        <v>4341150</v>
      </c>
      <c r="J473" s="18">
        <v>4236457.42</v>
      </c>
      <c r="K473" s="15">
        <v>9836</v>
      </c>
      <c r="L473" s="13" t="s">
        <v>117</v>
      </c>
      <c r="M473" s="13" t="s">
        <v>118</v>
      </c>
      <c r="N473" s="145" t="s">
        <v>386</v>
      </c>
      <c r="O473" s="145" t="s">
        <v>386</v>
      </c>
      <c r="P473" s="28">
        <v>22</v>
      </c>
      <c r="Q473" s="13" t="s">
        <v>54</v>
      </c>
      <c r="R473" s="13" t="s">
        <v>28</v>
      </c>
      <c r="S473" s="13"/>
      <c r="T473" s="13"/>
      <c r="U473" s="13" t="s">
        <v>1012</v>
      </c>
      <c r="V473" s="13" t="s">
        <v>1012</v>
      </c>
      <c r="W473" s="60">
        <f>+J473/$W$2</f>
        <v>1.116562541646793E-4</v>
      </c>
      <c r="AC473" s="57"/>
    </row>
    <row r="474" spans="1:29">
      <c r="A474" s="13" t="s">
        <v>1026</v>
      </c>
      <c r="B474" s="13" t="s">
        <v>675</v>
      </c>
      <c r="C474" s="145">
        <v>46197</v>
      </c>
      <c r="D474" s="145" t="s">
        <v>469</v>
      </c>
      <c r="E474" s="28">
        <v>0.96530223000000004</v>
      </c>
      <c r="F474" s="13"/>
      <c r="G474" s="18">
        <v>1659905.2</v>
      </c>
      <c r="H474" s="18">
        <v>1602310.19</v>
      </c>
      <c r="I474" s="18">
        <v>1659905.2</v>
      </c>
      <c r="J474" s="18">
        <v>1602310.19</v>
      </c>
      <c r="K474" s="15">
        <v>9946</v>
      </c>
      <c r="L474" s="13" t="s">
        <v>117</v>
      </c>
      <c r="M474" s="13" t="s">
        <v>118</v>
      </c>
      <c r="N474" s="145" t="s">
        <v>428</v>
      </c>
      <c r="O474" s="145" t="s">
        <v>428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1711</v>
      </c>
      <c r="V474" s="13" t="s">
        <v>1711</v>
      </c>
      <c r="W474" s="60">
        <f>+J474/$W$2</f>
        <v>4.2230556356045137E-5</v>
      </c>
    </row>
    <row r="475" spans="1:29">
      <c r="A475" s="13" t="s">
        <v>406</v>
      </c>
      <c r="B475" s="13" t="s">
        <v>675</v>
      </c>
      <c r="C475" s="145">
        <v>46197</v>
      </c>
      <c r="D475" s="145" t="s">
        <v>469</v>
      </c>
      <c r="E475" s="28">
        <v>0.96740008</v>
      </c>
      <c r="F475" s="13"/>
      <c r="G475" s="18">
        <v>3500000</v>
      </c>
      <c r="H475" s="18">
        <v>3385900.28</v>
      </c>
      <c r="I475" s="18">
        <v>3500000</v>
      </c>
      <c r="J475" s="18">
        <v>3385900.28</v>
      </c>
      <c r="K475" s="15">
        <v>325</v>
      </c>
      <c r="L475" s="13" t="s">
        <v>117</v>
      </c>
      <c r="M475" s="13" t="s">
        <v>118</v>
      </c>
      <c r="N475" s="145" t="s">
        <v>385</v>
      </c>
      <c r="O475" s="145" t="s">
        <v>385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960</v>
      </c>
      <c r="V475" s="13" t="s">
        <v>960</v>
      </c>
      <c r="W475" s="60">
        <f>+J475/$W$2</f>
        <v>8.9238933561602699E-5</v>
      </c>
    </row>
    <row r="476" spans="1:29">
      <c r="A476" s="13" t="s">
        <v>406</v>
      </c>
      <c r="B476" s="13" t="s">
        <v>675</v>
      </c>
      <c r="C476" s="145">
        <v>46197</v>
      </c>
      <c r="D476" s="145" t="s">
        <v>469</v>
      </c>
      <c r="E476" s="28">
        <v>0.96950709999999996</v>
      </c>
      <c r="F476" s="13"/>
      <c r="G476" s="18">
        <v>9000000</v>
      </c>
      <c r="H476" s="18">
        <v>8725563.8599999994</v>
      </c>
      <c r="I476" s="18">
        <v>9000000</v>
      </c>
      <c r="J476" s="18">
        <v>8725563.8599999994</v>
      </c>
      <c r="K476" s="15">
        <v>66179070</v>
      </c>
      <c r="L476" s="13" t="s">
        <v>117</v>
      </c>
      <c r="M476" s="13" t="s">
        <v>118</v>
      </c>
      <c r="N476" s="145" t="s">
        <v>205</v>
      </c>
      <c r="O476" s="145" t="s">
        <v>205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1047</v>
      </c>
      <c r="V476" s="13" t="s">
        <v>1047</v>
      </c>
      <c r="W476" s="60">
        <f>+J476/$W$2</f>
        <v>2.2997133677843035E-4</v>
      </c>
    </row>
    <row r="477" spans="1:29">
      <c r="A477" s="13" t="s">
        <v>1391</v>
      </c>
      <c r="B477" s="13" t="s">
        <v>675</v>
      </c>
      <c r="C477" s="145">
        <v>46197</v>
      </c>
      <c r="D477" s="145" t="s">
        <v>469</v>
      </c>
      <c r="E477" s="28">
        <v>0.97162335</v>
      </c>
      <c r="F477" s="13"/>
      <c r="G477" s="18">
        <v>10000000</v>
      </c>
      <c r="H477" s="18">
        <v>9716233.5</v>
      </c>
      <c r="I477" s="18">
        <v>10000000</v>
      </c>
      <c r="J477" s="18">
        <v>9716233.5</v>
      </c>
      <c r="K477" s="15">
        <v>1742533</v>
      </c>
      <c r="L477" s="13" t="s">
        <v>117</v>
      </c>
      <c r="M477" s="13" t="s">
        <v>118</v>
      </c>
      <c r="N477" s="145" t="s">
        <v>445</v>
      </c>
      <c r="O477" s="145" t="s">
        <v>445</v>
      </c>
      <c r="P477" s="28">
        <v>26</v>
      </c>
      <c r="Q477" s="13" t="s">
        <v>54</v>
      </c>
      <c r="R477" s="13" t="s">
        <v>28</v>
      </c>
      <c r="S477" s="13"/>
      <c r="T477" s="13"/>
      <c r="U477" s="13" t="s">
        <v>1371</v>
      </c>
      <c r="V477" s="13" t="s">
        <v>1371</v>
      </c>
      <c r="W477" s="60">
        <f>+J477/$W$2</f>
        <v>2.5608146846413285E-4</v>
      </c>
    </row>
    <row r="478" spans="1:29">
      <c r="A478" s="13" t="s">
        <v>405</v>
      </c>
      <c r="B478" s="13" t="s">
        <v>675</v>
      </c>
      <c r="C478" s="145">
        <v>46197</v>
      </c>
      <c r="D478" s="145" t="s">
        <v>469</v>
      </c>
      <c r="E478" s="28">
        <v>0.96739998000000005</v>
      </c>
      <c r="F478" s="13"/>
      <c r="G478" s="18">
        <v>14133915</v>
      </c>
      <c r="H478" s="18">
        <v>13673149.1</v>
      </c>
      <c r="I478" s="18">
        <v>14133915</v>
      </c>
      <c r="J478" s="18">
        <v>13673149.1</v>
      </c>
      <c r="K478" s="15">
        <v>1534</v>
      </c>
      <c r="L478" s="13" t="s">
        <v>117</v>
      </c>
      <c r="M478" s="13" t="s">
        <v>118</v>
      </c>
      <c r="N478" s="145" t="s">
        <v>528</v>
      </c>
      <c r="O478" s="145" t="s">
        <v>528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1297</v>
      </c>
      <c r="V478" s="13" t="s">
        <v>1297</v>
      </c>
      <c r="W478" s="60">
        <f>+J478/$W$2</f>
        <v>3.6037010638505511E-4</v>
      </c>
      <c r="AC478" s="57"/>
    </row>
    <row r="479" spans="1:29">
      <c r="A479" s="13" t="s">
        <v>405</v>
      </c>
      <c r="B479" s="13" t="s">
        <v>675</v>
      </c>
      <c r="C479" s="145">
        <v>46197</v>
      </c>
      <c r="D479" s="145" t="s">
        <v>469</v>
      </c>
      <c r="E479" s="28">
        <v>0.96739998000000005</v>
      </c>
      <c r="F479" s="13"/>
      <c r="G479" s="18">
        <v>17348580</v>
      </c>
      <c r="H479" s="18">
        <v>16783015.960000001</v>
      </c>
      <c r="I479" s="18">
        <v>17348580</v>
      </c>
      <c r="J479" s="18">
        <v>16783015.960000001</v>
      </c>
      <c r="K479" s="15">
        <v>1493</v>
      </c>
      <c r="L479" s="13" t="s">
        <v>117</v>
      </c>
      <c r="M479" s="13" t="s">
        <v>118</v>
      </c>
      <c r="N479" s="145" t="s">
        <v>528</v>
      </c>
      <c r="O479" s="145" t="s">
        <v>528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1305</v>
      </c>
      <c r="V479" s="13" t="s">
        <v>1305</v>
      </c>
      <c r="W479" s="60">
        <f>+J479/$W$2</f>
        <v>4.4233389124435701E-4</v>
      </c>
    </row>
    <row r="480" spans="1:29">
      <c r="A480" s="13" t="s">
        <v>1330</v>
      </c>
      <c r="B480" s="13" t="s">
        <v>675</v>
      </c>
      <c r="C480" s="145">
        <v>46197</v>
      </c>
      <c r="D480" s="145" t="s">
        <v>469</v>
      </c>
      <c r="E480" s="28">
        <v>0.96845241000000004</v>
      </c>
      <c r="F480" s="13"/>
      <c r="G480" s="18">
        <v>50000000</v>
      </c>
      <c r="H480" s="18">
        <v>48422620.420000002</v>
      </c>
      <c r="I480" s="18">
        <v>50000000</v>
      </c>
      <c r="J480" s="18">
        <v>48422620.420000002</v>
      </c>
      <c r="K480" s="15">
        <v>147633</v>
      </c>
      <c r="L480" s="13" t="s">
        <v>117</v>
      </c>
      <c r="M480" s="13" t="s">
        <v>118</v>
      </c>
      <c r="N480" s="145" t="s">
        <v>216</v>
      </c>
      <c r="O480" s="145" t="s">
        <v>216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1624</v>
      </c>
      <c r="V480" s="13" t="s">
        <v>1624</v>
      </c>
      <c r="W480" s="60">
        <f>+J480/$W$2</f>
        <v>1.2762286686538466E-3</v>
      </c>
    </row>
    <row r="481" spans="1:29">
      <c r="A481" s="13" t="s">
        <v>406</v>
      </c>
      <c r="B481" s="13" t="s">
        <v>675</v>
      </c>
      <c r="C481" s="145">
        <v>46197</v>
      </c>
      <c r="D481" s="145" t="s">
        <v>469</v>
      </c>
      <c r="E481" s="28">
        <v>0.96845241000000004</v>
      </c>
      <c r="F481" s="13"/>
      <c r="G481" s="18">
        <v>11000000</v>
      </c>
      <c r="H481" s="18">
        <v>10652976.49</v>
      </c>
      <c r="I481" s="18">
        <v>11000000</v>
      </c>
      <c r="J481" s="18">
        <v>10652976.49</v>
      </c>
      <c r="K481" s="15">
        <v>9798601</v>
      </c>
      <c r="L481" s="13" t="s">
        <v>117</v>
      </c>
      <c r="M481" s="13" t="s">
        <v>118</v>
      </c>
      <c r="N481" s="145" t="s">
        <v>216</v>
      </c>
      <c r="O481" s="145" t="s">
        <v>216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1618</v>
      </c>
      <c r="V481" s="13" t="s">
        <v>1618</v>
      </c>
      <c r="W481" s="60">
        <f>+J481/$W$2</f>
        <v>2.8077030704059175E-4</v>
      </c>
    </row>
    <row r="482" spans="1:29">
      <c r="A482" s="13" t="s">
        <v>406</v>
      </c>
      <c r="B482" s="13" t="s">
        <v>675</v>
      </c>
      <c r="C482" s="145">
        <v>46197</v>
      </c>
      <c r="D482" s="145" t="s">
        <v>469</v>
      </c>
      <c r="E482" s="28">
        <v>0.96845252999999998</v>
      </c>
      <c r="F482" s="13"/>
      <c r="G482" s="18">
        <v>4166666.66</v>
      </c>
      <c r="H482" s="18">
        <v>4035218.85</v>
      </c>
      <c r="I482" s="18">
        <v>4166666.66</v>
      </c>
      <c r="J482" s="18">
        <v>4035218.85</v>
      </c>
      <c r="K482" s="15">
        <v>13567711</v>
      </c>
      <c r="L482" s="13" t="s">
        <v>117</v>
      </c>
      <c r="M482" s="13" t="s">
        <v>118</v>
      </c>
      <c r="N482" s="145" t="s">
        <v>428</v>
      </c>
      <c r="O482" s="145" t="s">
        <v>428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1696</v>
      </c>
      <c r="V482" s="13" t="s">
        <v>1696</v>
      </c>
      <c r="W482" s="60">
        <f>+J482/$W$2</f>
        <v>1.0635240174931463E-4</v>
      </c>
    </row>
    <row r="483" spans="1:29">
      <c r="A483" s="13" t="s">
        <v>406</v>
      </c>
      <c r="B483" s="13" t="s">
        <v>675</v>
      </c>
      <c r="C483" s="145">
        <v>46197</v>
      </c>
      <c r="D483" s="145" t="s">
        <v>469</v>
      </c>
      <c r="E483" s="28">
        <v>0.96845252000000004</v>
      </c>
      <c r="F483" s="13"/>
      <c r="G483" s="18">
        <v>10000000</v>
      </c>
      <c r="H483" s="18">
        <v>9684525.2200000007</v>
      </c>
      <c r="I483" s="18">
        <v>10000000</v>
      </c>
      <c r="J483" s="18">
        <v>9684525.2200000007</v>
      </c>
      <c r="K483" s="15">
        <v>66581649</v>
      </c>
      <c r="L483" s="13" t="s">
        <v>117</v>
      </c>
      <c r="M483" s="13" t="s">
        <v>118</v>
      </c>
      <c r="N483" s="145" t="s">
        <v>428</v>
      </c>
      <c r="O483" s="145" t="s">
        <v>428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1698</v>
      </c>
      <c r="V483" s="13" t="s">
        <v>1698</v>
      </c>
      <c r="W483" s="60">
        <f>+J483/$W$2</f>
        <v>2.5524576367123424E-4</v>
      </c>
    </row>
    <row r="484" spans="1:29">
      <c r="A484" s="13" t="s">
        <v>406</v>
      </c>
      <c r="B484" s="13" t="s">
        <v>675</v>
      </c>
      <c r="C484" s="145">
        <v>46197</v>
      </c>
      <c r="D484" s="145" t="s">
        <v>469</v>
      </c>
      <c r="E484" s="28">
        <v>0.96845252000000004</v>
      </c>
      <c r="F484" s="13"/>
      <c r="G484" s="18">
        <v>10000000</v>
      </c>
      <c r="H484" s="18">
        <v>9684525.2200000007</v>
      </c>
      <c r="I484" s="18">
        <v>10000000</v>
      </c>
      <c r="J484" s="18">
        <v>9684525.2200000007</v>
      </c>
      <c r="K484" s="15">
        <v>66581682</v>
      </c>
      <c r="L484" s="13" t="s">
        <v>117</v>
      </c>
      <c r="M484" s="13" t="s">
        <v>118</v>
      </c>
      <c r="N484" s="145" t="s">
        <v>428</v>
      </c>
      <c r="O484" s="145" t="s">
        <v>428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1700</v>
      </c>
      <c r="V484" s="13" t="s">
        <v>1700</v>
      </c>
      <c r="W484" s="60">
        <f>+J484/$W$2</f>
        <v>2.5524576367123424E-4</v>
      </c>
    </row>
    <row r="485" spans="1:29">
      <c r="A485" s="13" t="s">
        <v>1329</v>
      </c>
      <c r="B485" s="13" t="s">
        <v>675</v>
      </c>
      <c r="C485" s="145">
        <v>46197</v>
      </c>
      <c r="D485" s="145" t="s">
        <v>469</v>
      </c>
      <c r="E485" s="28">
        <v>0.96217218000000004</v>
      </c>
      <c r="F485" s="13"/>
      <c r="G485" s="18">
        <v>5450000</v>
      </c>
      <c r="H485" s="18">
        <v>5243838.3499999996</v>
      </c>
      <c r="I485" s="18">
        <v>5450000</v>
      </c>
      <c r="J485" s="18">
        <v>5243838.3499999996</v>
      </c>
      <c r="K485" s="15">
        <v>6921</v>
      </c>
      <c r="L485" s="13" t="s">
        <v>117</v>
      </c>
      <c r="M485" s="13" t="s">
        <v>118</v>
      </c>
      <c r="N485" s="145" t="s">
        <v>528</v>
      </c>
      <c r="O485" s="145" t="s">
        <v>528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1314</v>
      </c>
      <c r="V485" s="13" t="s">
        <v>1314</v>
      </c>
      <c r="W485" s="60">
        <f>+J485/$W$2</f>
        <v>1.3820682932913617E-4</v>
      </c>
    </row>
    <row r="486" spans="1:29">
      <c r="A486" s="13" t="s">
        <v>1389</v>
      </c>
      <c r="B486" s="13" t="s">
        <v>675</v>
      </c>
      <c r="C486" s="145">
        <v>46197</v>
      </c>
      <c r="D486" s="145" t="s">
        <v>469</v>
      </c>
      <c r="E486" s="28">
        <v>0.97162327999999998</v>
      </c>
      <c r="F486" s="13"/>
      <c r="G486" s="18">
        <v>44732891.780000001</v>
      </c>
      <c r="H486" s="18">
        <v>43463519.109999999</v>
      </c>
      <c r="I486" s="18">
        <v>44732891.780000001</v>
      </c>
      <c r="J486" s="18">
        <v>43463519.109999999</v>
      </c>
      <c r="K486" s="15">
        <v>1300</v>
      </c>
      <c r="L486" s="13" t="s">
        <v>117</v>
      </c>
      <c r="M486" s="13" t="s">
        <v>118</v>
      </c>
      <c r="N486" s="145" t="s">
        <v>462</v>
      </c>
      <c r="O486" s="145" t="s">
        <v>462</v>
      </c>
      <c r="P486" s="28">
        <v>26</v>
      </c>
      <c r="Q486" s="13" t="s">
        <v>54</v>
      </c>
      <c r="R486" s="13" t="s">
        <v>28</v>
      </c>
      <c r="S486" s="13"/>
      <c r="T486" s="13"/>
      <c r="U486" s="13" t="s">
        <v>1752</v>
      </c>
      <c r="V486" s="13" t="s">
        <v>1752</v>
      </c>
      <c r="W486" s="60">
        <f>+J486/$W$2</f>
        <v>1.1455263810104708E-3</v>
      </c>
    </row>
    <row r="487" spans="1:29">
      <c r="A487" s="13" t="s">
        <v>1389</v>
      </c>
      <c r="B487" s="13" t="s">
        <v>675</v>
      </c>
      <c r="C487" s="145">
        <v>46197</v>
      </c>
      <c r="D487" s="145" t="s">
        <v>469</v>
      </c>
      <c r="E487" s="28">
        <v>0.97162327999999998</v>
      </c>
      <c r="F487" s="13"/>
      <c r="G487" s="18">
        <v>44732891.770000003</v>
      </c>
      <c r="H487" s="18">
        <v>43463519.100000001</v>
      </c>
      <c r="I487" s="18">
        <v>44732891.770000003</v>
      </c>
      <c r="J487" s="18">
        <v>43463519.100000001</v>
      </c>
      <c r="K487" s="15">
        <v>1303</v>
      </c>
      <c r="L487" s="13" t="s">
        <v>117</v>
      </c>
      <c r="M487" s="13" t="s">
        <v>118</v>
      </c>
      <c r="N487" s="145" t="s">
        <v>462</v>
      </c>
      <c r="O487" s="145" t="s">
        <v>462</v>
      </c>
      <c r="P487" s="28">
        <v>26</v>
      </c>
      <c r="Q487" s="13" t="s">
        <v>54</v>
      </c>
      <c r="R487" s="13" t="s">
        <v>28</v>
      </c>
      <c r="S487" s="13"/>
      <c r="T487" s="13"/>
      <c r="U487" s="13" t="s">
        <v>1753</v>
      </c>
      <c r="V487" s="13" t="s">
        <v>1753</v>
      </c>
      <c r="W487" s="60">
        <f>+J487/$W$2</f>
        <v>1.1455263807469104E-3</v>
      </c>
    </row>
    <row r="488" spans="1:29">
      <c r="A488" s="13" t="s">
        <v>1764</v>
      </c>
      <c r="B488" s="13" t="s">
        <v>675</v>
      </c>
      <c r="C488" s="145">
        <v>46197</v>
      </c>
      <c r="D488" s="145" t="s">
        <v>469</v>
      </c>
      <c r="E488" s="28">
        <v>0.96950702</v>
      </c>
      <c r="F488" s="13"/>
      <c r="G488" s="18">
        <v>5000000</v>
      </c>
      <c r="H488" s="18">
        <v>4847535.09</v>
      </c>
      <c r="I488" s="18">
        <v>5000000</v>
      </c>
      <c r="J488" s="18">
        <v>4847535.09</v>
      </c>
      <c r="K488" s="15">
        <v>6034643</v>
      </c>
      <c r="L488" s="13" t="s">
        <v>117</v>
      </c>
      <c r="M488" s="13" t="s">
        <v>118</v>
      </c>
      <c r="N488" s="145" t="s">
        <v>462</v>
      </c>
      <c r="O488" s="145" t="s">
        <v>462</v>
      </c>
      <c r="P488" s="28">
        <v>28</v>
      </c>
      <c r="Q488" s="13" t="s">
        <v>54</v>
      </c>
      <c r="R488" s="13" t="s">
        <v>28</v>
      </c>
      <c r="S488" s="13"/>
      <c r="T488" s="13"/>
      <c r="U488" s="13" t="s">
        <v>1722</v>
      </c>
      <c r="V488" s="13" t="s">
        <v>1722</v>
      </c>
      <c r="W488" s="60">
        <f>+J488/$W$2</f>
        <v>1.2776184354550683E-4</v>
      </c>
    </row>
    <row r="489" spans="1:29">
      <c r="A489" s="13" t="s">
        <v>266</v>
      </c>
      <c r="B489" s="13" t="s">
        <v>675</v>
      </c>
      <c r="C489" s="145">
        <v>46197</v>
      </c>
      <c r="D489" s="145" t="s">
        <v>469</v>
      </c>
      <c r="E489" s="28">
        <v>0.97056407</v>
      </c>
      <c r="F489" s="13"/>
      <c r="G489" s="18">
        <v>14148617.74</v>
      </c>
      <c r="H489" s="18">
        <v>13732140.039999999</v>
      </c>
      <c r="I489" s="18">
        <v>14148617.74</v>
      </c>
      <c r="J489" s="18">
        <v>13732140.039999999</v>
      </c>
      <c r="K489" s="15">
        <v>5814</v>
      </c>
      <c r="L489" s="13" t="s">
        <v>117</v>
      </c>
      <c r="M489" s="13" t="s">
        <v>118</v>
      </c>
      <c r="N489" s="145" t="s">
        <v>205</v>
      </c>
      <c r="O489" s="145" t="s">
        <v>205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1037</v>
      </c>
      <c r="V489" s="13" t="s">
        <v>1037</v>
      </c>
      <c r="W489" s="60">
        <f>+J489/$W$2</f>
        <v>3.6192487413958462E-4</v>
      </c>
    </row>
    <row r="490" spans="1:29">
      <c r="A490" s="13" t="s">
        <v>780</v>
      </c>
      <c r="B490" s="13" t="s">
        <v>675</v>
      </c>
      <c r="C490" s="145">
        <v>46197</v>
      </c>
      <c r="D490" s="145" t="s">
        <v>469</v>
      </c>
      <c r="E490" s="28">
        <v>0.95597304999999999</v>
      </c>
      <c r="F490" s="13"/>
      <c r="G490" s="18">
        <v>10918371.689999999</v>
      </c>
      <c r="H490" s="18">
        <v>10437669.050000001</v>
      </c>
      <c r="I490" s="18">
        <v>10918371.689999999</v>
      </c>
      <c r="J490" s="18">
        <v>10437669.050000001</v>
      </c>
      <c r="K490" s="15">
        <v>30461</v>
      </c>
      <c r="L490" s="13" t="s">
        <v>117</v>
      </c>
      <c r="M490" s="13" t="s">
        <v>118</v>
      </c>
      <c r="N490" s="145" t="s">
        <v>291</v>
      </c>
      <c r="O490" s="145" t="s">
        <v>291</v>
      </c>
      <c r="P490" s="28">
        <v>41</v>
      </c>
      <c r="Q490" s="13" t="s">
        <v>54</v>
      </c>
      <c r="R490" s="13" t="s">
        <v>28</v>
      </c>
      <c r="S490" s="13"/>
      <c r="T490" s="13"/>
      <c r="U490" s="13" t="s">
        <v>884</v>
      </c>
      <c r="V490" s="13" t="s">
        <v>884</v>
      </c>
      <c r="W490" s="60">
        <f>+J490/$W$2</f>
        <v>2.7509565488176367E-4</v>
      </c>
    </row>
    <row r="491" spans="1:29">
      <c r="A491" s="13" t="s">
        <v>550</v>
      </c>
      <c r="B491" s="13" t="s">
        <v>675</v>
      </c>
      <c r="C491" s="145">
        <v>46197</v>
      </c>
      <c r="D491" s="145" t="s">
        <v>469</v>
      </c>
      <c r="E491" s="28">
        <v>0.95597297000000003</v>
      </c>
      <c r="F491" s="13"/>
      <c r="G491" s="18">
        <v>20000000</v>
      </c>
      <c r="H491" s="18">
        <v>19119459.460000001</v>
      </c>
      <c r="I491" s="18">
        <v>20000000</v>
      </c>
      <c r="J491" s="18">
        <v>19119459.460000001</v>
      </c>
      <c r="K491" s="15">
        <v>13318403</v>
      </c>
      <c r="L491" s="13" t="s">
        <v>117</v>
      </c>
      <c r="M491" s="13" t="s">
        <v>118</v>
      </c>
      <c r="N491" s="145" t="s">
        <v>387</v>
      </c>
      <c r="O491" s="145" t="s">
        <v>387</v>
      </c>
      <c r="P491" s="28">
        <v>41</v>
      </c>
      <c r="Q491" s="13" t="s">
        <v>54</v>
      </c>
      <c r="R491" s="13" t="s">
        <v>28</v>
      </c>
      <c r="S491" s="13"/>
      <c r="T491" s="13"/>
      <c r="U491" s="13" t="s">
        <v>744</v>
      </c>
      <c r="V491" s="13" t="s">
        <v>744</v>
      </c>
      <c r="W491" s="60">
        <f>+J491/$W$2</f>
        <v>5.0391329672730249E-4</v>
      </c>
    </row>
    <row r="492" spans="1:29">
      <c r="A492" s="13" t="s">
        <v>196</v>
      </c>
      <c r="B492" s="13" t="s">
        <v>675</v>
      </c>
      <c r="C492" s="145">
        <v>46197</v>
      </c>
      <c r="D492" s="145" t="s">
        <v>469</v>
      </c>
      <c r="E492" s="28">
        <v>0.96113344000000001</v>
      </c>
      <c r="F492" s="13"/>
      <c r="G492" s="18">
        <v>5000000</v>
      </c>
      <c r="H492" s="18">
        <v>4805667.18</v>
      </c>
      <c r="I492" s="18">
        <v>5000000</v>
      </c>
      <c r="J492" s="18">
        <v>4805667.18</v>
      </c>
      <c r="K492" s="15">
        <v>13420541</v>
      </c>
      <c r="L492" s="13" t="s">
        <v>117</v>
      </c>
      <c r="M492" s="13" t="s">
        <v>118</v>
      </c>
      <c r="N492" s="145" t="s">
        <v>442</v>
      </c>
      <c r="O492" s="145" t="s">
        <v>442</v>
      </c>
      <c r="P492" s="28">
        <v>36</v>
      </c>
      <c r="Q492" s="13" t="s">
        <v>54</v>
      </c>
      <c r="R492" s="13" t="s">
        <v>28</v>
      </c>
      <c r="S492" s="13"/>
      <c r="T492" s="13"/>
      <c r="U492" s="13" t="s">
        <v>989</v>
      </c>
      <c r="V492" s="13" t="s">
        <v>989</v>
      </c>
      <c r="W492" s="60">
        <f>+J492/$W$2</f>
        <v>1.2665837110689939E-4</v>
      </c>
    </row>
    <row r="493" spans="1:29">
      <c r="A493" s="13" t="s">
        <v>1809</v>
      </c>
      <c r="B493" s="13" t="s">
        <v>675</v>
      </c>
      <c r="C493" s="145">
        <v>46197</v>
      </c>
      <c r="D493" s="145" t="s">
        <v>469</v>
      </c>
      <c r="E493" s="28">
        <v>0.96740015000000001</v>
      </c>
      <c r="F493" s="13"/>
      <c r="G493" s="18">
        <v>1500000000</v>
      </c>
      <c r="H493" s="18">
        <v>1451100226.3499999</v>
      </c>
      <c r="I493" s="18">
        <v>1500000000</v>
      </c>
      <c r="J493" s="18">
        <v>1451100226.3499999</v>
      </c>
      <c r="K493" s="15">
        <v>60854966</v>
      </c>
      <c r="L493" s="13" t="s">
        <v>117</v>
      </c>
      <c r="M493" s="13" t="s">
        <v>118</v>
      </c>
      <c r="N493" s="145" t="s">
        <v>591</v>
      </c>
      <c r="O493" s="145" t="s">
        <v>591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1798</v>
      </c>
      <c r="V493" s="13" t="s">
        <v>1798</v>
      </c>
      <c r="W493" s="60">
        <f>+J493/$W$2</f>
        <v>3.824526004365205E-2</v>
      </c>
    </row>
    <row r="494" spans="1:29">
      <c r="A494" s="13" t="s">
        <v>201</v>
      </c>
      <c r="B494" s="13" t="s">
        <v>675</v>
      </c>
      <c r="C494" s="145">
        <v>46198</v>
      </c>
      <c r="D494" s="145" t="s">
        <v>469</v>
      </c>
      <c r="E494" s="28">
        <v>0.9497295</v>
      </c>
      <c r="F494" s="13"/>
      <c r="G494" s="18">
        <v>20000000</v>
      </c>
      <c r="H494" s="18">
        <v>18994590.09</v>
      </c>
      <c r="I494" s="18">
        <v>20000000</v>
      </c>
      <c r="J494" s="18">
        <v>18994590.09</v>
      </c>
      <c r="K494" s="15">
        <v>3982</v>
      </c>
      <c r="L494" s="13" t="s">
        <v>117</v>
      </c>
      <c r="M494" s="13" t="s">
        <v>118</v>
      </c>
      <c r="N494" s="145" t="s">
        <v>302</v>
      </c>
      <c r="O494" s="145" t="s">
        <v>302</v>
      </c>
      <c r="P494" s="28">
        <v>46</v>
      </c>
      <c r="Q494" s="13" t="s">
        <v>54</v>
      </c>
      <c r="R494" s="13" t="s">
        <v>28</v>
      </c>
      <c r="S494" s="13"/>
      <c r="T494" s="13"/>
      <c r="U494" s="13" t="s">
        <v>633</v>
      </c>
      <c r="V494" s="13" t="s">
        <v>633</v>
      </c>
      <c r="W494" s="60">
        <f>+J494/$W$2</f>
        <v>5.0062223423525841E-4</v>
      </c>
    </row>
    <row r="495" spans="1:29">
      <c r="A495" s="13" t="s">
        <v>406</v>
      </c>
      <c r="B495" s="13" t="s">
        <v>675</v>
      </c>
      <c r="C495" s="145">
        <v>46198</v>
      </c>
      <c r="D495" s="145" t="s">
        <v>469</v>
      </c>
      <c r="E495" s="28">
        <v>0.96128535000000004</v>
      </c>
      <c r="F495" s="13"/>
      <c r="G495" s="18">
        <v>5000000</v>
      </c>
      <c r="H495" s="18">
        <v>4806426.75</v>
      </c>
      <c r="I495" s="18">
        <v>5000000</v>
      </c>
      <c r="J495" s="18">
        <v>4806426.75</v>
      </c>
      <c r="K495" s="15">
        <v>90000054</v>
      </c>
      <c r="L495" s="13" t="s">
        <v>117</v>
      </c>
      <c r="M495" s="13" t="s">
        <v>118</v>
      </c>
      <c r="N495" s="145" t="s">
        <v>304</v>
      </c>
      <c r="O495" s="145" t="s">
        <v>304</v>
      </c>
      <c r="P495" s="28">
        <v>35</v>
      </c>
      <c r="Q495" s="13" t="s">
        <v>54</v>
      </c>
      <c r="R495" s="13" t="s">
        <v>28</v>
      </c>
      <c r="S495" s="13"/>
      <c r="T495" s="13"/>
      <c r="U495" s="13" t="s">
        <v>654</v>
      </c>
      <c r="V495" s="13" t="s">
        <v>654</v>
      </c>
      <c r="W495" s="60">
        <f>+J495/$W$2</f>
        <v>1.2667839036652315E-4</v>
      </c>
    </row>
    <row r="496" spans="1:29">
      <c r="A496" s="13" t="s">
        <v>1391</v>
      </c>
      <c r="B496" s="13" t="s">
        <v>675</v>
      </c>
      <c r="C496" s="145">
        <v>46198</v>
      </c>
      <c r="D496" s="145" t="s">
        <v>469</v>
      </c>
      <c r="E496" s="28">
        <v>0.97095129999999996</v>
      </c>
      <c r="F496" s="13"/>
      <c r="G496" s="18">
        <v>10000000</v>
      </c>
      <c r="H496" s="18">
        <v>9709512.9700000007</v>
      </c>
      <c r="I496" s="18">
        <v>10000000</v>
      </c>
      <c r="J496" s="18">
        <v>9709512.9700000007</v>
      </c>
      <c r="K496" s="15">
        <v>1742534</v>
      </c>
      <c r="L496" s="13" t="s">
        <v>117</v>
      </c>
      <c r="M496" s="13" t="s">
        <v>118</v>
      </c>
      <c r="N496" s="145" t="s">
        <v>445</v>
      </c>
      <c r="O496" s="145" t="s">
        <v>445</v>
      </c>
      <c r="P496" s="28">
        <v>26</v>
      </c>
      <c r="Q496" s="13" t="s">
        <v>54</v>
      </c>
      <c r="R496" s="13" t="s">
        <v>28</v>
      </c>
      <c r="S496" s="13"/>
      <c r="T496" s="13"/>
      <c r="U496" s="13" t="s">
        <v>1366</v>
      </c>
      <c r="V496" s="13" t="s">
        <v>1366</v>
      </c>
      <c r="W496" s="60">
        <f>+J496/$W$2</f>
        <v>2.5590434188609647E-4</v>
      </c>
      <c r="AC496" s="57"/>
    </row>
    <row r="497" spans="1:29">
      <c r="A497" s="13" t="s">
        <v>405</v>
      </c>
      <c r="B497" s="13" t="s">
        <v>675</v>
      </c>
      <c r="C497" s="145">
        <v>46198</v>
      </c>
      <c r="D497" s="145" t="s">
        <v>469</v>
      </c>
      <c r="E497" s="28">
        <v>0.96663151999999997</v>
      </c>
      <c r="F497" s="13"/>
      <c r="G497" s="18">
        <v>13421110</v>
      </c>
      <c r="H497" s="18">
        <v>12973267.949999999</v>
      </c>
      <c r="I497" s="18">
        <v>13421110</v>
      </c>
      <c r="J497" s="18">
        <v>12973267.949999999</v>
      </c>
      <c r="K497" s="15">
        <v>1492</v>
      </c>
      <c r="L497" s="13" t="s">
        <v>117</v>
      </c>
      <c r="M497" s="13" t="s">
        <v>118</v>
      </c>
      <c r="N497" s="145" t="s">
        <v>528</v>
      </c>
      <c r="O497" s="145" t="s">
        <v>528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1306</v>
      </c>
      <c r="V497" s="13" t="s">
        <v>1306</v>
      </c>
      <c r="W497" s="60">
        <f>+J497/$W$2</f>
        <v>3.4192400866186161E-4</v>
      </c>
    </row>
    <row r="498" spans="1:29">
      <c r="A498" s="13" t="s">
        <v>1390</v>
      </c>
      <c r="B498" s="13" t="s">
        <v>675</v>
      </c>
      <c r="C498" s="145">
        <v>46198</v>
      </c>
      <c r="D498" s="145" t="s">
        <v>469</v>
      </c>
      <c r="E498" s="28">
        <v>0.96986771000000005</v>
      </c>
      <c r="F498" s="13"/>
      <c r="G498" s="18">
        <v>10000000</v>
      </c>
      <c r="H498" s="18">
        <v>9698677.0500000007</v>
      </c>
      <c r="I498" s="18">
        <v>10000000</v>
      </c>
      <c r="J498" s="18">
        <v>9698677.0500000007</v>
      </c>
      <c r="K498" s="15">
        <v>30175</v>
      </c>
      <c r="L498" s="13" t="s">
        <v>117</v>
      </c>
      <c r="M498" s="13" t="s">
        <v>118</v>
      </c>
      <c r="N498" s="145" t="s">
        <v>445</v>
      </c>
      <c r="O498" s="145" t="s">
        <v>445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1382</v>
      </c>
      <c r="V498" s="13" t="s">
        <v>1382</v>
      </c>
      <c r="W498" s="60">
        <f>+J498/$W$2</f>
        <v>2.556187499120296E-4</v>
      </c>
      <c r="AC498" s="57"/>
    </row>
    <row r="499" spans="1:29">
      <c r="A499" s="13" t="s">
        <v>1390</v>
      </c>
      <c r="B499" s="13" t="s">
        <v>675</v>
      </c>
      <c r="C499" s="145">
        <v>46198</v>
      </c>
      <c r="D499" s="145" t="s">
        <v>469</v>
      </c>
      <c r="E499" s="28">
        <v>0.96986771000000005</v>
      </c>
      <c r="F499" s="13"/>
      <c r="G499" s="18">
        <v>10000000</v>
      </c>
      <c r="H499" s="18">
        <v>9698677.0500000007</v>
      </c>
      <c r="I499" s="18">
        <v>10000000</v>
      </c>
      <c r="J499" s="18">
        <v>9698677.0500000007</v>
      </c>
      <c r="K499" s="15">
        <v>30174</v>
      </c>
      <c r="L499" s="13" t="s">
        <v>117</v>
      </c>
      <c r="M499" s="13" t="s">
        <v>118</v>
      </c>
      <c r="N499" s="145" t="s">
        <v>445</v>
      </c>
      <c r="O499" s="145" t="s">
        <v>445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1383</v>
      </c>
      <c r="V499" s="13" t="s">
        <v>1383</v>
      </c>
      <c r="W499" s="60">
        <f>+J499/$W$2</f>
        <v>2.556187499120296E-4</v>
      </c>
    </row>
    <row r="500" spans="1:29">
      <c r="A500" s="13" t="s">
        <v>1390</v>
      </c>
      <c r="B500" s="13" t="s">
        <v>675</v>
      </c>
      <c r="C500" s="145">
        <v>46198</v>
      </c>
      <c r="D500" s="145" t="s">
        <v>469</v>
      </c>
      <c r="E500" s="28">
        <v>0.96986771000000005</v>
      </c>
      <c r="F500" s="13"/>
      <c r="G500" s="18">
        <v>10000000</v>
      </c>
      <c r="H500" s="18">
        <v>9698677.0500000007</v>
      </c>
      <c r="I500" s="18">
        <v>10000000</v>
      </c>
      <c r="J500" s="18">
        <v>9698677.0500000007</v>
      </c>
      <c r="K500" s="15">
        <v>30176</v>
      </c>
      <c r="L500" s="13" t="s">
        <v>117</v>
      </c>
      <c r="M500" s="13" t="s">
        <v>118</v>
      </c>
      <c r="N500" s="145" t="s">
        <v>445</v>
      </c>
      <c r="O500" s="145" t="s">
        <v>445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1384</v>
      </c>
      <c r="V500" s="13" t="s">
        <v>1384</v>
      </c>
      <c r="W500" s="60">
        <f>+J500/$W$2</f>
        <v>2.556187499120296E-4</v>
      </c>
      <c r="AC500" s="57"/>
    </row>
    <row r="501" spans="1:29">
      <c r="A501" s="13" t="s">
        <v>1389</v>
      </c>
      <c r="B501" s="13" t="s">
        <v>675</v>
      </c>
      <c r="C501" s="145">
        <v>46198</v>
      </c>
      <c r="D501" s="145" t="s">
        <v>469</v>
      </c>
      <c r="E501" s="28">
        <v>0.97095140999999996</v>
      </c>
      <c r="F501" s="13"/>
      <c r="G501" s="18">
        <v>36057385.109999999</v>
      </c>
      <c r="H501" s="18">
        <v>35009969.090000004</v>
      </c>
      <c r="I501" s="18">
        <v>36057385.109999999</v>
      </c>
      <c r="J501" s="18">
        <v>35009969.090000004</v>
      </c>
      <c r="K501" s="15">
        <v>40627727</v>
      </c>
      <c r="L501" s="13" t="s">
        <v>117</v>
      </c>
      <c r="M501" s="13" t="s">
        <v>118</v>
      </c>
      <c r="N501" s="145" t="s">
        <v>462</v>
      </c>
      <c r="O501" s="145" t="s">
        <v>462</v>
      </c>
      <c r="P501" s="28">
        <v>26</v>
      </c>
      <c r="Q501" s="13" t="s">
        <v>54</v>
      </c>
      <c r="R501" s="13" t="s">
        <v>28</v>
      </c>
      <c r="S501" s="13"/>
      <c r="T501" s="13"/>
      <c r="U501" s="13" t="s">
        <v>1751</v>
      </c>
      <c r="V501" s="13" t="s">
        <v>1751</v>
      </c>
      <c r="W501" s="60">
        <f>+J501/$W$2</f>
        <v>9.2272425271079596E-4</v>
      </c>
    </row>
    <row r="502" spans="1:29">
      <c r="A502" s="13" t="s">
        <v>1764</v>
      </c>
      <c r="B502" s="13" t="s">
        <v>675</v>
      </c>
      <c r="C502" s="145">
        <v>46198</v>
      </c>
      <c r="D502" s="145" t="s">
        <v>469</v>
      </c>
      <c r="E502" s="28">
        <v>0.96878664999999997</v>
      </c>
      <c r="F502" s="13"/>
      <c r="G502" s="18">
        <v>5000000</v>
      </c>
      <c r="H502" s="18">
        <v>4843933.2699999996</v>
      </c>
      <c r="I502" s="18">
        <v>5000000</v>
      </c>
      <c r="J502" s="18">
        <v>4843933.2699999996</v>
      </c>
      <c r="K502" s="15">
        <v>6034644</v>
      </c>
      <c r="L502" s="13" t="s">
        <v>117</v>
      </c>
      <c r="M502" s="13" t="s">
        <v>118</v>
      </c>
      <c r="N502" s="145" t="s">
        <v>462</v>
      </c>
      <c r="O502" s="145" t="s">
        <v>462</v>
      </c>
      <c r="P502" s="28">
        <v>28</v>
      </c>
      <c r="Q502" s="13" t="s">
        <v>54</v>
      </c>
      <c r="R502" s="13" t="s">
        <v>28</v>
      </c>
      <c r="S502" s="13"/>
      <c r="T502" s="13"/>
      <c r="U502" s="13" t="s">
        <v>1723</v>
      </c>
      <c r="V502" s="13" t="s">
        <v>1723</v>
      </c>
      <c r="W502" s="60">
        <f>+J502/$W$2</f>
        <v>1.2766691382250835E-4</v>
      </c>
    </row>
    <row r="503" spans="1:29">
      <c r="A503" s="13" t="s">
        <v>780</v>
      </c>
      <c r="B503" s="13" t="s">
        <v>675</v>
      </c>
      <c r="C503" s="145">
        <v>46198</v>
      </c>
      <c r="D503" s="145" t="s">
        <v>469</v>
      </c>
      <c r="E503" s="28">
        <v>0.95494754000000004</v>
      </c>
      <c r="F503" s="13"/>
      <c r="G503" s="18">
        <v>10918371.720000001</v>
      </c>
      <c r="H503" s="18">
        <v>10426472.26</v>
      </c>
      <c r="I503" s="18">
        <v>10918371.720000001</v>
      </c>
      <c r="J503" s="18">
        <v>10426472.26</v>
      </c>
      <c r="K503" s="15">
        <v>30462</v>
      </c>
      <c r="L503" s="13" t="s">
        <v>117</v>
      </c>
      <c r="M503" s="13" t="s">
        <v>118</v>
      </c>
      <c r="N503" s="145" t="s">
        <v>291</v>
      </c>
      <c r="O503" s="145" t="s">
        <v>291</v>
      </c>
      <c r="P503" s="28">
        <v>41</v>
      </c>
      <c r="Q503" s="13" t="s">
        <v>54</v>
      </c>
      <c r="R503" s="13" t="s">
        <v>28</v>
      </c>
      <c r="S503" s="13"/>
      <c r="T503" s="13"/>
      <c r="U503" s="13" t="s">
        <v>895</v>
      </c>
      <c r="V503" s="13" t="s">
        <v>895</v>
      </c>
      <c r="W503" s="60">
        <f>+J503/$W$2</f>
        <v>2.7480055180243926E-4</v>
      </c>
    </row>
    <row r="504" spans="1:29">
      <c r="A504" s="13" t="s">
        <v>550</v>
      </c>
      <c r="B504" s="13" t="s">
        <v>675</v>
      </c>
      <c r="C504" s="145">
        <v>46198</v>
      </c>
      <c r="D504" s="145" t="s">
        <v>469</v>
      </c>
      <c r="E504" s="28">
        <v>0.95494747000000002</v>
      </c>
      <c r="F504" s="13"/>
      <c r="G504" s="18">
        <v>20000000</v>
      </c>
      <c r="H504" s="18">
        <v>19098949.449999999</v>
      </c>
      <c r="I504" s="18">
        <v>20000000</v>
      </c>
      <c r="J504" s="18">
        <v>19098949.449999999</v>
      </c>
      <c r="K504" s="15">
        <v>13318404</v>
      </c>
      <c r="L504" s="13" t="s">
        <v>117</v>
      </c>
      <c r="M504" s="13" t="s">
        <v>118</v>
      </c>
      <c r="N504" s="145" t="s">
        <v>387</v>
      </c>
      <c r="O504" s="145" t="s">
        <v>387</v>
      </c>
      <c r="P504" s="28">
        <v>41</v>
      </c>
      <c r="Q504" s="13" t="s">
        <v>54</v>
      </c>
      <c r="R504" s="13" t="s">
        <v>28</v>
      </c>
      <c r="S504" s="13"/>
      <c r="T504" s="13"/>
      <c r="U504" s="13" t="s">
        <v>746</v>
      </c>
      <c r="V504" s="13" t="s">
        <v>746</v>
      </c>
      <c r="W504" s="60">
        <f>+J504/$W$2</f>
        <v>5.0337273402067191E-4</v>
      </c>
      <c r="AC504"/>
    </row>
    <row r="505" spans="1:29">
      <c r="A505" s="13" t="s">
        <v>323</v>
      </c>
      <c r="B505" s="13" t="s">
        <v>675</v>
      </c>
      <c r="C505" s="145">
        <v>46198</v>
      </c>
      <c r="D505" s="145" t="s">
        <v>469</v>
      </c>
      <c r="E505" s="28">
        <v>0.96341673999999999</v>
      </c>
      <c r="F505" s="13"/>
      <c r="G505" s="18">
        <v>50000000</v>
      </c>
      <c r="H505" s="18">
        <v>48170837.189999998</v>
      </c>
      <c r="I505" s="18">
        <v>50000000</v>
      </c>
      <c r="J505" s="18">
        <v>48170837.189999998</v>
      </c>
      <c r="K505" s="15">
        <v>4524</v>
      </c>
      <c r="L505" s="13" t="s">
        <v>117</v>
      </c>
      <c r="M505" s="13" t="s">
        <v>118</v>
      </c>
      <c r="N505" s="145" t="s">
        <v>528</v>
      </c>
      <c r="O505" s="145" t="s">
        <v>528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1304</v>
      </c>
      <c r="V505" s="13" t="s">
        <v>1304</v>
      </c>
      <c r="W505" s="60">
        <f>+J505/$W$2</f>
        <v>1.269592659003292E-3</v>
      </c>
      <c r="AC505" s="57"/>
    </row>
    <row r="506" spans="1:29">
      <c r="A506" s="13" t="s">
        <v>939</v>
      </c>
      <c r="B506" s="13" t="s">
        <v>675</v>
      </c>
      <c r="C506" s="145">
        <v>46199</v>
      </c>
      <c r="D506" s="145" t="s">
        <v>469</v>
      </c>
      <c r="E506" s="28">
        <v>0.95392423000000004</v>
      </c>
      <c r="F506" s="13"/>
      <c r="G506" s="18">
        <v>2000000</v>
      </c>
      <c r="H506" s="18">
        <v>1907848.46</v>
      </c>
      <c r="I506" s="18">
        <v>2000000</v>
      </c>
      <c r="J506" s="18">
        <v>1907848.46</v>
      </c>
      <c r="K506" s="15">
        <v>12384446</v>
      </c>
      <c r="L506" s="13" t="s">
        <v>117</v>
      </c>
      <c r="M506" s="13" t="s">
        <v>118</v>
      </c>
      <c r="N506" s="145" t="s">
        <v>291</v>
      </c>
      <c r="O506" s="145" t="s">
        <v>291</v>
      </c>
      <c r="P506" s="28">
        <v>41</v>
      </c>
      <c r="Q506" s="13" t="s">
        <v>54</v>
      </c>
      <c r="R506" s="13" t="s">
        <v>28</v>
      </c>
      <c r="S506" s="13"/>
      <c r="T506" s="13"/>
      <c r="U506" s="13" t="s">
        <v>906</v>
      </c>
      <c r="V506" s="13" t="s">
        <v>906</v>
      </c>
      <c r="W506" s="60">
        <f>+J506/$W$2</f>
        <v>5.0283336155294579E-5</v>
      </c>
      <c r="AC506" s="57"/>
    </row>
    <row r="507" spans="1:29">
      <c r="A507" s="13" t="s">
        <v>1028</v>
      </c>
      <c r="B507" s="13" t="s">
        <v>675</v>
      </c>
      <c r="C507" s="145">
        <v>46199</v>
      </c>
      <c r="D507" s="145" t="s">
        <v>469</v>
      </c>
      <c r="E507" s="28">
        <v>0.97473704999999999</v>
      </c>
      <c r="F507" s="13"/>
      <c r="G507" s="18">
        <v>4000000</v>
      </c>
      <c r="H507" s="18">
        <v>3898948.19</v>
      </c>
      <c r="I507" s="18">
        <v>4000000</v>
      </c>
      <c r="J507" s="18">
        <v>3898948.19</v>
      </c>
      <c r="K507" s="15">
        <v>64816693</v>
      </c>
      <c r="L507" s="13" t="s">
        <v>117</v>
      </c>
      <c r="M507" s="13" t="s">
        <v>118</v>
      </c>
      <c r="N507" s="145" t="s">
        <v>386</v>
      </c>
      <c r="O507" s="145" t="s">
        <v>386</v>
      </c>
      <c r="P507" s="28">
        <v>22</v>
      </c>
      <c r="Q507" s="13" t="s">
        <v>54</v>
      </c>
      <c r="R507" s="13" t="s">
        <v>28</v>
      </c>
      <c r="S507" s="13"/>
      <c r="T507" s="13"/>
      <c r="U507" s="13" t="s">
        <v>1016</v>
      </c>
      <c r="V507" s="13" t="s">
        <v>1016</v>
      </c>
      <c r="W507" s="60">
        <f>+J507/$W$2</f>
        <v>1.0276084636714142E-4</v>
      </c>
    </row>
    <row r="508" spans="1:29">
      <c r="A508" s="13" t="s">
        <v>444</v>
      </c>
      <c r="B508" s="13" t="s">
        <v>675</v>
      </c>
      <c r="C508" s="145">
        <v>46199</v>
      </c>
      <c r="D508" s="145" t="s">
        <v>469</v>
      </c>
      <c r="E508" s="28">
        <v>0.95499743000000004</v>
      </c>
      <c r="F508" s="13"/>
      <c r="G508" s="18">
        <v>3500000</v>
      </c>
      <c r="H508" s="18">
        <v>3342490.99</v>
      </c>
      <c r="I508" s="18">
        <v>3500000</v>
      </c>
      <c r="J508" s="18">
        <v>3342490.99</v>
      </c>
      <c r="K508" s="15">
        <v>60524035</v>
      </c>
      <c r="L508" s="13" t="s">
        <v>117</v>
      </c>
      <c r="M508" s="13" t="s">
        <v>118</v>
      </c>
      <c r="N508" s="145" t="s">
        <v>303</v>
      </c>
      <c r="O508" s="145" t="s">
        <v>303</v>
      </c>
      <c r="P508" s="28">
        <v>40</v>
      </c>
      <c r="Q508" s="13" t="s">
        <v>54</v>
      </c>
      <c r="R508" s="13" t="s">
        <v>28</v>
      </c>
      <c r="S508" s="13"/>
      <c r="T508" s="13"/>
      <c r="U508" s="13" t="s">
        <v>606</v>
      </c>
      <c r="V508" s="13" t="s">
        <v>606</v>
      </c>
      <c r="W508" s="60">
        <f>+J508/$W$2</f>
        <v>8.8094836445350266E-5</v>
      </c>
    </row>
    <row r="509" spans="1:29">
      <c r="A509" s="13" t="s">
        <v>1391</v>
      </c>
      <c r="B509" s="13" t="s">
        <v>675</v>
      </c>
      <c r="C509" s="145">
        <v>46199</v>
      </c>
      <c r="D509" s="145" t="s">
        <v>469</v>
      </c>
      <c r="E509" s="28">
        <v>0.97028033000000002</v>
      </c>
      <c r="F509" s="13"/>
      <c r="G509" s="18">
        <v>10000000</v>
      </c>
      <c r="H509" s="18">
        <v>9702803.3100000005</v>
      </c>
      <c r="I509" s="18">
        <v>10000000</v>
      </c>
      <c r="J509" s="18">
        <v>9702803.3100000005</v>
      </c>
      <c r="K509" s="15">
        <v>1742535</v>
      </c>
      <c r="L509" s="13" t="s">
        <v>117</v>
      </c>
      <c r="M509" s="13" t="s">
        <v>118</v>
      </c>
      <c r="N509" s="145" t="s">
        <v>445</v>
      </c>
      <c r="O509" s="145" t="s">
        <v>445</v>
      </c>
      <c r="P509" s="28">
        <v>26</v>
      </c>
      <c r="Q509" s="13" t="s">
        <v>54</v>
      </c>
      <c r="R509" s="13" t="s">
        <v>28</v>
      </c>
      <c r="S509" s="13"/>
      <c r="T509" s="13"/>
      <c r="U509" s="13" t="s">
        <v>1370</v>
      </c>
      <c r="V509" s="13" t="s">
        <v>1370</v>
      </c>
      <c r="W509" s="60">
        <f>+J509/$W$2</f>
        <v>2.5572750179824816E-4</v>
      </c>
    </row>
    <row r="510" spans="1:29">
      <c r="A510" s="13" t="s">
        <v>863</v>
      </c>
      <c r="B510" s="13" t="s">
        <v>675</v>
      </c>
      <c r="C510" s="145">
        <v>46199</v>
      </c>
      <c r="D510" s="145" t="s">
        <v>469</v>
      </c>
      <c r="E510" s="28">
        <v>0.96696428000000001</v>
      </c>
      <c r="F510" s="13"/>
      <c r="G510" s="18">
        <v>15000000</v>
      </c>
      <c r="H510" s="18">
        <v>14504464.26</v>
      </c>
      <c r="I510" s="18">
        <v>15000000</v>
      </c>
      <c r="J510" s="18">
        <v>14504464.26</v>
      </c>
      <c r="K510" s="15">
        <v>799</v>
      </c>
      <c r="L510" s="13" t="s">
        <v>117</v>
      </c>
      <c r="M510" s="13" t="s">
        <v>118</v>
      </c>
      <c r="N510" s="145" t="s">
        <v>209</v>
      </c>
      <c r="O510" s="145" t="s">
        <v>209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801</v>
      </c>
      <c r="V510" s="13" t="s">
        <v>801</v>
      </c>
      <c r="W510" s="60">
        <f>+J510/$W$2</f>
        <v>3.8228028453477696E-4</v>
      </c>
      <c r="AC510" s="57"/>
    </row>
    <row r="511" spans="1:29">
      <c r="A511" s="13" t="s">
        <v>863</v>
      </c>
      <c r="B511" s="13" t="s">
        <v>675</v>
      </c>
      <c r="C511" s="145">
        <v>46199</v>
      </c>
      <c r="D511" s="145" t="s">
        <v>469</v>
      </c>
      <c r="E511" s="28">
        <v>0.96696428000000001</v>
      </c>
      <c r="F511" s="13"/>
      <c r="G511" s="18">
        <v>12500000</v>
      </c>
      <c r="H511" s="18">
        <v>12087053.550000001</v>
      </c>
      <c r="I511" s="18">
        <v>12500000</v>
      </c>
      <c r="J511" s="18">
        <v>12087053.550000001</v>
      </c>
      <c r="K511" s="15">
        <v>28996516</v>
      </c>
      <c r="L511" s="13" t="s">
        <v>117</v>
      </c>
      <c r="M511" s="13" t="s">
        <v>118</v>
      </c>
      <c r="N511" s="145" t="s">
        <v>209</v>
      </c>
      <c r="O511" s="145" t="s">
        <v>209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818</v>
      </c>
      <c r="V511" s="13" t="s">
        <v>818</v>
      </c>
      <c r="W511" s="60">
        <f>+J511/$W$2</f>
        <v>3.185669037789808E-4</v>
      </c>
    </row>
    <row r="512" spans="1:29">
      <c r="A512" s="13" t="s">
        <v>405</v>
      </c>
      <c r="B512" s="13" t="s">
        <v>675</v>
      </c>
      <c r="C512" s="145">
        <v>46199</v>
      </c>
      <c r="D512" s="145" t="s">
        <v>469</v>
      </c>
      <c r="E512" s="28">
        <v>0.9658641</v>
      </c>
      <c r="F512" s="13"/>
      <c r="G512" s="18">
        <v>17111099</v>
      </c>
      <c r="H512" s="18">
        <v>16526996.25</v>
      </c>
      <c r="I512" s="18">
        <v>17111099</v>
      </c>
      <c r="J512" s="18">
        <v>16526996.25</v>
      </c>
      <c r="K512" s="15">
        <v>1536</v>
      </c>
      <c r="L512" s="13" t="s">
        <v>117</v>
      </c>
      <c r="M512" s="13" t="s">
        <v>118</v>
      </c>
      <c r="N512" s="145" t="s">
        <v>528</v>
      </c>
      <c r="O512" s="145" t="s">
        <v>528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1298</v>
      </c>
      <c r="V512" s="13" t="s">
        <v>1298</v>
      </c>
      <c r="W512" s="60">
        <f>+J512/$W$2</f>
        <v>4.355862247445182E-4</v>
      </c>
    </row>
    <row r="513" spans="1:29">
      <c r="A513" s="13" t="s">
        <v>1389</v>
      </c>
      <c r="B513" s="13" t="s">
        <v>675</v>
      </c>
      <c r="C513" s="145">
        <v>46199</v>
      </c>
      <c r="D513" s="145" t="s">
        <v>469</v>
      </c>
      <c r="E513" s="28">
        <v>0.96917238999999999</v>
      </c>
      <c r="F513" s="13"/>
      <c r="G513" s="18">
        <v>25000000</v>
      </c>
      <c r="H513" s="18">
        <v>24229309.640000001</v>
      </c>
      <c r="I513" s="18">
        <v>25000000</v>
      </c>
      <c r="J513" s="18">
        <v>24229309.640000001</v>
      </c>
      <c r="K513" s="15">
        <v>900</v>
      </c>
      <c r="L513" s="13" t="s">
        <v>117</v>
      </c>
      <c r="M513" s="13" t="s">
        <v>118</v>
      </c>
      <c r="N513" s="145" t="s">
        <v>411</v>
      </c>
      <c r="O513" s="145" t="s">
        <v>411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1454</v>
      </c>
      <c r="V513" s="13" t="s">
        <v>1454</v>
      </c>
      <c r="W513" s="60">
        <f>+J513/$W$2</f>
        <v>6.3858872807897931E-4</v>
      </c>
    </row>
    <row r="514" spans="1:29">
      <c r="A514" s="13" t="s">
        <v>780</v>
      </c>
      <c r="B514" s="13" t="s">
        <v>675</v>
      </c>
      <c r="C514" s="145">
        <v>46199</v>
      </c>
      <c r="D514" s="145" t="s">
        <v>469</v>
      </c>
      <c r="E514" s="28">
        <v>0.95392423999999998</v>
      </c>
      <c r="F514" s="13"/>
      <c r="G514" s="18">
        <v>11785044.42</v>
      </c>
      <c r="H514" s="18">
        <v>11242039.52</v>
      </c>
      <c r="I514" s="18">
        <v>11785044.42</v>
      </c>
      <c r="J514" s="18">
        <v>11242039.52</v>
      </c>
      <c r="K514" s="15">
        <v>9344726</v>
      </c>
      <c r="L514" s="13" t="s">
        <v>117</v>
      </c>
      <c r="M514" s="13" t="s">
        <v>118</v>
      </c>
      <c r="N514" s="145" t="s">
        <v>291</v>
      </c>
      <c r="O514" s="145" t="s">
        <v>291</v>
      </c>
      <c r="P514" s="28">
        <v>41</v>
      </c>
      <c r="Q514" s="13" t="s">
        <v>54</v>
      </c>
      <c r="R514" s="13" t="s">
        <v>28</v>
      </c>
      <c r="S514" s="13"/>
      <c r="T514" s="13"/>
      <c r="U514" s="13" t="s">
        <v>898</v>
      </c>
      <c r="V514" s="13" t="s">
        <v>898</v>
      </c>
      <c r="W514" s="60">
        <f>+J514/$W$2</f>
        <v>2.9629567762172606E-4</v>
      </c>
      <c r="AC514" s="57"/>
    </row>
    <row r="515" spans="1:29">
      <c r="A515" s="13" t="s">
        <v>550</v>
      </c>
      <c r="B515" s="13" t="s">
        <v>675</v>
      </c>
      <c r="C515" s="145">
        <v>46199</v>
      </c>
      <c r="D515" s="145" t="s">
        <v>469</v>
      </c>
      <c r="E515" s="28">
        <v>0.95392416999999996</v>
      </c>
      <c r="F515" s="13"/>
      <c r="G515" s="18">
        <v>20000000</v>
      </c>
      <c r="H515" s="18">
        <v>19078483.370000001</v>
      </c>
      <c r="I515" s="18">
        <v>20000000</v>
      </c>
      <c r="J515" s="18">
        <v>19078483.370000001</v>
      </c>
      <c r="K515" s="15">
        <v>13318405</v>
      </c>
      <c r="L515" s="13" t="s">
        <v>117</v>
      </c>
      <c r="M515" s="13" t="s">
        <v>118</v>
      </c>
      <c r="N515" s="145" t="s">
        <v>387</v>
      </c>
      <c r="O515" s="145" t="s">
        <v>387</v>
      </c>
      <c r="P515" s="28">
        <v>41</v>
      </c>
      <c r="Q515" s="13" t="s">
        <v>54</v>
      </c>
      <c r="R515" s="13" t="s">
        <v>28</v>
      </c>
      <c r="S515" s="13"/>
      <c r="T515" s="13"/>
      <c r="U515" s="13" t="s">
        <v>748</v>
      </c>
      <c r="V515" s="13" t="s">
        <v>748</v>
      </c>
      <c r="W515" s="60">
        <f>+J515/$W$2</f>
        <v>5.0283332913501281E-4</v>
      </c>
    </row>
    <row r="516" spans="1:29">
      <c r="A516" s="13" t="s">
        <v>274</v>
      </c>
      <c r="B516" s="13" t="s">
        <v>675</v>
      </c>
      <c r="C516" s="145">
        <v>46199</v>
      </c>
      <c r="D516" s="145" t="s">
        <v>469</v>
      </c>
      <c r="E516" s="28">
        <v>0.95178512000000004</v>
      </c>
      <c r="F516" s="13"/>
      <c r="G516" s="18">
        <v>15000000</v>
      </c>
      <c r="H516" s="18">
        <v>14276776.789999999</v>
      </c>
      <c r="I516" s="18">
        <v>15000000</v>
      </c>
      <c r="J516" s="18">
        <v>14276776.789999999</v>
      </c>
      <c r="K516" s="15">
        <v>16771103</v>
      </c>
      <c r="L516" s="13" t="s">
        <v>117</v>
      </c>
      <c r="M516" s="13" t="s">
        <v>118</v>
      </c>
      <c r="N516" s="145" t="s">
        <v>457</v>
      </c>
      <c r="O516" s="145" t="s">
        <v>457</v>
      </c>
      <c r="P516" s="28">
        <v>43</v>
      </c>
      <c r="Q516" s="13" t="s">
        <v>54</v>
      </c>
      <c r="R516" s="13" t="s">
        <v>28</v>
      </c>
      <c r="S516" s="13"/>
      <c r="T516" s="13"/>
      <c r="U516" s="13" t="s">
        <v>1539</v>
      </c>
      <c r="V516" s="13" t="s">
        <v>1539</v>
      </c>
      <c r="W516" s="60">
        <f>+J516/$W$2</f>
        <v>3.7627934377223933E-4</v>
      </c>
      <c r="AC516" s="57"/>
    </row>
    <row r="517" spans="1:29">
      <c r="A517" s="13" t="s">
        <v>1822</v>
      </c>
      <c r="B517" s="13" t="s">
        <v>675</v>
      </c>
      <c r="C517" s="145">
        <v>46202</v>
      </c>
      <c r="D517" s="145" t="s">
        <v>469</v>
      </c>
      <c r="E517" s="28">
        <v>0.95775407999999995</v>
      </c>
      <c r="F517" s="13"/>
      <c r="G517" s="18">
        <v>2000000</v>
      </c>
      <c r="H517" s="18">
        <v>1915508.17</v>
      </c>
      <c r="I517" s="18">
        <v>2000000</v>
      </c>
      <c r="J517" s="18">
        <v>1915508.17</v>
      </c>
      <c r="K517" s="15">
        <v>7742</v>
      </c>
      <c r="L517" s="13" t="s">
        <v>117</v>
      </c>
      <c r="M517" s="13" t="s">
        <v>118</v>
      </c>
      <c r="N517" s="145" t="s">
        <v>464</v>
      </c>
      <c r="O517" s="145" t="s">
        <v>464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1820</v>
      </c>
      <c r="V517" s="13" t="s">
        <v>1820</v>
      </c>
      <c r="W517" s="60">
        <f>+J517/$W$2</f>
        <v>5.0485215801847883E-5</v>
      </c>
    </row>
    <row r="518" spans="1:29">
      <c r="A518" s="13" t="s">
        <v>781</v>
      </c>
      <c r="B518" s="13" t="s">
        <v>675</v>
      </c>
      <c r="C518" s="145">
        <v>46202</v>
      </c>
      <c r="D518" s="145" t="s">
        <v>469</v>
      </c>
      <c r="E518" s="28">
        <v>0.95086755000000001</v>
      </c>
      <c r="F518" s="13"/>
      <c r="G518" s="18">
        <v>2000000</v>
      </c>
      <c r="H518" s="18">
        <v>1901735.1</v>
      </c>
      <c r="I518" s="18">
        <v>2000000</v>
      </c>
      <c r="J518" s="18">
        <v>1901735.1</v>
      </c>
      <c r="K518" s="15">
        <v>11213039</v>
      </c>
      <c r="L518" s="13" t="s">
        <v>117</v>
      </c>
      <c r="M518" s="13" t="s">
        <v>118</v>
      </c>
      <c r="N518" s="145" t="s">
        <v>387</v>
      </c>
      <c r="O518" s="145" t="s">
        <v>387</v>
      </c>
      <c r="P518" s="28">
        <v>41</v>
      </c>
      <c r="Q518" s="13" t="s">
        <v>54</v>
      </c>
      <c r="R518" s="13" t="s">
        <v>28</v>
      </c>
      <c r="S518" s="13"/>
      <c r="T518" s="13"/>
      <c r="U518" s="13" t="s">
        <v>768</v>
      </c>
      <c r="V518" s="13" t="s">
        <v>768</v>
      </c>
      <c r="W518" s="60">
        <f>+J518/$W$2</f>
        <v>5.0122212175920278E-5</v>
      </c>
    </row>
    <row r="519" spans="1:29">
      <c r="A519" s="13" t="s">
        <v>406</v>
      </c>
      <c r="B519" s="13" t="s">
        <v>675</v>
      </c>
      <c r="C519" s="145">
        <v>46202</v>
      </c>
      <c r="D519" s="145" t="s">
        <v>469</v>
      </c>
      <c r="E519" s="28">
        <v>0.95775399000000006</v>
      </c>
      <c r="F519" s="13"/>
      <c r="G519" s="18">
        <v>5000000</v>
      </c>
      <c r="H519" s="18">
        <v>4788769.95</v>
      </c>
      <c r="I519" s="18">
        <v>5000000</v>
      </c>
      <c r="J519" s="18">
        <v>4788769.95</v>
      </c>
      <c r="K519" s="15">
        <v>90000059</v>
      </c>
      <c r="L519" s="13" t="s">
        <v>117</v>
      </c>
      <c r="M519" s="13" t="s">
        <v>118</v>
      </c>
      <c r="N519" s="145" t="s">
        <v>304</v>
      </c>
      <c r="O519" s="145" t="s">
        <v>304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655</v>
      </c>
      <c r="V519" s="13" t="s">
        <v>655</v>
      </c>
      <c r="W519" s="60">
        <f>+J519/$W$2</f>
        <v>1.2621302698549928E-4</v>
      </c>
    </row>
    <row r="520" spans="1:29">
      <c r="A520" s="13" t="s">
        <v>1391</v>
      </c>
      <c r="B520" s="13" t="s">
        <v>675</v>
      </c>
      <c r="C520" s="145">
        <v>46202</v>
      </c>
      <c r="D520" s="145" t="s">
        <v>469</v>
      </c>
      <c r="E520" s="28">
        <v>0.96827251000000003</v>
      </c>
      <c r="F520" s="13"/>
      <c r="G520" s="18">
        <v>10000000</v>
      </c>
      <c r="H520" s="18">
        <v>9682725.1099999994</v>
      </c>
      <c r="I520" s="18">
        <v>10000000</v>
      </c>
      <c r="J520" s="18">
        <v>9682725.1099999994</v>
      </c>
      <c r="K520" s="15">
        <v>1742536</v>
      </c>
      <c r="L520" s="13" t="s">
        <v>117</v>
      </c>
      <c r="M520" s="13" t="s">
        <v>118</v>
      </c>
      <c r="N520" s="145" t="s">
        <v>445</v>
      </c>
      <c r="O520" s="145" t="s">
        <v>445</v>
      </c>
      <c r="P520" s="28">
        <v>26</v>
      </c>
      <c r="Q520" s="13" t="s">
        <v>54</v>
      </c>
      <c r="R520" s="13" t="s">
        <v>28</v>
      </c>
      <c r="S520" s="13"/>
      <c r="T520" s="13"/>
      <c r="U520" s="13" t="s">
        <v>1368</v>
      </c>
      <c r="V520" s="13" t="s">
        <v>1368</v>
      </c>
      <c r="W520" s="60">
        <f>+J520/$W$2</f>
        <v>2.5519831989456943E-4</v>
      </c>
    </row>
    <row r="521" spans="1:29">
      <c r="A521" s="13" t="s">
        <v>405</v>
      </c>
      <c r="B521" s="13" t="s">
        <v>675</v>
      </c>
      <c r="C521" s="145">
        <v>46202</v>
      </c>
      <c r="D521" s="145" t="s">
        <v>469</v>
      </c>
      <c r="E521" s="28">
        <v>0.96356931999999995</v>
      </c>
      <c r="F521" s="13"/>
      <c r="G521" s="18">
        <v>17352660</v>
      </c>
      <c r="H521" s="18">
        <v>16720490.720000001</v>
      </c>
      <c r="I521" s="18">
        <v>17352660</v>
      </c>
      <c r="J521" s="18">
        <v>16720490.720000001</v>
      </c>
      <c r="K521" s="15">
        <v>1494</v>
      </c>
      <c r="L521" s="13" t="s">
        <v>117</v>
      </c>
      <c r="M521" s="13" t="s">
        <v>118</v>
      </c>
      <c r="N521" s="145" t="s">
        <v>528</v>
      </c>
      <c r="O521" s="145" t="s">
        <v>528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1307</v>
      </c>
      <c r="V521" s="13" t="s">
        <v>1307</v>
      </c>
      <c r="W521" s="60">
        <f>+J521/$W$2</f>
        <v>4.4068597332685614E-4</v>
      </c>
    </row>
    <row r="522" spans="1:29">
      <c r="A522" s="13" t="s">
        <v>1390</v>
      </c>
      <c r="B522" s="13" t="s">
        <v>675</v>
      </c>
      <c r="C522" s="145">
        <v>46202</v>
      </c>
      <c r="D522" s="145" t="s">
        <v>469</v>
      </c>
      <c r="E522" s="28">
        <v>0.96709237999999997</v>
      </c>
      <c r="F522" s="13"/>
      <c r="G522" s="18">
        <v>10000000</v>
      </c>
      <c r="H522" s="18">
        <v>9670923.8000000007</v>
      </c>
      <c r="I522" s="18">
        <v>10000000</v>
      </c>
      <c r="J522" s="18">
        <v>9670923.8000000007</v>
      </c>
      <c r="K522" s="15">
        <v>30178</v>
      </c>
      <c r="L522" s="13" t="s">
        <v>117</v>
      </c>
      <c r="M522" s="13" t="s">
        <v>118</v>
      </c>
      <c r="N522" s="145" t="s">
        <v>445</v>
      </c>
      <c r="O522" s="145" t="s">
        <v>445</v>
      </c>
      <c r="P522" s="28">
        <v>27</v>
      </c>
      <c r="Q522" s="13" t="s">
        <v>54</v>
      </c>
      <c r="R522" s="13" t="s">
        <v>28</v>
      </c>
      <c r="S522" s="13"/>
      <c r="T522" s="13"/>
      <c r="U522" s="13" t="s">
        <v>1385</v>
      </c>
      <c r="V522" s="13" t="s">
        <v>1385</v>
      </c>
      <c r="W522" s="60">
        <f>+J522/$W$2</f>
        <v>2.5488728406009714E-4</v>
      </c>
    </row>
    <row r="523" spans="1:29">
      <c r="A523" s="13" t="s">
        <v>1390</v>
      </c>
      <c r="B523" s="13" t="s">
        <v>675</v>
      </c>
      <c r="C523" s="145">
        <v>46202</v>
      </c>
      <c r="D523" s="145" t="s">
        <v>469</v>
      </c>
      <c r="E523" s="28">
        <v>0.96709237999999997</v>
      </c>
      <c r="F523" s="13"/>
      <c r="G523" s="18">
        <v>10000000</v>
      </c>
      <c r="H523" s="18">
        <v>9670923.8000000007</v>
      </c>
      <c r="I523" s="18">
        <v>10000000</v>
      </c>
      <c r="J523" s="18">
        <v>9670923.8000000007</v>
      </c>
      <c r="K523" s="15">
        <v>30177</v>
      </c>
      <c r="L523" s="13" t="s">
        <v>117</v>
      </c>
      <c r="M523" s="13" t="s">
        <v>118</v>
      </c>
      <c r="N523" s="145" t="s">
        <v>445</v>
      </c>
      <c r="O523" s="145" t="s">
        <v>445</v>
      </c>
      <c r="P523" s="28">
        <v>27</v>
      </c>
      <c r="Q523" s="13" t="s">
        <v>54</v>
      </c>
      <c r="R523" s="13" t="s">
        <v>28</v>
      </c>
      <c r="S523" s="13"/>
      <c r="T523" s="13"/>
      <c r="U523" s="13" t="s">
        <v>1386</v>
      </c>
      <c r="V523" s="13" t="s">
        <v>1386</v>
      </c>
      <c r="W523" s="60">
        <f>+J523/$W$2</f>
        <v>2.5488728406009714E-4</v>
      </c>
      <c r="AC523" s="57"/>
    </row>
    <row r="524" spans="1:29">
      <c r="A524" s="13" t="s">
        <v>1101</v>
      </c>
      <c r="B524" s="13" t="s">
        <v>675</v>
      </c>
      <c r="C524" s="145">
        <v>46202</v>
      </c>
      <c r="D524" s="145" t="s">
        <v>469</v>
      </c>
      <c r="E524" s="28">
        <v>0.96709235999999998</v>
      </c>
      <c r="F524" s="13"/>
      <c r="G524" s="18">
        <v>3000000</v>
      </c>
      <c r="H524" s="18">
        <v>2901277.08</v>
      </c>
      <c r="I524" s="18">
        <v>3000000</v>
      </c>
      <c r="J524" s="18">
        <v>2901277.08</v>
      </c>
      <c r="K524" s="15">
        <v>13314552</v>
      </c>
      <c r="L524" s="13" t="s">
        <v>117</v>
      </c>
      <c r="M524" s="13" t="s">
        <v>118</v>
      </c>
      <c r="N524" s="145" t="s">
        <v>461</v>
      </c>
      <c r="O524" s="145" t="s">
        <v>461</v>
      </c>
      <c r="P524" s="28">
        <v>27</v>
      </c>
      <c r="Q524" s="13" t="s">
        <v>54</v>
      </c>
      <c r="R524" s="13" t="s">
        <v>28</v>
      </c>
      <c r="S524" s="13"/>
      <c r="T524" s="13"/>
      <c r="U524" s="13" t="s">
        <v>1108</v>
      </c>
      <c r="V524" s="13" t="s">
        <v>1108</v>
      </c>
      <c r="W524" s="60">
        <f>+J524/$W$2</f>
        <v>7.6466183636666552E-5</v>
      </c>
      <c r="AC524" s="57"/>
    </row>
    <row r="525" spans="1:29">
      <c r="A525" s="13" t="s">
        <v>780</v>
      </c>
      <c r="B525" s="13" t="s">
        <v>675</v>
      </c>
      <c r="C525" s="145">
        <v>46202</v>
      </c>
      <c r="D525" s="145" t="s">
        <v>469</v>
      </c>
      <c r="E525" s="28">
        <v>0.95086755000000001</v>
      </c>
      <c r="F525" s="13"/>
      <c r="G525" s="18">
        <v>15909586.57</v>
      </c>
      <c r="H525" s="18">
        <v>15127909.57</v>
      </c>
      <c r="I525" s="18">
        <v>15909586.57</v>
      </c>
      <c r="J525" s="18">
        <v>15127909.57</v>
      </c>
      <c r="K525" s="15">
        <v>30494</v>
      </c>
      <c r="L525" s="13" t="s">
        <v>117</v>
      </c>
      <c r="M525" s="13" t="s">
        <v>118</v>
      </c>
      <c r="N525" s="145" t="s">
        <v>387</v>
      </c>
      <c r="O525" s="145" t="s">
        <v>387</v>
      </c>
      <c r="P525" s="28">
        <v>41</v>
      </c>
      <c r="Q525" s="13" t="s">
        <v>54</v>
      </c>
      <c r="R525" s="13" t="s">
        <v>28</v>
      </c>
      <c r="S525" s="13"/>
      <c r="T525" s="13"/>
      <c r="U525" s="13" t="s">
        <v>754</v>
      </c>
      <c r="V525" s="13" t="s">
        <v>754</v>
      </c>
      <c r="W525" s="60">
        <f>+J525/$W$2</f>
        <v>3.9871183596794049E-4</v>
      </c>
      <c r="AC525" s="57"/>
    </row>
    <row r="526" spans="1:29">
      <c r="A526" s="13" t="s">
        <v>780</v>
      </c>
      <c r="B526" s="13" t="s">
        <v>675</v>
      </c>
      <c r="C526" s="145">
        <v>46202</v>
      </c>
      <c r="D526" s="145" t="s">
        <v>469</v>
      </c>
      <c r="E526" s="28">
        <v>0.95086755000000001</v>
      </c>
      <c r="F526" s="13"/>
      <c r="G526" s="18">
        <v>15389210.15</v>
      </c>
      <c r="H526" s="18">
        <v>14633100.52</v>
      </c>
      <c r="I526" s="18">
        <v>15389210.15</v>
      </c>
      <c r="J526" s="18">
        <v>14633100.52</v>
      </c>
      <c r="K526" s="15">
        <v>9344720</v>
      </c>
      <c r="L526" s="13" t="s">
        <v>117</v>
      </c>
      <c r="M526" s="13" t="s">
        <v>118</v>
      </c>
      <c r="N526" s="145" t="s">
        <v>387</v>
      </c>
      <c r="O526" s="145" t="s">
        <v>387</v>
      </c>
      <c r="P526" s="28">
        <v>41</v>
      </c>
      <c r="Q526" s="13" t="s">
        <v>54</v>
      </c>
      <c r="R526" s="13" t="s">
        <v>28</v>
      </c>
      <c r="S526" s="13"/>
      <c r="T526" s="13"/>
      <c r="U526" s="13" t="s">
        <v>761</v>
      </c>
      <c r="V526" s="13" t="s">
        <v>761</v>
      </c>
      <c r="W526" s="60">
        <f>+J526/$W$2</f>
        <v>3.8567062734184656E-4</v>
      </c>
    </row>
    <row r="527" spans="1:29">
      <c r="A527" s="13" t="s">
        <v>550</v>
      </c>
      <c r="B527" s="13" t="s">
        <v>675</v>
      </c>
      <c r="C527" s="145">
        <v>46202</v>
      </c>
      <c r="D527" s="145" t="s">
        <v>469</v>
      </c>
      <c r="E527" s="28">
        <v>0.95086755000000001</v>
      </c>
      <c r="F527" s="13"/>
      <c r="G527" s="18">
        <v>20000000</v>
      </c>
      <c r="H527" s="18">
        <v>19017350.960000001</v>
      </c>
      <c r="I527" s="18">
        <v>20000000</v>
      </c>
      <c r="J527" s="18">
        <v>19017350.960000001</v>
      </c>
      <c r="K527" s="15">
        <v>13318406</v>
      </c>
      <c r="L527" s="13" t="s">
        <v>117</v>
      </c>
      <c r="M527" s="13" t="s">
        <v>118</v>
      </c>
      <c r="N527" s="145" t="s">
        <v>387</v>
      </c>
      <c r="O527" s="145" t="s">
        <v>387</v>
      </c>
      <c r="P527" s="28">
        <v>41</v>
      </c>
      <c r="Q527" s="13" t="s">
        <v>54</v>
      </c>
      <c r="R527" s="13" t="s">
        <v>28</v>
      </c>
      <c r="S527" s="13"/>
      <c r="T527" s="13"/>
      <c r="U527" s="13" t="s">
        <v>742</v>
      </c>
      <c r="V527" s="13" t="s">
        <v>742</v>
      </c>
      <c r="W527" s="60">
        <f>+J527/$W$2</f>
        <v>5.0122212070496106E-4</v>
      </c>
    </row>
    <row r="528" spans="1:29">
      <c r="A528" s="13" t="s">
        <v>274</v>
      </c>
      <c r="B528" s="13" t="s">
        <v>675</v>
      </c>
      <c r="C528" s="145">
        <v>46202</v>
      </c>
      <c r="D528" s="145" t="s">
        <v>469</v>
      </c>
      <c r="E528" s="28">
        <v>0.94859424999999997</v>
      </c>
      <c r="F528" s="13"/>
      <c r="G528" s="18">
        <v>15000000</v>
      </c>
      <c r="H528" s="18">
        <v>14228913.74</v>
      </c>
      <c r="I528" s="18">
        <v>15000000</v>
      </c>
      <c r="J528" s="18">
        <v>14228913.74</v>
      </c>
      <c r="K528" s="15">
        <v>16771105</v>
      </c>
      <c r="L528" s="13" t="s">
        <v>117</v>
      </c>
      <c r="M528" s="13" t="s">
        <v>118</v>
      </c>
      <c r="N528" s="145" t="s">
        <v>457</v>
      </c>
      <c r="O528" s="145" t="s">
        <v>457</v>
      </c>
      <c r="P528" s="28">
        <v>43</v>
      </c>
      <c r="Q528" s="13" t="s">
        <v>54</v>
      </c>
      <c r="R528" s="13" t="s">
        <v>28</v>
      </c>
      <c r="S528" s="13"/>
      <c r="T528" s="13"/>
      <c r="U528" s="13" t="s">
        <v>1540</v>
      </c>
      <c r="V528" s="13" t="s">
        <v>1540</v>
      </c>
      <c r="W528" s="60">
        <f>+J528/$W$2</f>
        <v>3.7501786316566769E-4</v>
      </c>
    </row>
    <row r="529" spans="1:29">
      <c r="A529" s="13" t="s">
        <v>249</v>
      </c>
      <c r="B529" s="13" t="s">
        <v>675</v>
      </c>
      <c r="C529" s="145">
        <v>46202</v>
      </c>
      <c r="D529" s="145" t="s">
        <v>469</v>
      </c>
      <c r="E529" s="28">
        <v>0.95086766</v>
      </c>
      <c r="F529" s="13"/>
      <c r="G529" s="18">
        <v>192000000</v>
      </c>
      <c r="H529" s="18">
        <v>182566590.25999999</v>
      </c>
      <c r="I529" s="18">
        <v>192000000</v>
      </c>
      <c r="J529" s="18">
        <v>182566590.25999999</v>
      </c>
      <c r="K529" s="15">
        <v>70379138</v>
      </c>
      <c r="L529" s="13" t="s">
        <v>117</v>
      </c>
      <c r="M529" s="13" t="s">
        <v>118</v>
      </c>
      <c r="N529" s="145" t="s">
        <v>591</v>
      </c>
      <c r="O529" s="145" t="s">
        <v>591</v>
      </c>
      <c r="P529" s="28">
        <v>41</v>
      </c>
      <c r="Q529" s="13" t="s">
        <v>54</v>
      </c>
      <c r="R529" s="13" t="s">
        <v>28</v>
      </c>
      <c r="S529" s="13"/>
      <c r="T529" s="13"/>
      <c r="U529" s="13" t="s">
        <v>1799</v>
      </c>
      <c r="V529" s="13" t="s">
        <v>1799</v>
      </c>
      <c r="W529" s="60">
        <f>+J529/$W$2</f>
        <v>4.811732913404196E-3</v>
      </c>
      <c r="AC529" s="57"/>
    </row>
    <row r="530" spans="1:29">
      <c r="A530" s="13" t="s">
        <v>1331</v>
      </c>
      <c r="B530" s="13" t="s">
        <v>675</v>
      </c>
      <c r="C530" s="145">
        <v>46203</v>
      </c>
      <c r="D530" s="145" t="s">
        <v>469</v>
      </c>
      <c r="E530" s="28">
        <v>0.95687520000000004</v>
      </c>
      <c r="F530" s="13"/>
      <c r="G530" s="18">
        <v>10000000</v>
      </c>
      <c r="H530" s="18">
        <v>9568751.9900000002</v>
      </c>
      <c r="I530" s="18">
        <v>10000000</v>
      </c>
      <c r="J530" s="18">
        <v>9568751.9900000002</v>
      </c>
      <c r="K530" s="15">
        <v>29098103</v>
      </c>
      <c r="L530" s="13" t="s">
        <v>117</v>
      </c>
      <c r="M530" s="13" t="s">
        <v>118</v>
      </c>
      <c r="N530" s="145" t="s">
        <v>528</v>
      </c>
      <c r="O530" s="145" t="s">
        <v>528</v>
      </c>
      <c r="P530" s="28">
        <v>35</v>
      </c>
      <c r="Q530" s="13" t="s">
        <v>54</v>
      </c>
      <c r="R530" s="13" t="s">
        <v>28</v>
      </c>
      <c r="S530" s="13"/>
      <c r="T530" s="13"/>
      <c r="U530" s="13" t="s">
        <v>1310</v>
      </c>
      <c r="V530" s="13" t="s">
        <v>1310</v>
      </c>
      <c r="W530" s="60">
        <f>+J530/$W$2</f>
        <v>2.521944394366699E-4</v>
      </c>
    </row>
    <row r="531" spans="1:29">
      <c r="A531" s="13" t="s">
        <v>1644</v>
      </c>
      <c r="B531" s="13" t="s">
        <v>675</v>
      </c>
      <c r="C531" s="145">
        <v>46203</v>
      </c>
      <c r="D531" s="145" t="s">
        <v>469</v>
      </c>
      <c r="E531" s="28">
        <v>0.96280664999999999</v>
      </c>
      <c r="F531" s="13"/>
      <c r="G531" s="18">
        <v>8200000</v>
      </c>
      <c r="H531" s="18">
        <v>7895014.54</v>
      </c>
      <c r="I531" s="18">
        <v>8200000</v>
      </c>
      <c r="J531" s="18">
        <v>7895014.54</v>
      </c>
      <c r="K531" s="15">
        <v>66589587</v>
      </c>
      <c r="L531" s="13" t="s">
        <v>117</v>
      </c>
      <c r="M531" s="13" t="s">
        <v>118</v>
      </c>
      <c r="N531" s="145" t="s">
        <v>400</v>
      </c>
      <c r="O531" s="145" t="s">
        <v>400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1635</v>
      </c>
      <c r="V531" s="13" t="s">
        <v>1635</v>
      </c>
      <c r="W531" s="60">
        <f>+J531/$W$2</f>
        <v>2.0808134314072221E-4</v>
      </c>
    </row>
    <row r="532" spans="1:29">
      <c r="A532" s="13" t="s">
        <v>1779</v>
      </c>
      <c r="B532" s="13" t="s">
        <v>675</v>
      </c>
      <c r="C532" s="145">
        <v>46203</v>
      </c>
      <c r="D532" s="145" t="s">
        <v>469</v>
      </c>
      <c r="E532" s="28">
        <v>0.95923908999999996</v>
      </c>
      <c r="F532" s="13"/>
      <c r="G532" s="18">
        <v>2000000</v>
      </c>
      <c r="H532" s="18">
        <v>1918478.19</v>
      </c>
      <c r="I532" s="18">
        <v>2000000</v>
      </c>
      <c r="J532" s="18">
        <v>1918478.19</v>
      </c>
      <c r="K532" s="15">
        <v>148</v>
      </c>
      <c r="L532" s="13" t="s">
        <v>117</v>
      </c>
      <c r="M532" s="13" t="s">
        <v>118</v>
      </c>
      <c r="N532" s="145" t="s">
        <v>410</v>
      </c>
      <c r="O532" s="145" t="s">
        <v>410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1780</v>
      </c>
      <c r="V532" s="13" t="s">
        <v>1780</v>
      </c>
      <c r="W532" s="60">
        <f>+J532/$W$2</f>
        <v>5.0563493776843839E-5</v>
      </c>
    </row>
    <row r="533" spans="1:29">
      <c r="A533" s="13" t="s">
        <v>1822</v>
      </c>
      <c r="B533" s="13" t="s">
        <v>675</v>
      </c>
      <c r="C533" s="145">
        <v>46203</v>
      </c>
      <c r="D533" s="145" t="s">
        <v>469</v>
      </c>
      <c r="E533" s="28">
        <v>0.95687522000000003</v>
      </c>
      <c r="F533" s="13"/>
      <c r="G533" s="18">
        <v>2000000</v>
      </c>
      <c r="H533" s="18">
        <v>1913750.44</v>
      </c>
      <c r="I533" s="18">
        <v>2000000</v>
      </c>
      <c r="J533" s="18">
        <v>1913750.44</v>
      </c>
      <c r="K533" s="15">
        <v>7743</v>
      </c>
      <c r="L533" s="13" t="s">
        <v>117</v>
      </c>
      <c r="M533" s="13" t="s">
        <v>118</v>
      </c>
      <c r="N533" s="145" t="s">
        <v>464</v>
      </c>
      <c r="O533" s="145" t="s">
        <v>464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1821</v>
      </c>
      <c r="V533" s="13" t="s">
        <v>1821</v>
      </c>
      <c r="W533" s="60">
        <f>+J533/$W$2</f>
        <v>5.0438888994287792E-5</v>
      </c>
    </row>
    <row r="534" spans="1:29">
      <c r="A534" s="13" t="s">
        <v>676</v>
      </c>
      <c r="B534" s="13" t="s">
        <v>675</v>
      </c>
      <c r="C534" s="145">
        <v>46203</v>
      </c>
      <c r="D534" s="145" t="s">
        <v>469</v>
      </c>
      <c r="E534" s="28">
        <v>0.95687520000000004</v>
      </c>
      <c r="F534" s="13"/>
      <c r="G534" s="18">
        <v>10000000</v>
      </c>
      <c r="H534" s="18">
        <v>9568751.9900000002</v>
      </c>
      <c r="I534" s="18">
        <v>10000000</v>
      </c>
      <c r="J534" s="18">
        <v>9568751.9900000002</v>
      </c>
      <c r="K534" s="15">
        <v>386</v>
      </c>
      <c r="L534" s="13" t="s">
        <v>117</v>
      </c>
      <c r="M534" s="13" t="s">
        <v>118</v>
      </c>
      <c r="N534" s="145" t="s">
        <v>528</v>
      </c>
      <c r="O534" s="145" t="s">
        <v>528</v>
      </c>
      <c r="P534" s="28">
        <v>35</v>
      </c>
      <c r="Q534" s="13" t="s">
        <v>54</v>
      </c>
      <c r="R534" s="13" t="s">
        <v>28</v>
      </c>
      <c r="S534" s="13"/>
      <c r="T534" s="13"/>
      <c r="U534" s="13" t="s">
        <v>1296</v>
      </c>
      <c r="V534" s="13" t="s">
        <v>1296</v>
      </c>
      <c r="W534" s="60">
        <f>+J534/$W$2</f>
        <v>2.521944394366699E-4</v>
      </c>
    </row>
    <row r="535" spans="1:29">
      <c r="A535" s="13" t="s">
        <v>145</v>
      </c>
      <c r="B535" s="13" t="s">
        <v>675</v>
      </c>
      <c r="C535" s="145">
        <v>46203</v>
      </c>
      <c r="D535" s="145" t="s">
        <v>469</v>
      </c>
      <c r="E535" s="28">
        <v>0.94407949000000002</v>
      </c>
      <c r="F535" s="13"/>
      <c r="G535" s="18">
        <v>10000000</v>
      </c>
      <c r="H535" s="18">
        <v>9440794.8800000008</v>
      </c>
      <c r="I535" s="18">
        <v>10000000</v>
      </c>
      <c r="J535" s="18">
        <v>9440794.8800000008</v>
      </c>
      <c r="K535" s="15">
        <v>3924</v>
      </c>
      <c r="L535" s="13" t="s">
        <v>117</v>
      </c>
      <c r="M535" s="13" t="s">
        <v>118</v>
      </c>
      <c r="N535" s="145" t="s">
        <v>144</v>
      </c>
      <c r="O535" s="145" t="s">
        <v>144</v>
      </c>
      <c r="P535" s="28">
        <v>46</v>
      </c>
      <c r="Q535" s="13" t="s">
        <v>54</v>
      </c>
      <c r="R535" s="13" t="s">
        <v>28</v>
      </c>
      <c r="S535" s="13"/>
      <c r="T535" s="13"/>
      <c r="U535" s="13" t="s">
        <v>227</v>
      </c>
      <c r="V535" s="13" t="s">
        <v>227</v>
      </c>
      <c r="W535" s="60">
        <f>+J535/$W$2</f>
        <v>2.4882199633624152E-4</v>
      </c>
      <c r="AC535" s="57"/>
    </row>
    <row r="536" spans="1:29">
      <c r="A536" s="13" t="s">
        <v>201</v>
      </c>
      <c r="B536" s="13" t="s">
        <v>675</v>
      </c>
      <c r="C536" s="145">
        <v>46203</v>
      </c>
      <c r="D536" s="145" t="s">
        <v>469</v>
      </c>
      <c r="E536" s="28">
        <v>0.94869274999999997</v>
      </c>
      <c r="F536" s="13"/>
      <c r="G536" s="18">
        <v>10000000</v>
      </c>
      <c r="H536" s="18">
        <v>9486927.5199999996</v>
      </c>
      <c r="I536" s="18">
        <v>10000000</v>
      </c>
      <c r="J536" s="18">
        <v>9486927.5199999996</v>
      </c>
      <c r="K536" s="15">
        <v>4019</v>
      </c>
      <c r="L536" s="13" t="s">
        <v>117</v>
      </c>
      <c r="M536" s="13" t="s">
        <v>118</v>
      </c>
      <c r="N536" s="145" t="s">
        <v>306</v>
      </c>
      <c r="O536" s="145" t="s">
        <v>306</v>
      </c>
      <c r="P536" s="28">
        <v>42</v>
      </c>
      <c r="Q536" s="13" t="s">
        <v>54</v>
      </c>
      <c r="R536" s="13" t="s">
        <v>28</v>
      </c>
      <c r="S536" s="13"/>
      <c r="T536" s="13"/>
      <c r="U536" s="13" t="s">
        <v>735</v>
      </c>
      <c r="V536" s="13" t="s">
        <v>735</v>
      </c>
      <c r="W536" s="60">
        <f>+J536/$W$2</f>
        <v>2.5003787018234935E-4</v>
      </c>
    </row>
    <row r="537" spans="1:29">
      <c r="A537" s="13" t="s">
        <v>532</v>
      </c>
      <c r="B537" s="13" t="s">
        <v>675</v>
      </c>
      <c r="C537" s="145">
        <v>46203</v>
      </c>
      <c r="D537" s="145" t="s">
        <v>469</v>
      </c>
      <c r="E537" s="28">
        <v>0.95101621999999997</v>
      </c>
      <c r="F537" s="13"/>
      <c r="G537" s="18">
        <v>10000000</v>
      </c>
      <c r="H537" s="18">
        <v>9510162.1799999997</v>
      </c>
      <c r="I537" s="18">
        <v>10000000</v>
      </c>
      <c r="J537" s="18">
        <v>9510162.1799999997</v>
      </c>
      <c r="K537" s="15">
        <v>1344</v>
      </c>
      <c r="L537" s="13" t="s">
        <v>117</v>
      </c>
      <c r="M537" s="13" t="s">
        <v>118</v>
      </c>
      <c r="N537" s="145" t="s">
        <v>368</v>
      </c>
      <c r="O537" s="145" t="s">
        <v>368</v>
      </c>
      <c r="P537" s="28">
        <v>40</v>
      </c>
      <c r="Q537" s="13" t="s">
        <v>54</v>
      </c>
      <c r="R537" s="13" t="s">
        <v>28</v>
      </c>
      <c r="S537" s="13"/>
      <c r="T537" s="13"/>
      <c r="U537" s="13" t="s">
        <v>541</v>
      </c>
      <c r="V537" s="13" t="s">
        <v>541</v>
      </c>
      <c r="W537" s="60">
        <f>+J537/$W$2</f>
        <v>2.5065024388169126E-4</v>
      </c>
    </row>
    <row r="538" spans="1:29">
      <c r="A538" s="13" t="s">
        <v>406</v>
      </c>
      <c r="B538" s="13" t="s">
        <v>675</v>
      </c>
      <c r="C538" s="145">
        <v>46203</v>
      </c>
      <c r="D538" s="145" t="s">
        <v>469</v>
      </c>
      <c r="E538" s="28">
        <v>0.96400184</v>
      </c>
      <c r="F538" s="13"/>
      <c r="G538" s="18">
        <v>15000000</v>
      </c>
      <c r="H538" s="18">
        <v>14460027.66</v>
      </c>
      <c r="I538" s="18">
        <v>15000000</v>
      </c>
      <c r="J538" s="18">
        <v>14460027.66</v>
      </c>
      <c r="K538" s="15">
        <v>15</v>
      </c>
      <c r="L538" s="13" t="s">
        <v>117</v>
      </c>
      <c r="M538" s="13" t="s">
        <v>118</v>
      </c>
      <c r="N538" s="145" t="s">
        <v>291</v>
      </c>
      <c r="O538" s="145" t="s">
        <v>291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932</v>
      </c>
      <c r="V538" s="13" t="s">
        <v>932</v>
      </c>
      <c r="W538" s="60">
        <f>+J538/$W$2</f>
        <v>3.8110911159193309E-4</v>
      </c>
    </row>
    <row r="539" spans="1:29">
      <c r="A539" s="13" t="s">
        <v>406</v>
      </c>
      <c r="B539" s="13" t="s">
        <v>675</v>
      </c>
      <c r="C539" s="145">
        <v>46203</v>
      </c>
      <c r="D539" s="145" t="s">
        <v>469</v>
      </c>
      <c r="E539" s="28">
        <v>0.96400184</v>
      </c>
      <c r="F539" s="13"/>
      <c r="G539" s="18">
        <v>26000000</v>
      </c>
      <c r="H539" s="18">
        <v>25064047.940000001</v>
      </c>
      <c r="I539" s="18">
        <v>26000000</v>
      </c>
      <c r="J539" s="18">
        <v>25064047.940000001</v>
      </c>
      <c r="K539" s="15">
        <v>65889075</v>
      </c>
      <c r="L539" s="13" t="s">
        <v>117</v>
      </c>
      <c r="M539" s="13" t="s">
        <v>118</v>
      </c>
      <c r="N539" s="145" t="s">
        <v>291</v>
      </c>
      <c r="O539" s="145" t="s">
        <v>291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933</v>
      </c>
      <c r="V539" s="13" t="s">
        <v>933</v>
      </c>
      <c r="W539" s="60">
        <f>+J539/$W$2</f>
        <v>6.6058912665392655E-4</v>
      </c>
      <c r="AC539" s="57"/>
    </row>
    <row r="540" spans="1:29">
      <c r="A540" s="13" t="s">
        <v>406</v>
      </c>
      <c r="B540" s="13" t="s">
        <v>675</v>
      </c>
      <c r="C540" s="145">
        <v>46203</v>
      </c>
      <c r="D540" s="145" t="s">
        <v>469</v>
      </c>
      <c r="E540" s="28">
        <v>0.95687515999999995</v>
      </c>
      <c r="F540" s="13"/>
      <c r="G540" s="18">
        <v>5000000</v>
      </c>
      <c r="H540" s="18">
        <v>4784375.8099999996</v>
      </c>
      <c r="I540" s="18">
        <v>5000000</v>
      </c>
      <c r="J540" s="18">
        <v>4784375.8099999996</v>
      </c>
      <c r="K540" s="15">
        <v>90000060</v>
      </c>
      <c r="L540" s="13" t="s">
        <v>117</v>
      </c>
      <c r="M540" s="13" t="s">
        <v>118</v>
      </c>
      <c r="N540" s="145" t="s">
        <v>304</v>
      </c>
      <c r="O540" s="145" t="s">
        <v>304</v>
      </c>
      <c r="P540" s="28">
        <v>35</v>
      </c>
      <c r="Q540" s="13" t="s">
        <v>54</v>
      </c>
      <c r="R540" s="13" t="s">
        <v>28</v>
      </c>
      <c r="S540" s="13"/>
      <c r="T540" s="13"/>
      <c r="U540" s="13" t="s">
        <v>657</v>
      </c>
      <c r="V540" s="13" t="s">
        <v>657</v>
      </c>
      <c r="W540" s="60">
        <f>+J540/$W$2</f>
        <v>1.2609721484246699E-4</v>
      </c>
    </row>
    <row r="541" spans="1:29">
      <c r="A541" s="13" t="s">
        <v>1391</v>
      </c>
      <c r="B541" s="13" t="s">
        <v>675</v>
      </c>
      <c r="C541" s="145">
        <v>46203</v>
      </c>
      <c r="D541" s="145" t="s">
        <v>469</v>
      </c>
      <c r="E541" s="28">
        <v>0.96760524000000003</v>
      </c>
      <c r="F541" s="13"/>
      <c r="G541" s="18">
        <v>10000000</v>
      </c>
      <c r="H541" s="18">
        <v>9676052.4499999993</v>
      </c>
      <c r="I541" s="18">
        <v>10000000</v>
      </c>
      <c r="J541" s="18">
        <v>9676052.4499999993</v>
      </c>
      <c r="K541" s="15">
        <v>1742537</v>
      </c>
      <c r="L541" s="13" t="s">
        <v>117</v>
      </c>
      <c r="M541" s="13" t="s">
        <v>118</v>
      </c>
      <c r="N541" s="145" t="s">
        <v>445</v>
      </c>
      <c r="O541" s="145" t="s">
        <v>445</v>
      </c>
      <c r="P541" s="28">
        <v>26</v>
      </c>
      <c r="Q541" s="13" t="s">
        <v>54</v>
      </c>
      <c r="R541" s="13" t="s">
        <v>28</v>
      </c>
      <c r="S541" s="13"/>
      <c r="T541" s="13"/>
      <c r="U541" s="13" t="s">
        <v>1372</v>
      </c>
      <c r="V541" s="13" t="s">
        <v>1372</v>
      </c>
      <c r="W541" s="60">
        <f>+J541/$W$2</f>
        <v>2.5502245498031415E-4</v>
      </c>
    </row>
    <row r="542" spans="1:29">
      <c r="A542" s="13" t="s">
        <v>863</v>
      </c>
      <c r="B542" s="13" t="s">
        <v>675</v>
      </c>
      <c r="C542" s="145">
        <v>46203</v>
      </c>
      <c r="D542" s="145" t="s">
        <v>469</v>
      </c>
      <c r="E542" s="28">
        <v>0.96400180999999996</v>
      </c>
      <c r="F542" s="13"/>
      <c r="G542" s="18">
        <v>12500000</v>
      </c>
      <c r="H542" s="18">
        <v>12050022.57</v>
      </c>
      <c r="I542" s="18">
        <v>12500000</v>
      </c>
      <c r="J542" s="18">
        <v>12050022.57</v>
      </c>
      <c r="K542" s="15">
        <v>28996508</v>
      </c>
      <c r="L542" s="13" t="s">
        <v>117</v>
      </c>
      <c r="M542" s="13" t="s">
        <v>118</v>
      </c>
      <c r="N542" s="145" t="s">
        <v>209</v>
      </c>
      <c r="O542" s="145" t="s">
        <v>209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820</v>
      </c>
      <c r="V542" s="13" t="s">
        <v>820</v>
      </c>
      <c r="W542" s="60">
        <f>+J542/$W$2</f>
        <v>3.1759091367571026E-4</v>
      </c>
    </row>
    <row r="543" spans="1:29">
      <c r="A543" s="13" t="s">
        <v>406</v>
      </c>
      <c r="B543" s="13" t="s">
        <v>675</v>
      </c>
      <c r="C543" s="145">
        <v>46203</v>
      </c>
      <c r="D543" s="145" t="s">
        <v>469</v>
      </c>
      <c r="E543" s="28">
        <v>0.96400193999999995</v>
      </c>
      <c r="F543" s="13"/>
      <c r="G543" s="18">
        <v>11000000</v>
      </c>
      <c r="H543" s="18">
        <v>10604021.390000001</v>
      </c>
      <c r="I543" s="18">
        <v>11000000</v>
      </c>
      <c r="J543" s="18">
        <v>10604021.390000001</v>
      </c>
      <c r="K543" s="15">
        <v>9798600</v>
      </c>
      <c r="L543" s="13" t="s">
        <v>117</v>
      </c>
      <c r="M543" s="13" t="s">
        <v>118</v>
      </c>
      <c r="N543" s="145" t="s">
        <v>216</v>
      </c>
      <c r="O543" s="145" t="s">
        <v>216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1619</v>
      </c>
      <c r="V543" s="13" t="s">
        <v>1619</v>
      </c>
      <c r="W543" s="60">
        <f>+J543/$W$2</f>
        <v>2.7948004431720125E-4</v>
      </c>
    </row>
    <row r="544" spans="1:29">
      <c r="A544" s="13" t="s">
        <v>266</v>
      </c>
      <c r="B544" s="13" t="s">
        <v>675</v>
      </c>
      <c r="C544" s="145">
        <v>46203</v>
      </c>
      <c r="D544" s="145" t="s">
        <v>469</v>
      </c>
      <c r="E544" s="28">
        <v>0.96640115999999998</v>
      </c>
      <c r="F544" s="13"/>
      <c r="G544" s="18">
        <v>10530592.43</v>
      </c>
      <c r="H544" s="18">
        <v>10176776.689999999</v>
      </c>
      <c r="I544" s="18">
        <v>10530592.43</v>
      </c>
      <c r="J544" s="18">
        <v>10176776.689999999</v>
      </c>
      <c r="K544" s="15">
        <v>5805</v>
      </c>
      <c r="L544" s="13" t="s">
        <v>117</v>
      </c>
      <c r="M544" s="13" t="s">
        <v>118</v>
      </c>
      <c r="N544" s="145" t="s">
        <v>205</v>
      </c>
      <c r="O544" s="145" t="s">
        <v>205</v>
      </c>
      <c r="P544" s="28">
        <v>27</v>
      </c>
      <c r="Q544" s="13" t="s">
        <v>54</v>
      </c>
      <c r="R544" s="13" t="s">
        <v>28</v>
      </c>
      <c r="S544" s="13"/>
      <c r="T544" s="13"/>
      <c r="U544" s="13" t="s">
        <v>1029</v>
      </c>
      <c r="V544" s="13" t="s">
        <v>1029</v>
      </c>
      <c r="W544" s="60">
        <f>+J544/$W$2</f>
        <v>2.6821956460873004E-4</v>
      </c>
    </row>
    <row r="545" spans="1:29">
      <c r="A545" s="13" t="s">
        <v>266</v>
      </c>
      <c r="B545" s="13" t="s">
        <v>675</v>
      </c>
      <c r="C545" s="145">
        <v>46203</v>
      </c>
      <c r="D545" s="145" t="s">
        <v>469</v>
      </c>
      <c r="E545" s="28">
        <v>0.96640115999999998</v>
      </c>
      <c r="F545" s="13"/>
      <c r="G545" s="18">
        <v>6111109.9900000002</v>
      </c>
      <c r="H545" s="18">
        <v>5905783.75</v>
      </c>
      <c r="I545" s="18">
        <v>6111109.9900000002</v>
      </c>
      <c r="J545" s="18">
        <v>5905783.75</v>
      </c>
      <c r="K545" s="15">
        <v>5806</v>
      </c>
      <c r="L545" s="13" t="s">
        <v>117</v>
      </c>
      <c r="M545" s="13" t="s">
        <v>118</v>
      </c>
      <c r="N545" s="145" t="s">
        <v>205</v>
      </c>
      <c r="O545" s="145" t="s">
        <v>205</v>
      </c>
      <c r="P545" s="28">
        <v>27</v>
      </c>
      <c r="Q545" s="13" t="s">
        <v>54</v>
      </c>
      <c r="R545" s="13" t="s">
        <v>28</v>
      </c>
      <c r="S545" s="13"/>
      <c r="T545" s="13"/>
      <c r="U545" s="13" t="s">
        <v>1030</v>
      </c>
      <c r="V545" s="13" t="s">
        <v>1030</v>
      </c>
      <c r="W545" s="60">
        <f>+J545/$W$2</f>
        <v>1.5565309079198367E-4</v>
      </c>
    </row>
    <row r="546" spans="1:29">
      <c r="A546" s="13" t="s">
        <v>266</v>
      </c>
      <c r="B546" s="13" t="s">
        <v>675</v>
      </c>
      <c r="C546" s="145">
        <v>46203</v>
      </c>
      <c r="D546" s="145" t="s">
        <v>469</v>
      </c>
      <c r="E546" s="28">
        <v>0.96640115999999998</v>
      </c>
      <c r="F546" s="13"/>
      <c r="G546" s="18">
        <v>10039730.84</v>
      </c>
      <c r="H546" s="18">
        <v>9702407.4800000004</v>
      </c>
      <c r="I546" s="18">
        <v>10039730.84</v>
      </c>
      <c r="J546" s="18">
        <v>9702407.4800000004</v>
      </c>
      <c r="K546" s="15">
        <v>5807</v>
      </c>
      <c r="L546" s="13" t="s">
        <v>117</v>
      </c>
      <c r="M546" s="13" t="s">
        <v>118</v>
      </c>
      <c r="N546" s="145" t="s">
        <v>205</v>
      </c>
      <c r="O546" s="145" t="s">
        <v>205</v>
      </c>
      <c r="P546" s="28">
        <v>27</v>
      </c>
      <c r="Q546" s="13" t="s">
        <v>54</v>
      </c>
      <c r="R546" s="13" t="s">
        <v>28</v>
      </c>
      <c r="S546" s="13"/>
      <c r="T546" s="13"/>
      <c r="U546" s="13" t="s">
        <v>1031</v>
      </c>
      <c r="V546" s="13" t="s">
        <v>1031</v>
      </c>
      <c r="W546" s="60">
        <f>+J546/$W$2</f>
        <v>2.5571706928572546E-4</v>
      </c>
    </row>
    <row r="547" spans="1:29">
      <c r="A547" s="13" t="s">
        <v>780</v>
      </c>
      <c r="B547" s="13" t="s">
        <v>675</v>
      </c>
      <c r="C547" s="145">
        <v>46203</v>
      </c>
      <c r="D547" s="145" t="s">
        <v>469</v>
      </c>
      <c r="E547" s="28">
        <v>0.94985315000000003</v>
      </c>
      <c r="F547" s="13"/>
      <c r="G547" s="18">
        <v>15909586.57</v>
      </c>
      <c r="H547" s="18">
        <v>15111770.85</v>
      </c>
      <c r="I547" s="18">
        <v>15909586.57</v>
      </c>
      <c r="J547" s="18">
        <v>15111770.85</v>
      </c>
      <c r="K547" s="15">
        <v>30495</v>
      </c>
      <c r="L547" s="13" t="s">
        <v>117</v>
      </c>
      <c r="M547" s="13" t="s">
        <v>118</v>
      </c>
      <c r="N547" s="145" t="s">
        <v>387</v>
      </c>
      <c r="O547" s="145" t="s">
        <v>387</v>
      </c>
      <c r="P547" s="28">
        <v>41</v>
      </c>
      <c r="Q547" s="13" t="s">
        <v>54</v>
      </c>
      <c r="R547" s="13" t="s">
        <v>28</v>
      </c>
      <c r="S547" s="13"/>
      <c r="T547" s="13"/>
      <c r="U547" s="13" t="s">
        <v>755</v>
      </c>
      <c r="V547" s="13" t="s">
        <v>755</v>
      </c>
      <c r="W547" s="60">
        <f>+J547/$W$2</f>
        <v>3.9828648316875845E-4</v>
      </c>
    </row>
    <row r="548" spans="1:29">
      <c r="A548" s="13" t="s">
        <v>780</v>
      </c>
      <c r="B548" s="13" t="s">
        <v>675</v>
      </c>
      <c r="C548" s="145">
        <v>46203</v>
      </c>
      <c r="D548" s="145" t="s">
        <v>469</v>
      </c>
      <c r="E548" s="28">
        <v>0.94985315000000003</v>
      </c>
      <c r="F548" s="13"/>
      <c r="G548" s="18">
        <v>14664256.84</v>
      </c>
      <c r="H548" s="18">
        <v>13928890.49</v>
      </c>
      <c r="I548" s="18">
        <v>14664256.84</v>
      </c>
      <c r="J548" s="18">
        <v>13928890.49</v>
      </c>
      <c r="K548" s="15">
        <v>30528</v>
      </c>
      <c r="L548" s="13" t="s">
        <v>117</v>
      </c>
      <c r="M548" s="13" t="s">
        <v>118</v>
      </c>
      <c r="N548" s="145" t="s">
        <v>387</v>
      </c>
      <c r="O548" s="145" t="s">
        <v>387</v>
      </c>
      <c r="P548" s="28">
        <v>41</v>
      </c>
      <c r="Q548" s="13" t="s">
        <v>54</v>
      </c>
      <c r="R548" s="13" t="s">
        <v>28</v>
      </c>
      <c r="S548" s="13"/>
      <c r="T548" s="13"/>
      <c r="U548" s="13" t="s">
        <v>762</v>
      </c>
      <c r="V548" s="13" t="s">
        <v>762</v>
      </c>
      <c r="W548" s="60">
        <f>+J548/$W$2</f>
        <v>3.6711043747099067E-4</v>
      </c>
    </row>
    <row r="549" spans="1:29">
      <c r="A549" s="13" t="s">
        <v>780</v>
      </c>
      <c r="B549" s="13" t="s">
        <v>675</v>
      </c>
      <c r="C549" s="145">
        <v>46203</v>
      </c>
      <c r="D549" s="145" t="s">
        <v>469</v>
      </c>
      <c r="E549" s="28">
        <v>0.94985302999999999</v>
      </c>
      <c r="F549" s="13"/>
      <c r="G549" s="18">
        <v>11785044.42</v>
      </c>
      <c r="H549" s="18">
        <v>11194060.199999999</v>
      </c>
      <c r="I549" s="18">
        <v>11785044.42</v>
      </c>
      <c r="J549" s="18">
        <v>11194060.199999999</v>
      </c>
      <c r="K549" s="15">
        <v>9344725</v>
      </c>
      <c r="L549" s="13" t="s">
        <v>117</v>
      </c>
      <c r="M549" s="13" t="s">
        <v>118</v>
      </c>
      <c r="N549" s="145" t="s">
        <v>291</v>
      </c>
      <c r="O549" s="145" t="s">
        <v>291</v>
      </c>
      <c r="P549" s="28">
        <v>41</v>
      </c>
      <c r="Q549" s="13" t="s">
        <v>54</v>
      </c>
      <c r="R549" s="13" t="s">
        <v>28</v>
      </c>
      <c r="S549" s="13"/>
      <c r="T549" s="13"/>
      <c r="U549" s="13" t="s">
        <v>899</v>
      </c>
      <c r="V549" s="13" t="s">
        <v>899</v>
      </c>
      <c r="W549" s="60">
        <f>+J549/$W$2</f>
        <v>2.9503113259802828E-4</v>
      </c>
    </row>
    <row r="550" spans="1:29">
      <c r="A550" s="13" t="s">
        <v>550</v>
      </c>
      <c r="B550" s="13" t="s">
        <v>675</v>
      </c>
      <c r="C550" s="145">
        <v>46203</v>
      </c>
      <c r="D550" s="145" t="s">
        <v>469</v>
      </c>
      <c r="E550" s="28">
        <v>0.94985315000000003</v>
      </c>
      <c r="F550" s="13"/>
      <c r="G550" s="18">
        <v>20000000</v>
      </c>
      <c r="H550" s="18">
        <v>18997062.91</v>
      </c>
      <c r="I550" s="18">
        <v>20000000</v>
      </c>
      <c r="J550" s="18">
        <v>18997062.91</v>
      </c>
      <c r="K550" s="15">
        <v>13318407</v>
      </c>
      <c r="L550" s="13" t="s">
        <v>117</v>
      </c>
      <c r="M550" s="13" t="s">
        <v>118</v>
      </c>
      <c r="N550" s="145" t="s">
        <v>387</v>
      </c>
      <c r="O550" s="145" t="s">
        <v>387</v>
      </c>
      <c r="P550" s="28">
        <v>41</v>
      </c>
      <c r="Q550" s="13" t="s">
        <v>54</v>
      </c>
      <c r="R550" s="13" t="s">
        <v>28</v>
      </c>
      <c r="S550" s="13"/>
      <c r="T550" s="13"/>
      <c r="U550" s="13" t="s">
        <v>749</v>
      </c>
      <c r="V550" s="13" t="s">
        <v>749</v>
      </c>
      <c r="W550" s="60">
        <f>+J550/$W$2</f>
        <v>5.006874079856472E-4</v>
      </c>
      <c r="AC550" s="57"/>
    </row>
    <row r="551" spans="1:29">
      <c r="A551" s="13" t="s">
        <v>1241</v>
      </c>
      <c r="B551" s="13" t="s">
        <v>675</v>
      </c>
      <c r="C551" s="145">
        <v>46204</v>
      </c>
      <c r="D551" s="145" t="s">
        <v>469</v>
      </c>
      <c r="E551" s="28">
        <v>0.95240599000000004</v>
      </c>
      <c r="F551" s="13"/>
      <c r="G551" s="18">
        <v>4298084.1900000004</v>
      </c>
      <c r="H551" s="18">
        <v>4093521.15</v>
      </c>
      <c r="I551" s="18">
        <v>4298084.1900000004</v>
      </c>
      <c r="J551" s="18">
        <v>4093521.15</v>
      </c>
      <c r="K551" s="15">
        <v>532</v>
      </c>
      <c r="L551" s="13" t="s">
        <v>117</v>
      </c>
      <c r="M551" s="13" t="s">
        <v>118</v>
      </c>
      <c r="N551" s="145" t="s">
        <v>411</v>
      </c>
      <c r="O551" s="145" t="s">
        <v>411</v>
      </c>
      <c r="P551" s="28">
        <v>38</v>
      </c>
      <c r="Q551" s="13" t="s">
        <v>54</v>
      </c>
      <c r="R551" s="13" t="s">
        <v>28</v>
      </c>
      <c r="S551" s="13"/>
      <c r="T551" s="13"/>
      <c r="U551" s="13" t="s">
        <v>1472</v>
      </c>
      <c r="V551" s="13" t="s">
        <v>1472</v>
      </c>
      <c r="W551" s="60">
        <f>+J551/$W$2</f>
        <v>1.0788901967835435E-4</v>
      </c>
    </row>
    <row r="552" spans="1:29">
      <c r="A552" s="13" t="s">
        <v>1026</v>
      </c>
      <c r="B552" s="13" t="s">
        <v>675</v>
      </c>
      <c r="C552" s="145">
        <v>46204</v>
      </c>
      <c r="D552" s="145" t="s">
        <v>469</v>
      </c>
      <c r="E552" s="28">
        <v>0.97188202999999995</v>
      </c>
      <c r="F552" s="13"/>
      <c r="G552" s="18">
        <v>4341150</v>
      </c>
      <c r="H552" s="18">
        <v>4219085.6900000004</v>
      </c>
      <c r="I552" s="18">
        <v>4341150</v>
      </c>
      <c r="J552" s="18">
        <v>4219085.6900000004</v>
      </c>
      <c r="K552" s="15">
        <v>9837</v>
      </c>
      <c r="L552" s="13" t="s">
        <v>117</v>
      </c>
      <c r="M552" s="13" t="s">
        <v>118</v>
      </c>
      <c r="N552" s="145" t="s">
        <v>386</v>
      </c>
      <c r="O552" s="145" t="s">
        <v>386</v>
      </c>
      <c r="P552" s="28">
        <v>22</v>
      </c>
      <c r="Q552" s="13" t="s">
        <v>54</v>
      </c>
      <c r="R552" s="13" t="s">
        <v>28</v>
      </c>
      <c r="S552" s="13"/>
      <c r="T552" s="13"/>
      <c r="U552" s="13" t="s">
        <v>1013</v>
      </c>
      <c r="V552" s="13" t="s">
        <v>1013</v>
      </c>
      <c r="W552" s="60">
        <f>+J552/$W$2</f>
        <v>1.1119840410084929E-4</v>
      </c>
    </row>
    <row r="553" spans="1:29">
      <c r="A553" s="13" t="s">
        <v>1026</v>
      </c>
      <c r="B553" s="13" t="s">
        <v>675</v>
      </c>
      <c r="C553" s="145">
        <v>46204</v>
      </c>
      <c r="D553" s="145" t="s">
        <v>469</v>
      </c>
      <c r="E553" s="28">
        <v>0.95961721</v>
      </c>
      <c r="F553" s="13"/>
      <c r="G553" s="18">
        <v>2433059</v>
      </c>
      <c r="H553" s="18">
        <v>2334805.2999999998</v>
      </c>
      <c r="I553" s="18">
        <v>2433059</v>
      </c>
      <c r="J553" s="18">
        <v>2334805.2999999998</v>
      </c>
      <c r="K553" s="15">
        <v>9889</v>
      </c>
      <c r="L553" s="13" t="s">
        <v>117</v>
      </c>
      <c r="M553" s="13" t="s">
        <v>118</v>
      </c>
      <c r="N553" s="145" t="s">
        <v>428</v>
      </c>
      <c r="O553" s="145" t="s">
        <v>428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1712</v>
      </c>
      <c r="V553" s="13" t="s">
        <v>1712</v>
      </c>
      <c r="W553" s="60">
        <f>+J553/$W$2</f>
        <v>6.1536229013211771E-5</v>
      </c>
      <c r="AC553" s="57"/>
    </row>
    <row r="554" spans="1:29">
      <c r="A554" s="13" t="s">
        <v>379</v>
      </c>
      <c r="B554" s="13" t="s">
        <v>675</v>
      </c>
      <c r="C554" s="145">
        <v>46204</v>
      </c>
      <c r="D554" s="145" t="s">
        <v>469</v>
      </c>
      <c r="E554" s="28">
        <v>0.95240599999999997</v>
      </c>
      <c r="F554" s="13"/>
      <c r="G554" s="18">
        <v>5450000</v>
      </c>
      <c r="H554" s="18">
        <v>5190612.6900000004</v>
      </c>
      <c r="I554" s="18">
        <v>5450000</v>
      </c>
      <c r="J554" s="18">
        <v>5190612.6900000004</v>
      </c>
      <c r="K554" s="15">
        <v>28514</v>
      </c>
      <c r="L554" s="13" t="s">
        <v>117</v>
      </c>
      <c r="M554" s="13" t="s">
        <v>118</v>
      </c>
      <c r="N554" s="145" t="s">
        <v>385</v>
      </c>
      <c r="O554" s="145" t="s">
        <v>385</v>
      </c>
      <c r="P554" s="28">
        <v>38</v>
      </c>
      <c r="Q554" s="13" t="s">
        <v>54</v>
      </c>
      <c r="R554" s="13" t="s">
        <v>28</v>
      </c>
      <c r="S554" s="13"/>
      <c r="T554" s="13"/>
      <c r="U554" s="13" t="s">
        <v>969</v>
      </c>
      <c r="V554" s="13" t="s">
        <v>969</v>
      </c>
      <c r="W554" s="60">
        <f>+J554/$W$2</f>
        <v>1.3680401154251418E-4</v>
      </c>
      <c r="AC554" s="57"/>
    </row>
    <row r="555" spans="1:29">
      <c r="A555" s="13" t="s">
        <v>1645</v>
      </c>
      <c r="B555" s="13" t="s">
        <v>675</v>
      </c>
      <c r="C555" s="145">
        <v>46204</v>
      </c>
      <c r="D555" s="145" t="s">
        <v>469</v>
      </c>
      <c r="E555" s="28">
        <v>0.96571079999999998</v>
      </c>
      <c r="F555" s="13"/>
      <c r="G555" s="18">
        <v>200000000</v>
      </c>
      <c r="H555" s="18">
        <v>193142159.90000001</v>
      </c>
      <c r="I555" s="18">
        <v>200000000</v>
      </c>
      <c r="J555" s="18">
        <v>193142159.90000001</v>
      </c>
      <c r="K555" s="15">
        <v>18576</v>
      </c>
      <c r="L555" s="13" t="s">
        <v>117</v>
      </c>
      <c r="M555" s="13" t="s">
        <v>118</v>
      </c>
      <c r="N555" s="145" t="s">
        <v>400</v>
      </c>
      <c r="O555" s="145" t="s">
        <v>400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1632</v>
      </c>
      <c r="V555" s="13" t="s">
        <v>1632</v>
      </c>
      <c r="W555" s="60">
        <f>+J555/$W$2</f>
        <v>5.0904630821733913E-3</v>
      </c>
    </row>
    <row r="556" spans="1:29">
      <c r="A556" s="13" t="s">
        <v>406</v>
      </c>
      <c r="B556" s="13" t="s">
        <v>675</v>
      </c>
      <c r="C556" s="145">
        <v>46204</v>
      </c>
      <c r="D556" s="145" t="s">
        <v>469</v>
      </c>
      <c r="E556" s="28">
        <v>0.96571068999999998</v>
      </c>
      <c r="F556" s="13"/>
      <c r="G556" s="18">
        <v>12000000</v>
      </c>
      <c r="H556" s="18">
        <v>11588528.310000001</v>
      </c>
      <c r="I556" s="18">
        <v>12000000</v>
      </c>
      <c r="J556" s="18">
        <v>11588528.310000001</v>
      </c>
      <c r="K556" s="15">
        <v>32526</v>
      </c>
      <c r="L556" s="13" t="s">
        <v>117</v>
      </c>
      <c r="M556" s="13" t="s">
        <v>118</v>
      </c>
      <c r="N556" s="145" t="s">
        <v>490</v>
      </c>
      <c r="O556" s="145" t="s">
        <v>490</v>
      </c>
      <c r="P556" s="28">
        <v>27</v>
      </c>
      <c r="Q556" s="13" t="s">
        <v>54</v>
      </c>
      <c r="R556" s="13" t="s">
        <v>28</v>
      </c>
      <c r="S556" s="13"/>
      <c r="T556" s="13"/>
      <c r="U556" s="13" t="s">
        <v>1602</v>
      </c>
      <c r="V556" s="13" t="s">
        <v>1602</v>
      </c>
      <c r="W556" s="60">
        <f>+J556/$W$2</f>
        <v>3.0542775108924417E-4</v>
      </c>
      <c r="AC556" s="57"/>
    </row>
    <row r="557" spans="1:29">
      <c r="A557" s="13" t="s">
        <v>406</v>
      </c>
      <c r="B557" s="13" t="s">
        <v>675</v>
      </c>
      <c r="C557" s="145">
        <v>46204</v>
      </c>
      <c r="D557" s="145" t="s">
        <v>469</v>
      </c>
      <c r="E557" s="28">
        <v>0.96326402</v>
      </c>
      <c r="F557" s="13"/>
      <c r="G557" s="18">
        <v>25000000</v>
      </c>
      <c r="H557" s="18">
        <v>24081600.399999999</v>
      </c>
      <c r="I557" s="18">
        <v>25000000</v>
      </c>
      <c r="J557" s="18">
        <v>24081600.399999999</v>
      </c>
      <c r="K557" s="15">
        <v>3417</v>
      </c>
      <c r="L557" s="13" t="s">
        <v>117</v>
      </c>
      <c r="M557" s="13" t="s">
        <v>118</v>
      </c>
      <c r="N557" s="145" t="s">
        <v>428</v>
      </c>
      <c r="O557" s="145" t="s">
        <v>428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1689</v>
      </c>
      <c r="V557" s="13" t="s">
        <v>1689</v>
      </c>
      <c r="W557" s="60">
        <f>+J557/$W$2</f>
        <v>6.3469569698983131E-4</v>
      </c>
    </row>
    <row r="558" spans="1:29">
      <c r="A558" s="13" t="s">
        <v>254</v>
      </c>
      <c r="B558" s="13" t="s">
        <v>675</v>
      </c>
      <c r="C558" s="145">
        <v>46204</v>
      </c>
      <c r="D558" s="145" t="s">
        <v>469</v>
      </c>
      <c r="E558" s="28">
        <v>0.96326402</v>
      </c>
      <c r="F558" s="13"/>
      <c r="G558" s="18">
        <v>6530318</v>
      </c>
      <c r="H558" s="18">
        <v>6290420.3700000001</v>
      </c>
      <c r="I558" s="18">
        <v>6530318</v>
      </c>
      <c r="J558" s="18">
        <v>6290420.3700000001</v>
      </c>
      <c r="K558" s="15">
        <v>68</v>
      </c>
      <c r="L558" s="13" t="s">
        <v>117</v>
      </c>
      <c r="M558" s="13" t="s">
        <v>118</v>
      </c>
      <c r="N558" s="145" t="s">
        <v>318</v>
      </c>
      <c r="O558" s="145" t="s">
        <v>318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473</v>
      </c>
      <c r="V558" s="13" t="s">
        <v>473</v>
      </c>
      <c r="W558" s="60">
        <f>+J558/$W$2</f>
        <v>1.6579059010945896E-4</v>
      </c>
    </row>
    <row r="559" spans="1:29">
      <c r="A559" s="13" t="s">
        <v>1389</v>
      </c>
      <c r="B559" s="13" t="s">
        <v>675</v>
      </c>
      <c r="C559" s="145">
        <v>46204</v>
      </c>
      <c r="D559" s="145" t="s">
        <v>469</v>
      </c>
      <c r="E559" s="28">
        <v>0.96693878</v>
      </c>
      <c r="F559" s="13"/>
      <c r="G559" s="18">
        <v>14000000</v>
      </c>
      <c r="H559" s="18">
        <v>13537142.949999999</v>
      </c>
      <c r="I559" s="18">
        <v>14000000</v>
      </c>
      <c r="J559" s="18">
        <v>13537142.949999999</v>
      </c>
      <c r="K559" s="15">
        <v>61</v>
      </c>
      <c r="L559" s="13" t="s">
        <v>117</v>
      </c>
      <c r="M559" s="13" t="s">
        <v>118</v>
      </c>
      <c r="N559" s="145" t="s">
        <v>411</v>
      </c>
      <c r="O559" s="145" t="s">
        <v>411</v>
      </c>
      <c r="P559" s="28">
        <v>26</v>
      </c>
      <c r="Q559" s="13" t="s">
        <v>54</v>
      </c>
      <c r="R559" s="13" t="s">
        <v>28</v>
      </c>
      <c r="S559" s="13"/>
      <c r="T559" s="13"/>
      <c r="U559" s="13" t="s">
        <v>1444</v>
      </c>
      <c r="V559" s="13" t="s">
        <v>1444</v>
      </c>
      <c r="W559" s="60">
        <f>+J559/$W$2</f>
        <v>3.5678552243983053E-4</v>
      </c>
    </row>
    <row r="560" spans="1:29">
      <c r="A560" s="13" t="s">
        <v>1389</v>
      </c>
      <c r="B560" s="13" t="s">
        <v>675</v>
      </c>
      <c r="C560" s="145">
        <v>46204</v>
      </c>
      <c r="D560" s="145" t="s">
        <v>469</v>
      </c>
      <c r="E560" s="28">
        <v>0.96693867</v>
      </c>
      <c r="F560" s="13"/>
      <c r="G560" s="18">
        <v>19183831</v>
      </c>
      <c r="H560" s="18">
        <v>18549587.989999998</v>
      </c>
      <c r="I560" s="18">
        <v>19183831</v>
      </c>
      <c r="J560" s="18">
        <v>18549587.989999998</v>
      </c>
      <c r="K560" s="15">
        <v>76811</v>
      </c>
      <c r="L560" s="13" t="s">
        <v>117</v>
      </c>
      <c r="M560" s="13" t="s">
        <v>118</v>
      </c>
      <c r="N560" s="145" t="s">
        <v>462</v>
      </c>
      <c r="O560" s="145" t="s">
        <v>462</v>
      </c>
      <c r="P560" s="28">
        <v>26</v>
      </c>
      <c r="Q560" s="13" t="s">
        <v>54</v>
      </c>
      <c r="R560" s="13" t="s">
        <v>28</v>
      </c>
      <c r="S560" s="13"/>
      <c r="T560" s="13"/>
      <c r="U560" s="13" t="s">
        <v>1748</v>
      </c>
      <c r="V560" s="13" t="s">
        <v>1748</v>
      </c>
      <c r="W560" s="60">
        <f>+J560/$W$2</f>
        <v>4.8889373972783195E-4</v>
      </c>
    </row>
    <row r="561" spans="1:29">
      <c r="A561" s="13" t="s">
        <v>1764</v>
      </c>
      <c r="B561" s="13" t="s">
        <v>675</v>
      </c>
      <c r="C561" s="145">
        <v>46204</v>
      </c>
      <c r="D561" s="145" t="s">
        <v>469</v>
      </c>
      <c r="E561" s="28">
        <v>0.96448581</v>
      </c>
      <c r="F561" s="13"/>
      <c r="G561" s="18">
        <v>5000000</v>
      </c>
      <c r="H561" s="18">
        <v>4822429.04</v>
      </c>
      <c r="I561" s="18">
        <v>5000000</v>
      </c>
      <c r="J561" s="18">
        <v>4822429.04</v>
      </c>
      <c r="K561" s="15">
        <v>6034645</v>
      </c>
      <c r="L561" s="13" t="s">
        <v>117</v>
      </c>
      <c r="M561" s="13" t="s">
        <v>118</v>
      </c>
      <c r="N561" s="145" t="s">
        <v>462</v>
      </c>
      <c r="O561" s="145" t="s">
        <v>462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1724</v>
      </c>
      <c r="V561" s="13" t="s">
        <v>1724</v>
      </c>
      <c r="W561" s="60">
        <f>+J561/$W$2</f>
        <v>1.2710014741075114E-4</v>
      </c>
      <c r="AC561" s="57"/>
    </row>
    <row r="562" spans="1:29">
      <c r="A562" s="13" t="s">
        <v>780</v>
      </c>
      <c r="B562" s="13" t="s">
        <v>675</v>
      </c>
      <c r="C562" s="145">
        <v>46204</v>
      </c>
      <c r="D562" s="145" t="s">
        <v>469</v>
      </c>
      <c r="E562" s="28">
        <v>0.94884071999999997</v>
      </c>
      <c r="F562" s="13"/>
      <c r="G562" s="18">
        <v>15389210.15</v>
      </c>
      <c r="H562" s="18">
        <v>14601909.300000001</v>
      </c>
      <c r="I562" s="18">
        <v>15389210.15</v>
      </c>
      <c r="J562" s="18">
        <v>14601909.300000001</v>
      </c>
      <c r="K562" s="15">
        <v>9344719</v>
      </c>
      <c r="L562" s="13" t="s">
        <v>117</v>
      </c>
      <c r="M562" s="13" t="s">
        <v>118</v>
      </c>
      <c r="N562" s="145" t="s">
        <v>387</v>
      </c>
      <c r="O562" s="145" t="s">
        <v>387</v>
      </c>
      <c r="P562" s="28">
        <v>41</v>
      </c>
      <c r="Q562" s="13" t="s">
        <v>54</v>
      </c>
      <c r="R562" s="13" t="s">
        <v>28</v>
      </c>
      <c r="S562" s="13"/>
      <c r="T562" s="13"/>
      <c r="U562" s="13" t="s">
        <v>756</v>
      </c>
      <c r="V562" s="13" t="s">
        <v>756</v>
      </c>
      <c r="W562" s="60">
        <f>+J562/$W$2</f>
        <v>3.8484855020457035E-4</v>
      </c>
    </row>
    <row r="563" spans="1:29">
      <c r="A563" s="13" t="s">
        <v>780</v>
      </c>
      <c r="B563" s="13" t="s">
        <v>675</v>
      </c>
      <c r="C563" s="145">
        <v>46204</v>
      </c>
      <c r="D563" s="145" t="s">
        <v>469</v>
      </c>
      <c r="E563" s="28">
        <v>0.94884071999999997</v>
      </c>
      <c r="F563" s="13"/>
      <c r="G563" s="18">
        <v>14664256.84</v>
      </c>
      <c r="H563" s="18">
        <v>13914044.07</v>
      </c>
      <c r="I563" s="18">
        <v>14664256.84</v>
      </c>
      <c r="J563" s="18">
        <v>13914044.07</v>
      </c>
      <c r="K563" s="15">
        <v>30529</v>
      </c>
      <c r="L563" s="13" t="s">
        <v>117</v>
      </c>
      <c r="M563" s="13" t="s">
        <v>118</v>
      </c>
      <c r="N563" s="145" t="s">
        <v>387</v>
      </c>
      <c r="O563" s="145" t="s">
        <v>387</v>
      </c>
      <c r="P563" s="28">
        <v>41</v>
      </c>
      <c r="Q563" s="13" t="s">
        <v>54</v>
      </c>
      <c r="R563" s="13" t="s">
        <v>28</v>
      </c>
      <c r="S563" s="13"/>
      <c r="T563" s="13"/>
      <c r="U563" s="13" t="s">
        <v>757</v>
      </c>
      <c r="V563" s="13" t="s">
        <v>757</v>
      </c>
      <c r="W563" s="60">
        <f>+J563/$W$2</f>
        <v>3.6671914458624933E-4</v>
      </c>
    </row>
    <row r="564" spans="1:29">
      <c r="A564" s="13" t="s">
        <v>780</v>
      </c>
      <c r="B564" s="13" t="s">
        <v>675</v>
      </c>
      <c r="C564" s="145">
        <v>46204</v>
      </c>
      <c r="D564" s="145" t="s">
        <v>469</v>
      </c>
      <c r="E564" s="28">
        <v>0.94884071999999997</v>
      </c>
      <c r="F564" s="13"/>
      <c r="G564" s="18">
        <v>15909586.57</v>
      </c>
      <c r="H564" s="18">
        <v>15095663.640000001</v>
      </c>
      <c r="I564" s="18">
        <v>15909586.57</v>
      </c>
      <c r="J564" s="18">
        <v>15095663.640000001</v>
      </c>
      <c r="K564" s="15">
        <v>30496</v>
      </c>
      <c r="L564" s="13" t="s">
        <v>117</v>
      </c>
      <c r="M564" s="13" t="s">
        <v>118</v>
      </c>
      <c r="N564" s="145" t="s">
        <v>387</v>
      </c>
      <c r="O564" s="145" t="s">
        <v>387</v>
      </c>
      <c r="P564" s="28">
        <v>41</v>
      </c>
      <c r="Q564" s="13" t="s">
        <v>54</v>
      </c>
      <c r="R564" s="13" t="s">
        <v>28</v>
      </c>
      <c r="S564" s="13"/>
      <c r="T564" s="13"/>
      <c r="U564" s="13" t="s">
        <v>763</v>
      </c>
      <c r="V564" s="13" t="s">
        <v>763</v>
      </c>
      <c r="W564" s="60">
        <f>+J564/$W$2</f>
        <v>3.9786196084849306E-4</v>
      </c>
    </row>
    <row r="565" spans="1:29">
      <c r="A565" s="13" t="s">
        <v>550</v>
      </c>
      <c r="B565" s="13" t="s">
        <v>675</v>
      </c>
      <c r="C565" s="145">
        <v>46204</v>
      </c>
      <c r="D565" s="145" t="s">
        <v>469</v>
      </c>
      <c r="E565" s="28">
        <v>0.94884071999999997</v>
      </c>
      <c r="F565" s="13"/>
      <c r="G565" s="18">
        <v>20000000</v>
      </c>
      <c r="H565" s="18">
        <v>18976814.48</v>
      </c>
      <c r="I565" s="18">
        <v>20000000</v>
      </c>
      <c r="J565" s="18">
        <v>18976814.48</v>
      </c>
      <c r="K565" s="15">
        <v>13318408</v>
      </c>
      <c r="L565" s="13" t="s">
        <v>117</v>
      </c>
      <c r="M565" s="13" t="s">
        <v>118</v>
      </c>
      <c r="N565" s="145" t="s">
        <v>387</v>
      </c>
      <c r="O565" s="145" t="s">
        <v>387</v>
      </c>
      <c r="P565" s="28">
        <v>41</v>
      </c>
      <c r="Q565" s="13" t="s">
        <v>54</v>
      </c>
      <c r="R565" s="13" t="s">
        <v>28</v>
      </c>
      <c r="S565" s="13"/>
      <c r="T565" s="13"/>
      <c r="U565" s="13" t="s">
        <v>747</v>
      </c>
      <c r="V565" s="13" t="s">
        <v>747</v>
      </c>
      <c r="W565" s="60">
        <f>+J565/$W$2</f>
        <v>5.0015373949275916E-4</v>
      </c>
    </row>
    <row r="566" spans="1:29">
      <c r="A566" s="13" t="s">
        <v>274</v>
      </c>
      <c r="B566" s="13" t="s">
        <v>675</v>
      </c>
      <c r="C566" s="145">
        <v>46204</v>
      </c>
      <c r="D566" s="145" t="s">
        <v>469</v>
      </c>
      <c r="E566" s="28">
        <v>0.94765832999999999</v>
      </c>
      <c r="F566" s="13"/>
      <c r="G566" s="18">
        <v>15000000</v>
      </c>
      <c r="H566" s="18">
        <v>14214874.93</v>
      </c>
      <c r="I566" s="18">
        <v>15000000</v>
      </c>
      <c r="J566" s="18">
        <v>14214874.93</v>
      </c>
      <c r="K566" s="15">
        <v>16771112</v>
      </c>
      <c r="L566" s="13" t="s">
        <v>117</v>
      </c>
      <c r="M566" s="13" t="s">
        <v>118</v>
      </c>
      <c r="N566" s="145" t="s">
        <v>400</v>
      </c>
      <c r="O566" s="145" t="s">
        <v>400</v>
      </c>
      <c r="P566" s="28">
        <v>42</v>
      </c>
      <c r="Q566" s="13" t="s">
        <v>54</v>
      </c>
      <c r="R566" s="13" t="s">
        <v>28</v>
      </c>
      <c r="S566" s="13"/>
      <c r="T566" s="13"/>
      <c r="U566" s="13" t="s">
        <v>1634</v>
      </c>
      <c r="V566" s="13" t="s">
        <v>1634</v>
      </c>
      <c r="W566" s="60">
        <f>+J566/$W$2</f>
        <v>3.7464785568485845E-4</v>
      </c>
    </row>
    <row r="567" spans="1:29">
      <c r="A567" s="13" t="s">
        <v>864</v>
      </c>
      <c r="B567" s="13" t="s">
        <v>675</v>
      </c>
      <c r="C567" s="145">
        <v>46204</v>
      </c>
      <c r="D567" s="145" t="s">
        <v>469</v>
      </c>
      <c r="E567" s="28">
        <v>0.95240599999999997</v>
      </c>
      <c r="F567" s="13"/>
      <c r="G567" s="18">
        <v>50000000</v>
      </c>
      <c r="H567" s="18">
        <v>47620299.880000003</v>
      </c>
      <c r="I567" s="18">
        <v>50000000</v>
      </c>
      <c r="J567" s="18">
        <v>47620299.880000003</v>
      </c>
      <c r="K567" s="15">
        <v>2609</v>
      </c>
      <c r="L567" s="13" t="s">
        <v>117</v>
      </c>
      <c r="M567" s="13" t="s">
        <v>118</v>
      </c>
      <c r="N567" s="145" t="s">
        <v>411</v>
      </c>
      <c r="O567" s="145" t="s">
        <v>411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1507</v>
      </c>
      <c r="V567" s="13" t="s">
        <v>1507</v>
      </c>
      <c r="W567" s="60">
        <f>+J567/$W$2</f>
        <v>1.2550826739572251E-3</v>
      </c>
    </row>
    <row r="568" spans="1:29">
      <c r="A568" s="13" t="s">
        <v>1643</v>
      </c>
      <c r="B568" s="13" t="s">
        <v>675</v>
      </c>
      <c r="C568" s="145">
        <v>46204</v>
      </c>
      <c r="D568" s="145" t="s">
        <v>469</v>
      </c>
      <c r="E568" s="28">
        <v>0.95720148000000005</v>
      </c>
      <c r="F568" s="13"/>
      <c r="G568" s="18">
        <v>10000000</v>
      </c>
      <c r="H568" s="18">
        <v>9572014.7699999996</v>
      </c>
      <c r="I568" s="18">
        <v>10000000</v>
      </c>
      <c r="J568" s="18">
        <v>9572014.7699999996</v>
      </c>
      <c r="K568" s="15">
        <v>16814</v>
      </c>
      <c r="L568" s="13" t="s">
        <v>117</v>
      </c>
      <c r="M568" s="13" t="s">
        <v>118</v>
      </c>
      <c r="N568" s="145" t="s">
        <v>400</v>
      </c>
      <c r="O568" s="145" t="s">
        <v>400</v>
      </c>
      <c r="P568" s="28">
        <v>34</v>
      </c>
      <c r="Q568" s="13" t="s">
        <v>54</v>
      </c>
      <c r="R568" s="13" t="s">
        <v>28</v>
      </c>
      <c r="S568" s="13"/>
      <c r="T568" s="13"/>
      <c r="U568" s="13" t="s">
        <v>1638</v>
      </c>
      <c r="V568" s="13" t="s">
        <v>1638</v>
      </c>
      <c r="W568" s="60">
        <f>+J568/$W$2</f>
        <v>2.5228043340683079E-4</v>
      </c>
    </row>
    <row r="569" spans="1:29">
      <c r="A569" s="13" t="s">
        <v>1234</v>
      </c>
      <c r="B569" s="13" t="s">
        <v>675</v>
      </c>
      <c r="C569" s="145">
        <v>46205</v>
      </c>
      <c r="D569" s="145" t="s">
        <v>469</v>
      </c>
      <c r="E569" s="28">
        <v>0.96128526000000003</v>
      </c>
      <c r="F569" s="13"/>
      <c r="G569" s="18">
        <v>10000000</v>
      </c>
      <c r="H569" s="18">
        <v>9612852.5700000003</v>
      </c>
      <c r="I569" s="18">
        <v>10000000</v>
      </c>
      <c r="J569" s="18">
        <v>9612852.5700000003</v>
      </c>
      <c r="K569" s="15">
        <v>3463101</v>
      </c>
      <c r="L569" s="13" t="s">
        <v>117</v>
      </c>
      <c r="M569" s="13" t="s">
        <v>118</v>
      </c>
      <c r="N569" s="145" t="s">
        <v>461</v>
      </c>
      <c r="O569" s="145" t="s">
        <v>461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1197</v>
      </c>
      <c r="V569" s="13" t="s">
        <v>1197</v>
      </c>
      <c r="W569" s="60">
        <f>+J569/$W$2</f>
        <v>2.5335675622192627E-4</v>
      </c>
    </row>
    <row r="570" spans="1:29">
      <c r="A570" s="13" t="s">
        <v>1248</v>
      </c>
      <c r="B570" s="13" t="s">
        <v>675</v>
      </c>
      <c r="C570" s="145">
        <v>46205</v>
      </c>
      <c r="D570" s="145" t="s">
        <v>469</v>
      </c>
      <c r="E570" s="28">
        <v>0.95146251999999998</v>
      </c>
      <c r="F570" s="13"/>
      <c r="G570" s="18">
        <v>7272516.8499999996</v>
      </c>
      <c r="H570" s="18">
        <v>6919527.1799999997</v>
      </c>
      <c r="I570" s="18">
        <v>7272516.8499999996</v>
      </c>
      <c r="J570" s="18">
        <v>6919527.1799999997</v>
      </c>
      <c r="K570" s="15">
        <v>90000056</v>
      </c>
      <c r="L570" s="13" t="s">
        <v>117</v>
      </c>
      <c r="M570" s="13" t="s">
        <v>118</v>
      </c>
      <c r="N570" s="145" t="s">
        <v>411</v>
      </c>
      <c r="O570" s="145" t="s">
        <v>411</v>
      </c>
      <c r="P570" s="28">
        <v>38</v>
      </c>
      <c r="Q570" s="13" t="s">
        <v>54</v>
      </c>
      <c r="R570" s="13" t="s">
        <v>28</v>
      </c>
      <c r="S570" s="13"/>
      <c r="T570" s="13"/>
      <c r="U570" s="13" t="s">
        <v>1482</v>
      </c>
      <c r="V570" s="13" t="s">
        <v>1482</v>
      </c>
      <c r="W570" s="60">
        <f>+J570/$W$2</f>
        <v>1.8237135628038168E-4</v>
      </c>
    </row>
    <row r="571" spans="1:29">
      <c r="A571" s="13" t="s">
        <v>717</v>
      </c>
      <c r="B571" s="13" t="s">
        <v>675</v>
      </c>
      <c r="C571" s="145">
        <v>46205</v>
      </c>
      <c r="D571" s="145" t="s">
        <v>469</v>
      </c>
      <c r="E571" s="28">
        <v>0.94903811999999999</v>
      </c>
      <c r="F571" s="13"/>
      <c r="G571" s="18">
        <v>50000000</v>
      </c>
      <c r="H571" s="18">
        <v>47451906.060000002</v>
      </c>
      <c r="I571" s="18">
        <v>50000000</v>
      </c>
      <c r="J571" s="18">
        <v>47451906.060000002</v>
      </c>
      <c r="K571" s="15">
        <v>306</v>
      </c>
      <c r="L571" s="13" t="s">
        <v>117</v>
      </c>
      <c r="M571" s="13" t="s">
        <v>118</v>
      </c>
      <c r="N571" s="145" t="s">
        <v>403</v>
      </c>
      <c r="O571" s="145" t="s">
        <v>403</v>
      </c>
      <c r="P571" s="28">
        <v>40</v>
      </c>
      <c r="Q571" s="13" t="s">
        <v>54</v>
      </c>
      <c r="R571" s="13" t="s">
        <v>28</v>
      </c>
      <c r="S571" s="13"/>
      <c r="T571" s="13"/>
      <c r="U571" s="13" t="s">
        <v>718</v>
      </c>
      <c r="V571" s="13" t="s">
        <v>718</v>
      </c>
      <c r="W571" s="60">
        <f>+J571/$W$2</f>
        <v>1.2506444791870106E-3</v>
      </c>
      <c r="AC571" s="57"/>
    </row>
    <row r="572" spans="1:29">
      <c r="A572" s="13" t="s">
        <v>781</v>
      </c>
      <c r="B572" s="13" t="s">
        <v>675</v>
      </c>
      <c r="C572" s="145">
        <v>46205</v>
      </c>
      <c r="D572" s="145" t="s">
        <v>469</v>
      </c>
      <c r="E572" s="28">
        <v>0.94783046000000004</v>
      </c>
      <c r="F572" s="13"/>
      <c r="G572" s="18">
        <v>2000000</v>
      </c>
      <c r="H572" s="18">
        <v>1895660.91</v>
      </c>
      <c r="I572" s="18">
        <v>2000000</v>
      </c>
      <c r="J572" s="18">
        <v>1895660.91</v>
      </c>
      <c r="K572" s="15">
        <v>11213040</v>
      </c>
      <c r="L572" s="13" t="s">
        <v>117</v>
      </c>
      <c r="M572" s="13" t="s">
        <v>118</v>
      </c>
      <c r="N572" s="145" t="s">
        <v>387</v>
      </c>
      <c r="O572" s="145" t="s">
        <v>387</v>
      </c>
      <c r="P572" s="28">
        <v>41</v>
      </c>
      <c r="Q572" s="13" t="s">
        <v>54</v>
      </c>
      <c r="R572" s="13" t="s">
        <v>28</v>
      </c>
      <c r="S572" s="13"/>
      <c r="T572" s="13"/>
      <c r="U572" s="13" t="s">
        <v>766</v>
      </c>
      <c r="V572" s="13" t="s">
        <v>766</v>
      </c>
      <c r="W572" s="60">
        <f>+J572/$W$2</f>
        <v>4.9962120562752463E-5</v>
      </c>
    </row>
    <row r="573" spans="1:29">
      <c r="A573" s="13" t="s">
        <v>795</v>
      </c>
      <c r="B573" s="13" t="s">
        <v>675</v>
      </c>
      <c r="C573" s="145">
        <v>46205</v>
      </c>
      <c r="D573" s="145" t="s">
        <v>469</v>
      </c>
      <c r="E573" s="28">
        <v>0.94903800000000005</v>
      </c>
      <c r="F573" s="13"/>
      <c r="G573" s="18">
        <v>2000000</v>
      </c>
      <c r="H573" s="18">
        <v>1898076.01</v>
      </c>
      <c r="I573" s="18">
        <v>2000000</v>
      </c>
      <c r="J573" s="18">
        <v>1898076.01</v>
      </c>
      <c r="K573" s="15">
        <v>38</v>
      </c>
      <c r="L573" s="13" t="s">
        <v>117</v>
      </c>
      <c r="M573" s="13" t="s">
        <v>118</v>
      </c>
      <c r="N573" s="145" t="s">
        <v>447</v>
      </c>
      <c r="O573" s="145" t="s">
        <v>447</v>
      </c>
      <c r="P573" s="28">
        <v>40</v>
      </c>
      <c r="Q573" s="13" t="s">
        <v>54</v>
      </c>
      <c r="R573" s="13" t="s">
        <v>28</v>
      </c>
      <c r="S573" s="13"/>
      <c r="T573" s="13"/>
      <c r="U573" s="13" t="s">
        <v>790</v>
      </c>
      <c r="V573" s="13" t="s">
        <v>790</v>
      </c>
      <c r="W573" s="60">
        <f>+J573/$W$2</f>
        <v>5.0025773042336012E-5</v>
      </c>
    </row>
    <row r="574" spans="1:29">
      <c r="A574" s="13" t="s">
        <v>1028</v>
      </c>
      <c r="B574" s="13" t="s">
        <v>675</v>
      </c>
      <c r="C574" s="145">
        <v>46205</v>
      </c>
      <c r="D574" s="145" t="s">
        <v>469</v>
      </c>
      <c r="E574" s="28">
        <v>0.97131301000000003</v>
      </c>
      <c r="F574" s="13"/>
      <c r="G574" s="18">
        <v>4000000</v>
      </c>
      <c r="H574" s="18">
        <v>3885252.03</v>
      </c>
      <c r="I574" s="18">
        <v>4000000</v>
      </c>
      <c r="J574" s="18">
        <v>3885252.03</v>
      </c>
      <c r="K574" s="15">
        <v>64816755</v>
      </c>
      <c r="L574" s="13" t="s">
        <v>117</v>
      </c>
      <c r="M574" s="13" t="s">
        <v>118</v>
      </c>
      <c r="N574" s="145" t="s">
        <v>386</v>
      </c>
      <c r="O574" s="145" t="s">
        <v>386</v>
      </c>
      <c r="P574" s="28">
        <v>22</v>
      </c>
      <c r="Q574" s="13" t="s">
        <v>54</v>
      </c>
      <c r="R574" s="13" t="s">
        <v>28</v>
      </c>
      <c r="S574" s="13"/>
      <c r="T574" s="13"/>
      <c r="U574" s="13" t="s">
        <v>1017</v>
      </c>
      <c r="V574" s="13" t="s">
        <v>1017</v>
      </c>
      <c r="W574" s="60">
        <f>+J574/$W$2</f>
        <v>1.0239986978448522E-4</v>
      </c>
    </row>
    <row r="575" spans="1:29">
      <c r="A575" s="13" t="s">
        <v>307</v>
      </c>
      <c r="B575" s="13" t="s">
        <v>675</v>
      </c>
      <c r="C575" s="145">
        <v>46205</v>
      </c>
      <c r="D575" s="145" t="s">
        <v>469</v>
      </c>
      <c r="E575" s="28">
        <v>0.94903802999999998</v>
      </c>
      <c r="F575" s="13"/>
      <c r="G575" s="18">
        <v>3800000</v>
      </c>
      <c r="H575" s="18">
        <v>3606344.53</v>
      </c>
      <c r="I575" s="18">
        <v>3800000</v>
      </c>
      <c r="J575" s="18">
        <v>3606344.53</v>
      </c>
      <c r="K575" s="15">
        <v>1018</v>
      </c>
      <c r="L575" s="13" t="s">
        <v>117</v>
      </c>
      <c r="M575" s="13" t="s">
        <v>118</v>
      </c>
      <c r="N575" s="145" t="s">
        <v>328</v>
      </c>
      <c r="O575" s="145" t="s">
        <v>328</v>
      </c>
      <c r="P575" s="28">
        <v>40</v>
      </c>
      <c r="Q575" s="13" t="s">
        <v>54</v>
      </c>
      <c r="R575" s="13" t="s">
        <v>28</v>
      </c>
      <c r="S575" s="13"/>
      <c r="T575" s="13"/>
      <c r="U575" s="13" t="s">
        <v>628</v>
      </c>
      <c r="V575" s="13" t="s">
        <v>628</v>
      </c>
      <c r="W575" s="60">
        <f>+J575/$W$2</f>
        <v>9.5048971705959201E-5</v>
      </c>
      <c r="AC575" s="57"/>
    </row>
    <row r="576" spans="1:29">
      <c r="A576" s="13" t="s">
        <v>532</v>
      </c>
      <c r="B576" s="13" t="s">
        <v>675</v>
      </c>
      <c r="C576" s="145">
        <v>46205</v>
      </c>
      <c r="D576" s="145" t="s">
        <v>469</v>
      </c>
      <c r="E576" s="28">
        <v>0.94903808999999995</v>
      </c>
      <c r="F576" s="13"/>
      <c r="G576" s="18">
        <v>10000000</v>
      </c>
      <c r="H576" s="18">
        <v>9490380.9000000004</v>
      </c>
      <c r="I576" s="18">
        <v>10000000</v>
      </c>
      <c r="J576" s="18">
        <v>9490380.9000000004</v>
      </c>
      <c r="K576" s="15">
        <v>1345</v>
      </c>
      <c r="L576" s="13" t="s">
        <v>117</v>
      </c>
      <c r="M576" s="13" t="s">
        <v>118</v>
      </c>
      <c r="N576" s="145" t="s">
        <v>368</v>
      </c>
      <c r="O576" s="145" t="s">
        <v>368</v>
      </c>
      <c r="P576" s="28">
        <v>40</v>
      </c>
      <c r="Q576" s="13" t="s">
        <v>54</v>
      </c>
      <c r="R576" s="13" t="s">
        <v>28</v>
      </c>
      <c r="S576" s="13"/>
      <c r="T576" s="13"/>
      <c r="U576" s="13" t="s">
        <v>548</v>
      </c>
      <c r="V576" s="13" t="s">
        <v>548</v>
      </c>
      <c r="W576" s="60">
        <f>+J576/$W$2</f>
        <v>2.5012888761431664E-4</v>
      </c>
    </row>
    <row r="577" spans="1:29">
      <c r="A577" s="13" t="s">
        <v>406</v>
      </c>
      <c r="B577" s="13" t="s">
        <v>675</v>
      </c>
      <c r="C577" s="145">
        <v>46205</v>
      </c>
      <c r="D577" s="145" t="s">
        <v>469</v>
      </c>
      <c r="E577" s="28">
        <v>0.96128524999999998</v>
      </c>
      <c r="F577" s="13"/>
      <c r="G577" s="18">
        <v>35000000</v>
      </c>
      <c r="H577" s="18">
        <v>33644983.789999999</v>
      </c>
      <c r="I577" s="18">
        <v>35000000</v>
      </c>
      <c r="J577" s="18">
        <v>33644983.789999999</v>
      </c>
      <c r="K577" s="15">
        <v>1451</v>
      </c>
      <c r="L577" s="13" t="s">
        <v>117</v>
      </c>
      <c r="M577" s="13" t="s">
        <v>118</v>
      </c>
      <c r="N577" s="145" t="s">
        <v>390</v>
      </c>
      <c r="O577" s="145" t="s">
        <v>390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944</v>
      </c>
      <c r="V577" s="13" t="s">
        <v>944</v>
      </c>
      <c r="W577" s="60">
        <f>+J577/$W$2</f>
        <v>8.8674864137375307E-4</v>
      </c>
    </row>
    <row r="578" spans="1:29">
      <c r="A578" s="13" t="s">
        <v>406</v>
      </c>
      <c r="B578" s="13" t="s">
        <v>675</v>
      </c>
      <c r="C578" s="145">
        <v>46205</v>
      </c>
      <c r="D578" s="145" t="s">
        <v>469</v>
      </c>
      <c r="E578" s="28">
        <v>0.96252747000000005</v>
      </c>
      <c r="F578" s="13"/>
      <c r="G578" s="18">
        <v>30000000</v>
      </c>
      <c r="H578" s="18">
        <v>28875824.18</v>
      </c>
      <c r="I578" s="18">
        <v>30000000</v>
      </c>
      <c r="J578" s="18">
        <v>28875824.18</v>
      </c>
      <c r="K578" s="15">
        <v>10941</v>
      </c>
      <c r="L578" s="13" t="s">
        <v>117</v>
      </c>
      <c r="M578" s="13" t="s">
        <v>118</v>
      </c>
      <c r="N578" s="145" t="s">
        <v>291</v>
      </c>
      <c r="O578" s="145" t="s">
        <v>291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935</v>
      </c>
      <c r="V578" s="13" t="s">
        <v>935</v>
      </c>
      <c r="W578" s="60">
        <f>+J578/$W$2</f>
        <v>7.6105246535362848E-4</v>
      </c>
    </row>
    <row r="579" spans="1:29">
      <c r="A579" s="13" t="s">
        <v>406</v>
      </c>
      <c r="B579" s="13" t="s">
        <v>675</v>
      </c>
      <c r="C579" s="145">
        <v>46205</v>
      </c>
      <c r="D579" s="145" t="s">
        <v>469</v>
      </c>
      <c r="E579" s="28">
        <v>0.96252747000000005</v>
      </c>
      <c r="F579" s="13"/>
      <c r="G579" s="18">
        <v>33000000</v>
      </c>
      <c r="H579" s="18">
        <v>31763406.600000001</v>
      </c>
      <c r="I579" s="18">
        <v>33000000</v>
      </c>
      <c r="J579" s="18">
        <v>31763406.600000001</v>
      </c>
      <c r="K579" s="15">
        <v>67</v>
      </c>
      <c r="L579" s="13" t="s">
        <v>117</v>
      </c>
      <c r="M579" s="13" t="s">
        <v>118</v>
      </c>
      <c r="N579" s="145" t="s">
        <v>291</v>
      </c>
      <c r="O579" s="145" t="s">
        <v>291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936</v>
      </c>
      <c r="V579" s="13" t="s">
        <v>936</v>
      </c>
      <c r="W579" s="60">
        <f>+J579/$W$2</f>
        <v>8.3715771194170345E-4</v>
      </c>
      <c r="AC579" s="57"/>
    </row>
    <row r="580" spans="1:29">
      <c r="A580" s="13" t="s">
        <v>406</v>
      </c>
      <c r="B580" s="13" t="s">
        <v>675</v>
      </c>
      <c r="C580" s="145">
        <v>46205</v>
      </c>
      <c r="D580" s="145" t="s">
        <v>469</v>
      </c>
      <c r="E580" s="28">
        <v>0.95512233999999996</v>
      </c>
      <c r="F580" s="13"/>
      <c r="G580" s="18">
        <v>5000000</v>
      </c>
      <c r="H580" s="18">
        <v>4775611.7</v>
      </c>
      <c r="I580" s="18">
        <v>5000000</v>
      </c>
      <c r="J580" s="18">
        <v>4775611.7</v>
      </c>
      <c r="K580" s="15">
        <v>90000055</v>
      </c>
      <c r="L580" s="13" t="s">
        <v>117</v>
      </c>
      <c r="M580" s="13" t="s">
        <v>118</v>
      </c>
      <c r="N580" s="145" t="s">
        <v>304</v>
      </c>
      <c r="O580" s="145" t="s">
        <v>304</v>
      </c>
      <c r="P580" s="28">
        <v>35</v>
      </c>
      <c r="Q580" s="13" t="s">
        <v>54</v>
      </c>
      <c r="R580" s="13" t="s">
        <v>28</v>
      </c>
      <c r="S580" s="13"/>
      <c r="T580" s="13"/>
      <c r="U580" s="13" t="s">
        <v>658</v>
      </c>
      <c r="V580" s="13" t="s">
        <v>658</v>
      </c>
      <c r="W580" s="60">
        <f>+J580/$W$2</f>
        <v>1.258662275819631E-4</v>
      </c>
    </row>
    <row r="581" spans="1:29">
      <c r="A581" s="13" t="s">
        <v>863</v>
      </c>
      <c r="B581" s="13" t="s">
        <v>675</v>
      </c>
      <c r="C581" s="145">
        <v>46205</v>
      </c>
      <c r="D581" s="145" t="s">
        <v>469</v>
      </c>
      <c r="E581" s="28">
        <v>0.96252742999999996</v>
      </c>
      <c r="F581" s="13"/>
      <c r="G581" s="18">
        <v>15000000</v>
      </c>
      <c r="H581" s="18">
        <v>14437911.49</v>
      </c>
      <c r="I581" s="18">
        <v>15000000</v>
      </c>
      <c r="J581" s="18">
        <v>14437911.49</v>
      </c>
      <c r="K581" s="15">
        <v>800</v>
      </c>
      <c r="L581" s="13" t="s">
        <v>117</v>
      </c>
      <c r="M581" s="13" t="s">
        <v>118</v>
      </c>
      <c r="N581" s="145" t="s">
        <v>209</v>
      </c>
      <c r="O581" s="145" t="s">
        <v>209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802</v>
      </c>
      <c r="V581" s="13" t="s">
        <v>802</v>
      </c>
      <c r="W581" s="60">
        <f>+J581/$W$2</f>
        <v>3.8052621686318844E-4</v>
      </c>
    </row>
    <row r="582" spans="1:29">
      <c r="A582" s="13" t="s">
        <v>405</v>
      </c>
      <c r="B582" s="13" t="s">
        <v>675</v>
      </c>
      <c r="C582" s="145">
        <v>46205</v>
      </c>
      <c r="D582" s="145" t="s">
        <v>469</v>
      </c>
      <c r="E582" s="28">
        <v>0.96252736000000005</v>
      </c>
      <c r="F582" s="13"/>
      <c r="G582" s="18">
        <v>70000000</v>
      </c>
      <c r="H582" s="18">
        <v>67376915.170000002</v>
      </c>
      <c r="I582" s="18">
        <v>70000000</v>
      </c>
      <c r="J582" s="18">
        <v>67376915.170000002</v>
      </c>
      <c r="K582" s="15">
        <v>90041867</v>
      </c>
      <c r="L582" s="13" t="s">
        <v>117</v>
      </c>
      <c r="M582" s="13" t="s">
        <v>118</v>
      </c>
      <c r="N582" s="145" t="s">
        <v>528</v>
      </c>
      <c r="O582" s="145" t="s">
        <v>528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1271</v>
      </c>
      <c r="V582" s="13" t="s">
        <v>1271</v>
      </c>
      <c r="W582" s="60">
        <f>+J582/$W$2</f>
        <v>1.7757888771731257E-3</v>
      </c>
    </row>
    <row r="583" spans="1:29">
      <c r="A583" s="13" t="s">
        <v>957</v>
      </c>
      <c r="B583" s="13" t="s">
        <v>675</v>
      </c>
      <c r="C583" s="145">
        <v>46205</v>
      </c>
      <c r="D583" s="145" t="s">
        <v>469</v>
      </c>
      <c r="E583" s="28">
        <v>0.95881061999999995</v>
      </c>
      <c r="F583" s="13"/>
      <c r="G583" s="18">
        <v>50000000</v>
      </c>
      <c r="H583" s="18">
        <v>47940531.18</v>
      </c>
      <c r="I583" s="18">
        <v>50000000</v>
      </c>
      <c r="J583" s="18">
        <v>47940531.18</v>
      </c>
      <c r="K583" s="15">
        <v>11915481</v>
      </c>
      <c r="L583" s="13" t="s">
        <v>117</v>
      </c>
      <c r="M583" s="13" t="s">
        <v>118</v>
      </c>
      <c r="N583" s="145" t="s">
        <v>389</v>
      </c>
      <c r="O583" s="145" t="s">
        <v>389</v>
      </c>
      <c r="P583" s="28">
        <v>32</v>
      </c>
      <c r="Q583" s="13" t="s">
        <v>54</v>
      </c>
      <c r="R583" s="13" t="s">
        <v>28</v>
      </c>
      <c r="S583" s="13"/>
      <c r="T583" s="13"/>
      <c r="U583" s="13" t="s">
        <v>952</v>
      </c>
      <c r="V583" s="13" t="s">
        <v>952</v>
      </c>
      <c r="W583" s="60">
        <f>+J583/$W$2</f>
        <v>1.2635227038877716E-3</v>
      </c>
    </row>
    <row r="584" spans="1:29">
      <c r="A584" s="13" t="s">
        <v>406</v>
      </c>
      <c r="B584" s="13" t="s">
        <v>675</v>
      </c>
      <c r="C584" s="145">
        <v>46205</v>
      </c>
      <c r="D584" s="145" t="s">
        <v>469</v>
      </c>
      <c r="E584" s="28">
        <v>0.96502144999999995</v>
      </c>
      <c r="F584" s="13"/>
      <c r="G584" s="18">
        <v>7000000</v>
      </c>
      <c r="H584" s="18">
        <v>6755150.1799999997</v>
      </c>
      <c r="I584" s="18">
        <v>7000000</v>
      </c>
      <c r="J584" s="18">
        <v>6755150.1799999997</v>
      </c>
      <c r="K584" s="15">
        <v>66547883</v>
      </c>
      <c r="L584" s="13" t="s">
        <v>117</v>
      </c>
      <c r="M584" s="13" t="s">
        <v>118</v>
      </c>
      <c r="N584" s="145" t="s">
        <v>490</v>
      </c>
      <c r="O584" s="145" t="s">
        <v>490</v>
      </c>
      <c r="P584" s="28">
        <v>27</v>
      </c>
      <c r="Q584" s="13" t="s">
        <v>54</v>
      </c>
      <c r="R584" s="13" t="s">
        <v>28</v>
      </c>
      <c r="S584" s="13"/>
      <c r="T584" s="13"/>
      <c r="U584" s="13" t="s">
        <v>1603</v>
      </c>
      <c r="V584" s="13" t="s">
        <v>1603</v>
      </c>
      <c r="W584" s="60">
        <f>+J584/$W$2</f>
        <v>1.7803902899103354E-4</v>
      </c>
      <c r="AC584" s="57"/>
    </row>
    <row r="585" spans="1:29">
      <c r="A585" s="13" t="s">
        <v>1764</v>
      </c>
      <c r="B585" s="13" t="s">
        <v>675</v>
      </c>
      <c r="C585" s="145">
        <v>46205</v>
      </c>
      <c r="D585" s="145" t="s">
        <v>469</v>
      </c>
      <c r="E585" s="28">
        <v>0.96377288999999999</v>
      </c>
      <c r="F585" s="13"/>
      <c r="G585" s="18">
        <v>5000000</v>
      </c>
      <c r="H585" s="18">
        <v>4818864.4400000004</v>
      </c>
      <c r="I585" s="18">
        <v>5000000</v>
      </c>
      <c r="J585" s="18">
        <v>4818864.4400000004</v>
      </c>
      <c r="K585" s="15">
        <v>6034646</v>
      </c>
      <c r="L585" s="13" t="s">
        <v>117</v>
      </c>
      <c r="M585" s="13" t="s">
        <v>118</v>
      </c>
      <c r="N585" s="145" t="s">
        <v>462</v>
      </c>
      <c r="O585" s="145" t="s">
        <v>462</v>
      </c>
      <c r="P585" s="28">
        <v>28</v>
      </c>
      <c r="Q585" s="13" t="s">
        <v>54</v>
      </c>
      <c r="R585" s="13" t="s">
        <v>28</v>
      </c>
      <c r="S585" s="13"/>
      <c r="T585" s="13"/>
      <c r="U585" s="13" t="s">
        <v>1725</v>
      </c>
      <c r="V585" s="13" t="s">
        <v>1725</v>
      </c>
      <c r="W585" s="60">
        <f>+J585/$W$2</f>
        <v>1.270061986596752E-4</v>
      </c>
    </row>
    <row r="586" spans="1:29">
      <c r="A586" s="13" t="s">
        <v>327</v>
      </c>
      <c r="B586" s="13" t="s">
        <v>675</v>
      </c>
      <c r="C586" s="145">
        <v>46205</v>
      </c>
      <c r="D586" s="145" t="s">
        <v>469</v>
      </c>
      <c r="E586" s="28">
        <v>0.95389928000000002</v>
      </c>
      <c r="F586" s="13"/>
      <c r="G586" s="18">
        <v>25000000</v>
      </c>
      <c r="H586" s="18">
        <v>23847481.91</v>
      </c>
      <c r="I586" s="18">
        <v>25000000</v>
      </c>
      <c r="J586" s="18">
        <v>23847481.91</v>
      </c>
      <c r="K586" s="15">
        <v>1173719</v>
      </c>
      <c r="L586" s="13" t="s">
        <v>117</v>
      </c>
      <c r="M586" s="13" t="s">
        <v>118</v>
      </c>
      <c r="N586" s="145" t="s">
        <v>442</v>
      </c>
      <c r="O586" s="145" t="s">
        <v>442</v>
      </c>
      <c r="P586" s="28">
        <v>36</v>
      </c>
      <c r="Q586" s="13" t="s">
        <v>54</v>
      </c>
      <c r="R586" s="13" t="s">
        <v>28</v>
      </c>
      <c r="S586" s="13"/>
      <c r="T586" s="13"/>
      <c r="U586" s="13" t="s">
        <v>1005</v>
      </c>
      <c r="V586" s="13" t="s">
        <v>1005</v>
      </c>
      <c r="W586" s="60">
        <f>+J586/$W$2</f>
        <v>6.2852525998728247E-4</v>
      </c>
    </row>
    <row r="587" spans="1:29">
      <c r="A587" s="13" t="s">
        <v>780</v>
      </c>
      <c r="B587" s="13" t="s">
        <v>675</v>
      </c>
      <c r="C587" s="145">
        <v>46205</v>
      </c>
      <c r="D587" s="145" t="s">
        <v>469</v>
      </c>
      <c r="E587" s="28">
        <v>0.94783046000000004</v>
      </c>
      <c r="F587" s="13"/>
      <c r="G587" s="18">
        <v>15909586.57</v>
      </c>
      <c r="H587" s="18">
        <v>15079590.710000001</v>
      </c>
      <c r="I587" s="18">
        <v>15909586.57</v>
      </c>
      <c r="J587" s="18">
        <v>15079590.710000001</v>
      </c>
      <c r="K587" s="15">
        <v>30497</v>
      </c>
      <c r="L587" s="13" t="s">
        <v>117</v>
      </c>
      <c r="M587" s="13" t="s">
        <v>118</v>
      </c>
      <c r="N587" s="145" t="s">
        <v>387</v>
      </c>
      <c r="O587" s="145" t="s">
        <v>387</v>
      </c>
      <c r="P587" s="28">
        <v>41</v>
      </c>
      <c r="Q587" s="13" t="s">
        <v>54</v>
      </c>
      <c r="R587" s="13" t="s">
        <v>28</v>
      </c>
      <c r="S587" s="13"/>
      <c r="T587" s="13"/>
      <c r="U587" s="13" t="s">
        <v>758</v>
      </c>
      <c r="V587" s="13" t="s">
        <v>758</v>
      </c>
      <c r="W587" s="60">
        <f>+J587/$W$2</f>
        <v>3.9743834201338366E-4</v>
      </c>
    </row>
    <row r="588" spans="1:29">
      <c r="A588" s="13" t="s">
        <v>780</v>
      </c>
      <c r="B588" s="13" t="s">
        <v>675</v>
      </c>
      <c r="C588" s="145">
        <v>46205</v>
      </c>
      <c r="D588" s="145" t="s">
        <v>469</v>
      </c>
      <c r="E588" s="28">
        <v>0.94783046000000004</v>
      </c>
      <c r="F588" s="13"/>
      <c r="G588" s="18">
        <v>14664256.859999999</v>
      </c>
      <c r="H588" s="18">
        <v>13899229.26</v>
      </c>
      <c r="I588" s="18">
        <v>14664256.859999999</v>
      </c>
      <c r="J588" s="18">
        <v>13899229.26</v>
      </c>
      <c r="K588" s="15">
        <v>30530</v>
      </c>
      <c r="L588" s="13" t="s">
        <v>117</v>
      </c>
      <c r="M588" s="13" t="s">
        <v>118</v>
      </c>
      <c r="N588" s="145" t="s">
        <v>387</v>
      </c>
      <c r="O588" s="145" t="s">
        <v>387</v>
      </c>
      <c r="P588" s="28">
        <v>41</v>
      </c>
      <c r="Q588" s="13" t="s">
        <v>54</v>
      </c>
      <c r="R588" s="13" t="s">
        <v>28</v>
      </c>
      <c r="S588" s="13"/>
      <c r="T588" s="13"/>
      <c r="U588" s="13" t="s">
        <v>764</v>
      </c>
      <c r="V588" s="13" t="s">
        <v>764</v>
      </c>
      <c r="W588" s="60">
        <f>+J588/$W$2</f>
        <v>3.6632868481602899E-4</v>
      </c>
    </row>
    <row r="589" spans="1:29">
      <c r="A589" s="13" t="s">
        <v>780</v>
      </c>
      <c r="B589" s="13" t="s">
        <v>675</v>
      </c>
      <c r="C589" s="145">
        <v>46205</v>
      </c>
      <c r="D589" s="145" t="s">
        <v>469</v>
      </c>
      <c r="E589" s="28">
        <v>0.94783052999999995</v>
      </c>
      <c r="F589" s="13"/>
      <c r="G589" s="18">
        <v>11785044.42</v>
      </c>
      <c r="H589" s="18">
        <v>11170224.93</v>
      </c>
      <c r="I589" s="18">
        <v>11785044.42</v>
      </c>
      <c r="J589" s="18">
        <v>11170224.93</v>
      </c>
      <c r="K589" s="15">
        <v>9344724</v>
      </c>
      <c r="L589" s="13" t="s">
        <v>117</v>
      </c>
      <c r="M589" s="13" t="s">
        <v>118</v>
      </c>
      <c r="N589" s="145" t="s">
        <v>291</v>
      </c>
      <c r="O589" s="145" t="s">
        <v>291</v>
      </c>
      <c r="P589" s="28">
        <v>41</v>
      </c>
      <c r="Q589" s="13" t="s">
        <v>54</v>
      </c>
      <c r="R589" s="13" t="s">
        <v>28</v>
      </c>
      <c r="S589" s="13"/>
      <c r="T589" s="13"/>
      <c r="U589" s="13" t="s">
        <v>900</v>
      </c>
      <c r="V589" s="13" t="s">
        <v>900</v>
      </c>
      <c r="W589" s="60">
        <f>+J589/$W$2</f>
        <v>2.9440292919566673E-4</v>
      </c>
    </row>
    <row r="590" spans="1:29">
      <c r="A590" s="13" t="s">
        <v>550</v>
      </c>
      <c r="B590" s="13" t="s">
        <v>675</v>
      </c>
      <c r="C590" s="145">
        <v>46205</v>
      </c>
      <c r="D590" s="145" t="s">
        <v>469</v>
      </c>
      <c r="E590" s="28">
        <v>0.94783046000000004</v>
      </c>
      <c r="F590" s="13"/>
      <c r="G590" s="18">
        <v>20000000</v>
      </c>
      <c r="H590" s="18">
        <v>18956609.140000001</v>
      </c>
      <c r="I590" s="18">
        <v>20000000</v>
      </c>
      <c r="J590" s="18">
        <v>18956609.140000001</v>
      </c>
      <c r="K590" s="15">
        <v>13318409</v>
      </c>
      <c r="L590" s="13" t="s">
        <v>117</v>
      </c>
      <c r="M590" s="13" t="s">
        <v>118</v>
      </c>
      <c r="N590" s="145" t="s">
        <v>387</v>
      </c>
      <c r="O590" s="145" t="s">
        <v>387</v>
      </c>
      <c r="P590" s="28">
        <v>41</v>
      </c>
      <c r="Q590" s="13" t="s">
        <v>54</v>
      </c>
      <c r="R590" s="13" t="s">
        <v>28</v>
      </c>
      <c r="S590" s="13"/>
      <c r="T590" s="13"/>
      <c r="U590" s="13" t="s">
        <v>750</v>
      </c>
      <c r="V590" s="13" t="s">
        <v>750</v>
      </c>
      <c r="W590" s="60">
        <f>+J590/$W$2</f>
        <v>4.9962120668176643E-4</v>
      </c>
    </row>
    <row r="591" spans="1:29">
      <c r="A591" s="13" t="s">
        <v>274</v>
      </c>
      <c r="B591" s="13" t="s">
        <v>675</v>
      </c>
      <c r="C591" s="145">
        <v>46205</v>
      </c>
      <c r="D591" s="145" t="s">
        <v>469</v>
      </c>
      <c r="E591" s="28">
        <v>0.94662599999999997</v>
      </c>
      <c r="F591" s="13"/>
      <c r="G591" s="18">
        <v>15000000</v>
      </c>
      <c r="H591" s="18">
        <v>14199389.939999999</v>
      </c>
      <c r="I591" s="18">
        <v>15000000</v>
      </c>
      <c r="J591" s="18">
        <v>14199389.939999999</v>
      </c>
      <c r="K591" s="15">
        <v>16771113</v>
      </c>
      <c r="L591" s="13" t="s">
        <v>117</v>
      </c>
      <c r="M591" s="13" t="s">
        <v>118</v>
      </c>
      <c r="N591" s="145" t="s">
        <v>400</v>
      </c>
      <c r="O591" s="145" t="s">
        <v>400</v>
      </c>
      <c r="P591" s="28">
        <v>42</v>
      </c>
      <c r="Q591" s="13" t="s">
        <v>54</v>
      </c>
      <c r="R591" s="13" t="s">
        <v>28</v>
      </c>
      <c r="S591" s="13"/>
      <c r="T591" s="13"/>
      <c r="U591" s="13" t="s">
        <v>1633</v>
      </c>
      <c r="V591" s="13" t="s">
        <v>1633</v>
      </c>
      <c r="W591" s="60">
        <f>+J591/$W$2</f>
        <v>3.7423973262170316E-4</v>
      </c>
    </row>
    <row r="592" spans="1:29">
      <c r="A592" s="13" t="s">
        <v>1713</v>
      </c>
      <c r="B592" s="13" t="s">
        <v>675</v>
      </c>
      <c r="C592" s="145">
        <v>46205</v>
      </c>
      <c r="D592" s="145" t="s">
        <v>469</v>
      </c>
      <c r="E592" s="28">
        <v>0.96627324000000003</v>
      </c>
      <c r="F592" s="13"/>
      <c r="G592" s="18">
        <v>1000000000</v>
      </c>
      <c r="H592" s="18">
        <v>966273237</v>
      </c>
      <c r="I592" s="18">
        <v>1000000000</v>
      </c>
      <c r="J592" s="18">
        <v>966273237</v>
      </c>
      <c r="K592" s="15">
        <v>10452</v>
      </c>
      <c r="L592" s="13" t="s">
        <v>117</v>
      </c>
      <c r="M592" s="13" t="s">
        <v>118</v>
      </c>
      <c r="N592" s="145" t="s">
        <v>428</v>
      </c>
      <c r="O592" s="145" t="s">
        <v>428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1709</v>
      </c>
      <c r="V592" s="13" t="s">
        <v>1709</v>
      </c>
      <c r="W592" s="60">
        <f>+J592/$W$2</f>
        <v>2.5467139037833032E-2</v>
      </c>
    </row>
    <row r="593" spans="1:29">
      <c r="A593" s="13" t="s">
        <v>1241</v>
      </c>
      <c r="B593" s="13" t="s">
        <v>675</v>
      </c>
      <c r="C593" s="145">
        <v>46206</v>
      </c>
      <c r="D593" s="145" t="s">
        <v>469</v>
      </c>
      <c r="E593" s="28">
        <v>0.9505209</v>
      </c>
      <c r="F593" s="13"/>
      <c r="G593" s="18">
        <v>4298084.1900000004</v>
      </c>
      <c r="H593" s="18">
        <v>4085418.85</v>
      </c>
      <c r="I593" s="18">
        <v>4298084.1900000004</v>
      </c>
      <c r="J593" s="18">
        <v>4085418.85</v>
      </c>
      <c r="K593" s="15">
        <v>533</v>
      </c>
      <c r="L593" s="13" t="s">
        <v>117</v>
      </c>
      <c r="M593" s="13" t="s">
        <v>118</v>
      </c>
      <c r="N593" s="145" t="s">
        <v>411</v>
      </c>
      <c r="O593" s="145" t="s">
        <v>411</v>
      </c>
      <c r="P593" s="28">
        <v>38</v>
      </c>
      <c r="Q593" s="13" t="s">
        <v>54</v>
      </c>
      <c r="R593" s="13" t="s">
        <v>28</v>
      </c>
      <c r="S593" s="13"/>
      <c r="T593" s="13"/>
      <c r="U593" s="13" t="s">
        <v>1469</v>
      </c>
      <c r="V593" s="13" t="s">
        <v>1469</v>
      </c>
      <c r="W593" s="60">
        <f>+J593/$W$2</f>
        <v>1.0767547511070508E-4</v>
      </c>
    </row>
    <row r="594" spans="1:29">
      <c r="A594" s="13" t="s">
        <v>1822</v>
      </c>
      <c r="B594" s="13" t="s">
        <v>675</v>
      </c>
      <c r="C594" s="145">
        <v>46206</v>
      </c>
      <c r="D594" s="145" t="s">
        <v>469</v>
      </c>
      <c r="E594" s="28">
        <v>0.95424856000000002</v>
      </c>
      <c r="F594" s="13"/>
      <c r="G594" s="18">
        <v>2000000</v>
      </c>
      <c r="H594" s="18">
        <v>1908497.11</v>
      </c>
      <c r="I594" s="18">
        <v>2000000</v>
      </c>
      <c r="J594" s="18">
        <v>1908497.11</v>
      </c>
      <c r="K594" s="15">
        <v>7744</v>
      </c>
      <c r="L594" s="13" t="s">
        <v>117</v>
      </c>
      <c r="M594" s="13" t="s">
        <v>118</v>
      </c>
      <c r="N594" s="145" t="s">
        <v>464</v>
      </c>
      <c r="O594" s="145" t="s">
        <v>464</v>
      </c>
      <c r="P594" s="28">
        <v>35</v>
      </c>
      <c r="Q594" s="13" t="s">
        <v>54</v>
      </c>
      <c r="R594" s="13" t="s">
        <v>28</v>
      </c>
      <c r="S594" s="13"/>
      <c r="T594" s="13"/>
      <c r="U594" s="13" t="s">
        <v>1812</v>
      </c>
      <c r="V594" s="13" t="s">
        <v>1812</v>
      </c>
      <c r="W594" s="60">
        <f>+J594/$W$2</f>
        <v>5.0300432002622588E-5</v>
      </c>
    </row>
    <row r="595" spans="1:29">
      <c r="A595" s="13" t="s">
        <v>734</v>
      </c>
      <c r="B595" s="13" t="s">
        <v>675</v>
      </c>
      <c r="C595" s="145">
        <v>46206</v>
      </c>
      <c r="D595" s="145" t="s">
        <v>469</v>
      </c>
      <c r="E595" s="28">
        <v>0.95926433</v>
      </c>
      <c r="F595" s="13"/>
      <c r="G595" s="18">
        <v>15000000</v>
      </c>
      <c r="H595" s="18">
        <v>14388964.92</v>
      </c>
      <c r="I595" s="18">
        <v>15000000</v>
      </c>
      <c r="J595" s="18">
        <v>14388964.92</v>
      </c>
      <c r="K595" s="15">
        <v>70219532</v>
      </c>
      <c r="L595" s="13" t="s">
        <v>117</v>
      </c>
      <c r="M595" s="13" t="s">
        <v>118</v>
      </c>
      <c r="N595" s="145" t="s">
        <v>410</v>
      </c>
      <c r="O595" s="145" t="s">
        <v>410</v>
      </c>
      <c r="P595" s="28">
        <v>31</v>
      </c>
      <c r="Q595" s="13" t="s">
        <v>54</v>
      </c>
      <c r="R595" s="13" t="s">
        <v>28</v>
      </c>
      <c r="S595" s="13"/>
      <c r="T595" s="13"/>
      <c r="U595" s="13" t="s">
        <v>1782</v>
      </c>
      <c r="V595" s="13" t="s">
        <v>1782</v>
      </c>
      <c r="W595" s="60">
        <f>+J595/$W$2</f>
        <v>3.7923617895684514E-4</v>
      </c>
    </row>
    <row r="596" spans="1:29">
      <c r="A596" s="13" t="s">
        <v>734</v>
      </c>
      <c r="B596" s="13" t="s">
        <v>675</v>
      </c>
      <c r="C596" s="145">
        <v>46206</v>
      </c>
      <c r="D596" s="145" t="s">
        <v>469</v>
      </c>
      <c r="E596" s="28">
        <v>0.95926422</v>
      </c>
      <c r="F596" s="13"/>
      <c r="G596" s="18">
        <v>25000000</v>
      </c>
      <c r="H596" s="18">
        <v>23981605.550000001</v>
      </c>
      <c r="I596" s="18">
        <v>25000000</v>
      </c>
      <c r="J596" s="18">
        <v>23981605.550000001</v>
      </c>
      <c r="K596" s="15">
        <v>70219533</v>
      </c>
      <c r="L596" s="13" t="s">
        <v>117</v>
      </c>
      <c r="M596" s="13" t="s">
        <v>118</v>
      </c>
      <c r="N596" s="145" t="s">
        <v>591</v>
      </c>
      <c r="O596" s="145" t="s">
        <v>591</v>
      </c>
      <c r="P596" s="28">
        <v>31</v>
      </c>
      <c r="Q596" s="13" t="s">
        <v>54</v>
      </c>
      <c r="R596" s="13" t="s">
        <v>28</v>
      </c>
      <c r="S596" s="13"/>
      <c r="T596" s="13"/>
      <c r="U596" s="13" t="s">
        <v>1802</v>
      </c>
      <c r="V596" s="13" t="s">
        <v>1802</v>
      </c>
      <c r="W596" s="60">
        <f>+J596/$W$2</f>
        <v>6.3206022841789445E-4</v>
      </c>
      <c r="AC596" s="57"/>
    </row>
    <row r="597" spans="1:29">
      <c r="A597" s="13" t="s">
        <v>1102</v>
      </c>
      <c r="B597" s="13" t="s">
        <v>675</v>
      </c>
      <c r="C597" s="145">
        <v>46206</v>
      </c>
      <c r="D597" s="145" t="s">
        <v>469</v>
      </c>
      <c r="E597" s="28">
        <v>0.95424849</v>
      </c>
      <c r="F597" s="13"/>
      <c r="G597" s="18">
        <v>6238663.2000000002</v>
      </c>
      <c r="H597" s="18">
        <v>5953234.9699999997</v>
      </c>
      <c r="I597" s="18">
        <v>6238663.2000000002</v>
      </c>
      <c r="J597" s="18">
        <v>5953234.9699999997</v>
      </c>
      <c r="K597" s="15">
        <v>9266641</v>
      </c>
      <c r="L597" s="13" t="s">
        <v>117</v>
      </c>
      <c r="M597" s="13" t="s">
        <v>118</v>
      </c>
      <c r="N597" s="145" t="s">
        <v>443</v>
      </c>
      <c r="O597" s="145" t="s">
        <v>443</v>
      </c>
      <c r="P597" s="28">
        <v>35</v>
      </c>
      <c r="Q597" s="13" t="s">
        <v>54</v>
      </c>
      <c r="R597" s="13" t="s">
        <v>28</v>
      </c>
      <c r="S597" s="13"/>
      <c r="T597" s="13"/>
      <c r="U597" s="13" t="s">
        <v>1073</v>
      </c>
      <c r="V597" s="13" t="s">
        <v>1073</v>
      </c>
      <c r="W597" s="60">
        <f>+J597/$W$2</f>
        <v>1.5690371718934376E-4</v>
      </c>
    </row>
    <row r="598" spans="1:29">
      <c r="A598" s="13" t="s">
        <v>155</v>
      </c>
      <c r="B598" s="13" t="s">
        <v>675</v>
      </c>
      <c r="C598" s="145">
        <v>46206</v>
      </c>
      <c r="D598" s="145" t="s">
        <v>469</v>
      </c>
      <c r="E598" s="28">
        <v>0.95052099000000001</v>
      </c>
      <c r="F598" s="13"/>
      <c r="G598" s="18">
        <v>22500000</v>
      </c>
      <c r="H598" s="18">
        <v>21386722.18</v>
      </c>
      <c r="I598" s="18">
        <v>22500000</v>
      </c>
      <c r="J598" s="18">
        <v>21386722.18</v>
      </c>
      <c r="K598" s="15">
        <v>65800963</v>
      </c>
      <c r="L598" s="13" t="s">
        <v>117</v>
      </c>
      <c r="M598" s="13" t="s">
        <v>118</v>
      </c>
      <c r="N598" s="145" t="s">
        <v>306</v>
      </c>
      <c r="O598" s="145" t="s">
        <v>306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739</v>
      </c>
      <c r="V598" s="13" t="s">
        <v>739</v>
      </c>
      <c r="W598" s="60">
        <f>+J598/$W$2</f>
        <v>5.636693705939488E-4</v>
      </c>
    </row>
    <row r="599" spans="1:29">
      <c r="A599" s="13" t="s">
        <v>155</v>
      </c>
      <c r="B599" s="13" t="s">
        <v>153</v>
      </c>
      <c r="C599" s="145">
        <v>46206</v>
      </c>
      <c r="D599" s="145" t="s">
        <v>469</v>
      </c>
      <c r="E599" s="28">
        <v>0.98648654999999996</v>
      </c>
      <c r="F599" s="13" t="s">
        <v>1916</v>
      </c>
      <c r="G599" s="18">
        <v>50000</v>
      </c>
      <c r="H599" s="18">
        <v>49324.33</v>
      </c>
      <c r="I599" s="18">
        <v>69661614.530000001</v>
      </c>
      <c r="J599" s="18">
        <v>68720249.269999996</v>
      </c>
      <c r="K599" s="15">
        <v>142720</v>
      </c>
      <c r="L599" s="13" t="s">
        <v>117</v>
      </c>
      <c r="M599" s="13" t="s">
        <v>118</v>
      </c>
      <c r="N599" s="145" t="s">
        <v>377</v>
      </c>
      <c r="O599" s="145" t="s">
        <v>377</v>
      </c>
      <c r="P599" s="28">
        <v>10</v>
      </c>
      <c r="Q599" s="13" t="s">
        <v>54</v>
      </c>
      <c r="R599" s="13" t="s">
        <v>28</v>
      </c>
      <c r="S599" s="13"/>
      <c r="T599" s="13"/>
      <c r="U599" s="13" t="s">
        <v>673</v>
      </c>
      <c r="V599" s="13" t="s">
        <v>673</v>
      </c>
      <c r="W599" s="60">
        <f>+J599/$W$2</f>
        <v>1.8111938485507631E-3</v>
      </c>
    </row>
    <row r="600" spans="1:29">
      <c r="A600" s="13" t="s">
        <v>152</v>
      </c>
      <c r="B600" s="13" t="s">
        <v>153</v>
      </c>
      <c r="C600" s="145">
        <v>46206</v>
      </c>
      <c r="D600" s="145" t="s">
        <v>469</v>
      </c>
      <c r="E600" s="28">
        <v>0.98648634999999996</v>
      </c>
      <c r="F600" s="13" t="s">
        <v>1916</v>
      </c>
      <c r="G600" s="18">
        <v>50000</v>
      </c>
      <c r="H600" s="18">
        <v>49324.32</v>
      </c>
      <c r="I600" s="18">
        <v>69661614.530000001</v>
      </c>
      <c r="J600" s="18">
        <v>68720235.329999998</v>
      </c>
      <c r="K600" s="15">
        <v>141980</v>
      </c>
      <c r="L600" s="13" t="s">
        <v>117</v>
      </c>
      <c r="M600" s="13" t="s">
        <v>118</v>
      </c>
      <c r="N600" s="145" t="s">
        <v>320</v>
      </c>
      <c r="O600" s="145" t="s">
        <v>320</v>
      </c>
      <c r="P600" s="28">
        <v>10</v>
      </c>
      <c r="Q600" s="13" t="s">
        <v>54</v>
      </c>
      <c r="R600" s="13" t="s">
        <v>28</v>
      </c>
      <c r="S600" s="13"/>
      <c r="T600" s="13"/>
      <c r="U600" s="13" t="s">
        <v>596</v>
      </c>
      <c r="V600" s="13" t="s">
        <v>596</v>
      </c>
      <c r="W600" s="60">
        <f>+J600/$W$2</f>
        <v>1.8111934811475231E-3</v>
      </c>
    </row>
    <row r="601" spans="1:29">
      <c r="A601" s="13" t="s">
        <v>152</v>
      </c>
      <c r="B601" s="13" t="s">
        <v>153</v>
      </c>
      <c r="C601" s="145">
        <v>46206</v>
      </c>
      <c r="D601" s="145" t="s">
        <v>469</v>
      </c>
      <c r="E601" s="28">
        <v>0.98782135000000004</v>
      </c>
      <c r="F601" s="13" t="s">
        <v>1916</v>
      </c>
      <c r="G601" s="18">
        <v>50000</v>
      </c>
      <c r="H601" s="18">
        <v>49391.07</v>
      </c>
      <c r="I601" s="18">
        <v>69661614.530000001</v>
      </c>
      <c r="J601" s="18">
        <v>68813233.590000004</v>
      </c>
      <c r="K601" s="15">
        <v>144915</v>
      </c>
      <c r="L601" s="13" t="s">
        <v>117</v>
      </c>
      <c r="M601" s="13" t="s">
        <v>118</v>
      </c>
      <c r="N601" s="145" t="s">
        <v>291</v>
      </c>
      <c r="O601" s="145" t="s">
        <v>291</v>
      </c>
      <c r="P601" s="28">
        <v>9</v>
      </c>
      <c r="Q601" s="13" t="s">
        <v>54</v>
      </c>
      <c r="R601" s="13" t="s">
        <v>28</v>
      </c>
      <c r="S601" s="13"/>
      <c r="T601" s="13"/>
      <c r="U601" s="13" t="s">
        <v>937</v>
      </c>
      <c r="V601" s="13" t="s">
        <v>937</v>
      </c>
      <c r="W601" s="60">
        <f>+J601/$W$2</f>
        <v>1.8136445472921778E-3</v>
      </c>
    </row>
    <row r="602" spans="1:29">
      <c r="A602" s="13" t="s">
        <v>863</v>
      </c>
      <c r="B602" s="13" t="s">
        <v>675</v>
      </c>
      <c r="C602" s="145">
        <v>46206</v>
      </c>
      <c r="D602" s="145" t="s">
        <v>469</v>
      </c>
      <c r="E602" s="28">
        <v>0.96179186999999999</v>
      </c>
      <c r="F602" s="13"/>
      <c r="G602" s="18">
        <v>15000000</v>
      </c>
      <c r="H602" s="18">
        <v>14426878</v>
      </c>
      <c r="I602" s="18">
        <v>15000000</v>
      </c>
      <c r="J602" s="18">
        <v>14426878</v>
      </c>
      <c r="K602" s="15">
        <v>801</v>
      </c>
      <c r="L602" s="13" t="s">
        <v>117</v>
      </c>
      <c r="M602" s="13" t="s">
        <v>118</v>
      </c>
      <c r="N602" s="145" t="s">
        <v>209</v>
      </c>
      <c r="O602" s="145" t="s">
        <v>209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798</v>
      </c>
      <c r="V602" s="13" t="s">
        <v>798</v>
      </c>
      <c r="W602" s="60">
        <f>+J602/$W$2</f>
        <v>3.80235417725695E-4</v>
      </c>
      <c r="AC602" s="57"/>
    </row>
    <row r="603" spans="1:29">
      <c r="A603" s="13" t="s">
        <v>863</v>
      </c>
      <c r="B603" s="13" t="s">
        <v>675</v>
      </c>
      <c r="C603" s="145">
        <v>46206</v>
      </c>
      <c r="D603" s="145" t="s">
        <v>469</v>
      </c>
      <c r="E603" s="28">
        <v>0.96179186999999999</v>
      </c>
      <c r="F603" s="13"/>
      <c r="G603" s="18">
        <v>12500000</v>
      </c>
      <c r="H603" s="18">
        <v>12022398.34</v>
      </c>
      <c r="I603" s="18">
        <v>12500000</v>
      </c>
      <c r="J603" s="18">
        <v>12022398.34</v>
      </c>
      <c r="K603" s="15">
        <v>28996520</v>
      </c>
      <c r="L603" s="13" t="s">
        <v>117</v>
      </c>
      <c r="M603" s="13" t="s">
        <v>118</v>
      </c>
      <c r="N603" s="145" t="s">
        <v>209</v>
      </c>
      <c r="O603" s="145" t="s">
        <v>209</v>
      </c>
      <c r="P603" s="28">
        <v>29</v>
      </c>
      <c r="Q603" s="13" t="s">
        <v>54</v>
      </c>
      <c r="R603" s="13" t="s">
        <v>28</v>
      </c>
      <c r="S603" s="13"/>
      <c r="T603" s="13"/>
      <c r="U603" s="13" t="s">
        <v>803</v>
      </c>
      <c r="V603" s="13" t="s">
        <v>803</v>
      </c>
      <c r="W603" s="60">
        <f>+J603/$W$2</f>
        <v>3.1686284828045283E-4</v>
      </c>
    </row>
    <row r="604" spans="1:29">
      <c r="A604" s="13" t="s">
        <v>190</v>
      </c>
      <c r="B604" s="13" t="s">
        <v>675</v>
      </c>
      <c r="C604" s="145">
        <v>46206</v>
      </c>
      <c r="D604" s="145" t="s">
        <v>469</v>
      </c>
      <c r="E604" s="28">
        <v>0.95176015000000003</v>
      </c>
      <c r="F604" s="13"/>
      <c r="G604" s="18">
        <v>100000000</v>
      </c>
      <c r="H604" s="18">
        <v>95176014.769999996</v>
      </c>
      <c r="I604" s="18">
        <v>100000000</v>
      </c>
      <c r="J604" s="18">
        <v>95176014.769999996</v>
      </c>
      <c r="K604" s="15">
        <v>7353</v>
      </c>
      <c r="L604" s="13" t="s">
        <v>117</v>
      </c>
      <c r="M604" s="13" t="s">
        <v>118</v>
      </c>
      <c r="N604" s="145" t="s">
        <v>209</v>
      </c>
      <c r="O604" s="145" t="s">
        <v>209</v>
      </c>
      <c r="P604" s="28">
        <v>37</v>
      </c>
      <c r="Q604" s="13" t="s">
        <v>54</v>
      </c>
      <c r="R604" s="13" t="s">
        <v>28</v>
      </c>
      <c r="S604" s="13"/>
      <c r="T604" s="13"/>
      <c r="U604" s="13" t="s">
        <v>797</v>
      </c>
      <c r="V604" s="13" t="s">
        <v>797</v>
      </c>
      <c r="W604" s="60">
        <f>+J604/$W$2</f>
        <v>2.5084631431372658E-3</v>
      </c>
      <c r="AC604" s="57"/>
    </row>
    <row r="605" spans="1:29">
      <c r="A605" s="13" t="s">
        <v>1330</v>
      </c>
      <c r="B605" s="13" t="s">
        <v>675</v>
      </c>
      <c r="C605" s="145">
        <v>46206</v>
      </c>
      <c r="D605" s="145" t="s">
        <v>469</v>
      </c>
      <c r="E605" s="28">
        <v>0.96179192999999996</v>
      </c>
      <c r="F605" s="13"/>
      <c r="G605" s="18">
        <v>5000000</v>
      </c>
      <c r="H605" s="18">
        <v>4808959.6399999997</v>
      </c>
      <c r="I605" s="18">
        <v>5000000</v>
      </c>
      <c r="J605" s="18">
        <v>4808959.6399999997</v>
      </c>
      <c r="K605" s="15">
        <v>16779597</v>
      </c>
      <c r="L605" s="13" t="s">
        <v>117</v>
      </c>
      <c r="M605" s="13" t="s">
        <v>118</v>
      </c>
      <c r="N605" s="145" t="s">
        <v>428</v>
      </c>
      <c r="O605" s="145" t="s">
        <v>428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1665</v>
      </c>
      <c r="V605" s="13" t="s">
        <v>1665</v>
      </c>
      <c r="W605" s="60">
        <f>+J605/$W$2</f>
        <v>1.267451473244182E-4</v>
      </c>
    </row>
    <row r="606" spans="1:29">
      <c r="A606" s="13" t="s">
        <v>203</v>
      </c>
      <c r="B606" s="13" t="s">
        <v>675</v>
      </c>
      <c r="C606" s="145">
        <v>46206</v>
      </c>
      <c r="D606" s="145" t="s">
        <v>469</v>
      </c>
      <c r="E606" s="28">
        <v>0.96306079</v>
      </c>
      <c r="F606" s="13"/>
      <c r="G606" s="18">
        <v>500000000</v>
      </c>
      <c r="H606" s="18">
        <v>481530393.19999999</v>
      </c>
      <c r="I606" s="18">
        <v>500000000</v>
      </c>
      <c r="J606" s="18">
        <v>481530393.19999999</v>
      </c>
      <c r="K606" s="15">
        <v>147165</v>
      </c>
      <c r="L606" s="13" t="s">
        <v>117</v>
      </c>
      <c r="M606" s="13" t="s">
        <v>118</v>
      </c>
      <c r="N606" s="145" t="s">
        <v>533</v>
      </c>
      <c r="O606" s="145" t="s">
        <v>533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1522</v>
      </c>
      <c r="V606" s="13" t="s">
        <v>1522</v>
      </c>
      <c r="W606" s="60">
        <f>+J606/$W$2</f>
        <v>1.2691235775752742E-2</v>
      </c>
    </row>
    <row r="607" spans="1:29">
      <c r="A607" s="13" t="s">
        <v>406</v>
      </c>
      <c r="B607" s="13" t="s">
        <v>675</v>
      </c>
      <c r="C607" s="145">
        <v>46206</v>
      </c>
      <c r="D607" s="145" t="s">
        <v>469</v>
      </c>
      <c r="E607" s="28">
        <v>0.96433301000000005</v>
      </c>
      <c r="F607" s="13"/>
      <c r="G607" s="18">
        <v>10000000</v>
      </c>
      <c r="H607" s="18">
        <v>9643330.1400000006</v>
      </c>
      <c r="I607" s="18">
        <v>10000000</v>
      </c>
      <c r="J607" s="18">
        <v>9643330.1400000006</v>
      </c>
      <c r="K607" s="15">
        <v>32529</v>
      </c>
      <c r="L607" s="13" t="s">
        <v>117</v>
      </c>
      <c r="M607" s="13" t="s">
        <v>118</v>
      </c>
      <c r="N607" s="145" t="s">
        <v>490</v>
      </c>
      <c r="O607" s="145" t="s">
        <v>490</v>
      </c>
      <c r="P607" s="28">
        <v>27</v>
      </c>
      <c r="Q607" s="13" t="s">
        <v>54</v>
      </c>
      <c r="R607" s="13" t="s">
        <v>28</v>
      </c>
      <c r="S607" s="13"/>
      <c r="T607" s="13"/>
      <c r="U607" s="13" t="s">
        <v>1601</v>
      </c>
      <c r="V607" s="13" t="s">
        <v>1601</v>
      </c>
      <c r="W607" s="60">
        <f>+J607/$W$2</f>
        <v>2.541600243690759E-4</v>
      </c>
    </row>
    <row r="608" spans="1:29">
      <c r="A608" s="13" t="s">
        <v>463</v>
      </c>
      <c r="B608" s="13" t="s">
        <v>675</v>
      </c>
      <c r="C608" s="145">
        <v>46206</v>
      </c>
      <c r="D608" s="145" t="s">
        <v>469</v>
      </c>
      <c r="E608" s="28">
        <v>0.95300267000000005</v>
      </c>
      <c r="F608" s="13"/>
      <c r="G608" s="18">
        <v>16500000</v>
      </c>
      <c r="H608" s="18">
        <v>15724544.109999999</v>
      </c>
      <c r="I608" s="18">
        <v>16500000</v>
      </c>
      <c r="J608" s="18">
        <v>15724544.109999999</v>
      </c>
      <c r="K608" s="15">
        <v>32225</v>
      </c>
      <c r="L608" s="13" t="s">
        <v>117</v>
      </c>
      <c r="M608" s="13" t="s">
        <v>118</v>
      </c>
      <c r="N608" s="145" t="s">
        <v>411</v>
      </c>
      <c r="O608" s="145" t="s">
        <v>411</v>
      </c>
      <c r="P608" s="28">
        <v>36</v>
      </c>
      <c r="Q608" s="13" t="s">
        <v>54</v>
      </c>
      <c r="R608" s="13" t="s">
        <v>28</v>
      </c>
      <c r="S608" s="13"/>
      <c r="T608" s="13"/>
      <c r="U608" s="13" t="s">
        <v>1457</v>
      </c>
      <c r="V608" s="13" t="s">
        <v>1457</v>
      </c>
      <c r="W608" s="60">
        <f>+J608/$W$2</f>
        <v>4.1443676159263055E-4</v>
      </c>
    </row>
    <row r="609" spans="1:29">
      <c r="A609" s="13" t="s">
        <v>441</v>
      </c>
      <c r="B609" s="13" t="s">
        <v>675</v>
      </c>
      <c r="C609" s="145">
        <v>46206</v>
      </c>
      <c r="D609" s="145" t="s">
        <v>469</v>
      </c>
      <c r="E609" s="28">
        <v>0.96052641999999999</v>
      </c>
      <c r="F609" s="13"/>
      <c r="G609" s="18">
        <v>1000000000</v>
      </c>
      <c r="H609" s="18">
        <v>960526423.20000005</v>
      </c>
      <c r="I609" s="18">
        <v>1000000000</v>
      </c>
      <c r="J609" s="18">
        <v>960526423.20000005</v>
      </c>
      <c r="K609" s="15">
        <v>147160</v>
      </c>
      <c r="L609" s="13" t="s">
        <v>117</v>
      </c>
      <c r="M609" s="13" t="s">
        <v>118</v>
      </c>
      <c r="N609" s="145" t="s">
        <v>533</v>
      </c>
      <c r="O609" s="145" t="s">
        <v>533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1521</v>
      </c>
      <c r="V609" s="13" t="s">
        <v>1521</v>
      </c>
      <c r="W609" s="60">
        <f>+J609/$W$2</f>
        <v>2.5315675765887793E-2</v>
      </c>
    </row>
    <row r="610" spans="1:29">
      <c r="A610" s="13" t="s">
        <v>1822</v>
      </c>
      <c r="B610" s="13" t="s">
        <v>675</v>
      </c>
      <c r="C610" s="145">
        <v>46209</v>
      </c>
      <c r="D610" s="145" t="s">
        <v>469</v>
      </c>
      <c r="E610" s="28">
        <v>0.95163626999999995</v>
      </c>
      <c r="F610" s="13"/>
      <c r="G610" s="18">
        <v>2000000</v>
      </c>
      <c r="H610" s="18">
        <v>1903272.54</v>
      </c>
      <c r="I610" s="18">
        <v>2000000</v>
      </c>
      <c r="J610" s="18">
        <v>1903272.54</v>
      </c>
      <c r="K610" s="15">
        <v>7745</v>
      </c>
      <c r="L610" s="13" t="s">
        <v>117</v>
      </c>
      <c r="M610" s="13" t="s">
        <v>118</v>
      </c>
      <c r="N610" s="145" t="s">
        <v>464</v>
      </c>
      <c r="O610" s="145" t="s">
        <v>464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1813</v>
      </c>
      <c r="V610" s="13" t="s">
        <v>1813</v>
      </c>
      <c r="W610" s="60">
        <f>+J610/$W$2</f>
        <v>5.0162733010755662E-5</v>
      </c>
      <c r="AC610" s="57"/>
    </row>
    <row r="611" spans="1:29">
      <c r="A611" s="13" t="s">
        <v>734</v>
      </c>
      <c r="B611" s="13" t="s">
        <v>675</v>
      </c>
      <c r="C611" s="145">
        <v>46209</v>
      </c>
      <c r="D611" s="145" t="s">
        <v>469</v>
      </c>
      <c r="E611" s="28">
        <v>0.95692526</v>
      </c>
      <c r="F611" s="13"/>
      <c r="G611" s="18">
        <v>42000000</v>
      </c>
      <c r="H611" s="18">
        <v>40190860.82</v>
      </c>
      <c r="I611" s="18">
        <v>42000000</v>
      </c>
      <c r="J611" s="18">
        <v>40190860.82</v>
      </c>
      <c r="K611" s="15">
        <v>148257</v>
      </c>
      <c r="L611" s="13" t="s">
        <v>117</v>
      </c>
      <c r="M611" s="13" t="s">
        <v>118</v>
      </c>
      <c r="N611" s="145" t="s">
        <v>410</v>
      </c>
      <c r="O611" s="145" t="s">
        <v>410</v>
      </c>
      <c r="P611" s="28">
        <v>31</v>
      </c>
      <c r="Q611" s="13" t="s">
        <v>54</v>
      </c>
      <c r="R611" s="13" t="s">
        <v>28</v>
      </c>
      <c r="S611" s="13"/>
      <c r="T611" s="13"/>
      <c r="U611" s="13" t="s">
        <v>1781</v>
      </c>
      <c r="V611" s="13" t="s">
        <v>1781</v>
      </c>
      <c r="W611" s="60">
        <f>+J611/$W$2</f>
        <v>1.0592720582130084E-3</v>
      </c>
    </row>
    <row r="612" spans="1:29">
      <c r="A612" s="13" t="s">
        <v>1391</v>
      </c>
      <c r="B612" s="13" t="s">
        <v>675</v>
      </c>
      <c r="C612" s="145">
        <v>46209</v>
      </c>
      <c r="D612" s="145" t="s">
        <v>469</v>
      </c>
      <c r="E612" s="28">
        <v>0.96362007000000005</v>
      </c>
      <c r="F612" s="13"/>
      <c r="G612" s="18">
        <v>10000000</v>
      </c>
      <c r="H612" s="18">
        <v>9636200.7300000004</v>
      </c>
      <c r="I612" s="18">
        <v>10000000</v>
      </c>
      <c r="J612" s="18">
        <v>9636200.7300000004</v>
      </c>
      <c r="K612" s="15">
        <v>1742541</v>
      </c>
      <c r="L612" s="13" t="s">
        <v>117</v>
      </c>
      <c r="M612" s="13" t="s">
        <v>118</v>
      </c>
      <c r="N612" s="145" t="s">
        <v>445</v>
      </c>
      <c r="O612" s="145" t="s">
        <v>445</v>
      </c>
      <c r="P612" s="28">
        <v>26</v>
      </c>
      <c r="Q612" s="13" t="s">
        <v>54</v>
      </c>
      <c r="R612" s="13" t="s">
        <v>28</v>
      </c>
      <c r="S612" s="13"/>
      <c r="T612" s="13"/>
      <c r="U612" s="13" t="s">
        <v>1365</v>
      </c>
      <c r="V612" s="13" t="s">
        <v>1365</v>
      </c>
      <c r="W612" s="60">
        <f>+J612/$W$2</f>
        <v>2.5397212133215498E-4</v>
      </c>
    </row>
    <row r="613" spans="1:29">
      <c r="A613" s="13" t="s">
        <v>863</v>
      </c>
      <c r="B613" s="13" t="s">
        <v>675</v>
      </c>
      <c r="C613" s="145">
        <v>46209</v>
      </c>
      <c r="D613" s="145" t="s">
        <v>469</v>
      </c>
      <c r="E613" s="28">
        <v>0.95959203999999998</v>
      </c>
      <c r="F613" s="13"/>
      <c r="G613" s="18">
        <v>15000000</v>
      </c>
      <c r="H613" s="18">
        <v>14393880.57</v>
      </c>
      <c r="I613" s="18">
        <v>15000000</v>
      </c>
      <c r="J613" s="18">
        <v>14393880.57</v>
      </c>
      <c r="K613" s="15">
        <v>802</v>
      </c>
      <c r="L613" s="13" t="s">
        <v>117</v>
      </c>
      <c r="M613" s="13" t="s">
        <v>118</v>
      </c>
      <c r="N613" s="145" t="s">
        <v>209</v>
      </c>
      <c r="O613" s="145" t="s">
        <v>209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799</v>
      </c>
      <c r="V613" s="13" t="s">
        <v>799</v>
      </c>
      <c r="W613" s="60">
        <f>+J613/$W$2</f>
        <v>3.7936573603989131E-4</v>
      </c>
    </row>
    <row r="614" spans="1:29">
      <c r="A614" s="13" t="s">
        <v>1713</v>
      </c>
      <c r="B614" s="13" t="s">
        <v>675</v>
      </c>
      <c r="C614" s="145">
        <v>46209</v>
      </c>
      <c r="D614" s="145" t="s">
        <v>469</v>
      </c>
      <c r="E614" s="28">
        <v>0.96362017</v>
      </c>
      <c r="F614" s="13"/>
      <c r="G614" s="18">
        <v>1000000000</v>
      </c>
      <c r="H614" s="18">
        <v>963620166</v>
      </c>
      <c r="I614" s="18">
        <v>1000000000</v>
      </c>
      <c r="J614" s="18">
        <v>963620166</v>
      </c>
      <c r="K614" s="15">
        <v>10453</v>
      </c>
      <c r="L614" s="13" t="s">
        <v>117</v>
      </c>
      <c r="M614" s="13" t="s">
        <v>118</v>
      </c>
      <c r="N614" s="145" t="s">
        <v>428</v>
      </c>
      <c r="O614" s="145" t="s">
        <v>428</v>
      </c>
      <c r="P614" s="28">
        <v>26</v>
      </c>
      <c r="Q614" s="13" t="s">
        <v>54</v>
      </c>
      <c r="R614" s="13" t="s">
        <v>28</v>
      </c>
      <c r="S614" s="13"/>
      <c r="T614" s="13"/>
      <c r="U614" s="13" t="s">
        <v>1708</v>
      </c>
      <c r="V614" s="13" t="s">
        <v>1708</v>
      </c>
      <c r="W614" s="60">
        <f>+J614/$W$2</f>
        <v>2.5397214584327501E-2</v>
      </c>
    </row>
    <row r="615" spans="1:29">
      <c r="A615" s="13" t="s">
        <v>1248</v>
      </c>
      <c r="B615" s="13" t="s">
        <v>675</v>
      </c>
      <c r="C615" s="145">
        <v>46210</v>
      </c>
      <c r="D615" s="145" t="s">
        <v>469</v>
      </c>
      <c r="E615" s="28">
        <v>0.94677323000000002</v>
      </c>
      <c r="F615" s="13"/>
      <c r="G615" s="18">
        <v>7162509.1500000004</v>
      </c>
      <c r="H615" s="18">
        <v>6781271.9400000004</v>
      </c>
      <c r="I615" s="18">
        <v>7162509.1500000004</v>
      </c>
      <c r="J615" s="18">
        <v>6781271.9400000004</v>
      </c>
      <c r="K615" s="15">
        <v>65964534</v>
      </c>
      <c r="L615" s="13" t="s">
        <v>117</v>
      </c>
      <c r="M615" s="13" t="s">
        <v>118</v>
      </c>
      <c r="N615" s="145" t="s">
        <v>411</v>
      </c>
      <c r="O615" s="145" t="s">
        <v>411</v>
      </c>
      <c r="P615" s="28">
        <v>38</v>
      </c>
      <c r="Q615" s="13" t="s">
        <v>54</v>
      </c>
      <c r="R615" s="13" t="s">
        <v>28</v>
      </c>
      <c r="S615" s="13"/>
      <c r="T615" s="13"/>
      <c r="U615" s="13" t="s">
        <v>1479</v>
      </c>
      <c r="V615" s="13" t="s">
        <v>1479</v>
      </c>
      <c r="W615" s="60">
        <f>+J615/$W$2</f>
        <v>1.7872749522228126E-4</v>
      </c>
    </row>
    <row r="616" spans="1:29">
      <c r="A616" s="13" t="s">
        <v>1331</v>
      </c>
      <c r="B616" s="13" t="s">
        <v>675</v>
      </c>
      <c r="C616" s="145">
        <v>46210</v>
      </c>
      <c r="D616" s="145" t="s">
        <v>469</v>
      </c>
      <c r="E616" s="28">
        <v>0.95076857000000004</v>
      </c>
      <c r="F616" s="13"/>
      <c r="G616" s="18">
        <v>10000000</v>
      </c>
      <c r="H616" s="18">
        <v>9507685.6699999999</v>
      </c>
      <c r="I616" s="18">
        <v>10000000</v>
      </c>
      <c r="J616" s="18">
        <v>9507685.6699999999</v>
      </c>
      <c r="K616" s="15">
        <v>29098102</v>
      </c>
      <c r="L616" s="13" t="s">
        <v>117</v>
      </c>
      <c r="M616" s="13" t="s">
        <v>118</v>
      </c>
      <c r="N616" s="145" t="s">
        <v>528</v>
      </c>
      <c r="O616" s="145" t="s">
        <v>528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1312</v>
      </c>
      <c r="V616" s="13" t="s">
        <v>1312</v>
      </c>
      <c r="W616" s="60">
        <f>+J616/$W$2</f>
        <v>2.5058497287750369E-4</v>
      </c>
    </row>
    <row r="617" spans="1:29">
      <c r="A617" s="13" t="s">
        <v>1770</v>
      </c>
      <c r="B617" s="13" t="s">
        <v>675</v>
      </c>
      <c r="C617" s="145">
        <v>46210</v>
      </c>
      <c r="D617" s="145" t="s">
        <v>469</v>
      </c>
      <c r="E617" s="28">
        <v>0.95345089999999999</v>
      </c>
      <c r="F617" s="13"/>
      <c r="G617" s="18">
        <v>1862351.88</v>
      </c>
      <c r="H617" s="18">
        <v>1775661.08</v>
      </c>
      <c r="I617" s="18">
        <v>1862351.88</v>
      </c>
      <c r="J617" s="18">
        <v>1775661.08</v>
      </c>
      <c r="K617" s="15">
        <v>11123599</v>
      </c>
      <c r="L617" s="13" t="s">
        <v>117</v>
      </c>
      <c r="M617" s="13" t="s">
        <v>118</v>
      </c>
      <c r="N617" s="145" t="s">
        <v>410</v>
      </c>
      <c r="O617" s="145" t="s">
        <v>410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1771</v>
      </c>
      <c r="V617" s="13" t="s">
        <v>1771</v>
      </c>
      <c r="W617" s="60">
        <f>+J617/$W$2</f>
        <v>4.6799399876609395E-5</v>
      </c>
    </row>
    <row r="618" spans="1:29">
      <c r="A618" s="13" t="s">
        <v>1822</v>
      </c>
      <c r="B618" s="13" t="s">
        <v>675</v>
      </c>
      <c r="C618" s="145">
        <v>46210</v>
      </c>
      <c r="D618" s="145" t="s">
        <v>469</v>
      </c>
      <c r="E618" s="28">
        <v>0.95076859000000002</v>
      </c>
      <c r="F618" s="13"/>
      <c r="G618" s="18">
        <v>2000000</v>
      </c>
      <c r="H618" s="18">
        <v>1901537.18</v>
      </c>
      <c r="I618" s="18">
        <v>2000000</v>
      </c>
      <c r="J618" s="18">
        <v>1901537.18</v>
      </c>
      <c r="K618" s="15">
        <v>7746</v>
      </c>
      <c r="L618" s="13" t="s">
        <v>117</v>
      </c>
      <c r="M618" s="13" t="s">
        <v>118</v>
      </c>
      <c r="N618" s="145" t="s">
        <v>464</v>
      </c>
      <c r="O618" s="145" t="s">
        <v>464</v>
      </c>
      <c r="P618" s="28">
        <v>35</v>
      </c>
      <c r="Q618" s="13" t="s">
        <v>54</v>
      </c>
      <c r="R618" s="13" t="s">
        <v>28</v>
      </c>
      <c r="S618" s="13"/>
      <c r="T618" s="13"/>
      <c r="U618" s="13" t="s">
        <v>1814</v>
      </c>
      <c r="V618" s="13" t="s">
        <v>1814</v>
      </c>
      <c r="W618" s="60">
        <f>+J618/$W$2</f>
        <v>5.0116995787878715E-5</v>
      </c>
    </row>
    <row r="619" spans="1:29">
      <c r="A619" s="13" t="s">
        <v>554</v>
      </c>
      <c r="B619" s="13" t="s">
        <v>675</v>
      </c>
      <c r="C619" s="145">
        <v>46210</v>
      </c>
      <c r="D619" s="145" t="s">
        <v>469</v>
      </c>
      <c r="E619" s="28">
        <v>0.94810150000000004</v>
      </c>
      <c r="F619" s="13"/>
      <c r="G619" s="18">
        <v>9500000</v>
      </c>
      <c r="H619" s="18">
        <v>9006964.2899999991</v>
      </c>
      <c r="I619" s="18">
        <v>9500000</v>
      </c>
      <c r="J619" s="18">
        <v>9006964.2899999991</v>
      </c>
      <c r="K619" s="15">
        <v>10949772</v>
      </c>
      <c r="L619" s="13" t="s">
        <v>117</v>
      </c>
      <c r="M619" s="13" t="s">
        <v>118</v>
      </c>
      <c r="N619" s="145" t="s">
        <v>470</v>
      </c>
      <c r="O619" s="145" t="s">
        <v>470</v>
      </c>
      <c r="P619" s="28">
        <v>37</v>
      </c>
      <c r="Q619" s="13" t="s">
        <v>54</v>
      </c>
      <c r="R619" s="13" t="s">
        <v>28</v>
      </c>
      <c r="S619" s="13"/>
      <c r="T619" s="13"/>
      <c r="U619" s="13" t="s">
        <v>1887</v>
      </c>
      <c r="V619" s="13" t="s">
        <v>1887</v>
      </c>
      <c r="W619" s="60">
        <f>+J619/$W$2</f>
        <v>2.3738793862737093E-4</v>
      </c>
      <c r="AC619" s="57"/>
    </row>
    <row r="620" spans="1:29">
      <c r="A620" s="13" t="s">
        <v>676</v>
      </c>
      <c r="B620" s="13" t="s">
        <v>675</v>
      </c>
      <c r="C620" s="145">
        <v>46210</v>
      </c>
      <c r="D620" s="145" t="s">
        <v>469</v>
      </c>
      <c r="E620" s="28">
        <v>0.95076857000000004</v>
      </c>
      <c r="F620" s="13"/>
      <c r="G620" s="18">
        <v>10000000</v>
      </c>
      <c r="H620" s="18">
        <v>9507685.6699999999</v>
      </c>
      <c r="I620" s="18">
        <v>10000000</v>
      </c>
      <c r="J620" s="18">
        <v>9507685.6699999999</v>
      </c>
      <c r="K620" s="15">
        <v>387</v>
      </c>
      <c r="L620" s="13" t="s">
        <v>117</v>
      </c>
      <c r="M620" s="13" t="s">
        <v>118</v>
      </c>
      <c r="N620" s="145" t="s">
        <v>528</v>
      </c>
      <c r="O620" s="145" t="s">
        <v>528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1289</v>
      </c>
      <c r="V620" s="13" t="s">
        <v>1289</v>
      </c>
      <c r="W620" s="60">
        <f>+J620/$W$2</f>
        <v>2.5058497287750369E-4</v>
      </c>
    </row>
    <row r="621" spans="1:29">
      <c r="A621" s="13" t="s">
        <v>1391</v>
      </c>
      <c r="B621" s="13" t="s">
        <v>675</v>
      </c>
      <c r="C621" s="145">
        <v>46210</v>
      </c>
      <c r="D621" s="145" t="s">
        <v>469</v>
      </c>
      <c r="E621" s="28">
        <v>0.96295920999999995</v>
      </c>
      <c r="F621" s="13"/>
      <c r="G621" s="18">
        <v>10000000</v>
      </c>
      <c r="H621" s="18">
        <v>9629592.0700000003</v>
      </c>
      <c r="I621" s="18">
        <v>10000000</v>
      </c>
      <c r="J621" s="18">
        <v>9629592.0700000003</v>
      </c>
      <c r="K621" s="15">
        <v>1742542</v>
      </c>
      <c r="L621" s="13" t="s">
        <v>117</v>
      </c>
      <c r="M621" s="13" t="s">
        <v>118</v>
      </c>
      <c r="N621" s="145" t="s">
        <v>445</v>
      </c>
      <c r="O621" s="145" t="s">
        <v>445</v>
      </c>
      <c r="P621" s="28">
        <v>26</v>
      </c>
      <c r="Q621" s="13" t="s">
        <v>54</v>
      </c>
      <c r="R621" s="13" t="s">
        <v>28</v>
      </c>
      <c r="S621" s="13"/>
      <c r="T621" s="13"/>
      <c r="U621" s="13" t="s">
        <v>1369</v>
      </c>
      <c r="V621" s="13" t="s">
        <v>1369</v>
      </c>
      <c r="W621" s="60">
        <f>+J621/$W$2</f>
        <v>2.5379794320465527E-4</v>
      </c>
    </row>
    <row r="622" spans="1:29">
      <c r="A622" s="13" t="s">
        <v>863</v>
      </c>
      <c r="B622" s="13" t="s">
        <v>675</v>
      </c>
      <c r="C622" s="145">
        <v>46210</v>
      </c>
      <c r="D622" s="145" t="s">
        <v>469</v>
      </c>
      <c r="E622" s="28">
        <v>0.95886095000000005</v>
      </c>
      <c r="F622" s="13"/>
      <c r="G622" s="18">
        <v>12500000</v>
      </c>
      <c r="H622" s="18">
        <v>11985761.84</v>
      </c>
      <c r="I622" s="18">
        <v>12500000</v>
      </c>
      <c r="J622" s="18">
        <v>11985761.84</v>
      </c>
      <c r="K622" s="15">
        <v>28996507</v>
      </c>
      <c r="L622" s="13" t="s">
        <v>117</v>
      </c>
      <c r="M622" s="13" t="s">
        <v>118</v>
      </c>
      <c r="N622" s="145" t="s">
        <v>209</v>
      </c>
      <c r="O622" s="145" t="s">
        <v>209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804</v>
      </c>
      <c r="V622" s="13" t="s">
        <v>804</v>
      </c>
      <c r="W622" s="60">
        <f>+J622/$W$2</f>
        <v>3.1589725510904683E-4</v>
      </c>
    </row>
    <row r="623" spans="1:29">
      <c r="A623" s="13" t="s">
        <v>1330</v>
      </c>
      <c r="B623" s="13" t="s">
        <v>675</v>
      </c>
      <c r="C623" s="145">
        <v>46210</v>
      </c>
      <c r="D623" s="145" t="s">
        <v>469</v>
      </c>
      <c r="E623" s="28">
        <v>0.95886103</v>
      </c>
      <c r="F623" s="13"/>
      <c r="G623" s="18">
        <v>12000000</v>
      </c>
      <c r="H623" s="18">
        <v>11506332.369999999</v>
      </c>
      <c r="I623" s="18">
        <v>12000000</v>
      </c>
      <c r="J623" s="18">
        <v>11506332.369999999</v>
      </c>
      <c r="K623" s="15">
        <v>90000619</v>
      </c>
      <c r="L623" s="13" t="s">
        <v>117</v>
      </c>
      <c r="M623" s="13" t="s">
        <v>118</v>
      </c>
      <c r="N623" s="145" t="s">
        <v>462</v>
      </c>
      <c r="O623" s="145" t="s">
        <v>462</v>
      </c>
      <c r="P623" s="28">
        <v>29</v>
      </c>
      <c r="Q623" s="13" t="s">
        <v>54</v>
      </c>
      <c r="R623" s="13" t="s">
        <v>28</v>
      </c>
      <c r="S623" s="13"/>
      <c r="T623" s="13"/>
      <c r="U623" s="13" t="s">
        <v>1745</v>
      </c>
      <c r="V623" s="13" t="s">
        <v>1745</v>
      </c>
      <c r="W623" s="60">
        <f>+J623/$W$2</f>
        <v>3.0326139135560974E-4</v>
      </c>
    </row>
    <row r="624" spans="1:29">
      <c r="A624" s="13" t="s">
        <v>1330</v>
      </c>
      <c r="B624" s="13" t="s">
        <v>675</v>
      </c>
      <c r="C624" s="145">
        <v>46210</v>
      </c>
      <c r="D624" s="145" t="s">
        <v>469</v>
      </c>
      <c r="E624" s="28">
        <v>0.95886099999999996</v>
      </c>
      <c r="F624" s="13"/>
      <c r="G624" s="18">
        <v>5000000</v>
      </c>
      <c r="H624" s="18">
        <v>4794305.0199999996</v>
      </c>
      <c r="I624" s="18">
        <v>5000000</v>
      </c>
      <c r="J624" s="18">
        <v>4794305.0199999996</v>
      </c>
      <c r="K624" s="15">
        <v>16779598</v>
      </c>
      <c r="L624" s="13" t="s">
        <v>117</v>
      </c>
      <c r="M624" s="13" t="s">
        <v>118</v>
      </c>
      <c r="N624" s="145" t="s">
        <v>428</v>
      </c>
      <c r="O624" s="145" t="s">
        <v>428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1664</v>
      </c>
      <c r="V624" s="13" t="s">
        <v>1664</v>
      </c>
      <c r="W624" s="60">
        <f>+J624/$W$2</f>
        <v>1.2635890952873493E-4</v>
      </c>
    </row>
    <row r="625" spans="1:29">
      <c r="A625" s="13" t="s">
        <v>406</v>
      </c>
      <c r="B625" s="13" t="s">
        <v>675</v>
      </c>
      <c r="C625" s="145">
        <v>46210</v>
      </c>
      <c r="D625" s="145" t="s">
        <v>469</v>
      </c>
      <c r="E625" s="28">
        <v>0.96158922999999996</v>
      </c>
      <c r="F625" s="13"/>
      <c r="G625" s="18">
        <v>10000000</v>
      </c>
      <c r="H625" s="18">
        <v>9615892.2899999991</v>
      </c>
      <c r="I625" s="18">
        <v>10000000</v>
      </c>
      <c r="J625" s="18">
        <v>9615892.2899999991</v>
      </c>
      <c r="K625" s="15">
        <v>32530</v>
      </c>
      <c r="L625" s="13" t="s">
        <v>117</v>
      </c>
      <c r="M625" s="13" t="s">
        <v>118</v>
      </c>
      <c r="N625" s="145" t="s">
        <v>490</v>
      </c>
      <c r="O625" s="145" t="s">
        <v>490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1600</v>
      </c>
      <c r="V625" s="13" t="s">
        <v>1600</v>
      </c>
      <c r="W625" s="60">
        <f>+J625/$W$2</f>
        <v>2.5343687121312313E-4</v>
      </c>
    </row>
    <row r="626" spans="1:29">
      <c r="A626" s="13" t="s">
        <v>1330</v>
      </c>
      <c r="B626" s="13" t="s">
        <v>675</v>
      </c>
      <c r="C626" s="145">
        <v>46210</v>
      </c>
      <c r="D626" s="145" t="s">
        <v>469</v>
      </c>
      <c r="E626" s="28">
        <v>0.95750274000000002</v>
      </c>
      <c r="F626" s="13"/>
      <c r="G626" s="18">
        <v>20000000</v>
      </c>
      <c r="H626" s="18">
        <v>19150054.850000001</v>
      </c>
      <c r="I626" s="18">
        <v>20000000</v>
      </c>
      <c r="J626" s="18">
        <v>19150054.850000001</v>
      </c>
      <c r="K626" s="15">
        <v>107</v>
      </c>
      <c r="L626" s="13" t="s">
        <v>117</v>
      </c>
      <c r="M626" s="13" t="s">
        <v>118</v>
      </c>
      <c r="N626" s="145" t="s">
        <v>528</v>
      </c>
      <c r="O626" s="145" t="s">
        <v>528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1252</v>
      </c>
      <c r="V626" s="13" t="s">
        <v>1252</v>
      </c>
      <c r="W626" s="60">
        <f>+J626/$W$2</f>
        <v>5.047196701434449E-4</v>
      </c>
    </row>
    <row r="627" spans="1:29">
      <c r="A627" s="13" t="s">
        <v>249</v>
      </c>
      <c r="B627" s="13" t="s">
        <v>675</v>
      </c>
      <c r="C627" s="145">
        <v>46210</v>
      </c>
      <c r="D627" s="145" t="s">
        <v>469</v>
      </c>
      <c r="E627" s="28">
        <v>0.94412852000000003</v>
      </c>
      <c r="F627" s="13"/>
      <c r="G627" s="18">
        <v>267500000</v>
      </c>
      <c r="H627" s="18">
        <v>252554380.03999999</v>
      </c>
      <c r="I627" s="18">
        <v>267500000</v>
      </c>
      <c r="J627" s="18">
        <v>252554380.03999999</v>
      </c>
      <c r="K627" s="15">
        <v>70379142</v>
      </c>
      <c r="L627" s="13" t="s">
        <v>117</v>
      </c>
      <c r="M627" s="13" t="s">
        <v>118</v>
      </c>
      <c r="N627" s="145" t="s">
        <v>446</v>
      </c>
      <c r="O627" s="145" t="s">
        <v>446</v>
      </c>
      <c r="P627" s="28">
        <v>40</v>
      </c>
      <c r="Q627" s="13" t="s">
        <v>54</v>
      </c>
      <c r="R627" s="13" t="s">
        <v>28</v>
      </c>
      <c r="S627" s="13"/>
      <c r="T627" s="13"/>
      <c r="U627" s="13" t="s">
        <v>1854</v>
      </c>
      <c r="V627" s="13" t="s">
        <v>1854</v>
      </c>
      <c r="W627" s="60">
        <f>+J627/$W$2</f>
        <v>6.6563341142112193E-3</v>
      </c>
    </row>
    <row r="628" spans="1:29">
      <c r="A628" s="13" t="s">
        <v>1898</v>
      </c>
      <c r="B628" s="13" t="s">
        <v>675</v>
      </c>
      <c r="C628" s="145">
        <v>46211</v>
      </c>
      <c r="D628" s="145" t="s">
        <v>469</v>
      </c>
      <c r="E628" s="28">
        <v>0.94719107999999996</v>
      </c>
      <c r="F628" s="13"/>
      <c r="G628" s="18">
        <v>28270320.699999999</v>
      </c>
      <c r="H628" s="18">
        <v>26777395.609999999</v>
      </c>
      <c r="I628" s="18">
        <v>28270320.699999999</v>
      </c>
      <c r="J628" s="18">
        <v>26777395.609999999</v>
      </c>
      <c r="K628" s="15">
        <v>29253353</v>
      </c>
      <c r="L628" s="13" t="s">
        <v>117</v>
      </c>
      <c r="M628" s="13" t="s">
        <v>118</v>
      </c>
      <c r="N628" s="145" t="s">
        <v>470</v>
      </c>
      <c r="O628" s="145" t="s">
        <v>470</v>
      </c>
      <c r="P628" s="28">
        <v>37</v>
      </c>
      <c r="Q628" s="13" t="s">
        <v>54</v>
      </c>
      <c r="R628" s="13" t="s">
        <v>28</v>
      </c>
      <c r="S628" s="13"/>
      <c r="T628" s="13"/>
      <c r="U628" s="13" t="s">
        <v>1889</v>
      </c>
      <c r="V628" s="13" t="s">
        <v>1889</v>
      </c>
      <c r="W628" s="60">
        <f>+J628/$W$2</f>
        <v>7.0574619161363548E-4</v>
      </c>
    </row>
    <row r="629" spans="1:29">
      <c r="A629" s="13" t="s">
        <v>734</v>
      </c>
      <c r="B629" s="13" t="s">
        <v>675</v>
      </c>
      <c r="C629" s="145">
        <v>46211</v>
      </c>
      <c r="D629" s="145" t="s">
        <v>469</v>
      </c>
      <c r="E629" s="28">
        <v>0.95537234000000004</v>
      </c>
      <c r="F629" s="13"/>
      <c r="G629" s="18">
        <v>25000000</v>
      </c>
      <c r="H629" s="18">
        <v>23884308.41</v>
      </c>
      <c r="I629" s="18">
        <v>25000000</v>
      </c>
      <c r="J629" s="18">
        <v>23884308.41</v>
      </c>
      <c r="K629" s="15">
        <v>70219531</v>
      </c>
      <c r="L629" s="13" t="s">
        <v>117</v>
      </c>
      <c r="M629" s="13" t="s">
        <v>118</v>
      </c>
      <c r="N629" s="145" t="s">
        <v>591</v>
      </c>
      <c r="O629" s="145" t="s">
        <v>591</v>
      </c>
      <c r="P629" s="28">
        <v>31</v>
      </c>
      <c r="Q629" s="13" t="s">
        <v>54</v>
      </c>
      <c r="R629" s="13" t="s">
        <v>28</v>
      </c>
      <c r="S629" s="13"/>
      <c r="T629" s="13"/>
      <c r="U629" s="13" t="s">
        <v>1803</v>
      </c>
      <c r="V629" s="13" t="s">
        <v>1803</v>
      </c>
      <c r="W629" s="60">
        <f>+J629/$W$2</f>
        <v>6.2949586080686903E-4</v>
      </c>
    </row>
    <row r="630" spans="1:29">
      <c r="A630" s="13" t="s">
        <v>1026</v>
      </c>
      <c r="B630" s="13" t="s">
        <v>675</v>
      </c>
      <c r="C630" s="145">
        <v>46211</v>
      </c>
      <c r="D630" s="145" t="s">
        <v>469</v>
      </c>
      <c r="E630" s="28">
        <v>0.96791307999999998</v>
      </c>
      <c r="F630" s="13"/>
      <c r="G630" s="18">
        <v>1977599</v>
      </c>
      <c r="H630" s="18">
        <v>1914143.94</v>
      </c>
      <c r="I630" s="18">
        <v>1977599</v>
      </c>
      <c r="J630" s="18">
        <v>1914143.94</v>
      </c>
      <c r="K630" s="15">
        <v>9866</v>
      </c>
      <c r="L630" s="13" t="s">
        <v>117</v>
      </c>
      <c r="M630" s="13" t="s">
        <v>118</v>
      </c>
      <c r="N630" s="145" t="s">
        <v>386</v>
      </c>
      <c r="O630" s="145" t="s">
        <v>386</v>
      </c>
      <c r="P630" s="28">
        <v>22</v>
      </c>
      <c r="Q630" s="13" t="s">
        <v>54</v>
      </c>
      <c r="R630" s="13" t="s">
        <v>28</v>
      </c>
      <c r="S630" s="13"/>
      <c r="T630" s="13"/>
      <c r="U630" s="13" t="s">
        <v>1009</v>
      </c>
      <c r="V630" s="13" t="s">
        <v>1009</v>
      </c>
      <c r="W630" s="60">
        <f>+J630/$W$2</f>
        <v>5.0449260097230162E-5</v>
      </c>
    </row>
    <row r="631" spans="1:29">
      <c r="A631" s="13" t="s">
        <v>444</v>
      </c>
      <c r="B631" s="13" t="s">
        <v>675</v>
      </c>
      <c r="C631" s="145">
        <v>46211</v>
      </c>
      <c r="D631" s="145" t="s">
        <v>469</v>
      </c>
      <c r="E631" s="28">
        <v>0.94584106000000001</v>
      </c>
      <c r="F631" s="13"/>
      <c r="G631" s="18">
        <v>5000000</v>
      </c>
      <c r="H631" s="18">
        <v>4729205.29</v>
      </c>
      <c r="I631" s="18">
        <v>5000000</v>
      </c>
      <c r="J631" s="18">
        <v>4729205.29</v>
      </c>
      <c r="K631" s="15">
        <v>60524151</v>
      </c>
      <c r="L631" s="13" t="s">
        <v>117</v>
      </c>
      <c r="M631" s="13" t="s">
        <v>118</v>
      </c>
      <c r="N631" s="145" t="s">
        <v>209</v>
      </c>
      <c r="O631" s="145" t="s">
        <v>209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861</v>
      </c>
      <c r="V631" s="13" t="s">
        <v>861</v>
      </c>
      <c r="W631" s="60">
        <f>+J631/$W$2</f>
        <v>1.2464313824194788E-4</v>
      </c>
    </row>
    <row r="632" spans="1:29">
      <c r="A632" s="13" t="s">
        <v>242</v>
      </c>
      <c r="B632" s="13" t="s">
        <v>675</v>
      </c>
      <c r="C632" s="145">
        <v>46211</v>
      </c>
      <c r="D632" s="145" t="s">
        <v>469</v>
      </c>
      <c r="E632" s="28">
        <v>0.95262963000000001</v>
      </c>
      <c r="F632" s="13"/>
      <c r="G632" s="18">
        <v>38136774.549999997</v>
      </c>
      <c r="H632" s="18">
        <v>36330221.399999999</v>
      </c>
      <c r="I632" s="18">
        <v>38136774.549999997</v>
      </c>
      <c r="J632" s="18">
        <v>36330221.399999999</v>
      </c>
      <c r="K632" s="15">
        <v>66789069</v>
      </c>
      <c r="L632" s="13" t="s">
        <v>117</v>
      </c>
      <c r="M632" s="13" t="s">
        <v>118</v>
      </c>
      <c r="N632" s="145" t="s">
        <v>446</v>
      </c>
      <c r="O632" s="145" t="s">
        <v>446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1855</v>
      </c>
      <c r="V632" s="13" t="s">
        <v>1855</v>
      </c>
      <c r="W632" s="60">
        <f>+J632/$W$2</f>
        <v>9.5752087943739347E-4</v>
      </c>
    </row>
    <row r="633" spans="1:29">
      <c r="A633" s="13" t="s">
        <v>406</v>
      </c>
      <c r="B633" s="13" t="s">
        <v>675</v>
      </c>
      <c r="C633" s="145">
        <v>46211</v>
      </c>
      <c r="D633" s="145" t="s">
        <v>469</v>
      </c>
      <c r="E633" s="28">
        <v>0.95674968000000005</v>
      </c>
      <c r="F633" s="13"/>
      <c r="G633" s="18">
        <v>35000000</v>
      </c>
      <c r="H633" s="18">
        <v>33486238.920000002</v>
      </c>
      <c r="I633" s="18">
        <v>35000000</v>
      </c>
      <c r="J633" s="18">
        <v>33486238.920000002</v>
      </c>
      <c r="K633" s="15">
        <v>10948</v>
      </c>
      <c r="L633" s="13" t="s">
        <v>117</v>
      </c>
      <c r="M633" s="13" t="s">
        <v>118</v>
      </c>
      <c r="N633" s="145" t="s">
        <v>385</v>
      </c>
      <c r="O633" s="145" t="s">
        <v>385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961</v>
      </c>
      <c r="V633" s="13" t="s">
        <v>961</v>
      </c>
      <c r="W633" s="60">
        <f>+J633/$W$2</f>
        <v>8.8256475474517962E-4</v>
      </c>
    </row>
    <row r="634" spans="1:29">
      <c r="A634" s="13" t="s">
        <v>1330</v>
      </c>
      <c r="B634" s="13" t="s">
        <v>675</v>
      </c>
      <c r="C634" s="145">
        <v>46211</v>
      </c>
      <c r="D634" s="145" t="s">
        <v>469</v>
      </c>
      <c r="E634" s="28">
        <v>0.95813101000000001</v>
      </c>
      <c r="F634" s="13"/>
      <c r="G634" s="18">
        <v>5000000</v>
      </c>
      <c r="H634" s="18">
        <v>4790655.05</v>
      </c>
      <c r="I634" s="18">
        <v>5000000</v>
      </c>
      <c r="J634" s="18">
        <v>4790655.05</v>
      </c>
      <c r="K634" s="15">
        <v>16779599</v>
      </c>
      <c r="L634" s="13" t="s">
        <v>117</v>
      </c>
      <c r="M634" s="13" t="s">
        <v>118</v>
      </c>
      <c r="N634" s="145" t="s">
        <v>428</v>
      </c>
      <c r="O634" s="145" t="s">
        <v>428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1663</v>
      </c>
      <c r="V634" s="13" t="s">
        <v>1663</v>
      </c>
      <c r="W634" s="60">
        <f>+J634/$W$2</f>
        <v>1.2626271076226334E-4</v>
      </c>
    </row>
    <row r="635" spans="1:29">
      <c r="A635" s="13" t="s">
        <v>406</v>
      </c>
      <c r="B635" s="13" t="s">
        <v>675</v>
      </c>
      <c r="C635" s="145">
        <v>46211</v>
      </c>
      <c r="D635" s="145" t="s">
        <v>469</v>
      </c>
      <c r="E635" s="28">
        <v>0.95813110000000001</v>
      </c>
      <c r="F635" s="13"/>
      <c r="G635" s="18">
        <v>1200000</v>
      </c>
      <c r="H635" s="18">
        <v>1149757.32</v>
      </c>
      <c r="I635" s="18">
        <v>1200000</v>
      </c>
      <c r="J635" s="18">
        <v>1149757.32</v>
      </c>
      <c r="K635" s="15">
        <v>543</v>
      </c>
      <c r="L635" s="13" t="s">
        <v>117</v>
      </c>
      <c r="M635" s="13" t="s">
        <v>118</v>
      </c>
      <c r="N635" s="145" t="s">
        <v>216</v>
      </c>
      <c r="O635" s="145" t="s">
        <v>216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1613</v>
      </c>
      <c r="V635" s="13" t="s">
        <v>1613</v>
      </c>
      <c r="W635" s="60">
        <f>+J635/$W$2</f>
        <v>3.0303053429395857E-5</v>
      </c>
      <c r="AC635" s="57"/>
    </row>
    <row r="636" spans="1:29">
      <c r="A636" s="13" t="s">
        <v>406</v>
      </c>
      <c r="B636" s="13" t="s">
        <v>675</v>
      </c>
      <c r="C636" s="145">
        <v>46211</v>
      </c>
      <c r="D636" s="145" t="s">
        <v>469</v>
      </c>
      <c r="E636" s="28">
        <v>0.95813110000000001</v>
      </c>
      <c r="F636" s="13"/>
      <c r="G636" s="18">
        <v>12500000</v>
      </c>
      <c r="H636" s="18">
        <v>11976638.77</v>
      </c>
      <c r="I636" s="18">
        <v>12500000</v>
      </c>
      <c r="J636" s="18">
        <v>11976638.77</v>
      </c>
      <c r="K636" s="15">
        <v>9798605</v>
      </c>
      <c r="L636" s="13" t="s">
        <v>117</v>
      </c>
      <c r="M636" s="13" t="s">
        <v>118</v>
      </c>
      <c r="N636" s="145" t="s">
        <v>216</v>
      </c>
      <c r="O636" s="145" t="s">
        <v>216</v>
      </c>
      <c r="P636" s="28">
        <v>29</v>
      </c>
      <c r="Q636" s="13" t="s">
        <v>54</v>
      </c>
      <c r="R636" s="13" t="s">
        <v>28</v>
      </c>
      <c r="S636" s="13"/>
      <c r="T636" s="13"/>
      <c r="U636" s="13" t="s">
        <v>1615</v>
      </c>
      <c r="V636" s="13" t="s">
        <v>1615</v>
      </c>
      <c r="W636" s="60">
        <f>+J636/$W$2</f>
        <v>3.1565680708332767E-4</v>
      </c>
    </row>
    <row r="637" spans="1:29">
      <c r="A637" s="13" t="s">
        <v>406</v>
      </c>
      <c r="B637" s="13" t="s">
        <v>675</v>
      </c>
      <c r="C637" s="145">
        <v>46211</v>
      </c>
      <c r="D637" s="145" t="s">
        <v>469</v>
      </c>
      <c r="E637" s="28">
        <v>0.95813101000000001</v>
      </c>
      <c r="F637" s="13"/>
      <c r="G637" s="18">
        <v>7000000</v>
      </c>
      <c r="H637" s="18">
        <v>6706917.0499999998</v>
      </c>
      <c r="I637" s="18">
        <v>7000000</v>
      </c>
      <c r="J637" s="18">
        <v>6706917.0499999998</v>
      </c>
      <c r="K637" s="15">
        <v>66582572</v>
      </c>
      <c r="L637" s="13" t="s">
        <v>117</v>
      </c>
      <c r="M637" s="13" t="s">
        <v>118</v>
      </c>
      <c r="N637" s="145" t="s">
        <v>428</v>
      </c>
      <c r="O637" s="145" t="s">
        <v>428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1686</v>
      </c>
      <c r="V637" s="13" t="s">
        <v>1686</v>
      </c>
      <c r="W637" s="60">
        <f>+J637/$W$2</f>
        <v>1.7676779454004783E-4</v>
      </c>
    </row>
    <row r="638" spans="1:29">
      <c r="A638" s="13" t="s">
        <v>1764</v>
      </c>
      <c r="B638" s="13" t="s">
        <v>675</v>
      </c>
      <c r="C638" s="145">
        <v>46211</v>
      </c>
      <c r="D638" s="145" t="s">
        <v>469</v>
      </c>
      <c r="E638" s="28">
        <v>0.95951633999999997</v>
      </c>
      <c r="F638" s="13"/>
      <c r="G638" s="18">
        <v>6500000</v>
      </c>
      <c r="H638" s="18">
        <v>6236856.21</v>
      </c>
      <c r="I638" s="18">
        <v>6500000</v>
      </c>
      <c r="J638" s="18">
        <v>6236856.21</v>
      </c>
      <c r="K638" s="15">
        <v>29175485</v>
      </c>
      <c r="L638" s="13" t="s">
        <v>117</v>
      </c>
      <c r="M638" s="13" t="s">
        <v>118</v>
      </c>
      <c r="N638" s="145" t="s">
        <v>462</v>
      </c>
      <c r="O638" s="145" t="s">
        <v>462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1728</v>
      </c>
      <c r="V638" s="13" t="s">
        <v>1728</v>
      </c>
      <c r="W638" s="60">
        <f>+J638/$W$2</f>
        <v>1.6437885080226262E-4</v>
      </c>
    </row>
    <row r="639" spans="1:29">
      <c r="A639" s="13" t="s">
        <v>1895</v>
      </c>
      <c r="B639" s="13" t="s">
        <v>675</v>
      </c>
      <c r="C639" s="145">
        <v>46211</v>
      </c>
      <c r="D639" s="145" t="s">
        <v>469</v>
      </c>
      <c r="E639" s="28">
        <v>0.94719107999999996</v>
      </c>
      <c r="F639" s="13"/>
      <c r="G639" s="18">
        <v>50000000</v>
      </c>
      <c r="H639" s="18">
        <v>47359554.020000003</v>
      </c>
      <c r="I639" s="18">
        <v>50000000</v>
      </c>
      <c r="J639" s="18">
        <v>47359554.020000003</v>
      </c>
      <c r="K639" s="15">
        <v>29239213</v>
      </c>
      <c r="L639" s="13" t="s">
        <v>117</v>
      </c>
      <c r="M639" s="13" t="s">
        <v>118</v>
      </c>
      <c r="N639" s="145" t="s">
        <v>470</v>
      </c>
      <c r="O639" s="145" t="s">
        <v>470</v>
      </c>
      <c r="P639" s="28">
        <v>37</v>
      </c>
      <c r="Q639" s="13" t="s">
        <v>54</v>
      </c>
      <c r="R639" s="13" t="s">
        <v>28</v>
      </c>
      <c r="S639" s="13"/>
      <c r="T639" s="13"/>
      <c r="U639" s="13" t="s">
        <v>1885</v>
      </c>
      <c r="V639" s="13" t="s">
        <v>1885</v>
      </c>
      <c r="W639" s="60">
        <f>+J639/$W$2</f>
        <v>1.2482104448444994E-3</v>
      </c>
    </row>
    <row r="640" spans="1:29">
      <c r="A640" s="13" t="s">
        <v>1066</v>
      </c>
      <c r="B640" s="13" t="s">
        <v>675</v>
      </c>
      <c r="C640" s="145">
        <v>46211</v>
      </c>
      <c r="D640" s="145" t="s">
        <v>469</v>
      </c>
      <c r="E640" s="28">
        <v>0.94854484999999999</v>
      </c>
      <c r="F640" s="13"/>
      <c r="G640" s="18">
        <v>5000000</v>
      </c>
      <c r="H640" s="18">
        <v>4742724.24</v>
      </c>
      <c r="I640" s="18">
        <v>5000000</v>
      </c>
      <c r="J640" s="18">
        <v>4742724.24</v>
      </c>
      <c r="K640" s="15">
        <v>66205682</v>
      </c>
      <c r="L640" s="13" t="s">
        <v>117</v>
      </c>
      <c r="M640" s="13" t="s">
        <v>118</v>
      </c>
      <c r="N640" s="145" t="s">
        <v>205</v>
      </c>
      <c r="O640" s="145" t="s">
        <v>205</v>
      </c>
      <c r="P640" s="28">
        <v>36</v>
      </c>
      <c r="Q640" s="13" t="s">
        <v>54</v>
      </c>
      <c r="R640" s="13" t="s">
        <v>28</v>
      </c>
      <c r="S640" s="13"/>
      <c r="T640" s="13"/>
      <c r="U640" s="13" t="s">
        <v>1062</v>
      </c>
      <c r="V640" s="13" t="s">
        <v>1062</v>
      </c>
      <c r="W640" s="60">
        <f>+J640/$W$2</f>
        <v>1.2499944427021422E-4</v>
      </c>
    </row>
    <row r="641" spans="1:29">
      <c r="A641" s="13" t="s">
        <v>463</v>
      </c>
      <c r="B641" s="13" t="s">
        <v>675</v>
      </c>
      <c r="C641" s="145">
        <v>46211</v>
      </c>
      <c r="D641" s="145" t="s">
        <v>469</v>
      </c>
      <c r="E641" s="28">
        <v>0.94854481000000002</v>
      </c>
      <c r="F641" s="13"/>
      <c r="G641" s="18">
        <v>16500000</v>
      </c>
      <c r="H641" s="18">
        <v>15650989.289999999</v>
      </c>
      <c r="I641" s="18">
        <v>16500000</v>
      </c>
      <c r="J641" s="18">
        <v>15650989.289999999</v>
      </c>
      <c r="K641" s="15">
        <v>32344</v>
      </c>
      <c r="L641" s="13" t="s">
        <v>117</v>
      </c>
      <c r="M641" s="13" t="s">
        <v>118</v>
      </c>
      <c r="N641" s="145" t="s">
        <v>457</v>
      </c>
      <c r="O641" s="145" t="s">
        <v>457</v>
      </c>
      <c r="P641" s="28">
        <v>36</v>
      </c>
      <c r="Q641" s="13" t="s">
        <v>54</v>
      </c>
      <c r="R641" s="13" t="s">
        <v>28</v>
      </c>
      <c r="S641" s="13"/>
      <c r="T641" s="13"/>
      <c r="U641" s="13" t="s">
        <v>1533</v>
      </c>
      <c r="V641" s="13" t="s">
        <v>1533</v>
      </c>
      <c r="W641" s="60">
        <f>+J641/$W$2</f>
        <v>4.1249814758976465E-4</v>
      </c>
    </row>
    <row r="642" spans="1:29">
      <c r="A642" s="13" t="s">
        <v>1772</v>
      </c>
      <c r="B642" s="13" t="s">
        <v>675</v>
      </c>
      <c r="C642" s="145">
        <v>46216</v>
      </c>
      <c r="D642" s="145" t="s">
        <v>469</v>
      </c>
      <c r="E642" s="28">
        <v>0.94854472999999995</v>
      </c>
      <c r="F642" s="13"/>
      <c r="G642" s="18">
        <v>1100000</v>
      </c>
      <c r="H642" s="18">
        <v>1043399.2</v>
      </c>
      <c r="I642" s="18">
        <v>1100000</v>
      </c>
      <c r="J642" s="18">
        <v>1043399.2</v>
      </c>
      <c r="K642" s="15">
        <v>49400429</v>
      </c>
      <c r="L642" s="13" t="s">
        <v>117</v>
      </c>
      <c r="M642" s="13" t="s">
        <v>118</v>
      </c>
      <c r="N642" s="145" t="s">
        <v>410</v>
      </c>
      <c r="O642" s="145" t="s">
        <v>410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1773</v>
      </c>
      <c r="V642" s="13" t="s">
        <v>1773</v>
      </c>
      <c r="W642" s="60">
        <f>+J642/$W$2</f>
        <v>2.7499874239364609E-5</v>
      </c>
    </row>
    <row r="643" spans="1:29">
      <c r="A643" s="13" t="s">
        <v>1822</v>
      </c>
      <c r="B643" s="13" t="s">
        <v>675</v>
      </c>
      <c r="C643" s="145">
        <v>46216</v>
      </c>
      <c r="D643" s="145" t="s">
        <v>469</v>
      </c>
      <c r="E643" s="28">
        <v>0.94559612000000004</v>
      </c>
      <c r="F643" s="13"/>
      <c r="G643" s="18">
        <v>2000000</v>
      </c>
      <c r="H643" s="18">
        <v>1891192.23</v>
      </c>
      <c r="I643" s="18">
        <v>2000000</v>
      </c>
      <c r="J643" s="18">
        <v>1891192.23</v>
      </c>
      <c r="K643" s="15">
        <v>7747</v>
      </c>
      <c r="L643" s="13" t="s">
        <v>117</v>
      </c>
      <c r="M643" s="13" t="s">
        <v>118</v>
      </c>
      <c r="N643" s="145" t="s">
        <v>464</v>
      </c>
      <c r="O643" s="145" t="s">
        <v>464</v>
      </c>
      <c r="P643" s="28">
        <v>35</v>
      </c>
      <c r="Q643" s="13" t="s">
        <v>54</v>
      </c>
      <c r="R643" s="13" t="s">
        <v>28</v>
      </c>
      <c r="S643" s="13"/>
      <c r="T643" s="13"/>
      <c r="U643" s="13" t="s">
        <v>1818</v>
      </c>
      <c r="V643" s="13" t="s">
        <v>1818</v>
      </c>
      <c r="W643" s="60">
        <f>+J643/$W$2</f>
        <v>4.9844343840270823E-5</v>
      </c>
    </row>
    <row r="644" spans="1:29">
      <c r="A644" s="13" t="s">
        <v>734</v>
      </c>
      <c r="B644" s="13" t="s">
        <v>675</v>
      </c>
      <c r="C644" s="145">
        <v>46216</v>
      </c>
      <c r="D644" s="145" t="s">
        <v>469</v>
      </c>
      <c r="E644" s="28">
        <v>0.95151215</v>
      </c>
      <c r="F644" s="13"/>
      <c r="G644" s="18">
        <v>42000000</v>
      </c>
      <c r="H644" s="18">
        <v>39963510.460000001</v>
      </c>
      <c r="I644" s="18">
        <v>42000000</v>
      </c>
      <c r="J644" s="18">
        <v>39963510.460000001</v>
      </c>
      <c r="K644" s="15">
        <v>148258</v>
      </c>
      <c r="L644" s="13" t="s">
        <v>117</v>
      </c>
      <c r="M644" s="13" t="s">
        <v>118</v>
      </c>
      <c r="N644" s="145" t="s">
        <v>591</v>
      </c>
      <c r="O644" s="145" t="s">
        <v>591</v>
      </c>
      <c r="P644" s="28">
        <v>31</v>
      </c>
      <c r="Q644" s="13" t="s">
        <v>54</v>
      </c>
      <c r="R644" s="13" t="s">
        <v>28</v>
      </c>
      <c r="S644" s="13"/>
      <c r="T644" s="13"/>
      <c r="U644" s="13" t="s">
        <v>1801</v>
      </c>
      <c r="V644" s="13" t="s">
        <v>1801</v>
      </c>
      <c r="W644" s="60">
        <f>+J644/$W$2</f>
        <v>1.0532800023361454E-3</v>
      </c>
    </row>
    <row r="645" spans="1:29">
      <c r="A645" s="13" t="s">
        <v>734</v>
      </c>
      <c r="B645" s="13" t="s">
        <v>675</v>
      </c>
      <c r="C645" s="145">
        <v>46216</v>
      </c>
      <c r="D645" s="145" t="s">
        <v>469</v>
      </c>
      <c r="E645" s="28">
        <v>0.95151215</v>
      </c>
      <c r="F645" s="13"/>
      <c r="G645" s="18">
        <v>25000000</v>
      </c>
      <c r="H645" s="18">
        <v>23787803.850000001</v>
      </c>
      <c r="I645" s="18">
        <v>25000000</v>
      </c>
      <c r="J645" s="18">
        <v>23787803.850000001</v>
      </c>
      <c r="K645" s="15">
        <v>70219526</v>
      </c>
      <c r="L645" s="13" t="s">
        <v>117</v>
      </c>
      <c r="M645" s="13" t="s">
        <v>118</v>
      </c>
      <c r="N645" s="145" t="s">
        <v>591</v>
      </c>
      <c r="O645" s="145" t="s">
        <v>591</v>
      </c>
      <c r="P645" s="28">
        <v>31</v>
      </c>
      <c r="Q645" s="13" t="s">
        <v>54</v>
      </c>
      <c r="R645" s="13" t="s">
        <v>28</v>
      </c>
      <c r="S645" s="13"/>
      <c r="T645" s="13"/>
      <c r="U645" s="13" t="s">
        <v>1804</v>
      </c>
      <c r="V645" s="13" t="s">
        <v>1804</v>
      </c>
      <c r="W645" s="60">
        <f>+J645/$W$2</f>
        <v>6.2695238246844858E-4</v>
      </c>
    </row>
    <row r="646" spans="1:29">
      <c r="A646" s="13" t="s">
        <v>734</v>
      </c>
      <c r="B646" s="13" t="s">
        <v>675</v>
      </c>
      <c r="C646" s="145">
        <v>46216</v>
      </c>
      <c r="D646" s="145" t="s">
        <v>469</v>
      </c>
      <c r="E646" s="28">
        <v>0.95151218999999998</v>
      </c>
      <c r="F646" s="13"/>
      <c r="G646" s="18">
        <v>25000000</v>
      </c>
      <c r="H646" s="18">
        <v>23787804.739999998</v>
      </c>
      <c r="I646" s="18">
        <v>25000000</v>
      </c>
      <c r="J646" s="18">
        <v>23787804.739999998</v>
      </c>
      <c r="K646" s="15">
        <v>148259</v>
      </c>
      <c r="L646" s="13" t="s">
        <v>117</v>
      </c>
      <c r="M646" s="13" t="s">
        <v>118</v>
      </c>
      <c r="N646" s="145" t="s">
        <v>460</v>
      </c>
      <c r="O646" s="145" t="s">
        <v>460</v>
      </c>
      <c r="P646" s="28">
        <v>31</v>
      </c>
      <c r="Q646" s="13" t="s">
        <v>54</v>
      </c>
      <c r="R646" s="13" t="s">
        <v>28</v>
      </c>
      <c r="S646" s="13"/>
      <c r="T646" s="13"/>
      <c r="U646" s="13" t="s">
        <v>1832</v>
      </c>
      <c r="V646" s="13" t="s">
        <v>1832</v>
      </c>
      <c r="W646" s="60">
        <f>+J646/$W$2</f>
        <v>6.2695240592532684E-4</v>
      </c>
    </row>
    <row r="647" spans="1:29">
      <c r="A647" s="13" t="s">
        <v>1330</v>
      </c>
      <c r="B647" s="13" t="s">
        <v>675</v>
      </c>
      <c r="C647" s="145">
        <v>46216</v>
      </c>
      <c r="D647" s="145" t="s">
        <v>469</v>
      </c>
      <c r="E647" s="28">
        <v>0.95599800000000001</v>
      </c>
      <c r="F647" s="13"/>
      <c r="G647" s="18">
        <v>1000000</v>
      </c>
      <c r="H647" s="18">
        <v>955998</v>
      </c>
      <c r="I647" s="18">
        <v>1000000</v>
      </c>
      <c r="J647" s="18">
        <v>955998</v>
      </c>
      <c r="K647" s="15">
        <v>18305446</v>
      </c>
      <c r="L647" s="13" t="s">
        <v>117</v>
      </c>
      <c r="M647" s="13" t="s">
        <v>118</v>
      </c>
      <c r="N647" s="145" t="s">
        <v>411</v>
      </c>
      <c r="O647" s="145" t="s">
        <v>411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1441</v>
      </c>
      <c r="V647" s="13" t="s">
        <v>1441</v>
      </c>
      <c r="W647" s="60">
        <f>+J647/$W$2</f>
        <v>2.5196324449054673E-5</v>
      </c>
    </row>
    <row r="648" spans="1:29">
      <c r="A648" s="13" t="s">
        <v>406</v>
      </c>
      <c r="B648" s="13" t="s">
        <v>675</v>
      </c>
      <c r="C648" s="145">
        <v>46216</v>
      </c>
      <c r="D648" s="145" t="s">
        <v>469</v>
      </c>
      <c r="E648" s="28">
        <v>0.95750279999999999</v>
      </c>
      <c r="F648" s="13"/>
      <c r="G648" s="18">
        <v>10000000</v>
      </c>
      <c r="H648" s="18">
        <v>9575027.9800000004</v>
      </c>
      <c r="I648" s="18">
        <v>10000000</v>
      </c>
      <c r="J648" s="18">
        <v>9575027.9800000004</v>
      </c>
      <c r="K648" s="15">
        <v>32531</v>
      </c>
      <c r="L648" s="13" t="s">
        <v>117</v>
      </c>
      <c r="M648" s="13" t="s">
        <v>118</v>
      </c>
      <c r="N648" s="145" t="s">
        <v>490</v>
      </c>
      <c r="O648" s="145" t="s">
        <v>490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1599</v>
      </c>
      <c r="V648" s="13" t="s">
        <v>1599</v>
      </c>
      <c r="W648" s="60">
        <f>+J648/$W$2</f>
        <v>2.5235984969932638E-4</v>
      </c>
      <c r="AC648" s="57"/>
    </row>
    <row r="649" spans="1:29">
      <c r="A649" s="13" t="s">
        <v>406</v>
      </c>
      <c r="B649" s="13" t="s">
        <v>675</v>
      </c>
      <c r="C649" s="145">
        <v>46216</v>
      </c>
      <c r="D649" s="145" t="s">
        <v>469</v>
      </c>
      <c r="E649" s="28">
        <v>0.95449806000000004</v>
      </c>
      <c r="F649" s="13"/>
      <c r="G649" s="18">
        <v>20000000</v>
      </c>
      <c r="H649" s="18">
        <v>19089961.27</v>
      </c>
      <c r="I649" s="18">
        <v>20000000</v>
      </c>
      <c r="J649" s="18">
        <v>19089961.27</v>
      </c>
      <c r="K649" s="15">
        <v>816</v>
      </c>
      <c r="L649" s="13" t="s">
        <v>117</v>
      </c>
      <c r="M649" s="13" t="s">
        <v>118</v>
      </c>
      <c r="N649" s="145" t="s">
        <v>428</v>
      </c>
      <c r="O649" s="145" t="s">
        <v>428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1690</v>
      </c>
      <c r="V649" s="13" t="s">
        <v>1690</v>
      </c>
      <c r="W649" s="60">
        <f>+J649/$W$2</f>
        <v>5.0313584116160059E-4</v>
      </c>
    </row>
    <row r="650" spans="1:29">
      <c r="A650" s="13" t="s">
        <v>406</v>
      </c>
      <c r="B650" s="13" t="s">
        <v>675</v>
      </c>
      <c r="C650" s="145">
        <v>46216</v>
      </c>
      <c r="D650" s="145" t="s">
        <v>469</v>
      </c>
      <c r="E650" s="28">
        <v>0.95449806999999998</v>
      </c>
      <c r="F650" s="13"/>
      <c r="G650" s="18">
        <v>6500000</v>
      </c>
      <c r="H650" s="18">
        <v>6204237.4199999999</v>
      </c>
      <c r="I650" s="18">
        <v>6500000</v>
      </c>
      <c r="J650" s="18">
        <v>6204237.4199999999</v>
      </c>
      <c r="K650" s="15">
        <v>66607731</v>
      </c>
      <c r="L650" s="13" t="s">
        <v>117</v>
      </c>
      <c r="M650" s="13" t="s">
        <v>118</v>
      </c>
      <c r="N650" s="145" t="s">
        <v>428</v>
      </c>
      <c r="O650" s="145" t="s">
        <v>428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1705</v>
      </c>
      <c r="V650" s="13" t="s">
        <v>1705</v>
      </c>
      <c r="W650" s="60">
        <f>+J650/$W$2</f>
        <v>1.635191485686015E-4</v>
      </c>
    </row>
    <row r="651" spans="1:29">
      <c r="A651" s="13" t="s">
        <v>1764</v>
      </c>
      <c r="B651" s="13" t="s">
        <v>675</v>
      </c>
      <c r="C651" s="145">
        <v>46216</v>
      </c>
      <c r="D651" s="145" t="s">
        <v>469</v>
      </c>
      <c r="E651" s="28">
        <v>0.95599807999999997</v>
      </c>
      <c r="F651" s="13"/>
      <c r="G651" s="18">
        <v>6500000</v>
      </c>
      <c r="H651" s="18">
        <v>6213987.5499999998</v>
      </c>
      <c r="I651" s="18">
        <v>6500000</v>
      </c>
      <c r="J651" s="18">
        <v>6213987.5499999998</v>
      </c>
      <c r="K651" s="15">
        <v>29175483</v>
      </c>
      <c r="L651" s="13" t="s">
        <v>117</v>
      </c>
      <c r="M651" s="13" t="s">
        <v>118</v>
      </c>
      <c r="N651" s="145" t="s">
        <v>462</v>
      </c>
      <c r="O651" s="145" t="s">
        <v>462</v>
      </c>
      <c r="P651" s="28">
        <v>28</v>
      </c>
      <c r="Q651" s="13" t="s">
        <v>54</v>
      </c>
      <c r="R651" s="13" t="s">
        <v>28</v>
      </c>
      <c r="S651" s="13"/>
      <c r="T651" s="13"/>
      <c r="U651" s="13" t="s">
        <v>1729</v>
      </c>
      <c r="V651" s="13" t="s">
        <v>1729</v>
      </c>
      <c r="W651" s="60">
        <f>+J651/$W$2</f>
        <v>1.6377612341467906E-4</v>
      </c>
      <c r="AC651" s="57"/>
    </row>
    <row r="652" spans="1:29">
      <c r="A652" s="13" t="s">
        <v>734</v>
      </c>
      <c r="B652" s="13" t="s">
        <v>675</v>
      </c>
      <c r="C652" s="145">
        <v>46217</v>
      </c>
      <c r="D652" s="145" t="s">
        <v>469</v>
      </c>
      <c r="E652" s="28">
        <v>0.95074376000000005</v>
      </c>
      <c r="F652" s="13"/>
      <c r="G652" s="18">
        <v>30000000</v>
      </c>
      <c r="H652" s="18">
        <v>28522312.73</v>
      </c>
      <c r="I652" s="18">
        <v>30000000</v>
      </c>
      <c r="J652" s="18">
        <v>28522312.73</v>
      </c>
      <c r="K652" s="15">
        <v>70219529</v>
      </c>
      <c r="L652" s="13" t="s">
        <v>117</v>
      </c>
      <c r="M652" s="13" t="s">
        <v>118</v>
      </c>
      <c r="N652" s="145" t="s">
        <v>591</v>
      </c>
      <c r="O652" s="145" t="s">
        <v>591</v>
      </c>
      <c r="P652" s="28">
        <v>31</v>
      </c>
      <c r="Q652" s="13" t="s">
        <v>54</v>
      </c>
      <c r="R652" s="13" t="s">
        <v>28</v>
      </c>
      <c r="S652" s="13"/>
      <c r="T652" s="13"/>
      <c r="U652" s="13" t="s">
        <v>1805</v>
      </c>
      <c r="V652" s="13" t="s">
        <v>1805</v>
      </c>
      <c r="W652" s="60">
        <f>+J652/$W$2</f>
        <v>7.5173530235678567E-4</v>
      </c>
    </row>
    <row r="653" spans="1:29">
      <c r="A653" s="13" t="s">
        <v>734</v>
      </c>
      <c r="B653" s="13" t="s">
        <v>675</v>
      </c>
      <c r="C653" s="145">
        <v>46217</v>
      </c>
      <c r="D653" s="145" t="s">
        <v>469</v>
      </c>
      <c r="E653" s="28">
        <v>0.95074378999999998</v>
      </c>
      <c r="F653" s="13"/>
      <c r="G653" s="18">
        <v>3200000</v>
      </c>
      <c r="H653" s="18">
        <v>3042380.13</v>
      </c>
      <c r="I653" s="18">
        <v>3200000</v>
      </c>
      <c r="J653" s="18">
        <v>3042380.13</v>
      </c>
      <c r="K653" s="15">
        <v>148262</v>
      </c>
      <c r="L653" s="13" t="s">
        <v>117</v>
      </c>
      <c r="M653" s="13" t="s">
        <v>118</v>
      </c>
      <c r="N653" s="145" t="s">
        <v>460</v>
      </c>
      <c r="O653" s="145" t="s">
        <v>460</v>
      </c>
      <c r="P653" s="28">
        <v>31</v>
      </c>
      <c r="Q653" s="13" t="s">
        <v>54</v>
      </c>
      <c r="R653" s="13" t="s">
        <v>28</v>
      </c>
      <c r="S653" s="13"/>
      <c r="T653" s="13"/>
      <c r="U653" s="13" t="s">
        <v>1833</v>
      </c>
      <c r="V653" s="13" t="s">
        <v>1833</v>
      </c>
      <c r="W653" s="60">
        <f>+J653/$W$2</f>
        <v>8.0185101697741136E-5</v>
      </c>
    </row>
    <row r="654" spans="1:29">
      <c r="A654" s="13" t="s">
        <v>734</v>
      </c>
      <c r="B654" s="13" t="s">
        <v>675</v>
      </c>
      <c r="C654" s="145">
        <v>46217</v>
      </c>
      <c r="D654" s="145" t="s">
        <v>469</v>
      </c>
      <c r="E654" s="28">
        <v>0.95074378999999998</v>
      </c>
      <c r="F654" s="13"/>
      <c r="G654" s="18">
        <v>25000000</v>
      </c>
      <c r="H654" s="18">
        <v>23768594.699999999</v>
      </c>
      <c r="I654" s="18">
        <v>25000000</v>
      </c>
      <c r="J654" s="18">
        <v>23768594.699999999</v>
      </c>
      <c r="K654" s="15">
        <v>70219530</v>
      </c>
      <c r="L654" s="13" t="s">
        <v>117</v>
      </c>
      <c r="M654" s="13" t="s">
        <v>118</v>
      </c>
      <c r="N654" s="145" t="s">
        <v>460</v>
      </c>
      <c r="O654" s="145" t="s">
        <v>460</v>
      </c>
      <c r="P654" s="28">
        <v>31</v>
      </c>
      <c r="Q654" s="13" t="s">
        <v>54</v>
      </c>
      <c r="R654" s="13" t="s">
        <v>28</v>
      </c>
      <c r="S654" s="13"/>
      <c r="T654" s="13"/>
      <c r="U654" s="13" t="s">
        <v>1834</v>
      </c>
      <c r="V654" s="13" t="s">
        <v>1834</v>
      </c>
      <c r="W654" s="60">
        <f>+J654/$W$2</f>
        <v>6.2644610528398738E-4</v>
      </c>
    </row>
    <row r="655" spans="1:29">
      <c r="A655" s="13" t="s">
        <v>1065</v>
      </c>
      <c r="B655" s="13" t="s">
        <v>675</v>
      </c>
      <c r="C655" s="145">
        <v>46217</v>
      </c>
      <c r="D655" s="145" t="s">
        <v>469</v>
      </c>
      <c r="E655" s="28">
        <v>0.94324996000000005</v>
      </c>
      <c r="F655" s="13"/>
      <c r="G655" s="18">
        <v>4771794.93</v>
      </c>
      <c r="H655" s="18">
        <v>4500995.3899999997</v>
      </c>
      <c r="I655" s="18">
        <v>4771794.93</v>
      </c>
      <c r="J655" s="18">
        <v>4500995.3899999997</v>
      </c>
      <c r="K655" s="15">
        <v>143</v>
      </c>
      <c r="L655" s="13" t="s">
        <v>117</v>
      </c>
      <c r="M655" s="13" t="s">
        <v>118</v>
      </c>
      <c r="N655" s="145" t="s">
        <v>205</v>
      </c>
      <c r="O655" s="145" t="s">
        <v>205</v>
      </c>
      <c r="P655" s="28">
        <v>36</v>
      </c>
      <c r="Q655" s="13" t="s">
        <v>54</v>
      </c>
      <c r="R655" s="13" t="s">
        <v>28</v>
      </c>
      <c r="S655" s="13"/>
      <c r="T655" s="13"/>
      <c r="U655" s="13" t="s">
        <v>1063</v>
      </c>
      <c r="V655" s="13" t="s">
        <v>1063</v>
      </c>
      <c r="W655" s="60">
        <f>+J655/$W$2</f>
        <v>1.1862842829183677E-4</v>
      </c>
    </row>
    <row r="656" spans="1:29">
      <c r="A656" s="13" t="s">
        <v>863</v>
      </c>
      <c r="B656" s="13" t="s">
        <v>675</v>
      </c>
      <c r="C656" s="145">
        <v>46217</v>
      </c>
      <c r="D656" s="145" t="s">
        <v>469</v>
      </c>
      <c r="E656" s="28">
        <v>0.95377462999999996</v>
      </c>
      <c r="F656" s="13"/>
      <c r="G656" s="18">
        <v>12500000</v>
      </c>
      <c r="H656" s="18">
        <v>11922182.9</v>
      </c>
      <c r="I656" s="18">
        <v>12500000</v>
      </c>
      <c r="J656" s="18">
        <v>11922182.9</v>
      </c>
      <c r="K656" s="15">
        <v>28996519</v>
      </c>
      <c r="L656" s="13" t="s">
        <v>117</v>
      </c>
      <c r="M656" s="13" t="s">
        <v>118</v>
      </c>
      <c r="N656" s="145" t="s">
        <v>209</v>
      </c>
      <c r="O656" s="145" t="s">
        <v>209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807</v>
      </c>
      <c r="V656" s="13" t="s">
        <v>807</v>
      </c>
      <c r="W656" s="60">
        <f>+J656/$W$2</f>
        <v>3.1422156582897823E-4</v>
      </c>
    </row>
    <row r="657" spans="1:29">
      <c r="A657" s="13" t="s">
        <v>406</v>
      </c>
      <c r="B657" s="13" t="s">
        <v>675</v>
      </c>
      <c r="C657" s="145">
        <v>46217</v>
      </c>
      <c r="D657" s="145" t="s">
        <v>469</v>
      </c>
      <c r="E657" s="28">
        <v>0.95377469000000004</v>
      </c>
      <c r="F657" s="13"/>
      <c r="G657" s="18">
        <v>20000000</v>
      </c>
      <c r="H657" s="18">
        <v>19075493.859999999</v>
      </c>
      <c r="I657" s="18">
        <v>20000000</v>
      </c>
      <c r="J657" s="18">
        <v>19075493.859999999</v>
      </c>
      <c r="K657" s="15">
        <v>817</v>
      </c>
      <c r="L657" s="13" t="s">
        <v>117</v>
      </c>
      <c r="M657" s="13" t="s">
        <v>118</v>
      </c>
      <c r="N657" s="145" t="s">
        <v>428</v>
      </c>
      <c r="O657" s="145" t="s">
        <v>428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1691</v>
      </c>
      <c r="V657" s="13" t="s">
        <v>1691</v>
      </c>
      <c r="W657" s="60">
        <f>+J657/$W$2</f>
        <v>5.0275453748073776E-4</v>
      </c>
    </row>
    <row r="658" spans="1:29">
      <c r="A658" s="13" t="s">
        <v>1389</v>
      </c>
      <c r="B658" s="13" t="s">
        <v>675</v>
      </c>
      <c r="C658" s="145">
        <v>46217</v>
      </c>
      <c r="D658" s="145" t="s">
        <v>469</v>
      </c>
      <c r="E658" s="28">
        <v>0.95529750000000002</v>
      </c>
      <c r="F658" s="13"/>
      <c r="G658" s="18">
        <v>15000000</v>
      </c>
      <c r="H658" s="18">
        <v>14329462.550000001</v>
      </c>
      <c r="I658" s="18">
        <v>15000000</v>
      </c>
      <c r="J658" s="18">
        <v>14329462.550000001</v>
      </c>
      <c r="K658" s="15">
        <v>29131907</v>
      </c>
      <c r="L658" s="13" t="s">
        <v>117</v>
      </c>
      <c r="M658" s="13" t="s">
        <v>118</v>
      </c>
      <c r="N658" s="145" t="s">
        <v>445</v>
      </c>
      <c r="O658" s="145" t="s">
        <v>445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1376</v>
      </c>
      <c r="V658" s="13" t="s">
        <v>1376</v>
      </c>
      <c r="W658" s="60">
        <f>+J658/$W$2</f>
        <v>3.7766793193121572E-4</v>
      </c>
      <c r="AC658" s="57"/>
    </row>
    <row r="659" spans="1:29">
      <c r="A659" s="13" t="s">
        <v>1235</v>
      </c>
      <c r="B659" s="13" t="s">
        <v>675</v>
      </c>
      <c r="C659" s="145">
        <v>46218</v>
      </c>
      <c r="D659" s="145" t="s">
        <v>469</v>
      </c>
      <c r="E659" s="28">
        <v>0.95151211000000002</v>
      </c>
      <c r="F659" s="13"/>
      <c r="G659" s="18">
        <v>5000000</v>
      </c>
      <c r="H659" s="18">
        <v>4757560.54</v>
      </c>
      <c r="I659" s="18">
        <v>5000000</v>
      </c>
      <c r="J659" s="18">
        <v>4757560.54</v>
      </c>
      <c r="K659" s="15">
        <v>3501231</v>
      </c>
      <c r="L659" s="13" t="s">
        <v>117</v>
      </c>
      <c r="M659" s="13" t="s">
        <v>118</v>
      </c>
      <c r="N659" s="145" t="s">
        <v>461</v>
      </c>
      <c r="O659" s="145" t="s">
        <v>461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1200</v>
      </c>
      <c r="V659" s="13" t="s">
        <v>1200</v>
      </c>
      <c r="W659" s="60">
        <f>+J659/$W$2</f>
        <v>1.2539047043179982E-4</v>
      </c>
    </row>
    <row r="660" spans="1:29">
      <c r="A660" s="13" t="s">
        <v>1235</v>
      </c>
      <c r="B660" s="13" t="s">
        <v>675</v>
      </c>
      <c r="C660" s="145">
        <v>46218</v>
      </c>
      <c r="D660" s="145" t="s">
        <v>469</v>
      </c>
      <c r="E660" s="28">
        <v>0.94692067999999996</v>
      </c>
      <c r="F660" s="13"/>
      <c r="G660" s="18">
        <v>5600000</v>
      </c>
      <c r="H660" s="18">
        <v>5302755.82</v>
      </c>
      <c r="I660" s="18">
        <v>5600000</v>
      </c>
      <c r="J660" s="18">
        <v>5302755.82</v>
      </c>
      <c r="K660" s="15">
        <v>3501248</v>
      </c>
      <c r="L660" s="13" t="s">
        <v>117</v>
      </c>
      <c r="M660" s="13" t="s">
        <v>118</v>
      </c>
      <c r="N660" s="145" t="s">
        <v>457</v>
      </c>
      <c r="O660" s="145" t="s">
        <v>457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1544</v>
      </c>
      <c r="V660" s="13" t="s">
        <v>1544</v>
      </c>
      <c r="W660" s="60">
        <f>+J660/$W$2</f>
        <v>1.3975966070518242E-4</v>
      </c>
    </row>
    <row r="661" spans="1:29">
      <c r="A661" s="13" t="s">
        <v>1241</v>
      </c>
      <c r="B661" s="13" t="s">
        <v>675</v>
      </c>
      <c r="C661" s="145">
        <v>46218</v>
      </c>
      <c r="D661" s="145" t="s">
        <v>469</v>
      </c>
      <c r="E661" s="28">
        <v>0.93936611000000003</v>
      </c>
      <c r="F661" s="13"/>
      <c r="G661" s="18">
        <v>4599318.34</v>
      </c>
      <c r="H661" s="18">
        <v>4320443.79</v>
      </c>
      <c r="I661" s="18">
        <v>4599318.34</v>
      </c>
      <c r="J661" s="18">
        <v>4320443.79</v>
      </c>
      <c r="K661" s="15">
        <v>573</v>
      </c>
      <c r="L661" s="13" t="s">
        <v>117</v>
      </c>
      <c r="M661" s="13" t="s">
        <v>118</v>
      </c>
      <c r="N661" s="145" t="s">
        <v>411</v>
      </c>
      <c r="O661" s="145" t="s">
        <v>411</v>
      </c>
      <c r="P661" s="28">
        <v>38</v>
      </c>
      <c r="Q661" s="13" t="s">
        <v>54</v>
      </c>
      <c r="R661" s="13" t="s">
        <v>28</v>
      </c>
      <c r="S661" s="13"/>
      <c r="T661" s="13"/>
      <c r="U661" s="13" t="s">
        <v>1475</v>
      </c>
      <c r="V661" s="13" t="s">
        <v>1475</v>
      </c>
      <c r="W661" s="60">
        <f>+J661/$W$2</f>
        <v>1.1386980254848174E-4</v>
      </c>
    </row>
    <row r="662" spans="1:29">
      <c r="A662" s="13" t="s">
        <v>676</v>
      </c>
      <c r="B662" s="13" t="s">
        <v>675</v>
      </c>
      <c r="C662" s="145">
        <v>46218</v>
      </c>
      <c r="D662" s="145" t="s">
        <v>469</v>
      </c>
      <c r="E662" s="28">
        <v>0.95151205999999999</v>
      </c>
      <c r="F662" s="13"/>
      <c r="G662" s="18">
        <v>10250000</v>
      </c>
      <c r="H662" s="18">
        <v>9752998.5800000001</v>
      </c>
      <c r="I662" s="18">
        <v>10250000</v>
      </c>
      <c r="J662" s="18">
        <v>9752998.5800000001</v>
      </c>
      <c r="K662" s="15">
        <v>453</v>
      </c>
      <c r="L662" s="13" t="s">
        <v>117</v>
      </c>
      <c r="M662" s="13" t="s">
        <v>118</v>
      </c>
      <c r="N662" s="145" t="s">
        <v>462</v>
      </c>
      <c r="O662" s="145" t="s">
        <v>462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1758</v>
      </c>
      <c r="V662" s="13" t="s">
        <v>1758</v>
      </c>
      <c r="W662" s="60">
        <f>+J662/$W$2</f>
        <v>2.5705045049555491E-4</v>
      </c>
    </row>
    <row r="663" spans="1:29">
      <c r="A663" s="13" t="s">
        <v>676</v>
      </c>
      <c r="B663" s="13" t="s">
        <v>675</v>
      </c>
      <c r="C663" s="145">
        <v>46218</v>
      </c>
      <c r="D663" s="145" t="s">
        <v>469</v>
      </c>
      <c r="E663" s="28">
        <v>0.95151211000000002</v>
      </c>
      <c r="F663" s="13"/>
      <c r="G663" s="18">
        <v>10000000</v>
      </c>
      <c r="H663" s="18">
        <v>9515121.1500000004</v>
      </c>
      <c r="I663" s="18">
        <v>10000000</v>
      </c>
      <c r="J663" s="18">
        <v>9515121.1500000004</v>
      </c>
      <c r="K663" s="15">
        <v>470</v>
      </c>
      <c r="L663" s="13" t="s">
        <v>117</v>
      </c>
      <c r="M663" s="13" t="s">
        <v>118</v>
      </c>
      <c r="N663" s="145" t="s">
        <v>446</v>
      </c>
      <c r="O663" s="145" t="s">
        <v>446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1846</v>
      </c>
      <c r="V663" s="13" t="s">
        <v>1846</v>
      </c>
      <c r="W663" s="60">
        <f>+J663/$W$2</f>
        <v>2.5078094270852266E-4</v>
      </c>
    </row>
    <row r="664" spans="1:29">
      <c r="A664" s="13" t="s">
        <v>1026</v>
      </c>
      <c r="B664" s="13" t="s">
        <v>675</v>
      </c>
      <c r="C664" s="145">
        <v>46218</v>
      </c>
      <c r="D664" s="145" t="s">
        <v>469</v>
      </c>
      <c r="E664" s="28">
        <v>0.96397639999999996</v>
      </c>
      <c r="F664" s="13"/>
      <c r="G664" s="18">
        <v>1977599</v>
      </c>
      <c r="H664" s="18">
        <v>1906358.77</v>
      </c>
      <c r="I664" s="18">
        <v>1977599</v>
      </c>
      <c r="J664" s="18">
        <v>1906358.77</v>
      </c>
      <c r="K664" s="15">
        <v>9867</v>
      </c>
      <c r="L664" s="13" t="s">
        <v>117</v>
      </c>
      <c r="M664" s="13" t="s">
        <v>118</v>
      </c>
      <c r="N664" s="145" t="s">
        <v>386</v>
      </c>
      <c r="O664" s="145" t="s">
        <v>386</v>
      </c>
      <c r="P664" s="28">
        <v>22</v>
      </c>
      <c r="Q664" s="13" t="s">
        <v>54</v>
      </c>
      <c r="R664" s="13" t="s">
        <v>28</v>
      </c>
      <c r="S664" s="13"/>
      <c r="T664" s="13"/>
      <c r="U664" s="13" t="s">
        <v>1010</v>
      </c>
      <c r="V664" s="13" t="s">
        <v>1010</v>
      </c>
      <c r="W664" s="60">
        <f>+J664/$W$2</f>
        <v>5.0244073821515106E-5</v>
      </c>
    </row>
    <row r="665" spans="1:29">
      <c r="A665" s="13" t="s">
        <v>201</v>
      </c>
      <c r="B665" s="13" t="s">
        <v>675</v>
      </c>
      <c r="C665" s="145">
        <v>46218</v>
      </c>
      <c r="D665" s="145" t="s">
        <v>469</v>
      </c>
      <c r="E665" s="28">
        <v>0.93340847000000005</v>
      </c>
      <c r="F665" s="13"/>
      <c r="G665" s="18">
        <v>20000000</v>
      </c>
      <c r="H665" s="18">
        <v>18668169.34</v>
      </c>
      <c r="I665" s="18">
        <v>20000000</v>
      </c>
      <c r="J665" s="18">
        <v>18668169.34</v>
      </c>
      <c r="K665" s="15">
        <v>4020</v>
      </c>
      <c r="L665" s="13" t="s">
        <v>117</v>
      </c>
      <c r="M665" s="13" t="s">
        <v>118</v>
      </c>
      <c r="N665" s="145" t="s">
        <v>306</v>
      </c>
      <c r="O665" s="145" t="s">
        <v>306</v>
      </c>
      <c r="P665" s="28">
        <v>42</v>
      </c>
      <c r="Q665" s="13" t="s">
        <v>54</v>
      </c>
      <c r="R665" s="13" t="s">
        <v>28</v>
      </c>
      <c r="S665" s="13"/>
      <c r="T665" s="13"/>
      <c r="U665" s="13" t="s">
        <v>737</v>
      </c>
      <c r="V665" s="13" t="s">
        <v>737</v>
      </c>
      <c r="W665" s="60">
        <f>+J665/$W$2</f>
        <v>4.9201907489402155E-4</v>
      </c>
    </row>
    <row r="666" spans="1:29">
      <c r="A666" s="13" t="s">
        <v>554</v>
      </c>
      <c r="B666" s="13" t="s">
        <v>675</v>
      </c>
      <c r="C666" s="145">
        <v>46218</v>
      </c>
      <c r="D666" s="145" t="s">
        <v>469</v>
      </c>
      <c r="E666" s="28">
        <v>0.94086738000000003</v>
      </c>
      <c r="F666" s="13"/>
      <c r="G666" s="18">
        <v>9500000</v>
      </c>
      <c r="H666" s="18">
        <v>8938240.1400000006</v>
      </c>
      <c r="I666" s="18">
        <v>9500000</v>
      </c>
      <c r="J666" s="18">
        <v>8938240.1400000006</v>
      </c>
      <c r="K666" s="15">
        <v>10949773</v>
      </c>
      <c r="L666" s="13" t="s">
        <v>117</v>
      </c>
      <c r="M666" s="13" t="s">
        <v>118</v>
      </c>
      <c r="N666" s="145" t="s">
        <v>470</v>
      </c>
      <c r="O666" s="145" t="s">
        <v>470</v>
      </c>
      <c r="P666" s="28">
        <v>37</v>
      </c>
      <c r="Q666" s="13" t="s">
        <v>54</v>
      </c>
      <c r="R666" s="13" t="s">
        <v>28</v>
      </c>
      <c r="S666" s="13"/>
      <c r="T666" s="13"/>
      <c r="U666" s="13" t="s">
        <v>1888</v>
      </c>
      <c r="V666" s="13" t="s">
        <v>1888</v>
      </c>
      <c r="W666" s="60">
        <f>+J666/$W$2</f>
        <v>2.3557664197101238E-4</v>
      </c>
    </row>
    <row r="667" spans="1:29">
      <c r="A667" s="13" t="s">
        <v>676</v>
      </c>
      <c r="B667" s="13" t="s">
        <v>675</v>
      </c>
      <c r="C667" s="145">
        <v>46218</v>
      </c>
      <c r="D667" s="145" t="s">
        <v>469</v>
      </c>
      <c r="E667" s="28">
        <v>0.94388424999999998</v>
      </c>
      <c r="F667" s="13"/>
      <c r="G667" s="18">
        <v>11000000</v>
      </c>
      <c r="H667" s="18">
        <v>10382726.710000001</v>
      </c>
      <c r="I667" s="18">
        <v>11000000</v>
      </c>
      <c r="J667" s="18">
        <v>10382726.710000001</v>
      </c>
      <c r="K667" s="15">
        <v>388</v>
      </c>
      <c r="L667" s="13" t="s">
        <v>117</v>
      </c>
      <c r="M667" s="13" t="s">
        <v>118</v>
      </c>
      <c r="N667" s="145" t="s">
        <v>528</v>
      </c>
      <c r="O667" s="145" t="s">
        <v>528</v>
      </c>
      <c r="P667" s="28">
        <v>35</v>
      </c>
      <c r="Q667" s="13" t="s">
        <v>54</v>
      </c>
      <c r="R667" s="13" t="s">
        <v>28</v>
      </c>
      <c r="S667" s="13"/>
      <c r="T667" s="13"/>
      <c r="U667" s="13" t="s">
        <v>1288</v>
      </c>
      <c r="V667" s="13" t="s">
        <v>1288</v>
      </c>
      <c r="W667" s="60">
        <f>+J667/$W$2</f>
        <v>2.73647592203149E-4</v>
      </c>
    </row>
    <row r="668" spans="1:29">
      <c r="A668" s="13" t="s">
        <v>406</v>
      </c>
      <c r="B668" s="13" t="s">
        <v>675</v>
      </c>
      <c r="C668" s="145">
        <v>46218</v>
      </c>
      <c r="D668" s="145" t="s">
        <v>469</v>
      </c>
      <c r="E668" s="28">
        <v>0.95151209000000003</v>
      </c>
      <c r="F668" s="13"/>
      <c r="G668" s="18">
        <v>35000000</v>
      </c>
      <c r="H668" s="18">
        <v>33302923.260000002</v>
      </c>
      <c r="I668" s="18">
        <v>35000000</v>
      </c>
      <c r="J668" s="18">
        <v>33302923.260000002</v>
      </c>
      <c r="K668" s="15">
        <v>1452</v>
      </c>
      <c r="L668" s="13" t="s">
        <v>117</v>
      </c>
      <c r="M668" s="13" t="s">
        <v>118</v>
      </c>
      <c r="N668" s="145" t="s">
        <v>390</v>
      </c>
      <c r="O668" s="145" t="s">
        <v>390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945</v>
      </c>
      <c r="V668" s="13" t="s">
        <v>945</v>
      </c>
      <c r="W668" s="60">
        <f>+J668/$W$2</f>
        <v>8.7773327931745632E-4</v>
      </c>
    </row>
    <row r="669" spans="1:29">
      <c r="A669" s="13" t="s">
        <v>406</v>
      </c>
      <c r="B669" s="13" t="s">
        <v>675</v>
      </c>
      <c r="C669" s="145">
        <v>46218</v>
      </c>
      <c r="D669" s="145" t="s">
        <v>469</v>
      </c>
      <c r="E669" s="28">
        <v>0.9545979</v>
      </c>
      <c r="F669" s="13"/>
      <c r="G669" s="18">
        <v>15000000</v>
      </c>
      <c r="H669" s="18">
        <v>14318968.460000001</v>
      </c>
      <c r="I669" s="18">
        <v>15000000</v>
      </c>
      <c r="J669" s="18">
        <v>14318968.460000001</v>
      </c>
      <c r="K669" s="15">
        <v>13039364</v>
      </c>
      <c r="L669" s="13" t="s">
        <v>117</v>
      </c>
      <c r="M669" s="13" t="s">
        <v>118</v>
      </c>
      <c r="N669" s="145" t="s">
        <v>205</v>
      </c>
      <c r="O669" s="145" t="s">
        <v>205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1039</v>
      </c>
      <c r="V669" s="13" t="s">
        <v>1039</v>
      </c>
      <c r="W669" s="60">
        <f>+J669/$W$2</f>
        <v>3.7739134924334651E-4</v>
      </c>
    </row>
    <row r="670" spans="1:29">
      <c r="A670" s="13" t="s">
        <v>406</v>
      </c>
      <c r="B670" s="13" t="s">
        <v>675</v>
      </c>
      <c r="C670" s="145">
        <v>46218</v>
      </c>
      <c r="D670" s="145" t="s">
        <v>469</v>
      </c>
      <c r="E670" s="28">
        <v>0.9545979</v>
      </c>
      <c r="F670" s="13"/>
      <c r="G670" s="18">
        <v>15000000</v>
      </c>
      <c r="H670" s="18">
        <v>14318968.460000001</v>
      </c>
      <c r="I670" s="18">
        <v>15000000</v>
      </c>
      <c r="J670" s="18">
        <v>14318968.460000001</v>
      </c>
      <c r="K670" s="15">
        <v>13039368</v>
      </c>
      <c r="L670" s="13" t="s">
        <v>117</v>
      </c>
      <c r="M670" s="13" t="s">
        <v>118</v>
      </c>
      <c r="N670" s="145" t="s">
        <v>205</v>
      </c>
      <c r="O670" s="145" t="s">
        <v>205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1040</v>
      </c>
      <c r="V670" s="13" t="s">
        <v>1040</v>
      </c>
      <c r="W670" s="60">
        <f>+J670/$W$2</f>
        <v>3.7739134924334651E-4</v>
      </c>
    </row>
    <row r="671" spans="1:29">
      <c r="A671" s="13" t="s">
        <v>406</v>
      </c>
      <c r="B671" s="13" t="s">
        <v>675</v>
      </c>
      <c r="C671" s="145">
        <v>46218</v>
      </c>
      <c r="D671" s="145" t="s">
        <v>469</v>
      </c>
      <c r="E671" s="28">
        <v>0.9545979</v>
      </c>
      <c r="F671" s="13"/>
      <c r="G671" s="18">
        <v>15000000</v>
      </c>
      <c r="H671" s="18">
        <v>14318968.460000001</v>
      </c>
      <c r="I671" s="18">
        <v>15000000</v>
      </c>
      <c r="J671" s="18">
        <v>14318968.460000001</v>
      </c>
      <c r="K671" s="15">
        <v>13039366</v>
      </c>
      <c r="L671" s="13" t="s">
        <v>117</v>
      </c>
      <c r="M671" s="13" t="s">
        <v>118</v>
      </c>
      <c r="N671" s="145" t="s">
        <v>205</v>
      </c>
      <c r="O671" s="145" t="s">
        <v>205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1041</v>
      </c>
      <c r="V671" s="13" t="s">
        <v>1041</v>
      </c>
      <c r="W671" s="60">
        <f>+J671/$W$2</f>
        <v>3.7739134924334651E-4</v>
      </c>
    </row>
    <row r="672" spans="1:29">
      <c r="A672" s="13" t="s">
        <v>406</v>
      </c>
      <c r="B672" s="13" t="s">
        <v>675</v>
      </c>
      <c r="C672" s="145">
        <v>46218</v>
      </c>
      <c r="D672" s="145" t="s">
        <v>469</v>
      </c>
      <c r="E672" s="28">
        <v>0.9545979</v>
      </c>
      <c r="F672" s="13"/>
      <c r="G672" s="18">
        <v>15000000</v>
      </c>
      <c r="H672" s="18">
        <v>14318968.460000001</v>
      </c>
      <c r="I672" s="18">
        <v>15000000</v>
      </c>
      <c r="J672" s="18">
        <v>14318968.460000001</v>
      </c>
      <c r="K672" s="15">
        <v>13039365</v>
      </c>
      <c r="L672" s="13" t="s">
        <v>117</v>
      </c>
      <c r="M672" s="13" t="s">
        <v>118</v>
      </c>
      <c r="N672" s="145" t="s">
        <v>205</v>
      </c>
      <c r="O672" s="145" t="s">
        <v>205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1042</v>
      </c>
      <c r="V672" s="13" t="s">
        <v>1042</v>
      </c>
      <c r="W672" s="60">
        <f>+J672/$W$2</f>
        <v>3.7739134924334651E-4</v>
      </c>
      <c r="AC672"/>
    </row>
    <row r="673" spans="1:29">
      <c r="A673" s="13" t="s">
        <v>406</v>
      </c>
      <c r="B673" s="13" t="s">
        <v>675</v>
      </c>
      <c r="C673" s="145">
        <v>46218</v>
      </c>
      <c r="D673" s="145" t="s">
        <v>469</v>
      </c>
      <c r="E673" s="28">
        <v>0.9545979</v>
      </c>
      <c r="F673" s="13"/>
      <c r="G673" s="18">
        <v>15000000</v>
      </c>
      <c r="H673" s="18">
        <v>14318968.460000001</v>
      </c>
      <c r="I673" s="18">
        <v>15000000</v>
      </c>
      <c r="J673" s="18">
        <v>14318968.460000001</v>
      </c>
      <c r="K673" s="15">
        <v>13039367</v>
      </c>
      <c r="L673" s="13" t="s">
        <v>117</v>
      </c>
      <c r="M673" s="13" t="s">
        <v>118</v>
      </c>
      <c r="N673" s="145" t="s">
        <v>205</v>
      </c>
      <c r="O673" s="145" t="s">
        <v>205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1043</v>
      </c>
      <c r="V673" s="13" t="s">
        <v>1043</v>
      </c>
      <c r="W673" s="60">
        <f>+J673/$W$2</f>
        <v>3.7739134924334651E-4</v>
      </c>
    </row>
    <row r="674" spans="1:29">
      <c r="A674" s="13" t="s">
        <v>406</v>
      </c>
      <c r="B674" s="13" t="s">
        <v>675</v>
      </c>
      <c r="C674" s="145">
        <v>46218</v>
      </c>
      <c r="D674" s="145" t="s">
        <v>469</v>
      </c>
      <c r="E674" s="28">
        <v>0.9545979</v>
      </c>
      <c r="F674" s="13"/>
      <c r="G674" s="18">
        <v>7000000</v>
      </c>
      <c r="H674" s="18">
        <v>6682185.2800000003</v>
      </c>
      <c r="I674" s="18">
        <v>7000000</v>
      </c>
      <c r="J674" s="18">
        <v>6682185.2800000003</v>
      </c>
      <c r="K674" s="15">
        <v>13039369</v>
      </c>
      <c r="L674" s="13" t="s">
        <v>117</v>
      </c>
      <c r="M674" s="13" t="s">
        <v>118</v>
      </c>
      <c r="N674" s="145" t="s">
        <v>205</v>
      </c>
      <c r="O674" s="145" t="s">
        <v>205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1044</v>
      </c>
      <c r="V674" s="13" t="s">
        <v>1044</v>
      </c>
      <c r="W674" s="60">
        <f>+J674/$W$2</f>
        <v>1.7611596294508697E-4</v>
      </c>
    </row>
    <row r="675" spans="1:29">
      <c r="A675" s="13" t="s">
        <v>863</v>
      </c>
      <c r="B675" s="13" t="s">
        <v>675</v>
      </c>
      <c r="C675" s="145">
        <v>46218</v>
      </c>
      <c r="D675" s="145" t="s">
        <v>469</v>
      </c>
      <c r="E675" s="28">
        <v>0.95305253000000001</v>
      </c>
      <c r="F675" s="13"/>
      <c r="G675" s="18">
        <v>12500000</v>
      </c>
      <c r="H675" s="18">
        <v>11913156.59</v>
      </c>
      <c r="I675" s="18">
        <v>12500000</v>
      </c>
      <c r="J675" s="18">
        <v>11913156.59</v>
      </c>
      <c r="K675" s="15">
        <v>28996511</v>
      </c>
      <c r="L675" s="13" t="s">
        <v>117</v>
      </c>
      <c r="M675" s="13" t="s">
        <v>118</v>
      </c>
      <c r="N675" s="145" t="s">
        <v>209</v>
      </c>
      <c r="O675" s="145" t="s">
        <v>209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809</v>
      </c>
      <c r="V675" s="13" t="s">
        <v>809</v>
      </c>
      <c r="W675" s="60">
        <f>+J675/$W$2</f>
        <v>3.1398366801398516E-4</v>
      </c>
    </row>
    <row r="676" spans="1:29">
      <c r="A676" s="13" t="s">
        <v>405</v>
      </c>
      <c r="B676" s="13" t="s">
        <v>675</v>
      </c>
      <c r="C676" s="145">
        <v>46218</v>
      </c>
      <c r="D676" s="145" t="s">
        <v>469</v>
      </c>
      <c r="E676" s="28">
        <v>0.95151207999999998</v>
      </c>
      <c r="F676" s="13"/>
      <c r="G676" s="18">
        <v>17129876</v>
      </c>
      <c r="H676" s="18">
        <v>16299283.91</v>
      </c>
      <c r="I676" s="18">
        <v>17129876</v>
      </c>
      <c r="J676" s="18">
        <v>16299283.91</v>
      </c>
      <c r="K676" s="15">
        <v>1537</v>
      </c>
      <c r="L676" s="13" t="s">
        <v>117</v>
      </c>
      <c r="M676" s="13" t="s">
        <v>118</v>
      </c>
      <c r="N676" s="145" t="s">
        <v>528</v>
      </c>
      <c r="O676" s="145" t="s">
        <v>528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1299</v>
      </c>
      <c r="V676" s="13" t="s">
        <v>1299</v>
      </c>
      <c r="W676" s="60">
        <f>+J676/$W$2</f>
        <v>4.2958462850718981E-4</v>
      </c>
    </row>
    <row r="677" spans="1:29">
      <c r="A677" s="13" t="s">
        <v>405</v>
      </c>
      <c r="B677" s="13" t="s">
        <v>675</v>
      </c>
      <c r="C677" s="145">
        <v>46218</v>
      </c>
      <c r="D677" s="145" t="s">
        <v>469</v>
      </c>
      <c r="E677" s="28">
        <v>0.95151209999999997</v>
      </c>
      <c r="F677" s="13"/>
      <c r="G677" s="18">
        <v>4000000</v>
      </c>
      <c r="H677" s="18">
        <v>3806048.4</v>
      </c>
      <c r="I677" s="18">
        <v>4000000</v>
      </c>
      <c r="J677" s="18">
        <v>3806048.4</v>
      </c>
      <c r="K677" s="15">
        <v>798</v>
      </c>
      <c r="L677" s="13" t="s">
        <v>117</v>
      </c>
      <c r="M677" s="13" t="s">
        <v>118</v>
      </c>
      <c r="N677" s="145" t="s">
        <v>461</v>
      </c>
      <c r="O677" s="145" t="s">
        <v>461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1194</v>
      </c>
      <c r="V677" s="13" t="s">
        <v>1194</v>
      </c>
      <c r="W677" s="60">
        <f>+J677/$W$2</f>
        <v>1.0031237550204647E-4</v>
      </c>
    </row>
    <row r="678" spans="1:29">
      <c r="A678" s="13" t="s">
        <v>1893</v>
      </c>
      <c r="B678" s="13" t="s">
        <v>675</v>
      </c>
      <c r="C678" s="145">
        <v>46218</v>
      </c>
      <c r="D678" s="145" t="s">
        <v>469</v>
      </c>
      <c r="E678" s="28">
        <v>0.94692078000000002</v>
      </c>
      <c r="F678" s="13"/>
      <c r="G678" s="18">
        <v>50000000</v>
      </c>
      <c r="H678" s="18">
        <v>47346038.859999999</v>
      </c>
      <c r="I678" s="18">
        <v>50000000</v>
      </c>
      <c r="J678" s="18">
        <v>47346038.859999999</v>
      </c>
      <c r="K678" s="15">
        <v>133</v>
      </c>
      <c r="L678" s="13" t="s">
        <v>117</v>
      </c>
      <c r="M678" s="13" t="s">
        <v>118</v>
      </c>
      <c r="N678" s="145" t="s">
        <v>470</v>
      </c>
      <c r="O678" s="145" t="s">
        <v>470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1881</v>
      </c>
      <c r="V678" s="13" t="s">
        <v>1881</v>
      </c>
      <c r="W678" s="60">
        <f>+J678/$W$2</f>
        <v>1.2478542387056361E-3</v>
      </c>
    </row>
    <row r="679" spans="1:29">
      <c r="A679" s="13" t="s">
        <v>190</v>
      </c>
      <c r="B679" s="13" t="s">
        <v>675</v>
      </c>
      <c r="C679" s="145">
        <v>46218</v>
      </c>
      <c r="D679" s="145" t="s">
        <v>469</v>
      </c>
      <c r="E679" s="28">
        <v>0.93936604000000001</v>
      </c>
      <c r="F679" s="13"/>
      <c r="G679" s="18">
        <v>85000000</v>
      </c>
      <c r="H679" s="18">
        <v>79846113.709999993</v>
      </c>
      <c r="I679" s="18">
        <v>85000000</v>
      </c>
      <c r="J679" s="18">
        <v>79846113.709999993</v>
      </c>
      <c r="K679" s="15">
        <v>7363</v>
      </c>
      <c r="L679" s="13" t="s">
        <v>117</v>
      </c>
      <c r="M679" s="13" t="s">
        <v>118</v>
      </c>
      <c r="N679" s="145" t="s">
        <v>205</v>
      </c>
      <c r="O679" s="145" t="s">
        <v>205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1052</v>
      </c>
      <c r="V679" s="13" t="s">
        <v>1052</v>
      </c>
      <c r="W679" s="60">
        <f>+J679/$W$2</f>
        <v>2.1044276107620228E-3</v>
      </c>
    </row>
    <row r="680" spans="1:29">
      <c r="A680" s="13" t="s">
        <v>1330</v>
      </c>
      <c r="B680" s="13" t="s">
        <v>675</v>
      </c>
      <c r="C680" s="145">
        <v>46218</v>
      </c>
      <c r="D680" s="145" t="s">
        <v>469</v>
      </c>
      <c r="E680" s="28">
        <v>0.95305258000000004</v>
      </c>
      <c r="F680" s="13"/>
      <c r="G680" s="18">
        <v>788284.3</v>
      </c>
      <c r="H680" s="18">
        <v>751276.39</v>
      </c>
      <c r="I680" s="18">
        <v>788284.3</v>
      </c>
      <c r="J680" s="18">
        <v>751276.39</v>
      </c>
      <c r="K680" s="15">
        <v>5375</v>
      </c>
      <c r="L680" s="13" t="s">
        <v>117</v>
      </c>
      <c r="M680" s="13" t="s">
        <v>118</v>
      </c>
      <c r="N680" s="145" t="s">
        <v>411</v>
      </c>
      <c r="O680" s="145" t="s">
        <v>411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1404</v>
      </c>
      <c r="V680" s="13" t="s">
        <v>1404</v>
      </c>
      <c r="W680" s="60">
        <f>+J680/$W$2</f>
        <v>1.9800672881485665E-5</v>
      </c>
    </row>
    <row r="681" spans="1:29">
      <c r="A681" s="13" t="s">
        <v>1330</v>
      </c>
      <c r="B681" s="13" t="s">
        <v>675</v>
      </c>
      <c r="C681" s="145">
        <v>46218</v>
      </c>
      <c r="D681" s="145" t="s">
        <v>469</v>
      </c>
      <c r="E681" s="28">
        <v>0.95305242000000001</v>
      </c>
      <c r="F681" s="13"/>
      <c r="G681" s="18">
        <v>5000000</v>
      </c>
      <c r="H681" s="18">
        <v>4765262.08</v>
      </c>
      <c r="I681" s="18">
        <v>5000000</v>
      </c>
      <c r="J681" s="18">
        <v>4765262.08</v>
      </c>
      <c r="K681" s="15">
        <v>16779600</v>
      </c>
      <c r="L681" s="13" t="s">
        <v>117</v>
      </c>
      <c r="M681" s="13" t="s">
        <v>118</v>
      </c>
      <c r="N681" s="145" t="s">
        <v>428</v>
      </c>
      <c r="O681" s="145" t="s">
        <v>428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1662</v>
      </c>
      <c r="V681" s="13" t="s">
        <v>1662</v>
      </c>
      <c r="W681" s="60">
        <f>+J681/$W$2</f>
        <v>1.2559345255163412E-4</v>
      </c>
    </row>
    <row r="682" spans="1:29">
      <c r="A682" s="13" t="s">
        <v>406</v>
      </c>
      <c r="B682" s="13" t="s">
        <v>675</v>
      </c>
      <c r="C682" s="145">
        <v>46218</v>
      </c>
      <c r="D682" s="145" t="s">
        <v>469</v>
      </c>
      <c r="E682" s="28">
        <v>0.95151211999999996</v>
      </c>
      <c r="F682" s="13"/>
      <c r="G682" s="18">
        <v>60000000</v>
      </c>
      <c r="H682" s="18">
        <v>57090727.340000004</v>
      </c>
      <c r="I682" s="18">
        <v>60000000</v>
      </c>
      <c r="J682" s="18">
        <v>57090727.340000004</v>
      </c>
      <c r="K682" s="15">
        <v>59</v>
      </c>
      <c r="L682" s="13" t="s">
        <v>117</v>
      </c>
      <c r="M682" s="13" t="s">
        <v>118</v>
      </c>
      <c r="N682" s="145" t="s">
        <v>410</v>
      </c>
      <c r="O682" s="145" t="s">
        <v>410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1788</v>
      </c>
      <c r="V682" s="13" t="s">
        <v>1788</v>
      </c>
      <c r="W682" s="60">
        <f>+J682/$W$2</f>
        <v>1.5046856678477948E-3</v>
      </c>
    </row>
    <row r="683" spans="1:29">
      <c r="A683" s="13" t="s">
        <v>406</v>
      </c>
      <c r="B683" s="13" t="s">
        <v>675</v>
      </c>
      <c r="C683" s="145">
        <v>46218</v>
      </c>
      <c r="D683" s="145" t="s">
        <v>469</v>
      </c>
      <c r="E683" s="28">
        <v>0.95305251000000002</v>
      </c>
      <c r="F683" s="13"/>
      <c r="G683" s="18">
        <v>12500000</v>
      </c>
      <c r="H683" s="18">
        <v>11913156.369999999</v>
      </c>
      <c r="I683" s="18">
        <v>12500000</v>
      </c>
      <c r="J683" s="18">
        <v>11913156.369999999</v>
      </c>
      <c r="K683" s="15">
        <v>9798604</v>
      </c>
      <c r="L683" s="13" t="s">
        <v>117</v>
      </c>
      <c r="M683" s="13" t="s">
        <v>118</v>
      </c>
      <c r="N683" s="145" t="s">
        <v>216</v>
      </c>
      <c r="O683" s="145" t="s">
        <v>216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1616</v>
      </c>
      <c r="V683" s="13" t="s">
        <v>1616</v>
      </c>
      <c r="W683" s="60">
        <f>+J683/$W$2</f>
        <v>3.1398366221565568E-4</v>
      </c>
    </row>
    <row r="684" spans="1:29">
      <c r="A684" s="13" t="s">
        <v>406</v>
      </c>
      <c r="B684" s="13" t="s">
        <v>675</v>
      </c>
      <c r="C684" s="145">
        <v>46218</v>
      </c>
      <c r="D684" s="145" t="s">
        <v>469</v>
      </c>
      <c r="E684" s="28">
        <v>0.95305242000000001</v>
      </c>
      <c r="F684" s="13"/>
      <c r="G684" s="18">
        <v>25000000</v>
      </c>
      <c r="H684" s="18">
        <v>23826310.43</v>
      </c>
      <c r="I684" s="18">
        <v>25000000</v>
      </c>
      <c r="J684" s="18">
        <v>23826310.43</v>
      </c>
      <c r="K684" s="15">
        <v>3418</v>
      </c>
      <c r="L684" s="13" t="s">
        <v>117</v>
      </c>
      <c r="M684" s="13" t="s">
        <v>118</v>
      </c>
      <c r="N684" s="145" t="s">
        <v>428</v>
      </c>
      <c r="O684" s="145" t="s">
        <v>428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1687</v>
      </c>
      <c r="V684" s="13" t="s">
        <v>1687</v>
      </c>
      <c r="W684" s="60">
        <f>+J684/$W$2</f>
        <v>6.279672635488519E-4</v>
      </c>
      <c r="AC684" s="57"/>
    </row>
    <row r="685" spans="1:29">
      <c r="A685" s="13" t="s">
        <v>406</v>
      </c>
      <c r="B685" s="13" t="s">
        <v>675</v>
      </c>
      <c r="C685" s="145">
        <v>46218</v>
      </c>
      <c r="D685" s="145" t="s">
        <v>469</v>
      </c>
      <c r="E685" s="28">
        <v>0.95305249000000003</v>
      </c>
      <c r="F685" s="13"/>
      <c r="G685" s="18">
        <v>12500000</v>
      </c>
      <c r="H685" s="18">
        <v>11913156.07</v>
      </c>
      <c r="I685" s="18">
        <v>12500000</v>
      </c>
      <c r="J685" s="18">
        <v>11913156.07</v>
      </c>
      <c r="K685" s="15">
        <v>4949</v>
      </c>
      <c r="L685" s="13" t="s">
        <v>117</v>
      </c>
      <c r="M685" s="13" t="s">
        <v>118</v>
      </c>
      <c r="N685" s="145" t="s">
        <v>457</v>
      </c>
      <c r="O685" s="145" t="s">
        <v>457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1535</v>
      </c>
      <c r="V685" s="13" t="s">
        <v>1535</v>
      </c>
      <c r="W685" s="60">
        <f>+J685/$W$2</f>
        <v>3.1398365430884278E-4</v>
      </c>
    </row>
    <row r="686" spans="1:29">
      <c r="A686" s="13" t="s">
        <v>1857</v>
      </c>
      <c r="B686" s="13" t="s">
        <v>675</v>
      </c>
      <c r="C686" s="145">
        <v>46218</v>
      </c>
      <c r="D686" s="145" t="s">
        <v>469</v>
      </c>
      <c r="E686" s="28">
        <v>0.95614827999999996</v>
      </c>
      <c r="F686" s="13"/>
      <c r="G686" s="18">
        <v>50000000</v>
      </c>
      <c r="H686" s="18">
        <v>47807413.780000001</v>
      </c>
      <c r="I686" s="18">
        <v>50000000</v>
      </c>
      <c r="J686" s="18">
        <v>47807413.780000001</v>
      </c>
      <c r="K686" s="15">
        <v>67982</v>
      </c>
      <c r="L686" s="13" t="s">
        <v>117</v>
      </c>
      <c r="M686" s="13" t="s">
        <v>118</v>
      </c>
      <c r="N686" s="145" t="s">
        <v>446</v>
      </c>
      <c r="O686" s="145" t="s">
        <v>446</v>
      </c>
      <c r="P686" s="28">
        <v>27</v>
      </c>
      <c r="Q686" s="13" t="s">
        <v>54</v>
      </c>
      <c r="R686" s="13" t="s">
        <v>28</v>
      </c>
      <c r="S686" s="13"/>
      <c r="T686" s="13"/>
      <c r="U686" s="13" t="s">
        <v>1838</v>
      </c>
      <c r="V686" s="13" t="s">
        <v>1838</v>
      </c>
      <c r="W686" s="60">
        <f>+J686/$W$2</f>
        <v>1.260014255961924E-3</v>
      </c>
    </row>
    <row r="687" spans="1:29">
      <c r="A687" s="13" t="s">
        <v>1764</v>
      </c>
      <c r="B687" s="13" t="s">
        <v>675</v>
      </c>
      <c r="C687" s="145">
        <v>46218</v>
      </c>
      <c r="D687" s="145" t="s">
        <v>469</v>
      </c>
      <c r="E687" s="28">
        <v>0.95459782000000004</v>
      </c>
      <c r="F687" s="13"/>
      <c r="G687" s="18">
        <v>6500000</v>
      </c>
      <c r="H687" s="18">
        <v>6204885.8399999999</v>
      </c>
      <c r="I687" s="18">
        <v>6500000</v>
      </c>
      <c r="J687" s="18">
        <v>6204885.8399999999</v>
      </c>
      <c r="K687" s="15">
        <v>29175490</v>
      </c>
      <c r="L687" s="13" t="s">
        <v>117</v>
      </c>
      <c r="M687" s="13" t="s">
        <v>118</v>
      </c>
      <c r="N687" s="145" t="s">
        <v>462</v>
      </c>
      <c r="O687" s="145" t="s">
        <v>462</v>
      </c>
      <c r="P687" s="28">
        <v>28</v>
      </c>
      <c r="Q687" s="13" t="s">
        <v>54</v>
      </c>
      <c r="R687" s="13" t="s">
        <v>28</v>
      </c>
      <c r="S687" s="13"/>
      <c r="T687" s="13"/>
      <c r="U687" s="13" t="s">
        <v>1732</v>
      </c>
      <c r="V687" s="13" t="s">
        <v>1732</v>
      </c>
      <c r="W687" s="60">
        <f>+J687/$W$2</f>
        <v>1.6353623835403959E-4</v>
      </c>
    </row>
    <row r="688" spans="1:29">
      <c r="A688" s="13" t="s">
        <v>1895</v>
      </c>
      <c r="B688" s="13" t="s">
        <v>675</v>
      </c>
      <c r="C688" s="145">
        <v>46218</v>
      </c>
      <c r="D688" s="145" t="s">
        <v>469</v>
      </c>
      <c r="E688" s="28">
        <v>0.94086738000000003</v>
      </c>
      <c r="F688" s="13"/>
      <c r="G688" s="18">
        <v>50000000</v>
      </c>
      <c r="H688" s="18">
        <v>47043369.18</v>
      </c>
      <c r="I688" s="18">
        <v>50000000</v>
      </c>
      <c r="J688" s="18">
        <v>47043369.18</v>
      </c>
      <c r="K688" s="15">
        <v>29239217</v>
      </c>
      <c r="L688" s="13" t="s">
        <v>117</v>
      </c>
      <c r="M688" s="13" t="s">
        <v>118</v>
      </c>
      <c r="N688" s="145" t="s">
        <v>470</v>
      </c>
      <c r="O688" s="145" t="s">
        <v>470</v>
      </c>
      <c r="P688" s="28">
        <v>37</v>
      </c>
      <c r="Q688" s="13" t="s">
        <v>54</v>
      </c>
      <c r="R688" s="13" t="s">
        <v>28</v>
      </c>
      <c r="S688" s="13"/>
      <c r="T688" s="13"/>
      <c r="U688" s="13" t="s">
        <v>1886</v>
      </c>
      <c r="V688" s="13" t="s">
        <v>1886</v>
      </c>
      <c r="W688" s="60">
        <f>+J688/$W$2</f>
        <v>1.2398770635879354E-3</v>
      </c>
    </row>
    <row r="689" spans="1:29">
      <c r="A689" s="13" t="s">
        <v>1101</v>
      </c>
      <c r="B689" s="13" t="s">
        <v>675</v>
      </c>
      <c r="C689" s="145">
        <v>46218</v>
      </c>
      <c r="D689" s="145" t="s">
        <v>469</v>
      </c>
      <c r="E689" s="28">
        <v>0.95305249000000003</v>
      </c>
      <c r="F689" s="13"/>
      <c r="G689" s="18">
        <v>2500000</v>
      </c>
      <c r="H689" s="18">
        <v>2382631.2400000002</v>
      </c>
      <c r="I689" s="18">
        <v>2500000</v>
      </c>
      <c r="J689" s="18">
        <v>2382631.2400000002</v>
      </c>
      <c r="K689" s="15">
        <v>364</v>
      </c>
      <c r="L689" s="13" t="s">
        <v>117</v>
      </c>
      <c r="M689" s="13" t="s">
        <v>118</v>
      </c>
      <c r="N689" s="145" t="s">
        <v>461</v>
      </c>
      <c r="O689" s="145" t="s">
        <v>461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1111</v>
      </c>
      <c r="V689" s="13" t="s">
        <v>1111</v>
      </c>
      <c r="W689" s="60">
        <f>+J689/$W$2</f>
        <v>6.2796731547025688E-5</v>
      </c>
    </row>
    <row r="690" spans="1:29">
      <c r="A690" s="13" t="s">
        <v>1101</v>
      </c>
      <c r="B690" s="13" t="s">
        <v>675</v>
      </c>
      <c r="C690" s="145">
        <v>46218</v>
      </c>
      <c r="D690" s="145" t="s">
        <v>469</v>
      </c>
      <c r="E690" s="28">
        <v>0.95459786999999996</v>
      </c>
      <c r="F690" s="13"/>
      <c r="G690" s="18">
        <v>40000000</v>
      </c>
      <c r="H690" s="18">
        <v>38183914.850000001</v>
      </c>
      <c r="I690" s="18">
        <v>40000000</v>
      </c>
      <c r="J690" s="18">
        <v>38183914.850000001</v>
      </c>
      <c r="K690" s="15">
        <v>29086863</v>
      </c>
      <c r="L690" s="13" t="s">
        <v>117</v>
      </c>
      <c r="M690" s="13" t="s">
        <v>118</v>
      </c>
      <c r="N690" s="145" t="s">
        <v>461</v>
      </c>
      <c r="O690" s="145" t="s">
        <v>461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1123</v>
      </c>
      <c r="V690" s="13" t="s">
        <v>1123</v>
      </c>
      <c r="W690" s="60">
        <f>+J690/$W$2</f>
        <v>1.0063769038174523E-3</v>
      </c>
    </row>
    <row r="691" spans="1:29">
      <c r="A691" s="13" t="s">
        <v>1330</v>
      </c>
      <c r="B691" s="13" t="s">
        <v>675</v>
      </c>
      <c r="C691" s="145">
        <v>46218</v>
      </c>
      <c r="D691" s="145" t="s">
        <v>469</v>
      </c>
      <c r="E691" s="28">
        <v>0.95305245999999999</v>
      </c>
      <c r="F691" s="13"/>
      <c r="G691" s="18">
        <v>5000000</v>
      </c>
      <c r="H691" s="18">
        <v>4765262.3</v>
      </c>
      <c r="I691" s="18">
        <v>5000000</v>
      </c>
      <c r="J691" s="18">
        <v>4765262.3</v>
      </c>
      <c r="K691" s="15">
        <v>16771073</v>
      </c>
      <c r="L691" s="13" t="s">
        <v>117</v>
      </c>
      <c r="M691" s="13" t="s">
        <v>118</v>
      </c>
      <c r="N691" s="145" t="s">
        <v>528</v>
      </c>
      <c r="O691" s="145" t="s">
        <v>528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1254</v>
      </c>
      <c r="V691" s="13" t="s">
        <v>1254</v>
      </c>
      <c r="W691" s="60">
        <f>+J691/$W$2</f>
        <v>1.255934583499636E-4</v>
      </c>
    </row>
    <row r="692" spans="1:29">
      <c r="A692" s="13" t="s">
        <v>323</v>
      </c>
      <c r="B692" s="13" t="s">
        <v>675</v>
      </c>
      <c r="C692" s="145">
        <v>46218</v>
      </c>
      <c r="D692" s="145" t="s">
        <v>469</v>
      </c>
      <c r="E692" s="28">
        <v>0.94692065999999997</v>
      </c>
      <c r="F692" s="13"/>
      <c r="G692" s="18">
        <v>50000000</v>
      </c>
      <c r="H692" s="18">
        <v>47346032.770000003</v>
      </c>
      <c r="I692" s="18">
        <v>50000000</v>
      </c>
      <c r="J692" s="18">
        <v>47346032.770000003</v>
      </c>
      <c r="K692" s="15">
        <v>4526</v>
      </c>
      <c r="L692" s="13" t="s">
        <v>117</v>
      </c>
      <c r="M692" s="13" t="s">
        <v>118</v>
      </c>
      <c r="N692" s="145" t="s">
        <v>528</v>
      </c>
      <c r="O692" s="145" t="s">
        <v>528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1303</v>
      </c>
      <c r="V692" s="13" t="s">
        <v>1303</v>
      </c>
      <c r="W692" s="60">
        <f>+J692/$W$2</f>
        <v>1.2478540781973339E-3</v>
      </c>
      <c r="AC692" s="57"/>
    </row>
    <row r="693" spans="1:29">
      <c r="A693" s="13" t="s">
        <v>864</v>
      </c>
      <c r="B693" s="13" t="s">
        <v>675</v>
      </c>
      <c r="C693" s="145">
        <v>46218</v>
      </c>
      <c r="D693" s="145" t="s">
        <v>469</v>
      </c>
      <c r="E693" s="28">
        <v>0.93936598000000004</v>
      </c>
      <c r="F693" s="13"/>
      <c r="G693" s="18">
        <v>100000000</v>
      </c>
      <c r="H693" s="18">
        <v>93936598.060000002</v>
      </c>
      <c r="I693" s="18">
        <v>100000000</v>
      </c>
      <c r="J693" s="18">
        <v>93936598.060000002</v>
      </c>
      <c r="K693" s="15">
        <v>2597</v>
      </c>
      <c r="L693" s="13" t="s">
        <v>117</v>
      </c>
      <c r="M693" s="13" t="s">
        <v>118</v>
      </c>
      <c r="N693" s="145" t="s">
        <v>386</v>
      </c>
      <c r="O693" s="145" t="s">
        <v>386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1022</v>
      </c>
      <c r="V693" s="13" t="s">
        <v>1022</v>
      </c>
      <c r="W693" s="60">
        <f>+J693/$W$2</f>
        <v>2.4757970229646923E-3</v>
      </c>
    </row>
    <row r="694" spans="1:29">
      <c r="A694" s="13" t="s">
        <v>463</v>
      </c>
      <c r="B694" s="13" t="s">
        <v>675</v>
      </c>
      <c r="C694" s="145">
        <v>46218</v>
      </c>
      <c r="D694" s="145" t="s">
        <v>469</v>
      </c>
      <c r="E694" s="28">
        <v>0.94237331999999996</v>
      </c>
      <c r="F694" s="13"/>
      <c r="G694" s="18">
        <v>16800000</v>
      </c>
      <c r="H694" s="18">
        <v>15831871.779999999</v>
      </c>
      <c r="I694" s="18">
        <v>16800000</v>
      </c>
      <c r="J694" s="18">
        <v>15831871.779999999</v>
      </c>
      <c r="K694" s="15">
        <v>32476</v>
      </c>
      <c r="L694" s="13" t="s">
        <v>117</v>
      </c>
      <c r="M694" s="13" t="s">
        <v>118</v>
      </c>
      <c r="N694" s="145" t="s">
        <v>490</v>
      </c>
      <c r="O694" s="145" t="s">
        <v>490</v>
      </c>
      <c r="P694" s="28">
        <v>36</v>
      </c>
      <c r="Q694" s="13" t="s">
        <v>54</v>
      </c>
      <c r="R694" s="13" t="s">
        <v>28</v>
      </c>
      <c r="S694" s="13"/>
      <c r="T694" s="13"/>
      <c r="U694" s="13" t="s">
        <v>1604</v>
      </c>
      <c r="V694" s="13" t="s">
        <v>1604</v>
      </c>
      <c r="W694" s="60">
        <f>+J694/$W$2</f>
        <v>4.1726549428420639E-4</v>
      </c>
    </row>
    <row r="695" spans="1:29">
      <c r="A695" s="13" t="s">
        <v>526</v>
      </c>
      <c r="B695" s="13" t="s">
        <v>675</v>
      </c>
      <c r="C695" s="145">
        <v>46218</v>
      </c>
      <c r="D695" s="145" t="s">
        <v>469</v>
      </c>
      <c r="E695" s="28">
        <v>0.93193081</v>
      </c>
      <c r="F695" s="13"/>
      <c r="G695" s="18">
        <v>3000000</v>
      </c>
      <c r="H695" s="18">
        <v>2795792.43</v>
      </c>
      <c r="I695" s="18">
        <v>3000000</v>
      </c>
      <c r="J695" s="18">
        <v>2795792.43</v>
      </c>
      <c r="K695" s="15">
        <v>3071</v>
      </c>
      <c r="L695" s="13" t="s">
        <v>117</v>
      </c>
      <c r="M695" s="13" t="s">
        <v>118</v>
      </c>
      <c r="N695" s="145" t="s">
        <v>290</v>
      </c>
      <c r="O695" s="145" t="s">
        <v>290</v>
      </c>
      <c r="P695" s="28">
        <v>43</v>
      </c>
      <c r="Q695" s="13" t="s">
        <v>54</v>
      </c>
      <c r="R695" s="13" t="s">
        <v>28</v>
      </c>
      <c r="S695" s="13"/>
      <c r="T695" s="13"/>
      <c r="U695" s="13" t="s">
        <v>512</v>
      </c>
      <c r="V695" s="13" t="s">
        <v>512</v>
      </c>
      <c r="W695" s="60">
        <f>+J695/$W$2</f>
        <v>7.3686025659563069E-5</v>
      </c>
      <c r="AC695"/>
    </row>
    <row r="696" spans="1:29">
      <c r="A696" s="13" t="s">
        <v>424</v>
      </c>
      <c r="B696" s="13" t="s">
        <v>675</v>
      </c>
      <c r="C696" s="145">
        <v>46218</v>
      </c>
      <c r="D696" s="145" t="s">
        <v>469</v>
      </c>
      <c r="E696" s="28">
        <v>0.94086729999999996</v>
      </c>
      <c r="F696" s="13"/>
      <c r="G696" s="18">
        <v>5000000</v>
      </c>
      <c r="H696" s="18">
        <v>4704336.5</v>
      </c>
      <c r="I696" s="18">
        <v>5000000</v>
      </c>
      <c r="J696" s="18">
        <v>4704336.5</v>
      </c>
      <c r="K696" s="15">
        <v>40734594</v>
      </c>
      <c r="L696" s="13" t="s">
        <v>117</v>
      </c>
      <c r="M696" s="13" t="s">
        <v>118</v>
      </c>
      <c r="N696" s="145" t="s">
        <v>410</v>
      </c>
      <c r="O696" s="145" t="s">
        <v>410</v>
      </c>
      <c r="P696" s="28">
        <v>37</v>
      </c>
      <c r="Q696" s="13" t="s">
        <v>54</v>
      </c>
      <c r="R696" s="13" t="s">
        <v>28</v>
      </c>
      <c r="S696" s="13"/>
      <c r="T696" s="13"/>
      <c r="U696" s="13" t="s">
        <v>1767</v>
      </c>
      <c r="V696" s="13" t="s">
        <v>1767</v>
      </c>
      <c r="W696" s="60">
        <f>+J696/$W$2</f>
        <v>1.2398769534196753E-4</v>
      </c>
    </row>
    <row r="697" spans="1:29">
      <c r="A697" s="13" t="s">
        <v>1644</v>
      </c>
      <c r="B697" s="13" t="s">
        <v>675</v>
      </c>
      <c r="C697" s="145">
        <v>46219</v>
      </c>
      <c r="D697" s="145" t="s">
        <v>469</v>
      </c>
      <c r="E697" s="28">
        <v>0.95076857000000004</v>
      </c>
      <c r="F697" s="13"/>
      <c r="G697" s="18">
        <v>14700000</v>
      </c>
      <c r="H697" s="18">
        <v>13976297.949999999</v>
      </c>
      <c r="I697" s="18">
        <v>14700000</v>
      </c>
      <c r="J697" s="18">
        <v>13976297.949999999</v>
      </c>
      <c r="K697" s="15">
        <v>66589641</v>
      </c>
      <c r="L697" s="13" t="s">
        <v>117</v>
      </c>
      <c r="M697" s="13" t="s">
        <v>118</v>
      </c>
      <c r="N697" s="145" t="s">
        <v>400</v>
      </c>
      <c r="O697" s="145" t="s">
        <v>400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1636</v>
      </c>
      <c r="V697" s="13" t="s">
        <v>1636</v>
      </c>
      <c r="W697" s="60">
        <f>+J697/$W$2</f>
        <v>3.6835991052790667E-4</v>
      </c>
      <c r="AC697" s="57"/>
    </row>
    <row r="698" spans="1:29">
      <c r="A698" s="13" t="s">
        <v>307</v>
      </c>
      <c r="B698" s="13" t="s">
        <v>675</v>
      </c>
      <c r="C698" s="145">
        <v>46219</v>
      </c>
      <c r="D698" s="145" t="s">
        <v>469</v>
      </c>
      <c r="E698" s="28">
        <v>0.93541785</v>
      </c>
      <c r="F698" s="13"/>
      <c r="G698" s="18">
        <v>4100000</v>
      </c>
      <c r="H698" s="18">
        <v>3835213.18</v>
      </c>
      <c r="I698" s="18">
        <v>4100000</v>
      </c>
      <c r="J698" s="18">
        <v>3835213.18</v>
      </c>
      <c r="K698" s="15">
        <v>1019</v>
      </c>
      <c r="L698" s="13" t="s">
        <v>117</v>
      </c>
      <c r="M698" s="13" t="s">
        <v>118</v>
      </c>
      <c r="N698" s="145" t="s">
        <v>328</v>
      </c>
      <c r="O698" s="145" t="s">
        <v>328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615</v>
      </c>
      <c r="V698" s="13" t="s">
        <v>615</v>
      </c>
      <c r="W698" s="60">
        <f>+J698/$W$2</f>
        <v>1.0108104369943318E-4</v>
      </c>
    </row>
    <row r="699" spans="1:29">
      <c r="A699" s="13" t="s">
        <v>201</v>
      </c>
      <c r="B699" s="13" t="s">
        <v>675</v>
      </c>
      <c r="C699" s="145">
        <v>46219</v>
      </c>
      <c r="D699" s="145" t="s">
        <v>469</v>
      </c>
      <c r="E699" s="28">
        <v>0.93240694999999996</v>
      </c>
      <c r="F699" s="13"/>
      <c r="G699" s="18">
        <v>20000000</v>
      </c>
      <c r="H699" s="18">
        <v>18648139.030000001</v>
      </c>
      <c r="I699" s="18">
        <v>20000000</v>
      </c>
      <c r="J699" s="18">
        <v>18648139.030000001</v>
      </c>
      <c r="K699" s="15">
        <v>4021</v>
      </c>
      <c r="L699" s="13" t="s">
        <v>117</v>
      </c>
      <c r="M699" s="13" t="s">
        <v>118</v>
      </c>
      <c r="N699" s="145" t="s">
        <v>306</v>
      </c>
      <c r="O699" s="145" t="s">
        <v>306</v>
      </c>
      <c r="P699" s="28">
        <v>42</v>
      </c>
      <c r="Q699" s="13" t="s">
        <v>54</v>
      </c>
      <c r="R699" s="13" t="s">
        <v>28</v>
      </c>
      <c r="S699" s="13"/>
      <c r="T699" s="13"/>
      <c r="U699" s="13" t="s">
        <v>738</v>
      </c>
      <c r="V699" s="13" t="s">
        <v>738</v>
      </c>
      <c r="W699" s="60">
        <f>+J699/$W$2</f>
        <v>4.9149115518124485E-4</v>
      </c>
      <c r="AC699" s="57"/>
    </row>
    <row r="700" spans="1:29">
      <c r="A700" s="13" t="s">
        <v>598</v>
      </c>
      <c r="B700" s="13" t="s">
        <v>675</v>
      </c>
      <c r="C700" s="145">
        <v>46219</v>
      </c>
      <c r="D700" s="145" t="s">
        <v>469</v>
      </c>
      <c r="E700" s="28">
        <v>0.94149815000000003</v>
      </c>
      <c r="F700" s="13"/>
      <c r="G700" s="18">
        <v>3214300</v>
      </c>
      <c r="H700" s="18">
        <v>3026257.49</v>
      </c>
      <c r="I700" s="18">
        <v>3214300</v>
      </c>
      <c r="J700" s="18">
        <v>3026257.49</v>
      </c>
      <c r="K700" s="15">
        <v>2466</v>
      </c>
      <c r="L700" s="13" t="s">
        <v>117</v>
      </c>
      <c r="M700" s="13" t="s">
        <v>118</v>
      </c>
      <c r="N700" s="145" t="s">
        <v>462</v>
      </c>
      <c r="O700" s="145" t="s">
        <v>462</v>
      </c>
      <c r="P700" s="28">
        <v>36</v>
      </c>
      <c r="Q700" s="13" t="s">
        <v>54</v>
      </c>
      <c r="R700" s="13" t="s">
        <v>28</v>
      </c>
      <c r="S700" s="13"/>
      <c r="T700" s="13"/>
      <c r="U700" s="13" t="s">
        <v>1760</v>
      </c>
      <c r="V700" s="13" t="s">
        <v>1760</v>
      </c>
      <c r="W700" s="60">
        <f>+J700/$W$2</f>
        <v>7.9760172703731425E-5</v>
      </c>
    </row>
    <row r="701" spans="1:29">
      <c r="A701" s="13" t="s">
        <v>219</v>
      </c>
      <c r="B701" s="13" t="s">
        <v>675</v>
      </c>
      <c r="C701" s="145">
        <v>46219</v>
      </c>
      <c r="D701" s="145" t="s">
        <v>469</v>
      </c>
      <c r="E701" s="28">
        <v>0.95547243000000004</v>
      </c>
      <c r="F701" s="13"/>
      <c r="G701" s="18">
        <v>130000000</v>
      </c>
      <c r="H701" s="18">
        <v>124211415.65000001</v>
      </c>
      <c r="I701" s="18">
        <v>130000000</v>
      </c>
      <c r="J701" s="18">
        <v>124211415.65000001</v>
      </c>
      <c r="K701" s="15">
        <v>31</v>
      </c>
      <c r="L701" s="13" t="s">
        <v>117</v>
      </c>
      <c r="M701" s="13" t="s">
        <v>118</v>
      </c>
      <c r="N701" s="145" t="s">
        <v>461</v>
      </c>
      <c r="O701" s="145" t="s">
        <v>461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1153</v>
      </c>
      <c r="V701" s="13" t="s">
        <v>1153</v>
      </c>
      <c r="W701" s="60">
        <f>+J701/$W$2</f>
        <v>3.2737214188667627E-3</v>
      </c>
    </row>
    <row r="702" spans="1:29">
      <c r="A702" s="13" t="s">
        <v>219</v>
      </c>
      <c r="B702" s="13" t="s">
        <v>675</v>
      </c>
      <c r="C702" s="145">
        <v>46219</v>
      </c>
      <c r="D702" s="145" t="s">
        <v>469</v>
      </c>
      <c r="E702" s="28">
        <v>0.95547243000000004</v>
      </c>
      <c r="F702" s="13"/>
      <c r="G702" s="18">
        <v>150000000</v>
      </c>
      <c r="H702" s="18">
        <v>143320864.22</v>
      </c>
      <c r="I702" s="18">
        <v>150000000</v>
      </c>
      <c r="J702" s="18">
        <v>143320864.22</v>
      </c>
      <c r="K702" s="15">
        <v>30</v>
      </c>
      <c r="L702" s="13" t="s">
        <v>117</v>
      </c>
      <c r="M702" s="13" t="s">
        <v>118</v>
      </c>
      <c r="N702" s="145" t="s">
        <v>461</v>
      </c>
      <c r="O702" s="145" t="s">
        <v>461</v>
      </c>
      <c r="P702" s="28">
        <v>27</v>
      </c>
      <c r="Q702" s="13" t="s">
        <v>54</v>
      </c>
      <c r="R702" s="13" t="s">
        <v>28</v>
      </c>
      <c r="S702" s="13"/>
      <c r="T702" s="13"/>
      <c r="U702" s="13" t="s">
        <v>1154</v>
      </c>
      <c r="V702" s="13" t="s">
        <v>1154</v>
      </c>
      <c r="W702" s="60">
        <f>+J702/$W$2</f>
        <v>3.7773708681462003E-3</v>
      </c>
    </row>
    <row r="703" spans="1:29">
      <c r="A703" s="13" t="s">
        <v>379</v>
      </c>
      <c r="B703" s="13" t="s">
        <v>675</v>
      </c>
      <c r="C703" s="145">
        <v>46219</v>
      </c>
      <c r="D703" s="145" t="s">
        <v>469</v>
      </c>
      <c r="E703" s="28">
        <v>0.93844828000000002</v>
      </c>
      <c r="F703" s="13"/>
      <c r="G703" s="18">
        <v>5450000</v>
      </c>
      <c r="H703" s="18">
        <v>5114543.1100000003</v>
      </c>
      <c r="I703" s="18">
        <v>5450000</v>
      </c>
      <c r="J703" s="18">
        <v>5114543.1100000003</v>
      </c>
      <c r="K703" s="15">
        <v>28515</v>
      </c>
      <c r="L703" s="13" t="s">
        <v>117</v>
      </c>
      <c r="M703" s="13" t="s">
        <v>118</v>
      </c>
      <c r="N703" s="145" t="s">
        <v>385</v>
      </c>
      <c r="O703" s="145" t="s">
        <v>385</v>
      </c>
      <c r="P703" s="28">
        <v>38</v>
      </c>
      <c r="Q703" s="13" t="s">
        <v>54</v>
      </c>
      <c r="R703" s="13" t="s">
        <v>28</v>
      </c>
      <c r="S703" s="13"/>
      <c r="T703" s="13"/>
      <c r="U703" s="13" t="s">
        <v>965</v>
      </c>
      <c r="V703" s="13" t="s">
        <v>965</v>
      </c>
      <c r="W703" s="60">
        <f>+J703/$W$2</f>
        <v>1.3479911841681377E-4</v>
      </c>
    </row>
    <row r="704" spans="1:29">
      <c r="A704" s="13" t="s">
        <v>406</v>
      </c>
      <c r="B704" s="13" t="s">
        <v>675</v>
      </c>
      <c r="C704" s="145">
        <v>46219</v>
      </c>
      <c r="D704" s="145" t="s">
        <v>469</v>
      </c>
      <c r="E704" s="28">
        <v>0.95233131999999998</v>
      </c>
      <c r="F704" s="13"/>
      <c r="G704" s="18">
        <v>1200000</v>
      </c>
      <c r="H704" s="18">
        <v>1142797.5900000001</v>
      </c>
      <c r="I704" s="18">
        <v>1200000</v>
      </c>
      <c r="J704" s="18">
        <v>1142797.5900000001</v>
      </c>
      <c r="K704" s="15">
        <v>544</v>
      </c>
      <c r="L704" s="13" t="s">
        <v>117</v>
      </c>
      <c r="M704" s="13" t="s">
        <v>118</v>
      </c>
      <c r="N704" s="145" t="s">
        <v>216</v>
      </c>
      <c r="O704" s="145" t="s">
        <v>216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1612</v>
      </c>
      <c r="V704" s="13" t="s">
        <v>1612</v>
      </c>
      <c r="W704" s="60">
        <f>+J704/$W$2</f>
        <v>3.0119622485860598E-5</v>
      </c>
    </row>
    <row r="705" spans="1:29">
      <c r="A705" s="13" t="s">
        <v>1389</v>
      </c>
      <c r="B705" s="13" t="s">
        <v>675</v>
      </c>
      <c r="C705" s="145">
        <v>46219</v>
      </c>
      <c r="D705" s="145" t="s">
        <v>469</v>
      </c>
      <c r="E705" s="28">
        <v>0.95705070999999997</v>
      </c>
      <c r="F705" s="13"/>
      <c r="G705" s="18">
        <v>96959948.799999997</v>
      </c>
      <c r="H705" s="18">
        <v>92795587.900000006</v>
      </c>
      <c r="I705" s="18">
        <v>96959948.799999997</v>
      </c>
      <c r="J705" s="18">
        <v>92795587.900000006</v>
      </c>
      <c r="K705" s="15">
        <v>1289</v>
      </c>
      <c r="L705" s="13" t="s">
        <v>117</v>
      </c>
      <c r="M705" s="13" t="s">
        <v>118</v>
      </c>
      <c r="N705" s="145" t="s">
        <v>462</v>
      </c>
      <c r="O705" s="145" t="s">
        <v>462</v>
      </c>
      <c r="P705" s="28">
        <v>26</v>
      </c>
      <c r="Q705" s="13" t="s">
        <v>54</v>
      </c>
      <c r="R705" s="13" t="s">
        <v>28</v>
      </c>
      <c r="S705" s="13"/>
      <c r="T705" s="13"/>
      <c r="U705" s="13" t="s">
        <v>1747</v>
      </c>
      <c r="V705" s="13" t="s">
        <v>1747</v>
      </c>
      <c r="W705" s="60">
        <f>+J705/$W$2</f>
        <v>2.4457245100608705E-3</v>
      </c>
    </row>
    <row r="706" spans="1:29">
      <c r="A706" s="13" t="s">
        <v>1764</v>
      </c>
      <c r="B706" s="13" t="s">
        <v>675</v>
      </c>
      <c r="C706" s="145">
        <v>46219</v>
      </c>
      <c r="D706" s="145" t="s">
        <v>469</v>
      </c>
      <c r="E706" s="28">
        <v>0.95389922999999999</v>
      </c>
      <c r="F706" s="13"/>
      <c r="G706" s="18">
        <v>6500000</v>
      </c>
      <c r="H706" s="18">
        <v>6200344.9699999997</v>
      </c>
      <c r="I706" s="18">
        <v>6500000</v>
      </c>
      <c r="J706" s="18">
        <v>6200344.9699999997</v>
      </c>
      <c r="K706" s="15">
        <v>29175488</v>
      </c>
      <c r="L706" s="13" t="s">
        <v>117</v>
      </c>
      <c r="M706" s="13" t="s">
        <v>118</v>
      </c>
      <c r="N706" s="145" t="s">
        <v>462</v>
      </c>
      <c r="O706" s="145" t="s">
        <v>462</v>
      </c>
      <c r="P706" s="28">
        <v>28</v>
      </c>
      <c r="Q706" s="13" t="s">
        <v>54</v>
      </c>
      <c r="R706" s="13" t="s">
        <v>28</v>
      </c>
      <c r="S706" s="13"/>
      <c r="T706" s="13"/>
      <c r="U706" s="13" t="s">
        <v>1733</v>
      </c>
      <c r="V706" s="13" t="s">
        <v>1733</v>
      </c>
      <c r="W706" s="60">
        <f>+J706/$W$2</f>
        <v>1.6341655898880977E-4</v>
      </c>
    </row>
    <row r="707" spans="1:29">
      <c r="A707" s="13" t="s">
        <v>526</v>
      </c>
      <c r="B707" s="13" t="s">
        <v>675</v>
      </c>
      <c r="C707" s="145">
        <v>46219</v>
      </c>
      <c r="D707" s="145" t="s">
        <v>469</v>
      </c>
      <c r="E707" s="28">
        <v>0.93090872999999996</v>
      </c>
      <c r="F707" s="13"/>
      <c r="G707" s="18">
        <v>3500000</v>
      </c>
      <c r="H707" s="18">
        <v>3258180.54</v>
      </c>
      <c r="I707" s="18">
        <v>3500000</v>
      </c>
      <c r="J707" s="18">
        <v>3258180.54</v>
      </c>
      <c r="K707" s="15">
        <v>3072</v>
      </c>
      <c r="L707" s="13" t="s">
        <v>117</v>
      </c>
      <c r="M707" s="13" t="s">
        <v>118</v>
      </c>
      <c r="N707" s="145" t="s">
        <v>290</v>
      </c>
      <c r="O707" s="145" t="s">
        <v>290</v>
      </c>
      <c r="P707" s="28">
        <v>43</v>
      </c>
      <c r="Q707" s="13" t="s">
        <v>54</v>
      </c>
      <c r="R707" s="13" t="s">
        <v>28</v>
      </c>
      <c r="S707" s="13"/>
      <c r="T707" s="13"/>
      <c r="U707" s="13" t="s">
        <v>519</v>
      </c>
      <c r="V707" s="13" t="s">
        <v>519</v>
      </c>
      <c r="W707" s="60">
        <f>+J707/$W$2</f>
        <v>8.5872746595114379E-5</v>
      </c>
    </row>
    <row r="708" spans="1:29">
      <c r="A708" s="13" t="s">
        <v>795</v>
      </c>
      <c r="B708" s="13" t="s">
        <v>675</v>
      </c>
      <c r="C708" s="145">
        <v>46220</v>
      </c>
      <c r="D708" s="145" t="s">
        <v>469</v>
      </c>
      <c r="E708" s="28">
        <v>0.94217879000000004</v>
      </c>
      <c r="F708" s="13"/>
      <c r="G708" s="18">
        <v>1500000</v>
      </c>
      <c r="H708" s="18">
        <v>1413268.18</v>
      </c>
      <c r="I708" s="18">
        <v>1500000</v>
      </c>
      <c r="J708" s="18">
        <v>1413268.18</v>
      </c>
      <c r="K708" s="15">
        <v>1</v>
      </c>
      <c r="L708" s="13" t="s">
        <v>117</v>
      </c>
      <c r="M708" s="13" t="s">
        <v>118</v>
      </c>
      <c r="N708" s="145" t="s">
        <v>533</v>
      </c>
      <c r="O708" s="145" t="s">
        <v>533</v>
      </c>
      <c r="P708" s="28">
        <v>35</v>
      </c>
      <c r="Q708" s="13" t="s">
        <v>54</v>
      </c>
      <c r="R708" s="13" t="s">
        <v>28</v>
      </c>
      <c r="S708" s="13"/>
      <c r="T708" s="13"/>
      <c r="U708" s="13" t="s">
        <v>1515</v>
      </c>
      <c r="V708" s="13" t="s">
        <v>1515</v>
      </c>
      <c r="W708" s="60">
        <f>+J708/$W$2</f>
        <v>3.7248157001170507E-5</v>
      </c>
    </row>
    <row r="709" spans="1:29">
      <c r="A709" s="13" t="s">
        <v>155</v>
      </c>
      <c r="B709" s="13" t="s">
        <v>675</v>
      </c>
      <c r="C709" s="145">
        <v>46220</v>
      </c>
      <c r="D709" s="145" t="s">
        <v>469</v>
      </c>
      <c r="E709" s="28">
        <v>0.93753211999999997</v>
      </c>
      <c r="F709" s="13"/>
      <c r="G709" s="18">
        <v>20000000</v>
      </c>
      <c r="H709" s="18">
        <v>18750642.300000001</v>
      </c>
      <c r="I709" s="18">
        <v>20000000</v>
      </c>
      <c r="J709" s="18">
        <v>18750642.300000001</v>
      </c>
      <c r="K709" s="15">
        <v>65800709</v>
      </c>
      <c r="L709" s="13" t="s">
        <v>117</v>
      </c>
      <c r="M709" s="13" t="s">
        <v>118</v>
      </c>
      <c r="N709" s="145" t="s">
        <v>306</v>
      </c>
      <c r="O709" s="145" t="s">
        <v>306</v>
      </c>
      <c r="P709" s="28">
        <v>38</v>
      </c>
      <c r="Q709" s="13" t="s">
        <v>54</v>
      </c>
      <c r="R709" s="13" t="s">
        <v>28</v>
      </c>
      <c r="S709" s="13"/>
      <c r="T709" s="13"/>
      <c r="U709" s="13" t="s">
        <v>741</v>
      </c>
      <c r="V709" s="13" t="s">
        <v>741</v>
      </c>
      <c r="W709" s="60">
        <f>+J709/$W$2</f>
        <v>4.9419273577870322E-4</v>
      </c>
    </row>
    <row r="710" spans="1:29">
      <c r="A710" s="13" t="s">
        <v>307</v>
      </c>
      <c r="B710" s="13" t="s">
        <v>675</v>
      </c>
      <c r="C710" s="145">
        <v>46220</v>
      </c>
      <c r="D710" s="145" t="s">
        <v>469</v>
      </c>
      <c r="E710" s="28">
        <v>0.93445986999999997</v>
      </c>
      <c r="F710" s="13"/>
      <c r="G710" s="18">
        <v>4100000</v>
      </c>
      <c r="H710" s="18">
        <v>3831285.46</v>
      </c>
      <c r="I710" s="18">
        <v>4100000</v>
      </c>
      <c r="J710" s="18">
        <v>3831285.46</v>
      </c>
      <c r="K710" s="15">
        <v>1020</v>
      </c>
      <c r="L710" s="13" t="s">
        <v>117</v>
      </c>
      <c r="M710" s="13" t="s">
        <v>118</v>
      </c>
      <c r="N710" s="145" t="s">
        <v>328</v>
      </c>
      <c r="O710" s="145" t="s">
        <v>328</v>
      </c>
      <c r="P710" s="28">
        <v>40</v>
      </c>
      <c r="Q710" s="13" t="s">
        <v>54</v>
      </c>
      <c r="R710" s="13" t="s">
        <v>28</v>
      </c>
      <c r="S710" s="13"/>
      <c r="T710" s="13"/>
      <c r="U710" s="13" t="s">
        <v>616</v>
      </c>
      <c r="V710" s="13" t="s">
        <v>616</v>
      </c>
      <c r="W710" s="60">
        <f>+J710/$W$2</f>
        <v>1.009775245420029E-4</v>
      </c>
    </row>
    <row r="711" spans="1:29">
      <c r="A711" s="13" t="s">
        <v>863</v>
      </c>
      <c r="B711" s="13" t="s">
        <v>675</v>
      </c>
      <c r="C711" s="145">
        <v>46220</v>
      </c>
      <c r="D711" s="145" t="s">
        <v>469</v>
      </c>
      <c r="E711" s="28">
        <v>0.95161127999999995</v>
      </c>
      <c r="F711" s="13"/>
      <c r="G711" s="18">
        <v>12500000</v>
      </c>
      <c r="H711" s="18">
        <v>11895141.060000001</v>
      </c>
      <c r="I711" s="18">
        <v>12500000</v>
      </c>
      <c r="J711" s="18">
        <v>11895141.060000001</v>
      </c>
      <c r="K711" s="15">
        <v>28996509</v>
      </c>
      <c r="L711" s="13" t="s">
        <v>117</v>
      </c>
      <c r="M711" s="13" t="s">
        <v>118</v>
      </c>
      <c r="N711" s="145" t="s">
        <v>209</v>
      </c>
      <c r="O711" s="145" t="s">
        <v>209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812</v>
      </c>
      <c r="V711" s="13" t="s">
        <v>812</v>
      </c>
      <c r="W711" s="60">
        <f>+J711/$W$2</f>
        <v>3.13508849929636E-4</v>
      </c>
    </row>
    <row r="712" spans="1:29">
      <c r="A712" s="13" t="s">
        <v>405</v>
      </c>
      <c r="B712" s="13" t="s">
        <v>675</v>
      </c>
      <c r="C712" s="145">
        <v>46220</v>
      </c>
      <c r="D712" s="145" t="s">
        <v>469</v>
      </c>
      <c r="E712" s="28">
        <v>0.95161138999999995</v>
      </c>
      <c r="F712" s="13"/>
      <c r="G712" s="18">
        <v>70000000</v>
      </c>
      <c r="H712" s="18">
        <v>66612797.380000003</v>
      </c>
      <c r="I712" s="18">
        <v>70000000</v>
      </c>
      <c r="J712" s="18">
        <v>66612797.380000003</v>
      </c>
      <c r="K712" s="15">
        <v>90041868</v>
      </c>
      <c r="L712" s="13" t="s">
        <v>117</v>
      </c>
      <c r="M712" s="13" t="s">
        <v>118</v>
      </c>
      <c r="N712" s="145" t="s">
        <v>528</v>
      </c>
      <c r="O712" s="145" t="s">
        <v>528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1270</v>
      </c>
      <c r="V712" s="13" t="s">
        <v>1270</v>
      </c>
      <c r="W712" s="60">
        <f>+J712/$W$2</f>
        <v>1.7556497558003461E-3</v>
      </c>
    </row>
    <row r="713" spans="1:29">
      <c r="A713" s="13" t="s">
        <v>1330</v>
      </c>
      <c r="B713" s="13" t="s">
        <v>675</v>
      </c>
      <c r="C713" s="145">
        <v>46220</v>
      </c>
      <c r="D713" s="145" t="s">
        <v>469</v>
      </c>
      <c r="E713" s="28">
        <v>0.95320179000000005</v>
      </c>
      <c r="F713" s="13"/>
      <c r="G713" s="18">
        <v>1000000</v>
      </c>
      <c r="H713" s="18">
        <v>953201.79</v>
      </c>
      <c r="I713" s="18">
        <v>1000000</v>
      </c>
      <c r="J713" s="18">
        <v>953201.79</v>
      </c>
      <c r="K713" s="15">
        <v>10805445</v>
      </c>
      <c r="L713" s="13" t="s">
        <v>117</v>
      </c>
      <c r="M713" s="13" t="s">
        <v>118</v>
      </c>
      <c r="N713" s="145" t="s">
        <v>411</v>
      </c>
      <c r="O713" s="145" t="s">
        <v>411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1440</v>
      </c>
      <c r="V713" s="13" t="s">
        <v>1440</v>
      </c>
      <c r="W713" s="60">
        <f>+J713/$W$2</f>
        <v>2.5122627417902213E-5</v>
      </c>
      <c r="AC713" s="57"/>
    </row>
    <row r="714" spans="1:29">
      <c r="A714" s="13" t="s">
        <v>406</v>
      </c>
      <c r="B714" s="13" t="s">
        <v>675</v>
      </c>
      <c r="C714" s="145">
        <v>46220</v>
      </c>
      <c r="D714" s="145" t="s">
        <v>469</v>
      </c>
      <c r="E714" s="28">
        <v>0.95161130000000005</v>
      </c>
      <c r="F714" s="13"/>
      <c r="G714" s="18">
        <v>3500000</v>
      </c>
      <c r="H714" s="18">
        <v>3330639.56</v>
      </c>
      <c r="I714" s="18">
        <v>3500000</v>
      </c>
      <c r="J714" s="18">
        <v>3330639.56</v>
      </c>
      <c r="K714" s="15">
        <v>404</v>
      </c>
      <c r="L714" s="13" t="s">
        <v>117</v>
      </c>
      <c r="M714" s="13" t="s">
        <v>118</v>
      </c>
      <c r="N714" s="145" t="s">
        <v>411</v>
      </c>
      <c r="O714" s="145" t="s">
        <v>411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1490</v>
      </c>
      <c r="V714" s="13" t="s">
        <v>1490</v>
      </c>
      <c r="W714" s="60">
        <f>+J714/$W$2</f>
        <v>8.7782479645999995E-5</v>
      </c>
    </row>
    <row r="715" spans="1:29">
      <c r="A715" s="13" t="s">
        <v>1389</v>
      </c>
      <c r="B715" s="13" t="s">
        <v>675</v>
      </c>
      <c r="C715" s="145">
        <v>46220</v>
      </c>
      <c r="D715" s="145" t="s">
        <v>469</v>
      </c>
      <c r="E715" s="28">
        <v>0.95320174000000002</v>
      </c>
      <c r="F715" s="13"/>
      <c r="G715" s="18">
        <v>15000000</v>
      </c>
      <c r="H715" s="18">
        <v>14298026.15</v>
      </c>
      <c r="I715" s="18">
        <v>15000000</v>
      </c>
      <c r="J715" s="18">
        <v>14298026.15</v>
      </c>
      <c r="K715" s="15">
        <v>29131904</v>
      </c>
      <c r="L715" s="13" t="s">
        <v>117</v>
      </c>
      <c r="M715" s="13" t="s">
        <v>118</v>
      </c>
      <c r="N715" s="145" t="s">
        <v>445</v>
      </c>
      <c r="O715" s="145" t="s">
        <v>445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1373</v>
      </c>
      <c r="V715" s="13" t="s">
        <v>1373</v>
      </c>
      <c r="W715" s="60">
        <f>+J715/$W$2</f>
        <v>3.7683939281930303E-4</v>
      </c>
    </row>
    <row r="716" spans="1:29">
      <c r="A716" s="13" t="s">
        <v>722</v>
      </c>
      <c r="B716" s="13" t="s">
        <v>675</v>
      </c>
      <c r="C716" s="145">
        <v>46220</v>
      </c>
      <c r="D716" s="145" t="s">
        <v>469</v>
      </c>
      <c r="E716" s="28">
        <v>0.93445995999999998</v>
      </c>
      <c r="F716" s="13"/>
      <c r="G716" s="18">
        <v>40000000</v>
      </c>
      <c r="H716" s="18">
        <v>37378398.520000003</v>
      </c>
      <c r="I716" s="18">
        <v>40000000</v>
      </c>
      <c r="J716" s="18">
        <v>37378398.520000003</v>
      </c>
      <c r="K716" s="15">
        <v>224</v>
      </c>
      <c r="L716" s="13" t="s">
        <v>117</v>
      </c>
      <c r="M716" s="13" t="s">
        <v>118</v>
      </c>
      <c r="N716" s="145" t="s">
        <v>403</v>
      </c>
      <c r="O716" s="145" t="s">
        <v>403</v>
      </c>
      <c r="P716" s="28">
        <v>40</v>
      </c>
      <c r="Q716" s="13" t="s">
        <v>54</v>
      </c>
      <c r="R716" s="13" t="s">
        <v>28</v>
      </c>
      <c r="S716" s="13"/>
      <c r="T716" s="13"/>
      <c r="U716" s="13" t="s">
        <v>724</v>
      </c>
      <c r="V716" s="13" t="s">
        <v>724</v>
      </c>
      <c r="W716" s="60">
        <f>+J716/$W$2</f>
        <v>9.8514668074199435E-4</v>
      </c>
    </row>
    <row r="717" spans="1:29">
      <c r="A717" s="13" t="s">
        <v>526</v>
      </c>
      <c r="B717" s="13" t="s">
        <v>675</v>
      </c>
      <c r="C717" s="145">
        <v>46220</v>
      </c>
      <c r="D717" s="145" t="s">
        <v>469</v>
      </c>
      <c r="E717" s="28">
        <v>0.92988904999999999</v>
      </c>
      <c r="F717" s="13"/>
      <c r="G717" s="18">
        <v>3500000</v>
      </c>
      <c r="H717" s="18">
        <v>3254611.67</v>
      </c>
      <c r="I717" s="18">
        <v>3500000</v>
      </c>
      <c r="J717" s="18">
        <v>3254611.67</v>
      </c>
      <c r="K717" s="15">
        <v>3073</v>
      </c>
      <c r="L717" s="13" t="s">
        <v>117</v>
      </c>
      <c r="M717" s="13" t="s">
        <v>118</v>
      </c>
      <c r="N717" s="145" t="s">
        <v>290</v>
      </c>
      <c r="O717" s="145" t="s">
        <v>290</v>
      </c>
      <c r="P717" s="28">
        <v>43</v>
      </c>
      <c r="Q717" s="13" t="s">
        <v>54</v>
      </c>
      <c r="R717" s="13" t="s">
        <v>28</v>
      </c>
      <c r="S717" s="13"/>
      <c r="T717" s="13"/>
      <c r="U717" s="13" t="s">
        <v>522</v>
      </c>
      <c r="V717" s="13" t="s">
        <v>522</v>
      </c>
      <c r="W717" s="60">
        <f>+J717/$W$2</f>
        <v>8.5778685303734595E-5</v>
      </c>
    </row>
    <row r="718" spans="1:29">
      <c r="A718" s="13" t="s">
        <v>424</v>
      </c>
      <c r="B718" s="13" t="s">
        <v>675</v>
      </c>
      <c r="C718" s="145">
        <v>46220</v>
      </c>
      <c r="D718" s="145" t="s">
        <v>469</v>
      </c>
      <c r="E718" s="28">
        <v>0.93907584</v>
      </c>
      <c r="F718" s="13"/>
      <c r="G718" s="18">
        <v>5000000</v>
      </c>
      <c r="H718" s="18">
        <v>4695379.22</v>
      </c>
      <c r="I718" s="18">
        <v>5000000</v>
      </c>
      <c r="J718" s="18">
        <v>4695379.22</v>
      </c>
      <c r="K718" s="15">
        <v>40734595</v>
      </c>
      <c r="L718" s="13" t="s">
        <v>117</v>
      </c>
      <c r="M718" s="13" t="s">
        <v>118</v>
      </c>
      <c r="N718" s="145" t="s">
        <v>410</v>
      </c>
      <c r="O718" s="145" t="s">
        <v>410</v>
      </c>
      <c r="P718" s="28">
        <v>37</v>
      </c>
      <c r="Q718" s="13" t="s">
        <v>54</v>
      </c>
      <c r="R718" s="13" t="s">
        <v>28</v>
      </c>
      <c r="S718" s="13"/>
      <c r="T718" s="13"/>
      <c r="U718" s="13" t="s">
        <v>1768</v>
      </c>
      <c r="V718" s="13" t="s">
        <v>1768</v>
      </c>
      <c r="W718" s="60">
        <f>+J718/$W$2</f>
        <v>1.2375161688462659E-4</v>
      </c>
    </row>
    <row r="719" spans="1:29">
      <c r="A719" s="13" t="s">
        <v>327</v>
      </c>
      <c r="B719" s="13" t="s">
        <v>675</v>
      </c>
      <c r="C719" s="145">
        <v>46220</v>
      </c>
      <c r="D719" s="145" t="s">
        <v>469</v>
      </c>
      <c r="E719" s="28">
        <v>0.93293130999999996</v>
      </c>
      <c r="F719" s="13"/>
      <c r="G719" s="18">
        <v>45000000</v>
      </c>
      <c r="H719" s="18">
        <v>41981909.119999997</v>
      </c>
      <c r="I719" s="18">
        <v>45000000</v>
      </c>
      <c r="J719" s="18">
        <v>41981909.119999997</v>
      </c>
      <c r="K719" s="15">
        <v>64885072</v>
      </c>
      <c r="L719" s="13" t="s">
        <v>117</v>
      </c>
      <c r="M719" s="13" t="s">
        <v>118</v>
      </c>
      <c r="N719" s="145" t="s">
        <v>290</v>
      </c>
      <c r="O719" s="145" t="s">
        <v>290</v>
      </c>
      <c r="P719" s="28">
        <v>41</v>
      </c>
      <c r="Q719" s="13" t="s">
        <v>54</v>
      </c>
      <c r="R719" s="13" t="s">
        <v>28</v>
      </c>
      <c r="S719" s="13"/>
      <c r="T719" s="13"/>
      <c r="U719" s="13" t="s">
        <v>503</v>
      </c>
      <c r="V719" s="13" t="s">
        <v>503</v>
      </c>
      <c r="W719" s="60">
        <f>+J719/$W$2</f>
        <v>1.1064770043224435E-3</v>
      </c>
    </row>
    <row r="720" spans="1:29">
      <c r="A720" s="13" t="s">
        <v>734</v>
      </c>
      <c r="B720" s="13" t="s">
        <v>675</v>
      </c>
      <c r="C720" s="145">
        <v>46223</v>
      </c>
      <c r="D720" s="145" t="s">
        <v>469</v>
      </c>
      <c r="E720" s="28">
        <v>0.94615985000000002</v>
      </c>
      <c r="F720" s="13"/>
      <c r="G720" s="18">
        <v>15000000</v>
      </c>
      <c r="H720" s="18">
        <v>14192397.710000001</v>
      </c>
      <c r="I720" s="18">
        <v>15000000</v>
      </c>
      <c r="J720" s="18">
        <v>14192397.710000001</v>
      </c>
      <c r="K720" s="15">
        <v>70219528</v>
      </c>
      <c r="L720" s="13" t="s">
        <v>117</v>
      </c>
      <c r="M720" s="13" t="s">
        <v>118</v>
      </c>
      <c r="N720" s="145" t="s">
        <v>460</v>
      </c>
      <c r="O720" s="145" t="s">
        <v>460</v>
      </c>
      <c r="P720" s="28">
        <v>31</v>
      </c>
      <c r="Q720" s="13" t="s">
        <v>54</v>
      </c>
      <c r="R720" s="13" t="s">
        <v>28</v>
      </c>
      <c r="S720" s="13"/>
      <c r="T720" s="13"/>
      <c r="U720" s="13" t="s">
        <v>1835</v>
      </c>
      <c r="V720" s="13" t="s">
        <v>1835</v>
      </c>
      <c r="W720" s="60">
        <f>+J720/$W$2</f>
        <v>3.7405544510676859E-4</v>
      </c>
    </row>
    <row r="721" spans="1:29">
      <c r="A721" s="13" t="s">
        <v>444</v>
      </c>
      <c r="B721" s="13" t="s">
        <v>675</v>
      </c>
      <c r="C721" s="145">
        <v>46223</v>
      </c>
      <c r="D721" s="145" t="s">
        <v>469</v>
      </c>
      <c r="E721" s="28">
        <v>0.93479491000000003</v>
      </c>
      <c r="F721" s="13"/>
      <c r="G721" s="18">
        <v>8000000</v>
      </c>
      <c r="H721" s="18">
        <v>7478359.2999999998</v>
      </c>
      <c r="I721" s="18">
        <v>8000000</v>
      </c>
      <c r="J721" s="18">
        <v>7478359.2999999998</v>
      </c>
      <c r="K721" s="15">
        <v>60524090</v>
      </c>
      <c r="L721" s="13" t="s">
        <v>117</v>
      </c>
      <c r="M721" s="13" t="s">
        <v>118</v>
      </c>
      <c r="N721" s="145" t="s">
        <v>378</v>
      </c>
      <c r="O721" s="145" t="s">
        <v>378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728</v>
      </c>
      <c r="V721" s="13" t="s">
        <v>728</v>
      </c>
      <c r="W721" s="60">
        <f>+J721/$W$2</f>
        <v>1.9709995969594641E-4</v>
      </c>
    </row>
    <row r="722" spans="1:29">
      <c r="A722" s="13" t="s">
        <v>444</v>
      </c>
      <c r="B722" s="13" t="s">
        <v>675</v>
      </c>
      <c r="C722" s="145">
        <v>46223</v>
      </c>
      <c r="D722" s="145" t="s">
        <v>469</v>
      </c>
      <c r="E722" s="28">
        <v>0.93159787999999999</v>
      </c>
      <c r="F722" s="13"/>
      <c r="G722" s="18">
        <v>3500000</v>
      </c>
      <c r="H722" s="18">
        <v>3260592.57</v>
      </c>
      <c r="I722" s="18">
        <v>3500000</v>
      </c>
      <c r="J722" s="18">
        <v>3260592.57</v>
      </c>
      <c r="K722" s="15">
        <v>60524036</v>
      </c>
      <c r="L722" s="13" t="s">
        <v>117</v>
      </c>
      <c r="M722" s="13" t="s">
        <v>118</v>
      </c>
      <c r="N722" s="145" t="s">
        <v>303</v>
      </c>
      <c r="O722" s="145" t="s">
        <v>303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608</v>
      </c>
      <c r="V722" s="13" t="s">
        <v>608</v>
      </c>
      <c r="W722" s="60">
        <f>+J722/$W$2</f>
        <v>8.593631816164575E-5</v>
      </c>
    </row>
    <row r="723" spans="1:29">
      <c r="A723" s="13" t="s">
        <v>307</v>
      </c>
      <c r="B723" s="13" t="s">
        <v>675</v>
      </c>
      <c r="C723" s="145">
        <v>46223</v>
      </c>
      <c r="D723" s="145" t="s">
        <v>469</v>
      </c>
      <c r="E723" s="28">
        <v>0.93159784999999995</v>
      </c>
      <c r="F723" s="13"/>
      <c r="G723" s="18">
        <v>4100000</v>
      </c>
      <c r="H723" s="18">
        <v>3819551.2</v>
      </c>
      <c r="I723" s="18">
        <v>4100000</v>
      </c>
      <c r="J723" s="18">
        <v>3819551.2</v>
      </c>
      <c r="K723" s="15">
        <v>1021</v>
      </c>
      <c r="L723" s="13" t="s">
        <v>117</v>
      </c>
      <c r="M723" s="13" t="s">
        <v>118</v>
      </c>
      <c r="N723" s="145" t="s">
        <v>328</v>
      </c>
      <c r="O723" s="145" t="s">
        <v>328</v>
      </c>
      <c r="P723" s="28">
        <v>40</v>
      </c>
      <c r="Q723" s="13" t="s">
        <v>54</v>
      </c>
      <c r="R723" s="13" t="s">
        <v>28</v>
      </c>
      <c r="S723" s="13"/>
      <c r="T723" s="13"/>
      <c r="U723" s="13" t="s">
        <v>617</v>
      </c>
      <c r="V723" s="13" t="s">
        <v>617</v>
      </c>
      <c r="W723" s="60">
        <f>+J723/$W$2</f>
        <v>1.0066825588021745E-4</v>
      </c>
      <c r="AC723" s="57"/>
    </row>
    <row r="724" spans="1:29">
      <c r="A724" s="13" t="s">
        <v>1330</v>
      </c>
      <c r="B724" s="13" t="s">
        <v>675</v>
      </c>
      <c r="C724" s="145">
        <v>46223</v>
      </c>
      <c r="D724" s="145" t="s">
        <v>469</v>
      </c>
      <c r="E724" s="28">
        <v>0.95277882999999997</v>
      </c>
      <c r="F724" s="13"/>
      <c r="G724" s="18">
        <v>20000000</v>
      </c>
      <c r="H724" s="18">
        <v>19055576.670000002</v>
      </c>
      <c r="I724" s="18">
        <v>20000000</v>
      </c>
      <c r="J724" s="18">
        <v>19055576.670000002</v>
      </c>
      <c r="K724" s="15">
        <v>30169</v>
      </c>
      <c r="L724" s="13" t="s">
        <v>117</v>
      </c>
      <c r="M724" s="13" t="s">
        <v>118</v>
      </c>
      <c r="N724" s="145" t="s">
        <v>411</v>
      </c>
      <c r="O724" s="145" t="s">
        <v>411</v>
      </c>
      <c r="P724" s="28">
        <v>27</v>
      </c>
      <c r="Q724" s="13" t="s">
        <v>54</v>
      </c>
      <c r="R724" s="13" t="s">
        <v>28</v>
      </c>
      <c r="S724" s="13"/>
      <c r="T724" s="13"/>
      <c r="U724" s="13" t="s">
        <v>1449</v>
      </c>
      <c r="V724" s="13" t="s">
        <v>1449</v>
      </c>
      <c r="W724" s="60">
        <f>+J724/$W$2</f>
        <v>5.0222959916355143E-4</v>
      </c>
    </row>
    <row r="725" spans="1:29">
      <c r="A725" s="13" t="s">
        <v>1330</v>
      </c>
      <c r="B725" s="13" t="s">
        <v>675</v>
      </c>
      <c r="C725" s="145">
        <v>46223</v>
      </c>
      <c r="D725" s="145" t="s">
        <v>469</v>
      </c>
      <c r="E725" s="28">
        <v>0.94945780999999996</v>
      </c>
      <c r="F725" s="13"/>
      <c r="G725" s="18">
        <v>5000000</v>
      </c>
      <c r="H725" s="18">
        <v>4747289.07</v>
      </c>
      <c r="I725" s="18">
        <v>5000000</v>
      </c>
      <c r="J725" s="18">
        <v>4747289.07</v>
      </c>
      <c r="K725" s="15">
        <v>16779601</v>
      </c>
      <c r="L725" s="13" t="s">
        <v>117</v>
      </c>
      <c r="M725" s="13" t="s">
        <v>118</v>
      </c>
      <c r="N725" s="145" t="s">
        <v>428</v>
      </c>
      <c r="O725" s="145" t="s">
        <v>428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1661</v>
      </c>
      <c r="V725" s="13" t="s">
        <v>1661</v>
      </c>
      <c r="W725" s="60">
        <f>+J725/$W$2</f>
        <v>1.2511975512623566E-4</v>
      </c>
    </row>
    <row r="726" spans="1:29">
      <c r="A726" s="13" t="s">
        <v>1251</v>
      </c>
      <c r="B726" s="13" t="s">
        <v>675</v>
      </c>
      <c r="C726" s="145">
        <v>46223</v>
      </c>
      <c r="D726" s="145" t="s">
        <v>469</v>
      </c>
      <c r="E726" s="28">
        <v>0.94451925000000003</v>
      </c>
      <c r="F726" s="13"/>
      <c r="G726" s="18">
        <v>15000000</v>
      </c>
      <c r="H726" s="18">
        <v>14167788.779999999</v>
      </c>
      <c r="I726" s="18">
        <v>15000000</v>
      </c>
      <c r="J726" s="18">
        <v>14167788.779999999</v>
      </c>
      <c r="K726" s="15">
        <v>172</v>
      </c>
      <c r="L726" s="13" t="s">
        <v>117</v>
      </c>
      <c r="M726" s="13" t="s">
        <v>118</v>
      </c>
      <c r="N726" s="145" t="s">
        <v>461</v>
      </c>
      <c r="O726" s="145" t="s">
        <v>461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1156</v>
      </c>
      <c r="V726" s="13" t="s">
        <v>1156</v>
      </c>
      <c r="W726" s="60">
        <f>+J726/$W$2</f>
        <v>3.7340685108813666E-4</v>
      </c>
      <c r="AC726" s="57"/>
    </row>
    <row r="727" spans="1:29">
      <c r="A727" s="13" t="s">
        <v>1331</v>
      </c>
      <c r="B727" s="13" t="s">
        <v>675</v>
      </c>
      <c r="C727" s="145">
        <v>46224</v>
      </c>
      <c r="D727" s="145" t="s">
        <v>469</v>
      </c>
      <c r="E727" s="28">
        <v>0.93878618999999996</v>
      </c>
      <c r="F727" s="13"/>
      <c r="G727" s="18">
        <v>10000000</v>
      </c>
      <c r="H727" s="18">
        <v>9387861.9100000001</v>
      </c>
      <c r="I727" s="18">
        <v>10000000</v>
      </c>
      <c r="J727" s="18">
        <v>9387861.9100000001</v>
      </c>
      <c r="K727" s="15">
        <v>40624310</v>
      </c>
      <c r="L727" s="13" t="s">
        <v>117</v>
      </c>
      <c r="M727" s="13" t="s">
        <v>118</v>
      </c>
      <c r="N727" s="145" t="s">
        <v>528</v>
      </c>
      <c r="O727" s="145" t="s">
        <v>528</v>
      </c>
      <c r="P727" s="28">
        <v>35</v>
      </c>
      <c r="Q727" s="13" t="s">
        <v>54</v>
      </c>
      <c r="R727" s="13" t="s">
        <v>28</v>
      </c>
      <c r="S727" s="13"/>
      <c r="T727" s="13"/>
      <c r="U727" s="13" t="s">
        <v>1308</v>
      </c>
      <c r="V727" s="13" t="s">
        <v>1308</v>
      </c>
      <c r="W727" s="60">
        <f>+J727/$W$2</f>
        <v>2.4742689269986143E-4</v>
      </c>
    </row>
    <row r="728" spans="1:29">
      <c r="A728" s="13" t="s">
        <v>1897</v>
      </c>
      <c r="B728" s="13" t="s">
        <v>675</v>
      </c>
      <c r="C728" s="145">
        <v>46224</v>
      </c>
      <c r="D728" s="145" t="s">
        <v>469</v>
      </c>
      <c r="E728" s="28">
        <v>0.93551366999999996</v>
      </c>
      <c r="F728" s="13"/>
      <c r="G728" s="18">
        <v>5000000</v>
      </c>
      <c r="H728" s="18">
        <v>4677568.33</v>
      </c>
      <c r="I728" s="18">
        <v>5000000</v>
      </c>
      <c r="J728" s="18">
        <v>4677568.33</v>
      </c>
      <c r="K728" s="15">
        <v>66786647</v>
      </c>
      <c r="L728" s="13" t="s">
        <v>117</v>
      </c>
      <c r="M728" s="13" t="s">
        <v>118</v>
      </c>
      <c r="N728" s="145" t="s">
        <v>470</v>
      </c>
      <c r="O728" s="145" t="s">
        <v>470</v>
      </c>
      <c r="P728" s="28">
        <v>37</v>
      </c>
      <c r="Q728" s="13" t="s">
        <v>54</v>
      </c>
      <c r="R728" s="13" t="s">
        <v>28</v>
      </c>
      <c r="S728" s="13"/>
      <c r="T728" s="13"/>
      <c r="U728" s="13" t="s">
        <v>1883</v>
      </c>
      <c r="V728" s="13" t="s">
        <v>1883</v>
      </c>
      <c r="W728" s="60">
        <f>+J728/$W$2</f>
        <v>1.2328219230092828E-4</v>
      </c>
      <c r="AC728" s="57"/>
    </row>
    <row r="729" spans="1:29">
      <c r="A729" s="13" t="s">
        <v>676</v>
      </c>
      <c r="B729" s="13" t="s">
        <v>675</v>
      </c>
      <c r="C729" s="145">
        <v>46224</v>
      </c>
      <c r="D729" s="145" t="s">
        <v>469</v>
      </c>
      <c r="E729" s="28">
        <v>0.94706813000000001</v>
      </c>
      <c r="F729" s="13"/>
      <c r="G729" s="18">
        <v>10250000</v>
      </c>
      <c r="H729" s="18">
        <v>9707448.3200000003</v>
      </c>
      <c r="I729" s="18">
        <v>10250000</v>
      </c>
      <c r="J729" s="18">
        <v>9707448.3200000003</v>
      </c>
      <c r="K729" s="15">
        <v>454</v>
      </c>
      <c r="L729" s="13" t="s">
        <v>117</v>
      </c>
      <c r="M729" s="13" t="s">
        <v>118</v>
      </c>
      <c r="N729" s="145" t="s">
        <v>462</v>
      </c>
      <c r="O729" s="145" t="s">
        <v>462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1759</v>
      </c>
      <c r="V729" s="13" t="s">
        <v>1759</v>
      </c>
      <c r="W729" s="60">
        <f>+J729/$W$2</f>
        <v>2.5584992588180178E-4</v>
      </c>
      <c r="AC729" s="57"/>
    </row>
    <row r="730" spans="1:29">
      <c r="A730" s="13" t="s">
        <v>717</v>
      </c>
      <c r="B730" s="13" t="s">
        <v>675</v>
      </c>
      <c r="C730" s="145">
        <v>46224</v>
      </c>
      <c r="D730" s="145" t="s">
        <v>469</v>
      </c>
      <c r="E730" s="28">
        <v>0.93064776999999999</v>
      </c>
      <c r="F730" s="13"/>
      <c r="G730" s="18">
        <v>100000000</v>
      </c>
      <c r="H730" s="18">
        <v>93064777.079999998</v>
      </c>
      <c r="I730" s="18">
        <v>100000000</v>
      </c>
      <c r="J730" s="18">
        <v>93064777.079999998</v>
      </c>
      <c r="K730" s="15">
        <v>305</v>
      </c>
      <c r="L730" s="13" t="s">
        <v>117</v>
      </c>
      <c r="M730" s="13" t="s">
        <v>118</v>
      </c>
      <c r="N730" s="145" t="s">
        <v>403</v>
      </c>
      <c r="O730" s="145" t="s">
        <v>403</v>
      </c>
      <c r="P730" s="28">
        <v>40</v>
      </c>
      <c r="Q730" s="13" t="s">
        <v>54</v>
      </c>
      <c r="R730" s="13" t="s">
        <v>28</v>
      </c>
      <c r="S730" s="13"/>
      <c r="T730" s="13"/>
      <c r="U730" s="13" t="s">
        <v>719</v>
      </c>
      <c r="V730" s="13" t="s">
        <v>719</v>
      </c>
      <c r="W730" s="60">
        <f>+J730/$W$2</f>
        <v>2.4528192716790484E-3</v>
      </c>
    </row>
    <row r="731" spans="1:29">
      <c r="A731" s="13" t="s">
        <v>145</v>
      </c>
      <c r="B731" s="13" t="s">
        <v>675</v>
      </c>
      <c r="C731" s="145">
        <v>46224</v>
      </c>
      <c r="D731" s="145" t="s">
        <v>469</v>
      </c>
      <c r="E731" s="28">
        <v>0.92106597000000001</v>
      </c>
      <c r="F731" s="13"/>
      <c r="G731" s="18">
        <v>10000000</v>
      </c>
      <c r="H731" s="18">
        <v>9210659.7200000007</v>
      </c>
      <c r="I731" s="18">
        <v>10000000</v>
      </c>
      <c r="J731" s="18">
        <v>9210659.7200000007</v>
      </c>
      <c r="K731" s="15">
        <v>3925</v>
      </c>
      <c r="L731" s="13" t="s">
        <v>117</v>
      </c>
      <c r="M731" s="13" t="s">
        <v>118</v>
      </c>
      <c r="N731" s="145" t="s">
        <v>144</v>
      </c>
      <c r="O731" s="145" t="s">
        <v>144</v>
      </c>
      <c r="P731" s="28">
        <v>46</v>
      </c>
      <c r="Q731" s="13" t="s">
        <v>54</v>
      </c>
      <c r="R731" s="13" t="s">
        <v>28</v>
      </c>
      <c r="S731" s="13"/>
      <c r="T731" s="13"/>
      <c r="U731" s="13" t="s">
        <v>223</v>
      </c>
      <c r="V731" s="13" t="s">
        <v>223</v>
      </c>
      <c r="W731" s="60">
        <f>+J731/$W$2</f>
        <v>2.4275654415067719E-4</v>
      </c>
    </row>
    <row r="732" spans="1:29">
      <c r="A732" s="13" t="s">
        <v>307</v>
      </c>
      <c r="B732" s="13" t="s">
        <v>675</v>
      </c>
      <c r="C732" s="145">
        <v>46224</v>
      </c>
      <c r="D732" s="145" t="s">
        <v>469</v>
      </c>
      <c r="E732" s="28">
        <v>0.93064767999999998</v>
      </c>
      <c r="F732" s="13"/>
      <c r="G732" s="18">
        <v>4100000</v>
      </c>
      <c r="H732" s="18">
        <v>3815655.49</v>
      </c>
      <c r="I732" s="18">
        <v>4100000</v>
      </c>
      <c r="J732" s="18">
        <v>3815655.49</v>
      </c>
      <c r="K732" s="15">
        <v>1022</v>
      </c>
      <c r="L732" s="13" t="s">
        <v>117</v>
      </c>
      <c r="M732" s="13" t="s">
        <v>118</v>
      </c>
      <c r="N732" s="145" t="s">
        <v>328</v>
      </c>
      <c r="O732" s="145" t="s">
        <v>328</v>
      </c>
      <c r="P732" s="28">
        <v>40</v>
      </c>
      <c r="Q732" s="13" t="s">
        <v>54</v>
      </c>
      <c r="R732" s="13" t="s">
        <v>28</v>
      </c>
      <c r="S732" s="13"/>
      <c r="T732" s="13"/>
      <c r="U732" s="13" t="s">
        <v>618</v>
      </c>
      <c r="V732" s="13" t="s">
        <v>618</v>
      </c>
      <c r="W732" s="60">
        <f>+J732/$W$2</f>
        <v>1.0056558037972537E-4</v>
      </c>
    </row>
    <row r="733" spans="1:29">
      <c r="A733" s="13" t="s">
        <v>201</v>
      </c>
      <c r="B733" s="13" t="s">
        <v>675</v>
      </c>
      <c r="C733" s="145">
        <v>46224</v>
      </c>
      <c r="D733" s="145" t="s">
        <v>469</v>
      </c>
      <c r="E733" s="28">
        <v>0.92743184999999995</v>
      </c>
      <c r="F733" s="13"/>
      <c r="G733" s="18">
        <v>20000000</v>
      </c>
      <c r="H733" s="18">
        <v>18548636.969999999</v>
      </c>
      <c r="I733" s="18">
        <v>20000000</v>
      </c>
      <c r="J733" s="18">
        <v>18548636.969999999</v>
      </c>
      <c r="K733" s="15">
        <v>4022</v>
      </c>
      <c r="L733" s="13" t="s">
        <v>117</v>
      </c>
      <c r="M733" s="13" t="s">
        <v>118</v>
      </c>
      <c r="N733" s="145" t="s">
        <v>306</v>
      </c>
      <c r="O733" s="145" t="s">
        <v>306</v>
      </c>
      <c r="P733" s="28">
        <v>42</v>
      </c>
      <c r="Q733" s="13" t="s">
        <v>54</v>
      </c>
      <c r="R733" s="13" t="s">
        <v>28</v>
      </c>
      <c r="S733" s="13"/>
      <c r="T733" s="13"/>
      <c r="U733" s="13" t="s">
        <v>736</v>
      </c>
      <c r="V733" s="13" t="s">
        <v>736</v>
      </c>
      <c r="W733" s="60">
        <f>+J733/$W$2</f>
        <v>4.8886867460376526E-4</v>
      </c>
    </row>
    <row r="734" spans="1:29">
      <c r="A734" s="13" t="s">
        <v>391</v>
      </c>
      <c r="B734" s="13" t="s">
        <v>675</v>
      </c>
      <c r="C734" s="145">
        <v>46224</v>
      </c>
      <c r="D734" s="145" t="s">
        <v>469</v>
      </c>
      <c r="E734" s="28">
        <v>0.94208141000000001</v>
      </c>
      <c r="F734" s="13"/>
      <c r="G734" s="18">
        <v>50000000</v>
      </c>
      <c r="H734" s="18">
        <v>47104070.539999999</v>
      </c>
      <c r="I734" s="18">
        <v>50000000</v>
      </c>
      <c r="J734" s="18">
        <v>47104070.539999999</v>
      </c>
      <c r="K734" s="15">
        <v>29007572</v>
      </c>
      <c r="L734" s="13" t="s">
        <v>117</v>
      </c>
      <c r="M734" s="13" t="s">
        <v>118</v>
      </c>
      <c r="N734" s="145" t="s">
        <v>209</v>
      </c>
      <c r="O734" s="145" t="s">
        <v>209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854</v>
      </c>
      <c r="V734" s="13" t="s">
        <v>854</v>
      </c>
      <c r="W734" s="60">
        <f>+J734/$W$2</f>
        <v>1.241476911245628E-3</v>
      </c>
    </row>
    <row r="735" spans="1:29">
      <c r="A735" s="13" t="s">
        <v>863</v>
      </c>
      <c r="B735" s="13" t="s">
        <v>675</v>
      </c>
      <c r="C735" s="145">
        <v>46224</v>
      </c>
      <c r="D735" s="145" t="s">
        <v>469</v>
      </c>
      <c r="E735" s="28">
        <v>0.94874199000000004</v>
      </c>
      <c r="F735" s="13"/>
      <c r="G735" s="18">
        <v>12500000</v>
      </c>
      <c r="H735" s="18">
        <v>11859274.91</v>
      </c>
      <c r="I735" s="18">
        <v>12500000</v>
      </c>
      <c r="J735" s="18">
        <v>11859274.91</v>
      </c>
      <c r="K735" s="15">
        <v>28996504</v>
      </c>
      <c r="L735" s="13" t="s">
        <v>117</v>
      </c>
      <c r="M735" s="13" t="s">
        <v>118</v>
      </c>
      <c r="N735" s="145" t="s">
        <v>209</v>
      </c>
      <c r="O735" s="145" t="s">
        <v>209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814</v>
      </c>
      <c r="V735" s="13" t="s">
        <v>814</v>
      </c>
      <c r="W735" s="60">
        <f>+J735/$W$2</f>
        <v>3.1256356013599783E-4</v>
      </c>
    </row>
    <row r="736" spans="1:29">
      <c r="A736" s="13" t="s">
        <v>1330</v>
      </c>
      <c r="B736" s="13" t="s">
        <v>675</v>
      </c>
      <c r="C736" s="145">
        <v>46224</v>
      </c>
      <c r="D736" s="145" t="s">
        <v>469</v>
      </c>
      <c r="E736" s="28">
        <v>0.94874208999999998</v>
      </c>
      <c r="F736" s="13"/>
      <c r="G736" s="18">
        <v>5000000</v>
      </c>
      <c r="H736" s="18">
        <v>4743710.46</v>
      </c>
      <c r="I736" s="18">
        <v>5000000</v>
      </c>
      <c r="J736" s="18">
        <v>4743710.46</v>
      </c>
      <c r="K736" s="15">
        <v>16771074</v>
      </c>
      <c r="L736" s="13" t="s">
        <v>117</v>
      </c>
      <c r="M736" s="13" t="s">
        <v>118</v>
      </c>
      <c r="N736" s="145" t="s">
        <v>528</v>
      </c>
      <c r="O736" s="145" t="s">
        <v>528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1253</v>
      </c>
      <c r="V736" s="13" t="s">
        <v>1253</v>
      </c>
      <c r="W736" s="60">
        <f>+J736/$W$2</f>
        <v>1.2502543712699648E-4</v>
      </c>
    </row>
    <row r="737" spans="1:29">
      <c r="A737" s="13" t="s">
        <v>424</v>
      </c>
      <c r="B737" s="13" t="s">
        <v>675</v>
      </c>
      <c r="C737" s="145">
        <v>46224</v>
      </c>
      <c r="D737" s="145" t="s">
        <v>469</v>
      </c>
      <c r="E737" s="28">
        <v>0.93551390000000001</v>
      </c>
      <c r="F737" s="13"/>
      <c r="G737" s="18">
        <v>5000000</v>
      </c>
      <c r="H737" s="18">
        <v>4677569.4800000004</v>
      </c>
      <c r="I737" s="18">
        <v>5000000</v>
      </c>
      <c r="J737" s="18">
        <v>4677569.4800000004</v>
      </c>
      <c r="K737" s="15">
        <v>40734601</v>
      </c>
      <c r="L737" s="13" t="s">
        <v>117</v>
      </c>
      <c r="M737" s="13" t="s">
        <v>118</v>
      </c>
      <c r="N737" s="145" t="s">
        <v>410</v>
      </c>
      <c r="O737" s="145" t="s">
        <v>410</v>
      </c>
      <c r="P737" s="28">
        <v>37</v>
      </c>
      <c r="Q737" s="13" t="s">
        <v>54</v>
      </c>
      <c r="R737" s="13" t="s">
        <v>28</v>
      </c>
      <c r="S737" s="13"/>
      <c r="T737" s="13"/>
      <c r="U737" s="13" t="s">
        <v>1766</v>
      </c>
      <c r="V737" s="13" t="s">
        <v>1766</v>
      </c>
      <c r="W737" s="60">
        <f>+J737/$W$2</f>
        <v>1.2328222261037781E-4</v>
      </c>
      <c r="AC737" s="57"/>
    </row>
    <row r="738" spans="1:29">
      <c r="A738" s="13" t="s">
        <v>1242</v>
      </c>
      <c r="B738" s="13" t="s">
        <v>675</v>
      </c>
      <c r="C738" s="145">
        <v>46225</v>
      </c>
      <c r="D738" s="145" t="s">
        <v>469</v>
      </c>
      <c r="E738" s="28">
        <v>0.93297905999999997</v>
      </c>
      <c r="F738" s="13"/>
      <c r="G738" s="18">
        <v>3116595.02</v>
      </c>
      <c r="H738" s="18">
        <v>2907717.88</v>
      </c>
      <c r="I738" s="18">
        <v>3116595.02</v>
      </c>
      <c r="J738" s="18">
        <v>2907717.88</v>
      </c>
      <c r="K738" s="15">
        <v>103</v>
      </c>
      <c r="L738" s="13" t="s">
        <v>117</v>
      </c>
      <c r="M738" s="13" t="s">
        <v>118</v>
      </c>
      <c r="N738" s="145" t="s">
        <v>461</v>
      </c>
      <c r="O738" s="145" t="s">
        <v>461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1177</v>
      </c>
      <c r="V738" s="13" t="s">
        <v>1177</v>
      </c>
      <c r="W738" s="60">
        <f>+J738/$W$2</f>
        <v>7.6635937638778971E-5</v>
      </c>
      <c r="AC738" s="57"/>
    </row>
    <row r="739" spans="1:29">
      <c r="A739" s="13" t="s">
        <v>1897</v>
      </c>
      <c r="B739" s="13" t="s">
        <v>675</v>
      </c>
      <c r="C739" s="145">
        <v>46225</v>
      </c>
      <c r="D739" s="145" t="s">
        <v>469</v>
      </c>
      <c r="E739" s="28">
        <v>0.93462756000000002</v>
      </c>
      <c r="F739" s="13"/>
      <c r="G739" s="18">
        <v>5454223.6600000001</v>
      </c>
      <c r="H739" s="18">
        <v>5097667.76</v>
      </c>
      <c r="I739" s="18">
        <v>5454223.6600000001</v>
      </c>
      <c r="J739" s="18">
        <v>5097667.76</v>
      </c>
      <c r="K739" s="15">
        <v>66786698</v>
      </c>
      <c r="L739" s="13" t="s">
        <v>117</v>
      </c>
      <c r="M739" s="13" t="s">
        <v>118</v>
      </c>
      <c r="N739" s="145" t="s">
        <v>470</v>
      </c>
      <c r="O739" s="145" t="s">
        <v>470</v>
      </c>
      <c r="P739" s="28">
        <v>37</v>
      </c>
      <c r="Q739" s="13" t="s">
        <v>54</v>
      </c>
      <c r="R739" s="13" t="s">
        <v>28</v>
      </c>
      <c r="S739" s="13"/>
      <c r="T739" s="13"/>
      <c r="U739" s="13" t="s">
        <v>1884</v>
      </c>
      <c r="V739" s="13" t="s">
        <v>1884</v>
      </c>
      <c r="W739" s="60">
        <f>+J739/$W$2</f>
        <v>1.3435435096563567E-4</v>
      </c>
    </row>
    <row r="740" spans="1:29">
      <c r="A740" s="13" t="s">
        <v>717</v>
      </c>
      <c r="B740" s="13" t="s">
        <v>675</v>
      </c>
      <c r="C740" s="145">
        <v>46225</v>
      </c>
      <c r="D740" s="145" t="s">
        <v>469</v>
      </c>
      <c r="E740" s="28">
        <v>0.93628171999999998</v>
      </c>
      <c r="F740" s="13"/>
      <c r="G740" s="18">
        <v>65000000</v>
      </c>
      <c r="H740" s="18">
        <v>60858311.609999999</v>
      </c>
      <c r="I740" s="18">
        <v>65000000</v>
      </c>
      <c r="J740" s="18">
        <v>60858311.609999999</v>
      </c>
      <c r="K740" s="15">
        <v>311</v>
      </c>
      <c r="L740" s="13" t="s">
        <v>117</v>
      </c>
      <c r="M740" s="13" t="s">
        <v>118</v>
      </c>
      <c r="N740" s="145" t="s">
        <v>442</v>
      </c>
      <c r="O740" s="145" t="s">
        <v>442</v>
      </c>
      <c r="P740" s="28">
        <v>36</v>
      </c>
      <c r="Q740" s="13" t="s">
        <v>54</v>
      </c>
      <c r="R740" s="13" t="s">
        <v>28</v>
      </c>
      <c r="S740" s="13"/>
      <c r="T740" s="13"/>
      <c r="U740" s="13" t="s">
        <v>1004</v>
      </c>
      <c r="V740" s="13" t="s">
        <v>1004</v>
      </c>
      <c r="W740" s="60">
        <f>+J740/$W$2</f>
        <v>1.6039842810834655E-3</v>
      </c>
    </row>
    <row r="741" spans="1:29">
      <c r="A741" s="13" t="s">
        <v>1026</v>
      </c>
      <c r="B741" s="13" t="s">
        <v>675</v>
      </c>
      <c r="C741" s="145">
        <v>46225</v>
      </c>
      <c r="D741" s="145" t="s">
        <v>469</v>
      </c>
      <c r="E741" s="28">
        <v>0.94295759999999995</v>
      </c>
      <c r="F741" s="13"/>
      <c r="G741" s="18">
        <v>1809446</v>
      </c>
      <c r="H741" s="18">
        <v>1706230.85</v>
      </c>
      <c r="I741" s="18">
        <v>1809446</v>
      </c>
      <c r="J741" s="18">
        <v>1706230.85</v>
      </c>
      <c r="K741" s="15">
        <v>9947</v>
      </c>
      <c r="L741" s="13" t="s">
        <v>117</v>
      </c>
      <c r="M741" s="13" t="s">
        <v>118</v>
      </c>
      <c r="N741" s="145" t="s">
        <v>428</v>
      </c>
      <c r="O741" s="145" t="s">
        <v>428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1710</v>
      </c>
      <c r="V741" s="13" t="s">
        <v>1710</v>
      </c>
      <c r="W741" s="60">
        <f>+J741/$W$2</f>
        <v>4.4969493745370113E-5</v>
      </c>
    </row>
    <row r="742" spans="1:29">
      <c r="A742" s="13" t="s">
        <v>307</v>
      </c>
      <c r="B742" s="13" t="s">
        <v>675</v>
      </c>
      <c r="C742" s="145">
        <v>46225</v>
      </c>
      <c r="D742" s="145" t="s">
        <v>469</v>
      </c>
      <c r="E742" s="28">
        <v>0.92969942999999999</v>
      </c>
      <c r="F742" s="13"/>
      <c r="G742" s="18">
        <v>4100000</v>
      </c>
      <c r="H742" s="18">
        <v>3811767.68</v>
      </c>
      <c r="I742" s="18">
        <v>4100000</v>
      </c>
      <c r="J742" s="18">
        <v>3811767.68</v>
      </c>
      <c r="K742" s="15">
        <v>1023</v>
      </c>
      <c r="L742" s="13" t="s">
        <v>117</v>
      </c>
      <c r="M742" s="13" t="s">
        <v>118</v>
      </c>
      <c r="N742" s="145" t="s">
        <v>328</v>
      </c>
      <c r="O742" s="145" t="s">
        <v>328</v>
      </c>
      <c r="P742" s="28">
        <v>40</v>
      </c>
      <c r="Q742" s="13" t="s">
        <v>54</v>
      </c>
      <c r="R742" s="13" t="s">
        <v>28</v>
      </c>
      <c r="S742" s="13"/>
      <c r="T742" s="13"/>
      <c r="U742" s="13" t="s">
        <v>623</v>
      </c>
      <c r="V742" s="13" t="s">
        <v>623</v>
      </c>
      <c r="W742" s="60">
        <f>+J742/$W$2</f>
        <v>1.0046311309197343E-4</v>
      </c>
    </row>
    <row r="743" spans="1:29">
      <c r="A743" s="13" t="s">
        <v>406</v>
      </c>
      <c r="B743" s="13" t="s">
        <v>675</v>
      </c>
      <c r="C743" s="145">
        <v>46225</v>
      </c>
      <c r="D743" s="145" t="s">
        <v>469</v>
      </c>
      <c r="E743" s="28">
        <v>0.94802748000000003</v>
      </c>
      <c r="F743" s="13"/>
      <c r="G743" s="18">
        <v>11000000</v>
      </c>
      <c r="H743" s="18">
        <v>10428302.32</v>
      </c>
      <c r="I743" s="18">
        <v>11000000</v>
      </c>
      <c r="J743" s="18">
        <v>10428302.32</v>
      </c>
      <c r="K743" s="15">
        <v>269</v>
      </c>
      <c r="L743" s="13" t="s">
        <v>117</v>
      </c>
      <c r="M743" s="13" t="s">
        <v>118</v>
      </c>
      <c r="N743" s="145" t="s">
        <v>205</v>
      </c>
      <c r="O743" s="145" t="s">
        <v>205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1045</v>
      </c>
      <c r="V743" s="13" t="s">
        <v>1045</v>
      </c>
      <c r="W743" s="60">
        <f>+J743/$W$2</f>
        <v>2.7484878494259357E-4</v>
      </c>
      <c r="AC743" s="57"/>
    </row>
    <row r="744" spans="1:29">
      <c r="A744" s="13" t="s">
        <v>219</v>
      </c>
      <c r="B744" s="13" t="s">
        <v>675</v>
      </c>
      <c r="C744" s="145">
        <v>46225</v>
      </c>
      <c r="D744" s="145" t="s">
        <v>469</v>
      </c>
      <c r="E744" s="28">
        <v>0.94633149999999999</v>
      </c>
      <c r="F744" s="13"/>
      <c r="G744" s="18">
        <v>15000000</v>
      </c>
      <c r="H744" s="18">
        <v>14194972.57</v>
      </c>
      <c r="I744" s="18">
        <v>15000000</v>
      </c>
      <c r="J744" s="18">
        <v>14194972.57</v>
      </c>
      <c r="K744" s="15">
        <v>2833124</v>
      </c>
      <c r="L744" s="13" t="s">
        <v>117</v>
      </c>
      <c r="M744" s="13" t="s">
        <v>118</v>
      </c>
      <c r="N744" s="145" t="s">
        <v>445</v>
      </c>
      <c r="O744" s="145" t="s">
        <v>445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1364</v>
      </c>
      <c r="V744" s="13" t="s">
        <v>1364</v>
      </c>
      <c r="W744" s="60">
        <f>+J744/$W$2</f>
        <v>3.741233082277907E-4</v>
      </c>
    </row>
    <row r="745" spans="1:29">
      <c r="A745" s="13" t="s">
        <v>1893</v>
      </c>
      <c r="B745" s="13" t="s">
        <v>675</v>
      </c>
      <c r="C745" s="145">
        <v>46225</v>
      </c>
      <c r="D745" s="145" t="s">
        <v>469</v>
      </c>
      <c r="E745" s="28">
        <v>0.94127985999999997</v>
      </c>
      <c r="F745" s="13"/>
      <c r="G745" s="18">
        <v>50000000</v>
      </c>
      <c r="H745" s="18">
        <v>47063993.039999999</v>
      </c>
      <c r="I745" s="18">
        <v>50000000</v>
      </c>
      <c r="J745" s="18">
        <v>47063993.039999999</v>
      </c>
      <c r="K745" s="15">
        <v>134</v>
      </c>
      <c r="L745" s="13" t="s">
        <v>117</v>
      </c>
      <c r="M745" s="13" t="s">
        <v>118</v>
      </c>
      <c r="N745" s="145" t="s">
        <v>470</v>
      </c>
      <c r="O745" s="145" t="s">
        <v>470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1882</v>
      </c>
      <c r="V745" s="13" t="s">
        <v>1882</v>
      </c>
      <c r="W745" s="60">
        <f>+J745/$W$2</f>
        <v>1.2404206269300679E-3</v>
      </c>
    </row>
    <row r="746" spans="1:29">
      <c r="A746" s="13" t="s">
        <v>190</v>
      </c>
      <c r="B746" s="13" t="s">
        <v>675</v>
      </c>
      <c r="C746" s="145">
        <v>46225</v>
      </c>
      <c r="D746" s="145" t="s">
        <v>469</v>
      </c>
      <c r="E746" s="28">
        <v>0.93462738999999995</v>
      </c>
      <c r="F746" s="13"/>
      <c r="G746" s="18">
        <v>100000000</v>
      </c>
      <c r="H746" s="18">
        <v>93462738.560000002</v>
      </c>
      <c r="I746" s="18">
        <v>100000000</v>
      </c>
      <c r="J746" s="18">
        <v>93462738.560000002</v>
      </c>
      <c r="K746" s="15">
        <v>7376</v>
      </c>
      <c r="L746" s="13" t="s">
        <v>117</v>
      </c>
      <c r="M746" s="13" t="s">
        <v>118</v>
      </c>
      <c r="N746" s="145" t="s">
        <v>533</v>
      </c>
      <c r="O746" s="145" t="s">
        <v>533</v>
      </c>
      <c r="P746" s="28">
        <v>37</v>
      </c>
      <c r="Q746" s="13" t="s">
        <v>54</v>
      </c>
      <c r="R746" s="13" t="s">
        <v>28</v>
      </c>
      <c r="S746" s="13"/>
      <c r="T746" s="13"/>
      <c r="U746" s="13" t="s">
        <v>1520</v>
      </c>
      <c r="V746" s="13" t="s">
        <v>1520</v>
      </c>
      <c r="W746" s="60">
        <f>+J746/$W$2</f>
        <v>2.4633079615803935E-3</v>
      </c>
    </row>
    <row r="747" spans="1:29">
      <c r="A747" s="13" t="s">
        <v>406</v>
      </c>
      <c r="B747" s="13" t="s">
        <v>675</v>
      </c>
      <c r="C747" s="145">
        <v>46225</v>
      </c>
      <c r="D747" s="145" t="s">
        <v>469</v>
      </c>
      <c r="E747" s="28">
        <v>0.94802748000000003</v>
      </c>
      <c r="F747" s="13"/>
      <c r="G747" s="18">
        <v>40000000</v>
      </c>
      <c r="H747" s="18">
        <v>37921099.009999998</v>
      </c>
      <c r="I747" s="18">
        <v>40000000</v>
      </c>
      <c r="J747" s="18">
        <v>37921099.009999998</v>
      </c>
      <c r="K747" s="15">
        <v>54026408</v>
      </c>
      <c r="L747" s="13" t="s">
        <v>117</v>
      </c>
      <c r="M747" s="13" t="s">
        <v>118</v>
      </c>
      <c r="N747" s="145" t="s">
        <v>216</v>
      </c>
      <c r="O747" s="145" t="s">
        <v>216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1609</v>
      </c>
      <c r="V747" s="13" t="s">
        <v>1609</v>
      </c>
      <c r="W747" s="60">
        <f>+J747/$W$2</f>
        <v>9.9945011822272223E-4</v>
      </c>
    </row>
    <row r="748" spans="1:29">
      <c r="A748" s="13" t="s">
        <v>406</v>
      </c>
      <c r="B748" s="13" t="s">
        <v>675</v>
      </c>
      <c r="C748" s="145">
        <v>46225</v>
      </c>
      <c r="D748" s="145" t="s">
        <v>469</v>
      </c>
      <c r="E748" s="28">
        <v>0.94802748000000003</v>
      </c>
      <c r="F748" s="13"/>
      <c r="G748" s="18">
        <v>12500000</v>
      </c>
      <c r="H748" s="18">
        <v>11850343.439999999</v>
      </c>
      <c r="I748" s="18">
        <v>12500000</v>
      </c>
      <c r="J748" s="18">
        <v>11850343.439999999</v>
      </c>
      <c r="K748" s="15">
        <v>9798603</v>
      </c>
      <c r="L748" s="13" t="s">
        <v>117</v>
      </c>
      <c r="M748" s="13" t="s">
        <v>118</v>
      </c>
      <c r="N748" s="145" t="s">
        <v>216</v>
      </c>
      <c r="O748" s="145" t="s">
        <v>216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1617</v>
      </c>
      <c r="V748" s="13" t="s">
        <v>1617</v>
      </c>
      <c r="W748" s="60">
        <f>+J748/$W$2</f>
        <v>3.1232816192812814E-4</v>
      </c>
    </row>
    <row r="749" spans="1:29">
      <c r="A749" s="13" t="s">
        <v>406</v>
      </c>
      <c r="B749" s="13" t="s">
        <v>675</v>
      </c>
      <c r="C749" s="145">
        <v>46225</v>
      </c>
      <c r="D749" s="145" t="s">
        <v>469</v>
      </c>
      <c r="E749" s="28">
        <v>0.94802737999999998</v>
      </c>
      <c r="F749" s="13"/>
      <c r="G749" s="18">
        <v>4166666.7</v>
      </c>
      <c r="H749" s="18">
        <v>3950114.12</v>
      </c>
      <c r="I749" s="18">
        <v>4166666.7</v>
      </c>
      <c r="J749" s="18">
        <v>3950114.12</v>
      </c>
      <c r="K749" s="15">
        <v>13567715</v>
      </c>
      <c r="L749" s="13" t="s">
        <v>117</v>
      </c>
      <c r="M749" s="13" t="s">
        <v>118</v>
      </c>
      <c r="N749" s="145" t="s">
        <v>428</v>
      </c>
      <c r="O749" s="145" t="s">
        <v>428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1695</v>
      </c>
      <c r="V749" s="13" t="s">
        <v>1695</v>
      </c>
      <c r="W749" s="60">
        <f>+J749/$W$2</f>
        <v>1.0410937782120056E-4</v>
      </c>
      <c r="AC749" s="57"/>
    </row>
    <row r="750" spans="1:29">
      <c r="A750" s="13" t="s">
        <v>406</v>
      </c>
      <c r="B750" s="13" t="s">
        <v>675</v>
      </c>
      <c r="C750" s="145">
        <v>46225</v>
      </c>
      <c r="D750" s="145" t="s">
        <v>469</v>
      </c>
      <c r="E750" s="28">
        <v>0.94802737999999998</v>
      </c>
      <c r="F750" s="13"/>
      <c r="G750" s="18">
        <v>10000000</v>
      </c>
      <c r="H750" s="18">
        <v>9480273.8000000007</v>
      </c>
      <c r="I750" s="18">
        <v>10000000</v>
      </c>
      <c r="J750" s="18">
        <v>9480273.8000000007</v>
      </c>
      <c r="K750" s="15">
        <v>66581708</v>
      </c>
      <c r="L750" s="13" t="s">
        <v>117</v>
      </c>
      <c r="M750" s="13" t="s">
        <v>118</v>
      </c>
      <c r="N750" s="145" t="s">
        <v>428</v>
      </c>
      <c r="O750" s="145" t="s">
        <v>428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1699</v>
      </c>
      <c r="V750" s="13" t="s">
        <v>1699</v>
      </c>
      <c r="W750" s="60">
        <f>+J750/$W$2</f>
        <v>2.4986250445154954E-4</v>
      </c>
      <c r="AC750" s="57"/>
    </row>
    <row r="751" spans="1:29">
      <c r="A751" s="13" t="s">
        <v>406</v>
      </c>
      <c r="B751" s="13" t="s">
        <v>675</v>
      </c>
      <c r="C751" s="145">
        <v>46225</v>
      </c>
      <c r="D751" s="145" t="s">
        <v>469</v>
      </c>
      <c r="E751" s="28">
        <v>0.94802734</v>
      </c>
      <c r="F751" s="13"/>
      <c r="G751" s="18">
        <v>3500000</v>
      </c>
      <c r="H751" s="18">
        <v>3318095.68</v>
      </c>
      <c r="I751" s="18">
        <v>3500000</v>
      </c>
      <c r="J751" s="18">
        <v>3318095.68</v>
      </c>
      <c r="K751" s="15">
        <v>405</v>
      </c>
      <c r="L751" s="13" t="s">
        <v>117</v>
      </c>
      <c r="M751" s="13" t="s">
        <v>118</v>
      </c>
      <c r="N751" s="145" t="s">
        <v>411</v>
      </c>
      <c r="O751" s="145" t="s">
        <v>411</v>
      </c>
      <c r="P751" s="28">
        <v>29</v>
      </c>
      <c r="Q751" s="13" t="s">
        <v>54</v>
      </c>
      <c r="R751" s="13" t="s">
        <v>28</v>
      </c>
      <c r="S751" s="13"/>
      <c r="T751" s="13"/>
      <c r="U751" s="13" t="s">
        <v>1491</v>
      </c>
      <c r="V751" s="13" t="s">
        <v>1491</v>
      </c>
      <c r="W751" s="60">
        <f>+J751/$W$2</f>
        <v>8.7451872604635888E-5</v>
      </c>
    </row>
    <row r="752" spans="1:29">
      <c r="A752" s="13" t="s">
        <v>1764</v>
      </c>
      <c r="B752" s="13" t="s">
        <v>675</v>
      </c>
      <c r="C752" s="145">
        <v>46225</v>
      </c>
      <c r="D752" s="145" t="s">
        <v>469</v>
      </c>
      <c r="E752" s="28">
        <v>0.94972946999999996</v>
      </c>
      <c r="F752" s="13"/>
      <c r="G752" s="18">
        <v>6500000</v>
      </c>
      <c r="H752" s="18">
        <v>6173241.5599999996</v>
      </c>
      <c r="I752" s="18">
        <v>6500000</v>
      </c>
      <c r="J752" s="18">
        <v>6173241.5599999996</v>
      </c>
      <c r="K752" s="15">
        <v>29175495</v>
      </c>
      <c r="L752" s="13" t="s">
        <v>117</v>
      </c>
      <c r="M752" s="13" t="s">
        <v>118</v>
      </c>
      <c r="N752" s="145" t="s">
        <v>462</v>
      </c>
      <c r="O752" s="145" t="s">
        <v>462</v>
      </c>
      <c r="P752" s="28">
        <v>28</v>
      </c>
      <c r="Q752" s="13" t="s">
        <v>54</v>
      </c>
      <c r="R752" s="13" t="s">
        <v>28</v>
      </c>
      <c r="S752" s="13"/>
      <c r="T752" s="13"/>
      <c r="U752" s="13" t="s">
        <v>1736</v>
      </c>
      <c r="V752" s="13" t="s">
        <v>1736</v>
      </c>
      <c r="W752" s="60">
        <f>+J752/$W$2</f>
        <v>1.6270222034789656E-4</v>
      </c>
    </row>
    <row r="753" spans="1:29">
      <c r="A753" s="13" t="s">
        <v>1330</v>
      </c>
      <c r="B753" s="13" t="s">
        <v>675</v>
      </c>
      <c r="C753" s="145">
        <v>46225</v>
      </c>
      <c r="D753" s="145" t="s">
        <v>469</v>
      </c>
      <c r="E753" s="28">
        <v>0.94802743</v>
      </c>
      <c r="F753" s="13"/>
      <c r="G753" s="18">
        <v>5000000</v>
      </c>
      <c r="H753" s="18">
        <v>4740137.13</v>
      </c>
      <c r="I753" s="18">
        <v>5000000</v>
      </c>
      <c r="J753" s="18">
        <v>4740137.13</v>
      </c>
      <c r="K753" s="15">
        <v>16771075</v>
      </c>
      <c r="L753" s="13" t="s">
        <v>117</v>
      </c>
      <c r="M753" s="13" t="s">
        <v>118</v>
      </c>
      <c r="N753" s="145" t="s">
        <v>528</v>
      </c>
      <c r="O753" s="145" t="s">
        <v>528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1255</v>
      </c>
      <c r="V753" s="13" t="s">
        <v>1255</v>
      </c>
      <c r="W753" s="60">
        <f>+J753/$W$2</f>
        <v>1.2493125828766467E-4</v>
      </c>
    </row>
    <row r="754" spans="1:29">
      <c r="A754" s="13" t="s">
        <v>201</v>
      </c>
      <c r="B754" s="13" t="s">
        <v>675</v>
      </c>
      <c r="C754" s="145">
        <v>46226</v>
      </c>
      <c r="D754" s="145" t="s">
        <v>469</v>
      </c>
      <c r="E754" s="28">
        <v>0.92875328999999995</v>
      </c>
      <c r="F754" s="13"/>
      <c r="G754" s="18">
        <v>10000000</v>
      </c>
      <c r="H754" s="18">
        <v>9287532.8699999992</v>
      </c>
      <c r="I754" s="18">
        <v>10000000</v>
      </c>
      <c r="J754" s="18">
        <v>9287532.8699999992</v>
      </c>
      <c r="K754" s="15">
        <v>4093</v>
      </c>
      <c r="L754" s="13" t="s">
        <v>117</v>
      </c>
      <c r="M754" s="13" t="s">
        <v>118</v>
      </c>
      <c r="N754" s="145" t="s">
        <v>461</v>
      </c>
      <c r="O754" s="145" t="s">
        <v>461</v>
      </c>
      <c r="P754" s="28">
        <v>40</v>
      </c>
      <c r="Q754" s="13" t="s">
        <v>54</v>
      </c>
      <c r="R754" s="13" t="s">
        <v>28</v>
      </c>
      <c r="S754" s="13"/>
      <c r="T754" s="13"/>
      <c r="U754" s="13" t="s">
        <v>1165</v>
      </c>
      <c r="V754" s="13" t="s">
        <v>1165</v>
      </c>
      <c r="W754" s="60">
        <f>+J754/$W$2</f>
        <v>2.4478261620189569E-4</v>
      </c>
    </row>
    <row r="755" spans="1:29">
      <c r="A755" s="13" t="s">
        <v>1330</v>
      </c>
      <c r="B755" s="13" t="s">
        <v>675</v>
      </c>
      <c r="C755" s="145">
        <v>46226</v>
      </c>
      <c r="D755" s="145" t="s">
        <v>469</v>
      </c>
      <c r="E755" s="28">
        <v>0.94731399000000005</v>
      </c>
      <c r="F755" s="13"/>
      <c r="G755" s="18">
        <v>5000000</v>
      </c>
      <c r="H755" s="18">
        <v>4736569.97</v>
      </c>
      <c r="I755" s="18">
        <v>5000000</v>
      </c>
      <c r="J755" s="18">
        <v>4736569.97</v>
      </c>
      <c r="K755" s="15">
        <v>16779602</v>
      </c>
      <c r="L755" s="13" t="s">
        <v>117</v>
      </c>
      <c r="M755" s="13" t="s">
        <v>118</v>
      </c>
      <c r="N755" s="145" t="s">
        <v>428</v>
      </c>
      <c r="O755" s="145" t="s">
        <v>428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1660</v>
      </c>
      <c r="V755" s="13" t="s">
        <v>1660</v>
      </c>
      <c r="W755" s="60">
        <f>+J755/$W$2</f>
        <v>1.248372420651185E-4</v>
      </c>
    </row>
    <row r="756" spans="1:29">
      <c r="A756" s="13" t="s">
        <v>1390</v>
      </c>
      <c r="B756" s="13" t="s">
        <v>675</v>
      </c>
      <c r="C756" s="145">
        <v>46226</v>
      </c>
      <c r="D756" s="145" t="s">
        <v>469</v>
      </c>
      <c r="E756" s="28">
        <v>0.94903811000000005</v>
      </c>
      <c r="F756" s="13"/>
      <c r="G756" s="18">
        <v>25000000</v>
      </c>
      <c r="H756" s="18">
        <v>23725952.84</v>
      </c>
      <c r="I756" s="18">
        <v>25000000</v>
      </c>
      <c r="J756" s="18">
        <v>23725952.84</v>
      </c>
      <c r="K756" s="15">
        <v>895</v>
      </c>
      <c r="L756" s="13" t="s">
        <v>117</v>
      </c>
      <c r="M756" s="13" t="s">
        <v>118</v>
      </c>
      <c r="N756" s="145" t="s">
        <v>411</v>
      </c>
      <c r="O756" s="145" t="s">
        <v>411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1455</v>
      </c>
      <c r="V756" s="13" t="s">
        <v>1455</v>
      </c>
      <c r="W756" s="60">
        <f>+J756/$W$2</f>
        <v>6.2532223458585702E-4</v>
      </c>
    </row>
    <row r="757" spans="1:29">
      <c r="A757" s="13" t="s">
        <v>203</v>
      </c>
      <c r="B757" s="13" t="s">
        <v>675</v>
      </c>
      <c r="C757" s="145">
        <v>46226</v>
      </c>
      <c r="D757" s="145" t="s">
        <v>469</v>
      </c>
      <c r="E757" s="28">
        <v>0.94903804000000003</v>
      </c>
      <c r="F757" s="13"/>
      <c r="G757" s="18">
        <v>50000000</v>
      </c>
      <c r="H757" s="18">
        <v>47451902.049999997</v>
      </c>
      <c r="I757" s="18">
        <v>50000000</v>
      </c>
      <c r="J757" s="18">
        <v>47451902.049999997</v>
      </c>
      <c r="K757" s="15">
        <v>4576</v>
      </c>
      <c r="L757" s="13" t="s">
        <v>117</v>
      </c>
      <c r="M757" s="13" t="s">
        <v>118</v>
      </c>
      <c r="N757" s="145" t="s">
        <v>410</v>
      </c>
      <c r="O757" s="145" t="s">
        <v>410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1785</v>
      </c>
      <c r="V757" s="13" t="s">
        <v>1785</v>
      </c>
      <c r="W757" s="60">
        <f>+J757/$W$2</f>
        <v>1.2506443734992777E-3</v>
      </c>
    </row>
    <row r="758" spans="1:29">
      <c r="A758" s="13" t="s">
        <v>406</v>
      </c>
      <c r="B758" s="13" t="s">
        <v>675</v>
      </c>
      <c r="C758" s="145">
        <v>46226</v>
      </c>
      <c r="D758" s="145" t="s">
        <v>469</v>
      </c>
      <c r="E758" s="28">
        <v>0.94731399000000005</v>
      </c>
      <c r="F758" s="13"/>
      <c r="G758" s="18">
        <v>25000000</v>
      </c>
      <c r="H758" s="18">
        <v>23682849.870000001</v>
      </c>
      <c r="I758" s="18">
        <v>25000000</v>
      </c>
      <c r="J758" s="18">
        <v>23682849.870000001</v>
      </c>
      <c r="K758" s="15">
        <v>3419</v>
      </c>
      <c r="L758" s="13" t="s">
        <v>117</v>
      </c>
      <c r="M758" s="13" t="s">
        <v>118</v>
      </c>
      <c r="N758" s="145" t="s">
        <v>428</v>
      </c>
      <c r="O758" s="145" t="s">
        <v>428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1688</v>
      </c>
      <c r="V758" s="13" t="s">
        <v>1688</v>
      </c>
      <c r="W758" s="60">
        <f>+J758/$W$2</f>
        <v>6.2418621085271343E-4</v>
      </c>
    </row>
    <row r="759" spans="1:29">
      <c r="A759" s="13" t="s">
        <v>406</v>
      </c>
      <c r="B759" s="13" t="s">
        <v>675</v>
      </c>
      <c r="C759" s="145">
        <v>46226</v>
      </c>
      <c r="D759" s="145" t="s">
        <v>469</v>
      </c>
      <c r="E759" s="28">
        <v>0.94731399000000005</v>
      </c>
      <c r="F759" s="13"/>
      <c r="G759" s="18">
        <v>10000000</v>
      </c>
      <c r="H759" s="18">
        <v>9473139.9499999993</v>
      </c>
      <c r="I759" s="18">
        <v>10000000</v>
      </c>
      <c r="J759" s="18">
        <v>9473139.9499999993</v>
      </c>
      <c r="K759" s="15">
        <v>66581742</v>
      </c>
      <c r="L759" s="13" t="s">
        <v>117</v>
      </c>
      <c r="M759" s="13" t="s">
        <v>118</v>
      </c>
      <c r="N759" s="145" t="s">
        <v>428</v>
      </c>
      <c r="O759" s="145" t="s">
        <v>428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1701</v>
      </c>
      <c r="V759" s="13" t="s">
        <v>1701</v>
      </c>
      <c r="W759" s="60">
        <f>+J759/$W$2</f>
        <v>2.4967448439379745E-4</v>
      </c>
    </row>
    <row r="760" spans="1:29">
      <c r="A760" s="13" t="s">
        <v>1329</v>
      </c>
      <c r="B760" s="13" t="s">
        <v>675</v>
      </c>
      <c r="C760" s="145">
        <v>46226</v>
      </c>
      <c r="D760" s="145" t="s">
        <v>469</v>
      </c>
      <c r="E760" s="28">
        <v>0.93709889999999996</v>
      </c>
      <c r="F760" s="13"/>
      <c r="G760" s="18">
        <v>5450000</v>
      </c>
      <c r="H760" s="18">
        <v>5107189.0199999996</v>
      </c>
      <c r="I760" s="18">
        <v>5450000</v>
      </c>
      <c r="J760" s="18">
        <v>5107189.0199999996</v>
      </c>
      <c r="K760" s="15">
        <v>6898</v>
      </c>
      <c r="L760" s="13" t="s">
        <v>117</v>
      </c>
      <c r="M760" s="13" t="s">
        <v>118</v>
      </c>
      <c r="N760" s="145" t="s">
        <v>528</v>
      </c>
      <c r="O760" s="145" t="s">
        <v>528</v>
      </c>
      <c r="P760" s="28">
        <v>35</v>
      </c>
      <c r="Q760" s="13" t="s">
        <v>54</v>
      </c>
      <c r="R760" s="13" t="s">
        <v>28</v>
      </c>
      <c r="S760" s="13"/>
      <c r="T760" s="13"/>
      <c r="U760" s="13" t="s">
        <v>1315</v>
      </c>
      <c r="V760" s="13" t="s">
        <v>1315</v>
      </c>
      <c r="W760" s="60">
        <f>+J760/$W$2</f>
        <v>1.346052937041391E-4</v>
      </c>
    </row>
    <row r="761" spans="1:29">
      <c r="A761" s="13" t="s">
        <v>1764</v>
      </c>
      <c r="B761" s="13" t="s">
        <v>675</v>
      </c>
      <c r="C761" s="145">
        <v>46226</v>
      </c>
      <c r="D761" s="145" t="s">
        <v>469</v>
      </c>
      <c r="E761" s="28">
        <v>0.94903797999999995</v>
      </c>
      <c r="F761" s="13"/>
      <c r="G761" s="18">
        <v>6500000</v>
      </c>
      <c r="H761" s="18">
        <v>6168746.8700000001</v>
      </c>
      <c r="I761" s="18">
        <v>6500000</v>
      </c>
      <c r="J761" s="18">
        <v>6168746.8700000001</v>
      </c>
      <c r="K761" s="15">
        <v>29175489</v>
      </c>
      <c r="L761" s="13" t="s">
        <v>117</v>
      </c>
      <c r="M761" s="13" t="s">
        <v>118</v>
      </c>
      <c r="N761" s="145" t="s">
        <v>462</v>
      </c>
      <c r="O761" s="145" t="s">
        <v>462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1737</v>
      </c>
      <c r="V761" s="13" t="s">
        <v>1737</v>
      </c>
      <c r="W761" s="60">
        <f>+J761/$W$2</f>
        <v>1.6258375810473505E-4</v>
      </c>
    </row>
    <row r="762" spans="1:29">
      <c r="A762" s="13" t="s">
        <v>1714</v>
      </c>
      <c r="B762" s="13" t="s">
        <v>675</v>
      </c>
      <c r="C762" s="145">
        <v>46227</v>
      </c>
      <c r="D762" s="145" t="s">
        <v>469</v>
      </c>
      <c r="E762" s="28">
        <v>0.94486166999999999</v>
      </c>
      <c r="F762" s="13"/>
      <c r="G762" s="18">
        <v>6013017.5</v>
      </c>
      <c r="H762" s="18">
        <v>5681469.7400000002</v>
      </c>
      <c r="I762" s="18">
        <v>6013017.5</v>
      </c>
      <c r="J762" s="18">
        <v>5681469.7400000002</v>
      </c>
      <c r="K762" s="15">
        <v>66632353</v>
      </c>
      <c r="L762" s="13" t="s">
        <v>117</v>
      </c>
      <c r="M762" s="13" t="s">
        <v>118</v>
      </c>
      <c r="N762" s="145" t="s">
        <v>428</v>
      </c>
      <c r="O762" s="145" t="s">
        <v>428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1678</v>
      </c>
      <c r="V762" s="13" t="s">
        <v>1678</v>
      </c>
      <c r="W762" s="60">
        <f>+J762/$W$2</f>
        <v>1.4974106108645239E-4</v>
      </c>
    </row>
    <row r="763" spans="1:29">
      <c r="A763" s="13" t="s">
        <v>1714</v>
      </c>
      <c r="B763" s="13" t="s">
        <v>675</v>
      </c>
      <c r="C763" s="145">
        <v>46227</v>
      </c>
      <c r="D763" s="145" t="s">
        <v>469</v>
      </c>
      <c r="E763" s="28">
        <v>0.94486166999999999</v>
      </c>
      <c r="F763" s="13"/>
      <c r="G763" s="18">
        <v>6013017.5</v>
      </c>
      <c r="H763" s="18">
        <v>5681469.7400000002</v>
      </c>
      <c r="I763" s="18">
        <v>6013017.5</v>
      </c>
      <c r="J763" s="18">
        <v>5681469.7400000002</v>
      </c>
      <c r="K763" s="15">
        <v>66632320</v>
      </c>
      <c r="L763" s="13" t="s">
        <v>117</v>
      </c>
      <c r="M763" s="13" t="s">
        <v>118</v>
      </c>
      <c r="N763" s="145" t="s">
        <v>428</v>
      </c>
      <c r="O763" s="145" t="s">
        <v>428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1679</v>
      </c>
      <c r="V763" s="13" t="s">
        <v>1679</v>
      </c>
      <c r="W763" s="60">
        <f>+J763/$W$2</f>
        <v>1.4974106108645239E-4</v>
      </c>
    </row>
    <row r="764" spans="1:29">
      <c r="A764" s="13" t="s">
        <v>1714</v>
      </c>
      <c r="B764" s="13" t="s">
        <v>675</v>
      </c>
      <c r="C764" s="145">
        <v>46227</v>
      </c>
      <c r="D764" s="145" t="s">
        <v>469</v>
      </c>
      <c r="E764" s="28">
        <v>0.94486166999999999</v>
      </c>
      <c r="F764" s="13"/>
      <c r="G764" s="18">
        <v>6013017.5</v>
      </c>
      <c r="H764" s="18">
        <v>5681469.7400000002</v>
      </c>
      <c r="I764" s="18">
        <v>6013017.5</v>
      </c>
      <c r="J764" s="18">
        <v>5681469.7400000002</v>
      </c>
      <c r="K764" s="15">
        <v>66632294</v>
      </c>
      <c r="L764" s="13" t="s">
        <v>117</v>
      </c>
      <c r="M764" s="13" t="s">
        <v>118</v>
      </c>
      <c r="N764" s="145" t="s">
        <v>428</v>
      </c>
      <c r="O764" s="145" t="s">
        <v>428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1680</v>
      </c>
      <c r="V764" s="13" t="s">
        <v>1680</v>
      </c>
      <c r="W764" s="60">
        <f>+J764/$W$2</f>
        <v>1.4974106108645239E-4</v>
      </c>
    </row>
    <row r="765" spans="1:29">
      <c r="A765" s="13" t="s">
        <v>444</v>
      </c>
      <c r="B765" s="13" t="s">
        <v>675</v>
      </c>
      <c r="C765" s="145">
        <v>46227</v>
      </c>
      <c r="D765" s="145" t="s">
        <v>469</v>
      </c>
      <c r="E765" s="28">
        <v>0.92780896000000002</v>
      </c>
      <c r="F765" s="13"/>
      <c r="G765" s="18">
        <v>3500000</v>
      </c>
      <c r="H765" s="18">
        <v>3247331.35</v>
      </c>
      <c r="I765" s="18">
        <v>3500000</v>
      </c>
      <c r="J765" s="18">
        <v>3247331.35</v>
      </c>
      <c r="K765" s="15">
        <v>60524037</v>
      </c>
      <c r="L765" s="13" t="s">
        <v>117</v>
      </c>
      <c r="M765" s="13" t="s">
        <v>118</v>
      </c>
      <c r="N765" s="145" t="s">
        <v>303</v>
      </c>
      <c r="O765" s="145" t="s">
        <v>303</v>
      </c>
      <c r="P765" s="28">
        <v>40</v>
      </c>
      <c r="Q765" s="13" t="s">
        <v>54</v>
      </c>
      <c r="R765" s="13" t="s">
        <v>28</v>
      </c>
      <c r="S765" s="13"/>
      <c r="T765" s="13"/>
      <c r="U765" s="13" t="s">
        <v>610</v>
      </c>
      <c r="V765" s="13" t="s">
        <v>610</v>
      </c>
      <c r="W765" s="60">
        <f>+J765/$W$2</f>
        <v>8.5586804876356147E-5</v>
      </c>
    </row>
    <row r="766" spans="1:29">
      <c r="A766" s="13" t="s">
        <v>406</v>
      </c>
      <c r="B766" s="13" t="s">
        <v>675</v>
      </c>
      <c r="C766" s="145">
        <v>46227</v>
      </c>
      <c r="D766" s="145" t="s">
        <v>469</v>
      </c>
      <c r="E766" s="28">
        <v>0.94486163999999995</v>
      </c>
      <c r="F766" s="13"/>
      <c r="G766" s="18">
        <v>10000000</v>
      </c>
      <c r="H766" s="18">
        <v>9448616.3499999996</v>
      </c>
      <c r="I766" s="18">
        <v>10000000</v>
      </c>
      <c r="J766" s="18">
        <v>9448616.3499999996</v>
      </c>
      <c r="K766" s="15">
        <v>1372330</v>
      </c>
      <c r="L766" s="13" t="s">
        <v>117</v>
      </c>
      <c r="M766" s="13" t="s">
        <v>118</v>
      </c>
      <c r="N766" s="145" t="s">
        <v>291</v>
      </c>
      <c r="O766" s="145" t="s">
        <v>291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927</v>
      </c>
      <c r="V766" s="13" t="s">
        <v>927</v>
      </c>
      <c r="W766" s="60">
        <f>+J766/$W$2</f>
        <v>2.4902813933631943E-4</v>
      </c>
    </row>
    <row r="767" spans="1:29">
      <c r="A767" s="13" t="s">
        <v>406</v>
      </c>
      <c r="B767" s="13" t="s">
        <v>675</v>
      </c>
      <c r="C767" s="145">
        <v>46227</v>
      </c>
      <c r="D767" s="145" t="s">
        <v>469</v>
      </c>
      <c r="E767" s="28">
        <v>0.94660137</v>
      </c>
      <c r="F767" s="13"/>
      <c r="G767" s="18">
        <v>20000000</v>
      </c>
      <c r="H767" s="18">
        <v>18932027.469999999</v>
      </c>
      <c r="I767" s="18">
        <v>20000000</v>
      </c>
      <c r="J767" s="18">
        <v>18932027.469999999</v>
      </c>
      <c r="K767" s="15">
        <v>66179083</v>
      </c>
      <c r="L767" s="13" t="s">
        <v>117</v>
      </c>
      <c r="M767" s="13" t="s">
        <v>118</v>
      </c>
      <c r="N767" s="145" t="s">
        <v>205</v>
      </c>
      <c r="O767" s="145" t="s">
        <v>205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1048</v>
      </c>
      <c r="V767" s="13" t="s">
        <v>1048</v>
      </c>
      <c r="W767" s="60">
        <f>+J767/$W$2</f>
        <v>4.9897333112886813E-4</v>
      </c>
    </row>
    <row r="768" spans="1:29">
      <c r="A768" s="13" t="s">
        <v>406</v>
      </c>
      <c r="B768" s="13" t="s">
        <v>675</v>
      </c>
      <c r="C768" s="145">
        <v>46227</v>
      </c>
      <c r="D768" s="145" t="s">
        <v>469</v>
      </c>
      <c r="E768" s="28">
        <v>0.94660137</v>
      </c>
      <c r="F768" s="13"/>
      <c r="G768" s="18">
        <v>10000000</v>
      </c>
      <c r="H768" s="18">
        <v>9466013.7200000007</v>
      </c>
      <c r="I768" s="18">
        <v>10000000</v>
      </c>
      <c r="J768" s="18">
        <v>9466013.7200000007</v>
      </c>
      <c r="K768" s="15">
        <v>491333</v>
      </c>
      <c r="L768" s="13" t="s">
        <v>117</v>
      </c>
      <c r="M768" s="13" t="s">
        <v>118</v>
      </c>
      <c r="N768" s="145" t="s">
        <v>205</v>
      </c>
      <c r="O768" s="145" t="s">
        <v>205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1049</v>
      </c>
      <c r="V768" s="13" t="s">
        <v>1049</v>
      </c>
      <c r="W768" s="60">
        <f>+J768/$W$2</f>
        <v>2.4948666516909346E-4</v>
      </c>
      <c r="AC768" s="57"/>
    </row>
    <row r="769" spans="1:29">
      <c r="A769" s="13" t="s">
        <v>863</v>
      </c>
      <c r="B769" s="13" t="s">
        <v>675</v>
      </c>
      <c r="C769" s="145">
        <v>46227</v>
      </c>
      <c r="D769" s="145" t="s">
        <v>469</v>
      </c>
      <c r="E769" s="28">
        <v>0.94660138999999999</v>
      </c>
      <c r="F769" s="13"/>
      <c r="G769" s="18">
        <v>12500000</v>
      </c>
      <c r="H769" s="18">
        <v>11832517.380000001</v>
      </c>
      <c r="I769" s="18">
        <v>12500000</v>
      </c>
      <c r="J769" s="18">
        <v>11832517.380000001</v>
      </c>
      <c r="K769" s="15">
        <v>28996510</v>
      </c>
      <c r="L769" s="13" t="s">
        <v>117</v>
      </c>
      <c r="M769" s="13" t="s">
        <v>118</v>
      </c>
      <c r="N769" s="145" t="s">
        <v>209</v>
      </c>
      <c r="O769" s="145" t="s">
        <v>209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817</v>
      </c>
      <c r="V769" s="13" t="s">
        <v>817</v>
      </c>
      <c r="W769" s="60">
        <f>+J769/$W$2</f>
        <v>3.1185833752325672E-4</v>
      </c>
    </row>
    <row r="770" spans="1:29">
      <c r="A770" s="13" t="s">
        <v>1330</v>
      </c>
      <c r="B770" s="13" t="s">
        <v>675</v>
      </c>
      <c r="C770" s="145">
        <v>46227</v>
      </c>
      <c r="D770" s="145" t="s">
        <v>469</v>
      </c>
      <c r="E770" s="28">
        <v>0.94486166000000005</v>
      </c>
      <c r="F770" s="13"/>
      <c r="G770" s="18">
        <v>1040000</v>
      </c>
      <c r="H770" s="18">
        <v>982656.13</v>
      </c>
      <c r="I770" s="18">
        <v>1040000</v>
      </c>
      <c r="J770" s="18">
        <v>982656.13</v>
      </c>
      <c r="K770" s="15">
        <v>12201550</v>
      </c>
      <c r="L770" s="13" t="s">
        <v>117</v>
      </c>
      <c r="M770" s="13" t="s">
        <v>118</v>
      </c>
      <c r="N770" s="145" t="s">
        <v>428</v>
      </c>
      <c r="O770" s="145" t="s">
        <v>428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1651</v>
      </c>
      <c r="V770" s="13" t="s">
        <v>1651</v>
      </c>
      <c r="W770" s="60">
        <f>+J770/$W$2</f>
        <v>2.5898927271116098E-5</v>
      </c>
    </row>
    <row r="771" spans="1:29">
      <c r="A771" s="13" t="s">
        <v>1330</v>
      </c>
      <c r="B771" s="13" t="s">
        <v>675</v>
      </c>
      <c r="C771" s="145">
        <v>46227</v>
      </c>
      <c r="D771" s="145" t="s">
        <v>469</v>
      </c>
      <c r="E771" s="28">
        <v>0.94660146999999994</v>
      </c>
      <c r="F771" s="13"/>
      <c r="G771" s="18">
        <v>5000000</v>
      </c>
      <c r="H771" s="18">
        <v>4733007.3499999996</v>
      </c>
      <c r="I771" s="18">
        <v>5000000</v>
      </c>
      <c r="J771" s="18">
        <v>4733007.3499999996</v>
      </c>
      <c r="K771" s="15">
        <v>16779603</v>
      </c>
      <c r="L771" s="13" t="s">
        <v>117</v>
      </c>
      <c r="M771" s="13" t="s">
        <v>118</v>
      </c>
      <c r="N771" s="145" t="s">
        <v>428</v>
      </c>
      <c r="O771" s="145" t="s">
        <v>428</v>
      </c>
      <c r="P771" s="28">
        <v>29</v>
      </c>
      <c r="Q771" s="13" t="s">
        <v>54</v>
      </c>
      <c r="R771" s="13" t="s">
        <v>28</v>
      </c>
      <c r="S771" s="13"/>
      <c r="T771" s="13"/>
      <c r="U771" s="13" t="s">
        <v>1659</v>
      </c>
      <c r="V771" s="13" t="s">
        <v>1659</v>
      </c>
      <c r="W771" s="60">
        <f>+J771/$W$2</f>
        <v>1.2474334549900782E-4</v>
      </c>
    </row>
    <row r="772" spans="1:29">
      <c r="A772" s="13" t="s">
        <v>203</v>
      </c>
      <c r="B772" s="13" t="s">
        <v>675</v>
      </c>
      <c r="C772" s="145">
        <v>46227</v>
      </c>
      <c r="D772" s="145" t="s">
        <v>469</v>
      </c>
      <c r="E772" s="28">
        <v>0.94834753999999999</v>
      </c>
      <c r="F772" s="13"/>
      <c r="G772" s="18">
        <v>50000000</v>
      </c>
      <c r="H772" s="18">
        <v>47417376.850000001</v>
      </c>
      <c r="I772" s="18">
        <v>50000000</v>
      </c>
      <c r="J772" s="18">
        <v>47417376.850000001</v>
      </c>
      <c r="K772" s="15">
        <v>4635</v>
      </c>
      <c r="L772" s="13" t="s">
        <v>117</v>
      </c>
      <c r="M772" s="13" t="s">
        <v>118</v>
      </c>
      <c r="N772" s="145" t="s">
        <v>446</v>
      </c>
      <c r="O772" s="145" t="s">
        <v>446</v>
      </c>
      <c r="P772" s="28">
        <v>28</v>
      </c>
      <c r="Q772" s="13" t="s">
        <v>54</v>
      </c>
      <c r="R772" s="13" t="s">
        <v>28</v>
      </c>
      <c r="S772" s="13"/>
      <c r="T772" s="13"/>
      <c r="U772" s="13" t="s">
        <v>1851</v>
      </c>
      <c r="V772" s="13" t="s">
        <v>1851</v>
      </c>
      <c r="W772" s="60">
        <f>+J772/$W$2</f>
        <v>1.2497344258415751E-3</v>
      </c>
    </row>
    <row r="773" spans="1:29">
      <c r="A773" s="13" t="s">
        <v>406</v>
      </c>
      <c r="B773" s="13" t="s">
        <v>675</v>
      </c>
      <c r="C773" s="145">
        <v>46227</v>
      </c>
      <c r="D773" s="145" t="s">
        <v>469</v>
      </c>
      <c r="E773" s="28">
        <v>0.94660135000000001</v>
      </c>
      <c r="F773" s="13"/>
      <c r="G773" s="18">
        <v>40000000</v>
      </c>
      <c r="H773" s="18">
        <v>37864053.880000003</v>
      </c>
      <c r="I773" s="18">
        <v>40000000</v>
      </c>
      <c r="J773" s="18">
        <v>37864053.880000003</v>
      </c>
      <c r="K773" s="15">
        <v>54026409</v>
      </c>
      <c r="L773" s="13" t="s">
        <v>117</v>
      </c>
      <c r="M773" s="13" t="s">
        <v>118</v>
      </c>
      <c r="N773" s="145" t="s">
        <v>216</v>
      </c>
      <c r="O773" s="145" t="s">
        <v>216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1610</v>
      </c>
      <c r="V773" s="13" t="s">
        <v>1610</v>
      </c>
      <c r="W773" s="60">
        <f>+J773/$W$2</f>
        <v>9.9794663432033084E-4</v>
      </c>
    </row>
    <row r="774" spans="1:29">
      <c r="A774" s="13" t="s">
        <v>406</v>
      </c>
      <c r="B774" s="13" t="s">
        <v>675</v>
      </c>
      <c r="C774" s="145">
        <v>46227</v>
      </c>
      <c r="D774" s="145" t="s">
        <v>469</v>
      </c>
      <c r="E774" s="28">
        <v>0.94660133000000002</v>
      </c>
      <c r="F774" s="13"/>
      <c r="G774" s="18">
        <v>12500000</v>
      </c>
      <c r="H774" s="18">
        <v>11832516.58</v>
      </c>
      <c r="I774" s="18">
        <v>12500000</v>
      </c>
      <c r="J774" s="18">
        <v>11832516.58</v>
      </c>
      <c r="K774" s="15">
        <v>4954</v>
      </c>
      <c r="L774" s="13" t="s">
        <v>117</v>
      </c>
      <c r="M774" s="13" t="s">
        <v>118</v>
      </c>
      <c r="N774" s="145" t="s">
        <v>457</v>
      </c>
      <c r="O774" s="145" t="s">
        <v>457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1537</v>
      </c>
      <c r="V774" s="13" t="s">
        <v>1537</v>
      </c>
      <c r="W774" s="60">
        <f>+J774/$W$2</f>
        <v>3.1185831643842227E-4</v>
      </c>
    </row>
    <row r="775" spans="1:29">
      <c r="A775" s="13" t="s">
        <v>1389</v>
      </c>
      <c r="B775" s="13" t="s">
        <v>675</v>
      </c>
      <c r="C775" s="145">
        <v>46227</v>
      </c>
      <c r="D775" s="145" t="s">
        <v>469</v>
      </c>
      <c r="E775" s="28">
        <v>0.94834757999999997</v>
      </c>
      <c r="F775" s="13"/>
      <c r="G775" s="18">
        <v>15000000</v>
      </c>
      <c r="H775" s="18">
        <v>14225213.76</v>
      </c>
      <c r="I775" s="18">
        <v>15000000</v>
      </c>
      <c r="J775" s="18">
        <v>14225213.76</v>
      </c>
      <c r="K775" s="15">
        <v>29131906</v>
      </c>
      <c r="L775" s="13" t="s">
        <v>117</v>
      </c>
      <c r="M775" s="13" t="s">
        <v>118</v>
      </c>
      <c r="N775" s="145" t="s">
        <v>445</v>
      </c>
      <c r="O775" s="145" t="s">
        <v>445</v>
      </c>
      <c r="P775" s="28">
        <v>28</v>
      </c>
      <c r="Q775" s="13" t="s">
        <v>54</v>
      </c>
      <c r="R775" s="13" t="s">
        <v>28</v>
      </c>
      <c r="S775" s="13"/>
      <c r="T775" s="13"/>
      <c r="U775" s="13" t="s">
        <v>1374</v>
      </c>
      <c r="V775" s="13" t="s">
        <v>1374</v>
      </c>
      <c r="W775" s="60">
        <f>+J775/$W$2</f>
        <v>3.7492034633348288E-4</v>
      </c>
      <c r="AC775" s="57"/>
    </row>
    <row r="776" spans="1:29">
      <c r="A776" s="13" t="s">
        <v>722</v>
      </c>
      <c r="B776" s="13" t="s">
        <v>675</v>
      </c>
      <c r="C776" s="145">
        <v>46227</v>
      </c>
      <c r="D776" s="145" t="s">
        <v>469</v>
      </c>
      <c r="E776" s="28">
        <v>0.93625760999999996</v>
      </c>
      <c r="F776" s="13"/>
      <c r="G776" s="18">
        <v>16600000</v>
      </c>
      <c r="H776" s="18">
        <v>15541876.27</v>
      </c>
      <c r="I776" s="18">
        <v>16600000</v>
      </c>
      <c r="J776" s="18">
        <v>15541876.27</v>
      </c>
      <c r="K776" s="15">
        <v>290</v>
      </c>
      <c r="L776" s="13" t="s">
        <v>117</v>
      </c>
      <c r="M776" s="13" t="s">
        <v>118</v>
      </c>
      <c r="N776" s="145" t="s">
        <v>205</v>
      </c>
      <c r="O776" s="145" t="s">
        <v>205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1059</v>
      </c>
      <c r="V776" s="13" t="s">
        <v>1059</v>
      </c>
      <c r="W776" s="60">
        <f>+J776/$W$2</f>
        <v>4.096223601367196E-4</v>
      </c>
    </row>
    <row r="777" spans="1:29">
      <c r="A777" s="13" t="s">
        <v>676</v>
      </c>
      <c r="B777" s="13" t="s">
        <v>675</v>
      </c>
      <c r="C777" s="145">
        <v>46230</v>
      </c>
      <c r="D777" s="145" t="s">
        <v>469</v>
      </c>
      <c r="E777" s="28">
        <v>0.94266534000000002</v>
      </c>
      <c r="F777" s="13"/>
      <c r="G777" s="18">
        <v>10000000</v>
      </c>
      <c r="H777" s="18">
        <v>9426653.3599999994</v>
      </c>
      <c r="I777" s="18">
        <v>10000000</v>
      </c>
      <c r="J777" s="18">
        <v>9426653.3599999994</v>
      </c>
      <c r="K777" s="15">
        <v>471</v>
      </c>
      <c r="L777" s="13" t="s">
        <v>117</v>
      </c>
      <c r="M777" s="13" t="s">
        <v>118</v>
      </c>
      <c r="N777" s="145" t="s">
        <v>446</v>
      </c>
      <c r="O777" s="145" t="s">
        <v>446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1848</v>
      </c>
      <c r="V777" s="13" t="s">
        <v>1848</v>
      </c>
      <c r="W777" s="60">
        <f>+J777/$W$2</f>
        <v>2.4844928182625003E-4</v>
      </c>
    </row>
    <row r="778" spans="1:29">
      <c r="A778" s="13" t="s">
        <v>307</v>
      </c>
      <c r="B778" s="13" t="s">
        <v>675</v>
      </c>
      <c r="C778" s="145">
        <v>46230</v>
      </c>
      <c r="D778" s="145" t="s">
        <v>469</v>
      </c>
      <c r="E778" s="28">
        <v>0.92498745000000004</v>
      </c>
      <c r="F778" s="13"/>
      <c r="G778" s="18">
        <v>4100000</v>
      </c>
      <c r="H778" s="18">
        <v>3792448.53</v>
      </c>
      <c r="I778" s="18">
        <v>4100000</v>
      </c>
      <c r="J778" s="18">
        <v>3792448.53</v>
      </c>
      <c r="K778" s="15">
        <v>1024</v>
      </c>
      <c r="L778" s="13" t="s">
        <v>117</v>
      </c>
      <c r="M778" s="13" t="s">
        <v>118</v>
      </c>
      <c r="N778" s="145" t="s">
        <v>328</v>
      </c>
      <c r="O778" s="145" t="s">
        <v>328</v>
      </c>
      <c r="P778" s="28">
        <v>40</v>
      </c>
      <c r="Q778" s="13" t="s">
        <v>54</v>
      </c>
      <c r="R778" s="13" t="s">
        <v>28</v>
      </c>
      <c r="S778" s="13"/>
      <c r="T778" s="13"/>
      <c r="U778" s="13" t="s">
        <v>619</v>
      </c>
      <c r="V778" s="13" t="s">
        <v>619</v>
      </c>
      <c r="W778" s="60">
        <f>+J778/$W$2</f>
        <v>9.995393674277609E-5</v>
      </c>
    </row>
    <row r="779" spans="1:29">
      <c r="A779" s="13" t="s">
        <v>406</v>
      </c>
      <c r="B779" s="13" t="s">
        <v>675</v>
      </c>
      <c r="C779" s="145">
        <v>46230</v>
      </c>
      <c r="D779" s="145" t="s">
        <v>469</v>
      </c>
      <c r="E779" s="28">
        <v>0.94719094999999998</v>
      </c>
      <c r="F779" s="13"/>
      <c r="G779" s="18">
        <v>150000000</v>
      </c>
      <c r="H779" s="18">
        <v>142078641.83000001</v>
      </c>
      <c r="I779" s="18">
        <v>150000000</v>
      </c>
      <c r="J779" s="18">
        <v>142078641.83000001</v>
      </c>
      <c r="K779" s="15">
        <v>51</v>
      </c>
      <c r="L779" s="13" t="s">
        <v>117</v>
      </c>
      <c r="M779" s="13" t="s">
        <v>118</v>
      </c>
      <c r="N779" s="145" t="s">
        <v>445</v>
      </c>
      <c r="O779" s="145" t="s">
        <v>445</v>
      </c>
      <c r="P779" s="28">
        <v>27.5</v>
      </c>
      <c r="Q779" s="13" t="s">
        <v>54</v>
      </c>
      <c r="R779" s="13" t="s">
        <v>28</v>
      </c>
      <c r="S779" s="13"/>
      <c r="T779" s="13"/>
      <c r="U779" s="13" t="s">
        <v>1377</v>
      </c>
      <c r="V779" s="13" t="s">
        <v>1377</v>
      </c>
      <c r="W779" s="60">
        <f>+J779/$W$2</f>
        <v>3.7446308013507471E-3</v>
      </c>
    </row>
    <row r="780" spans="1:29">
      <c r="A780" s="13" t="s">
        <v>1329</v>
      </c>
      <c r="B780" s="13" t="s">
        <v>675</v>
      </c>
      <c r="C780" s="145">
        <v>46230</v>
      </c>
      <c r="D780" s="145" t="s">
        <v>469</v>
      </c>
      <c r="E780" s="28">
        <v>0.93374268000000005</v>
      </c>
      <c r="F780" s="13"/>
      <c r="G780" s="18">
        <v>5450000</v>
      </c>
      <c r="H780" s="18">
        <v>5088897.6100000003</v>
      </c>
      <c r="I780" s="18">
        <v>5450000</v>
      </c>
      <c r="J780" s="18">
        <v>5088897.6100000003</v>
      </c>
      <c r="K780" s="15">
        <v>6899</v>
      </c>
      <c r="L780" s="13" t="s">
        <v>117</v>
      </c>
      <c r="M780" s="13" t="s">
        <v>118</v>
      </c>
      <c r="N780" s="145" t="s">
        <v>528</v>
      </c>
      <c r="O780" s="145" t="s">
        <v>528</v>
      </c>
      <c r="P780" s="28">
        <v>35</v>
      </c>
      <c r="Q780" s="13" t="s">
        <v>54</v>
      </c>
      <c r="R780" s="13" t="s">
        <v>28</v>
      </c>
      <c r="S780" s="13"/>
      <c r="T780" s="13"/>
      <c r="U780" s="13" t="s">
        <v>1321</v>
      </c>
      <c r="V780" s="13" t="s">
        <v>1321</v>
      </c>
      <c r="W780" s="60">
        <f>+J780/$W$2</f>
        <v>1.3412320451463173E-4</v>
      </c>
      <c r="AC780" s="57"/>
    </row>
    <row r="781" spans="1:29">
      <c r="A781" s="13" t="s">
        <v>1330</v>
      </c>
      <c r="B781" s="13" t="s">
        <v>675</v>
      </c>
      <c r="C781" s="145">
        <v>46230</v>
      </c>
      <c r="D781" s="145" t="s">
        <v>469</v>
      </c>
      <c r="E781" s="28">
        <v>0.94447035000000001</v>
      </c>
      <c r="F781" s="13"/>
      <c r="G781" s="18">
        <v>5000000</v>
      </c>
      <c r="H781" s="18">
        <v>4722351.76</v>
      </c>
      <c r="I781" s="18">
        <v>5000000</v>
      </c>
      <c r="J781" s="18">
        <v>4722351.76</v>
      </c>
      <c r="K781" s="15">
        <v>16779576</v>
      </c>
      <c r="L781" s="13" t="s">
        <v>117</v>
      </c>
      <c r="M781" s="13" t="s">
        <v>118</v>
      </c>
      <c r="N781" s="145" t="s">
        <v>528</v>
      </c>
      <c r="O781" s="145" t="s">
        <v>528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1256</v>
      </c>
      <c r="V781" s="13" t="s">
        <v>1256</v>
      </c>
      <c r="W781" s="60">
        <f>+J781/$W$2</f>
        <v>1.2446250631018512E-4</v>
      </c>
    </row>
    <row r="782" spans="1:29">
      <c r="A782" s="13" t="s">
        <v>1251</v>
      </c>
      <c r="B782" s="13" t="s">
        <v>675</v>
      </c>
      <c r="C782" s="145">
        <v>46230</v>
      </c>
      <c r="D782" s="145" t="s">
        <v>469</v>
      </c>
      <c r="E782" s="28">
        <v>0.93907591000000001</v>
      </c>
      <c r="F782" s="13"/>
      <c r="G782" s="18">
        <v>15000000</v>
      </c>
      <c r="H782" s="18">
        <v>14086138.720000001</v>
      </c>
      <c r="I782" s="18">
        <v>15000000</v>
      </c>
      <c r="J782" s="18">
        <v>14086138.720000001</v>
      </c>
      <c r="K782" s="15">
        <v>173</v>
      </c>
      <c r="L782" s="13" t="s">
        <v>117</v>
      </c>
      <c r="M782" s="13" t="s">
        <v>118</v>
      </c>
      <c r="N782" s="145" t="s">
        <v>461</v>
      </c>
      <c r="O782" s="145" t="s">
        <v>461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1161</v>
      </c>
      <c r="V782" s="13" t="s">
        <v>1161</v>
      </c>
      <c r="W782" s="60">
        <f>+J782/$W$2</f>
        <v>3.7125487859128545E-4</v>
      </c>
      <c r="AC782" s="57"/>
    </row>
    <row r="783" spans="1:29">
      <c r="A783" s="13" t="s">
        <v>155</v>
      </c>
      <c r="B783" s="13" t="s">
        <v>675</v>
      </c>
      <c r="C783" s="145">
        <v>46231</v>
      </c>
      <c r="D783" s="145" t="s">
        <v>469</v>
      </c>
      <c r="E783" s="28">
        <v>0.92757307</v>
      </c>
      <c r="F783" s="13"/>
      <c r="G783" s="18">
        <v>20000000</v>
      </c>
      <c r="H783" s="18">
        <v>18551461.350000001</v>
      </c>
      <c r="I783" s="18">
        <v>20000000</v>
      </c>
      <c r="J783" s="18">
        <v>18551461.350000001</v>
      </c>
      <c r="K783" s="15">
        <v>65800773</v>
      </c>
      <c r="L783" s="13" t="s">
        <v>117</v>
      </c>
      <c r="M783" s="13" t="s">
        <v>118</v>
      </c>
      <c r="N783" s="145" t="s">
        <v>306</v>
      </c>
      <c r="O783" s="145" t="s">
        <v>306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740</v>
      </c>
      <c r="V783" s="13" t="s">
        <v>740</v>
      </c>
      <c r="W783" s="60">
        <f>+J783/$W$2</f>
        <v>4.8894311408465062E-4</v>
      </c>
      <c r="AC783" s="57"/>
    </row>
    <row r="784" spans="1:29">
      <c r="A784" s="13" t="s">
        <v>307</v>
      </c>
      <c r="B784" s="13" t="s">
        <v>675</v>
      </c>
      <c r="C784" s="145">
        <v>46231</v>
      </c>
      <c r="D784" s="145" t="s">
        <v>469</v>
      </c>
      <c r="E784" s="28">
        <v>0.9240507</v>
      </c>
      <c r="F784" s="13"/>
      <c r="G784" s="18">
        <v>4100000</v>
      </c>
      <c r="H784" s="18">
        <v>3788607.85</v>
      </c>
      <c r="I784" s="18">
        <v>4100000</v>
      </c>
      <c r="J784" s="18">
        <v>3788607.85</v>
      </c>
      <c r="K784" s="15">
        <v>1025</v>
      </c>
      <c r="L784" s="13" t="s">
        <v>117</v>
      </c>
      <c r="M784" s="13" t="s">
        <v>118</v>
      </c>
      <c r="N784" s="145" t="s">
        <v>328</v>
      </c>
      <c r="O784" s="145" t="s">
        <v>328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625</v>
      </c>
      <c r="V784" s="13" t="s">
        <v>625</v>
      </c>
      <c r="W784" s="60">
        <f>+J784/$W$2</f>
        <v>9.9852711615333356E-5</v>
      </c>
    </row>
    <row r="785" spans="1:29">
      <c r="A785" s="13" t="s">
        <v>201</v>
      </c>
      <c r="B785" s="13" t="s">
        <v>675</v>
      </c>
      <c r="C785" s="145">
        <v>46231</v>
      </c>
      <c r="D785" s="145" t="s">
        <v>469</v>
      </c>
      <c r="E785" s="28">
        <v>0.92405064999999997</v>
      </c>
      <c r="F785" s="13"/>
      <c r="G785" s="18">
        <v>20000000</v>
      </c>
      <c r="H785" s="18">
        <v>18481013.039999999</v>
      </c>
      <c r="I785" s="18">
        <v>20000000</v>
      </c>
      <c r="J785" s="18">
        <v>18481013.039999999</v>
      </c>
      <c r="K785" s="15">
        <v>4121</v>
      </c>
      <c r="L785" s="13" t="s">
        <v>117</v>
      </c>
      <c r="M785" s="13" t="s">
        <v>118</v>
      </c>
      <c r="N785" s="145" t="s">
        <v>216</v>
      </c>
      <c r="O785" s="145" t="s">
        <v>216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1628</v>
      </c>
      <c r="V785" s="13" t="s">
        <v>1628</v>
      </c>
      <c r="W785" s="60">
        <f>+J785/$W$2</f>
        <v>4.8708637539309727E-4</v>
      </c>
    </row>
    <row r="786" spans="1:29">
      <c r="A786" s="13" t="s">
        <v>391</v>
      </c>
      <c r="B786" s="13" t="s">
        <v>675</v>
      </c>
      <c r="C786" s="145">
        <v>46231</v>
      </c>
      <c r="D786" s="145" t="s">
        <v>469</v>
      </c>
      <c r="E786" s="28">
        <v>0.93649782999999998</v>
      </c>
      <c r="F786" s="13"/>
      <c r="G786" s="18">
        <v>50000000</v>
      </c>
      <c r="H786" s="18">
        <v>46824891.359999999</v>
      </c>
      <c r="I786" s="18">
        <v>50000000</v>
      </c>
      <c r="J786" s="18">
        <v>46824891.359999999</v>
      </c>
      <c r="K786" s="15">
        <v>29007568</v>
      </c>
      <c r="L786" s="13" t="s">
        <v>117</v>
      </c>
      <c r="M786" s="13" t="s">
        <v>118</v>
      </c>
      <c r="N786" s="145" t="s">
        <v>209</v>
      </c>
      <c r="O786" s="145" t="s">
        <v>209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857</v>
      </c>
      <c r="V786" s="13" t="s">
        <v>857</v>
      </c>
      <c r="W786" s="60">
        <f>+J786/$W$2</f>
        <v>1.2341188527573248E-3</v>
      </c>
    </row>
    <row r="787" spans="1:29">
      <c r="A787" s="13" t="s">
        <v>406</v>
      </c>
      <c r="B787" s="13" t="s">
        <v>675</v>
      </c>
      <c r="C787" s="145">
        <v>46231</v>
      </c>
      <c r="D787" s="145" t="s">
        <v>469</v>
      </c>
      <c r="E787" s="28">
        <v>0.94651542</v>
      </c>
      <c r="F787" s="13"/>
      <c r="G787" s="18">
        <v>150000000</v>
      </c>
      <c r="H787" s="18">
        <v>141977313.71000001</v>
      </c>
      <c r="I787" s="18">
        <v>150000000</v>
      </c>
      <c r="J787" s="18">
        <v>141977313.71000001</v>
      </c>
      <c r="K787" s="15">
        <v>1762</v>
      </c>
      <c r="L787" s="13" t="s">
        <v>117</v>
      </c>
      <c r="M787" s="13" t="s">
        <v>118</v>
      </c>
      <c r="N787" s="145" t="s">
        <v>445</v>
      </c>
      <c r="O787" s="145" t="s">
        <v>445</v>
      </c>
      <c r="P787" s="28">
        <v>27.5</v>
      </c>
      <c r="Q787" s="13" t="s">
        <v>54</v>
      </c>
      <c r="R787" s="13" t="s">
        <v>28</v>
      </c>
      <c r="S787" s="13"/>
      <c r="T787" s="13"/>
      <c r="U787" s="13" t="s">
        <v>1378</v>
      </c>
      <c r="V787" s="13" t="s">
        <v>1378</v>
      </c>
      <c r="W787" s="60">
        <f>+J787/$W$2</f>
        <v>3.7419601930572853E-3</v>
      </c>
    </row>
    <row r="788" spans="1:29">
      <c r="A788" s="13" t="s">
        <v>863</v>
      </c>
      <c r="B788" s="13" t="s">
        <v>675</v>
      </c>
      <c r="C788" s="145">
        <v>46231</v>
      </c>
      <c r="D788" s="145" t="s">
        <v>469</v>
      </c>
      <c r="E788" s="28">
        <v>0.94376218000000001</v>
      </c>
      <c r="F788" s="13"/>
      <c r="G788" s="18">
        <v>12500000</v>
      </c>
      <c r="H788" s="18">
        <v>11797027.300000001</v>
      </c>
      <c r="I788" s="18">
        <v>12500000</v>
      </c>
      <c r="J788" s="18">
        <v>11797027.300000001</v>
      </c>
      <c r="K788" s="15">
        <v>28996506</v>
      </c>
      <c r="L788" s="13" t="s">
        <v>117</v>
      </c>
      <c r="M788" s="13" t="s">
        <v>118</v>
      </c>
      <c r="N788" s="145" t="s">
        <v>209</v>
      </c>
      <c r="O788" s="145" t="s">
        <v>209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819</v>
      </c>
      <c r="V788" s="13" t="s">
        <v>819</v>
      </c>
      <c r="W788" s="60">
        <f>+J788/$W$2</f>
        <v>3.1092295944673049E-4</v>
      </c>
    </row>
    <row r="789" spans="1:29">
      <c r="A789" s="13" t="s">
        <v>1330</v>
      </c>
      <c r="B789" s="13" t="s">
        <v>675</v>
      </c>
      <c r="C789" s="145">
        <v>46231</v>
      </c>
      <c r="D789" s="145" t="s">
        <v>469</v>
      </c>
      <c r="E789" s="28">
        <v>0.94193557000000006</v>
      </c>
      <c r="F789" s="13"/>
      <c r="G789" s="18">
        <v>10000000</v>
      </c>
      <c r="H789" s="18">
        <v>9419355.7100000009</v>
      </c>
      <c r="I789" s="18">
        <v>10000000</v>
      </c>
      <c r="J789" s="18">
        <v>9419355.7100000009</v>
      </c>
      <c r="K789" s="15">
        <v>90019958</v>
      </c>
      <c r="L789" s="13" t="s">
        <v>117</v>
      </c>
      <c r="M789" s="13" t="s">
        <v>118</v>
      </c>
      <c r="N789" s="145" t="s">
        <v>411</v>
      </c>
      <c r="O789" s="145" t="s">
        <v>411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1436</v>
      </c>
      <c r="V789" s="13" t="s">
        <v>1436</v>
      </c>
      <c r="W789" s="60">
        <f>+J789/$W$2</f>
        <v>2.4825694464864547E-4</v>
      </c>
      <c r="AC789" s="57"/>
    </row>
    <row r="790" spans="1:29">
      <c r="A790" s="13" t="s">
        <v>1330</v>
      </c>
      <c r="B790" s="13" t="s">
        <v>675</v>
      </c>
      <c r="C790" s="145">
        <v>46231</v>
      </c>
      <c r="D790" s="145" t="s">
        <v>469</v>
      </c>
      <c r="E790" s="28">
        <v>0.94376221000000005</v>
      </c>
      <c r="F790" s="13"/>
      <c r="G790" s="18">
        <v>5000000</v>
      </c>
      <c r="H790" s="18">
        <v>4718811.03</v>
      </c>
      <c r="I790" s="18">
        <v>5000000</v>
      </c>
      <c r="J790" s="18">
        <v>4718811.03</v>
      </c>
      <c r="K790" s="15">
        <v>6878</v>
      </c>
      <c r="L790" s="13" t="s">
        <v>117</v>
      </c>
      <c r="M790" s="13" t="s">
        <v>118</v>
      </c>
      <c r="N790" s="145" t="s">
        <v>411</v>
      </c>
      <c r="O790" s="145" t="s">
        <v>411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1405</v>
      </c>
      <c r="V790" s="13" t="s">
        <v>1405</v>
      </c>
      <c r="W790" s="60">
        <f>+J790/$W$2</f>
        <v>1.2436918667785694E-4</v>
      </c>
    </row>
    <row r="791" spans="1:29">
      <c r="A791" s="13" t="s">
        <v>1330</v>
      </c>
      <c r="B791" s="13" t="s">
        <v>675</v>
      </c>
      <c r="C791" s="145">
        <v>46231</v>
      </c>
      <c r="D791" s="145" t="s">
        <v>469</v>
      </c>
      <c r="E791" s="28">
        <v>0.94193563000000002</v>
      </c>
      <c r="F791" s="13"/>
      <c r="G791" s="18">
        <v>1040000</v>
      </c>
      <c r="H791" s="18">
        <v>979613.05</v>
      </c>
      <c r="I791" s="18">
        <v>1040000</v>
      </c>
      <c r="J791" s="18">
        <v>979613.05</v>
      </c>
      <c r="K791" s="15">
        <v>16601551</v>
      </c>
      <c r="L791" s="13" t="s">
        <v>117</v>
      </c>
      <c r="M791" s="13" t="s">
        <v>118</v>
      </c>
      <c r="N791" s="145" t="s">
        <v>428</v>
      </c>
      <c r="O791" s="145" t="s">
        <v>428</v>
      </c>
      <c r="P791" s="28">
        <v>30</v>
      </c>
      <c r="Q791" s="13" t="s">
        <v>54</v>
      </c>
      <c r="R791" s="13" t="s">
        <v>28</v>
      </c>
      <c r="S791" s="13"/>
      <c r="T791" s="13"/>
      <c r="U791" s="13" t="s">
        <v>1653</v>
      </c>
      <c r="V791" s="13" t="s">
        <v>1653</v>
      </c>
      <c r="W791" s="60">
        <f>+J791/$W$2</f>
        <v>2.5818723723614504E-5</v>
      </c>
    </row>
    <row r="792" spans="1:29">
      <c r="A792" s="13" t="s">
        <v>406</v>
      </c>
      <c r="B792" s="13" t="s">
        <v>675</v>
      </c>
      <c r="C792" s="145">
        <v>46231</v>
      </c>
      <c r="D792" s="145" t="s">
        <v>469</v>
      </c>
      <c r="E792" s="28">
        <v>0.94376212999999998</v>
      </c>
      <c r="F792" s="13"/>
      <c r="G792" s="18">
        <v>30000000</v>
      </c>
      <c r="H792" s="18">
        <v>28312864.050000001</v>
      </c>
      <c r="I792" s="18">
        <v>30000000</v>
      </c>
      <c r="J792" s="18">
        <v>28312864.050000001</v>
      </c>
      <c r="K792" s="15">
        <v>54026410</v>
      </c>
      <c r="L792" s="13" t="s">
        <v>117</v>
      </c>
      <c r="M792" s="13" t="s">
        <v>118</v>
      </c>
      <c r="N792" s="145" t="s">
        <v>216</v>
      </c>
      <c r="O792" s="145" t="s">
        <v>216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1611</v>
      </c>
      <c r="V792" s="13" t="s">
        <v>1611</v>
      </c>
      <c r="W792" s="60">
        <f>+J792/$W$2</f>
        <v>7.4621506392876988E-4</v>
      </c>
    </row>
    <row r="793" spans="1:29">
      <c r="A793" s="13" t="s">
        <v>1101</v>
      </c>
      <c r="B793" s="13" t="s">
        <v>675</v>
      </c>
      <c r="C793" s="145">
        <v>46231</v>
      </c>
      <c r="D793" s="145" t="s">
        <v>469</v>
      </c>
      <c r="E793" s="28">
        <v>0.94376214999999997</v>
      </c>
      <c r="F793" s="13"/>
      <c r="G793" s="18">
        <v>5000000</v>
      </c>
      <c r="H793" s="18">
        <v>4718810.76</v>
      </c>
      <c r="I793" s="18">
        <v>5000000</v>
      </c>
      <c r="J793" s="18">
        <v>4718810.76</v>
      </c>
      <c r="K793" s="15">
        <v>43314</v>
      </c>
      <c r="L793" s="13" t="s">
        <v>117</v>
      </c>
      <c r="M793" s="13" t="s">
        <v>118</v>
      </c>
      <c r="N793" s="145" t="s">
        <v>445</v>
      </c>
      <c r="O793" s="145" t="s">
        <v>445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1333</v>
      </c>
      <c r="V793" s="13" t="s">
        <v>1333</v>
      </c>
      <c r="W793" s="60">
        <f>+J793/$W$2</f>
        <v>1.2436917956172529E-4</v>
      </c>
    </row>
    <row r="794" spans="1:29">
      <c r="A794" s="13" t="s">
        <v>1330</v>
      </c>
      <c r="B794" s="13" t="s">
        <v>675</v>
      </c>
      <c r="C794" s="145">
        <v>46231</v>
      </c>
      <c r="D794" s="145" t="s">
        <v>469</v>
      </c>
      <c r="E794" s="28">
        <v>0.94376229</v>
      </c>
      <c r="F794" s="13"/>
      <c r="G794" s="18">
        <v>5000000</v>
      </c>
      <c r="H794" s="18">
        <v>4718811.45</v>
      </c>
      <c r="I794" s="18">
        <v>5000000</v>
      </c>
      <c r="J794" s="18">
        <v>4718811.45</v>
      </c>
      <c r="K794" s="15">
        <v>16779577</v>
      </c>
      <c r="L794" s="13" t="s">
        <v>117</v>
      </c>
      <c r="M794" s="13" t="s">
        <v>118</v>
      </c>
      <c r="N794" s="145" t="s">
        <v>528</v>
      </c>
      <c r="O794" s="145" t="s">
        <v>528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1257</v>
      </c>
      <c r="V794" s="13" t="s">
        <v>1257</v>
      </c>
      <c r="W794" s="60">
        <f>+J794/$W$2</f>
        <v>1.2436919774739503E-4</v>
      </c>
    </row>
    <row r="795" spans="1:29">
      <c r="A795" s="13" t="s">
        <v>1241</v>
      </c>
      <c r="B795" s="13" t="s">
        <v>675</v>
      </c>
      <c r="C795" s="145">
        <v>46232</v>
      </c>
      <c r="D795" s="145" t="s">
        <v>469</v>
      </c>
      <c r="E795" s="28">
        <v>0.92667820999999995</v>
      </c>
      <c r="F795" s="13"/>
      <c r="G795" s="18">
        <v>4599318.34</v>
      </c>
      <c r="H795" s="18">
        <v>4262088.0999999996</v>
      </c>
      <c r="I795" s="18">
        <v>4599318.34</v>
      </c>
      <c r="J795" s="18">
        <v>4262088.0999999996</v>
      </c>
      <c r="K795" s="15">
        <v>576</v>
      </c>
      <c r="L795" s="13" t="s">
        <v>117</v>
      </c>
      <c r="M795" s="13" t="s">
        <v>118</v>
      </c>
      <c r="N795" s="145" t="s">
        <v>411</v>
      </c>
      <c r="O795" s="145" t="s">
        <v>411</v>
      </c>
      <c r="P795" s="28">
        <v>38</v>
      </c>
      <c r="Q795" s="13" t="s">
        <v>54</v>
      </c>
      <c r="R795" s="13" t="s">
        <v>28</v>
      </c>
      <c r="S795" s="13"/>
      <c r="T795" s="13"/>
      <c r="U795" s="13" t="s">
        <v>1470</v>
      </c>
      <c r="V795" s="13" t="s">
        <v>1470</v>
      </c>
      <c r="W795" s="60">
        <f>+J795/$W$2</f>
        <v>1.1233177747030326E-4</v>
      </c>
    </row>
    <row r="796" spans="1:29">
      <c r="A796" s="13" t="s">
        <v>1249</v>
      </c>
      <c r="B796" s="13" t="s">
        <v>675</v>
      </c>
      <c r="C796" s="145">
        <v>46232</v>
      </c>
      <c r="D796" s="145" t="s">
        <v>469</v>
      </c>
      <c r="E796" s="28">
        <v>0.92667836999999997</v>
      </c>
      <c r="F796" s="13"/>
      <c r="G796" s="18">
        <v>3519950.15</v>
      </c>
      <c r="H796" s="18">
        <v>3261861.68</v>
      </c>
      <c r="I796" s="18">
        <v>3519950.15</v>
      </c>
      <c r="J796" s="18">
        <v>3261861.68</v>
      </c>
      <c r="K796" s="15">
        <v>90000186</v>
      </c>
      <c r="L796" s="13" t="s">
        <v>117</v>
      </c>
      <c r="M796" s="13" t="s">
        <v>118</v>
      </c>
      <c r="N796" s="145" t="s">
        <v>461</v>
      </c>
      <c r="O796" s="145" t="s">
        <v>461</v>
      </c>
      <c r="P796" s="28">
        <v>38</v>
      </c>
      <c r="Q796" s="13" t="s">
        <v>54</v>
      </c>
      <c r="R796" s="13" t="s">
        <v>28</v>
      </c>
      <c r="S796" s="13"/>
      <c r="T796" s="13"/>
      <c r="U796" s="13" t="s">
        <v>1169</v>
      </c>
      <c r="V796" s="13" t="s">
        <v>1169</v>
      </c>
      <c r="W796" s="60">
        <f>+J796/$W$2</f>
        <v>8.5969766879448022E-5</v>
      </c>
    </row>
    <row r="797" spans="1:29">
      <c r="A797" s="13" t="s">
        <v>444</v>
      </c>
      <c r="B797" s="13" t="s">
        <v>675</v>
      </c>
      <c r="C797" s="145">
        <v>46232</v>
      </c>
      <c r="D797" s="145" t="s">
        <v>469</v>
      </c>
      <c r="E797" s="28">
        <v>0.92311588</v>
      </c>
      <c r="F797" s="13"/>
      <c r="G797" s="18">
        <v>3500000</v>
      </c>
      <c r="H797" s="18">
        <v>3230905.58</v>
      </c>
      <c r="I797" s="18">
        <v>3500000</v>
      </c>
      <c r="J797" s="18">
        <v>3230905.58</v>
      </c>
      <c r="K797" s="15">
        <v>60524038</v>
      </c>
      <c r="L797" s="13" t="s">
        <v>117</v>
      </c>
      <c r="M797" s="13" t="s">
        <v>118</v>
      </c>
      <c r="N797" s="145" t="s">
        <v>303</v>
      </c>
      <c r="O797" s="145" t="s">
        <v>303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613</v>
      </c>
      <c r="V797" s="13" t="s">
        <v>613</v>
      </c>
      <c r="W797" s="60">
        <f>+J797/$W$2</f>
        <v>8.5153886575014984E-5</v>
      </c>
    </row>
    <row r="798" spans="1:29">
      <c r="A798" s="13" t="s">
        <v>307</v>
      </c>
      <c r="B798" s="13" t="s">
        <v>675</v>
      </c>
      <c r="C798" s="145">
        <v>46232</v>
      </c>
      <c r="D798" s="145" t="s">
        <v>469</v>
      </c>
      <c r="E798" s="28">
        <v>0.92311584999999996</v>
      </c>
      <c r="F798" s="13"/>
      <c r="G798" s="18">
        <v>4100000</v>
      </c>
      <c r="H798" s="18">
        <v>3784775</v>
      </c>
      <c r="I798" s="18">
        <v>4100000</v>
      </c>
      <c r="J798" s="18">
        <v>3784775</v>
      </c>
      <c r="K798" s="15">
        <v>1026</v>
      </c>
      <c r="L798" s="13" t="s">
        <v>117</v>
      </c>
      <c r="M798" s="13" t="s">
        <v>118</v>
      </c>
      <c r="N798" s="145" t="s">
        <v>328</v>
      </c>
      <c r="O798" s="145" t="s">
        <v>328</v>
      </c>
      <c r="P798" s="28">
        <v>40</v>
      </c>
      <c r="Q798" s="13" t="s">
        <v>54</v>
      </c>
      <c r="R798" s="13" t="s">
        <v>28</v>
      </c>
      <c r="S798" s="13"/>
      <c r="T798" s="13"/>
      <c r="U798" s="13" t="s">
        <v>627</v>
      </c>
      <c r="V798" s="13" t="s">
        <v>627</v>
      </c>
      <c r="W798" s="60">
        <f>+J798/$W$2</f>
        <v>9.9751692855707758E-5</v>
      </c>
      <c r="AC798"/>
    </row>
    <row r="799" spans="1:29">
      <c r="A799" s="13" t="s">
        <v>406</v>
      </c>
      <c r="B799" s="13" t="s">
        <v>675</v>
      </c>
      <c r="C799" s="145">
        <v>46232</v>
      </c>
      <c r="D799" s="145" t="s">
        <v>469</v>
      </c>
      <c r="E799" s="28">
        <v>0.94120687999999997</v>
      </c>
      <c r="F799" s="13"/>
      <c r="G799" s="18">
        <v>10000000</v>
      </c>
      <c r="H799" s="18">
        <v>9412068.7599999998</v>
      </c>
      <c r="I799" s="18">
        <v>10000000</v>
      </c>
      <c r="J799" s="18">
        <v>9412068.7599999998</v>
      </c>
      <c r="K799" s="15">
        <v>65931682</v>
      </c>
      <c r="L799" s="13" t="s">
        <v>117</v>
      </c>
      <c r="M799" s="13" t="s">
        <v>118</v>
      </c>
      <c r="N799" s="145" t="s">
        <v>291</v>
      </c>
      <c r="O799" s="145" t="s">
        <v>291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928</v>
      </c>
      <c r="V799" s="13" t="s">
        <v>928</v>
      </c>
      <c r="W799" s="60">
        <f>+J799/$W$2</f>
        <v>2.4806488948070154E-4</v>
      </c>
    </row>
    <row r="800" spans="1:29">
      <c r="A800" s="13" t="s">
        <v>406</v>
      </c>
      <c r="B800" s="13" t="s">
        <v>675</v>
      </c>
      <c r="C800" s="145">
        <v>46232</v>
      </c>
      <c r="D800" s="145" t="s">
        <v>469</v>
      </c>
      <c r="E800" s="28">
        <v>0.94305516</v>
      </c>
      <c r="F800" s="13"/>
      <c r="G800" s="18">
        <v>11000000</v>
      </c>
      <c r="H800" s="18">
        <v>10373606.75</v>
      </c>
      <c r="I800" s="18">
        <v>11000000</v>
      </c>
      <c r="J800" s="18">
        <v>10373606.75</v>
      </c>
      <c r="K800" s="15">
        <v>270</v>
      </c>
      <c r="L800" s="13" t="s">
        <v>117</v>
      </c>
      <c r="M800" s="13" t="s">
        <v>118</v>
      </c>
      <c r="N800" s="145" t="s">
        <v>205</v>
      </c>
      <c r="O800" s="145" t="s">
        <v>205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1046</v>
      </c>
      <c r="V800" s="13" t="s">
        <v>1046</v>
      </c>
      <c r="W800" s="60">
        <f>+J800/$W$2</f>
        <v>2.7340722614472375E-4</v>
      </c>
    </row>
    <row r="801" spans="1:29">
      <c r="A801" s="13" t="s">
        <v>1893</v>
      </c>
      <c r="B801" s="13" t="s">
        <v>675</v>
      </c>
      <c r="C801" s="145">
        <v>46232</v>
      </c>
      <c r="D801" s="145" t="s">
        <v>469</v>
      </c>
      <c r="E801" s="28">
        <v>0.93570575</v>
      </c>
      <c r="F801" s="13"/>
      <c r="G801" s="18">
        <v>50000000</v>
      </c>
      <c r="H801" s="18">
        <v>46785287.670000002</v>
      </c>
      <c r="I801" s="18">
        <v>50000000</v>
      </c>
      <c r="J801" s="18">
        <v>46785287.670000002</v>
      </c>
      <c r="K801" s="15">
        <v>135</v>
      </c>
      <c r="L801" s="13" t="s">
        <v>117</v>
      </c>
      <c r="M801" s="13" t="s">
        <v>118</v>
      </c>
      <c r="N801" s="145" t="s">
        <v>470</v>
      </c>
      <c r="O801" s="145" t="s">
        <v>470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1879</v>
      </c>
      <c r="V801" s="13" t="s">
        <v>1879</v>
      </c>
      <c r="W801" s="60">
        <f>+J801/$W$2</f>
        <v>1.2330750561985247E-3</v>
      </c>
    </row>
    <row r="802" spans="1:29">
      <c r="A802" s="13" t="s">
        <v>1330</v>
      </c>
      <c r="B802" s="13" t="s">
        <v>675</v>
      </c>
      <c r="C802" s="145">
        <v>46232</v>
      </c>
      <c r="D802" s="145" t="s">
        <v>469</v>
      </c>
      <c r="E802" s="28">
        <v>0.94120683999999999</v>
      </c>
      <c r="F802" s="13"/>
      <c r="G802" s="18">
        <v>10000000</v>
      </c>
      <c r="H802" s="18">
        <v>9412068.3900000006</v>
      </c>
      <c r="I802" s="18">
        <v>10000000</v>
      </c>
      <c r="J802" s="18">
        <v>9412068.3900000006</v>
      </c>
      <c r="K802" s="15">
        <v>90019959</v>
      </c>
      <c r="L802" s="13" t="s">
        <v>117</v>
      </c>
      <c r="M802" s="13" t="s">
        <v>118</v>
      </c>
      <c r="N802" s="145" t="s">
        <v>411</v>
      </c>
      <c r="O802" s="145" t="s">
        <v>411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1437</v>
      </c>
      <c r="V802" s="13" t="s">
        <v>1437</v>
      </c>
      <c r="W802" s="60">
        <f>+J802/$W$2</f>
        <v>2.4806487972896561E-4</v>
      </c>
    </row>
    <row r="803" spans="1:29">
      <c r="A803" s="13" t="s">
        <v>1330</v>
      </c>
      <c r="B803" s="13" t="s">
        <v>675</v>
      </c>
      <c r="C803" s="145">
        <v>46232</v>
      </c>
      <c r="D803" s="145" t="s">
        <v>469</v>
      </c>
      <c r="E803" s="28">
        <v>0.94120689999999996</v>
      </c>
      <c r="F803" s="13"/>
      <c r="G803" s="18">
        <v>1040000</v>
      </c>
      <c r="H803" s="18">
        <v>978855.18</v>
      </c>
      <c r="I803" s="18">
        <v>1040000</v>
      </c>
      <c r="J803" s="18">
        <v>978855.18</v>
      </c>
      <c r="K803" s="15">
        <v>15901552</v>
      </c>
      <c r="L803" s="13" t="s">
        <v>117</v>
      </c>
      <c r="M803" s="13" t="s">
        <v>118</v>
      </c>
      <c r="N803" s="145" t="s">
        <v>428</v>
      </c>
      <c r="O803" s="145" t="s">
        <v>428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1650</v>
      </c>
      <c r="V803" s="13" t="s">
        <v>1650</v>
      </c>
      <c r="W803" s="60">
        <f>+J803/$W$2</f>
        <v>2.5798749269263969E-5</v>
      </c>
    </row>
    <row r="804" spans="1:29">
      <c r="A804" s="13" t="s">
        <v>1330</v>
      </c>
      <c r="B804" s="13" t="s">
        <v>675</v>
      </c>
      <c r="C804" s="145">
        <v>46232</v>
      </c>
      <c r="D804" s="145" t="s">
        <v>469</v>
      </c>
      <c r="E804" s="28">
        <v>0.94305505999999995</v>
      </c>
      <c r="F804" s="13"/>
      <c r="G804" s="18">
        <v>5000000</v>
      </c>
      <c r="H804" s="18">
        <v>4715275.29</v>
      </c>
      <c r="I804" s="18">
        <v>5000000</v>
      </c>
      <c r="J804" s="18">
        <v>4715275.29</v>
      </c>
      <c r="K804" s="15">
        <v>16779604</v>
      </c>
      <c r="L804" s="13" t="s">
        <v>117</v>
      </c>
      <c r="M804" s="13" t="s">
        <v>118</v>
      </c>
      <c r="N804" s="145" t="s">
        <v>428</v>
      </c>
      <c r="O804" s="145" t="s">
        <v>428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1658</v>
      </c>
      <c r="V804" s="13" t="s">
        <v>1658</v>
      </c>
      <c r="W804" s="60">
        <f>+J804/$W$2</f>
        <v>1.2427599856218357E-4</v>
      </c>
      <c r="AC804" s="57"/>
    </row>
    <row r="805" spans="1:29">
      <c r="A805" s="13" t="s">
        <v>406</v>
      </c>
      <c r="B805" s="13" t="s">
        <v>675</v>
      </c>
      <c r="C805" s="145">
        <v>46232</v>
      </c>
      <c r="D805" s="145" t="s">
        <v>469</v>
      </c>
      <c r="E805" s="28">
        <v>0.94305516</v>
      </c>
      <c r="F805" s="13"/>
      <c r="G805" s="18">
        <v>1300000</v>
      </c>
      <c r="H805" s="18">
        <v>1225971.7</v>
      </c>
      <c r="I805" s="18">
        <v>1300000</v>
      </c>
      <c r="J805" s="18">
        <v>1225971.7</v>
      </c>
      <c r="K805" s="15">
        <v>545</v>
      </c>
      <c r="L805" s="13" t="s">
        <v>117</v>
      </c>
      <c r="M805" s="13" t="s">
        <v>118</v>
      </c>
      <c r="N805" s="145" t="s">
        <v>216</v>
      </c>
      <c r="O805" s="145" t="s">
        <v>216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1614</v>
      </c>
      <c r="V805" s="13" t="s">
        <v>1614</v>
      </c>
      <c r="W805" s="60">
        <f>+J805/$W$2</f>
        <v>3.2311762910130689E-5</v>
      </c>
    </row>
    <row r="806" spans="1:29">
      <c r="A806" s="13" t="s">
        <v>406</v>
      </c>
      <c r="B806" s="13" t="s">
        <v>675</v>
      </c>
      <c r="C806" s="145">
        <v>46232</v>
      </c>
      <c r="D806" s="145" t="s">
        <v>469</v>
      </c>
      <c r="E806" s="28">
        <v>0.94305514999999995</v>
      </c>
      <c r="F806" s="13"/>
      <c r="G806" s="18">
        <v>12500000</v>
      </c>
      <c r="H806" s="18">
        <v>11788189.4</v>
      </c>
      <c r="I806" s="18">
        <v>12500000</v>
      </c>
      <c r="J806" s="18">
        <v>11788189.4</v>
      </c>
      <c r="K806" s="15">
        <v>9798602</v>
      </c>
      <c r="L806" s="13" t="s">
        <v>117</v>
      </c>
      <c r="M806" s="13" t="s">
        <v>118</v>
      </c>
      <c r="N806" s="145" t="s">
        <v>216</v>
      </c>
      <c r="O806" s="145" t="s">
        <v>216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1620</v>
      </c>
      <c r="V806" s="13" t="s">
        <v>1620</v>
      </c>
      <c r="W806" s="60">
        <f>+J806/$W$2</f>
        <v>3.1069002737380951E-4</v>
      </c>
    </row>
    <row r="807" spans="1:29">
      <c r="A807" s="13" t="s">
        <v>406</v>
      </c>
      <c r="B807" s="13" t="s">
        <v>675</v>
      </c>
      <c r="C807" s="145">
        <v>46232</v>
      </c>
      <c r="D807" s="145" t="s">
        <v>469</v>
      </c>
      <c r="E807" s="28">
        <v>0.94305501000000003</v>
      </c>
      <c r="F807" s="13"/>
      <c r="G807" s="18">
        <v>3500000</v>
      </c>
      <c r="H807" s="18">
        <v>3300692.54</v>
      </c>
      <c r="I807" s="18">
        <v>3500000</v>
      </c>
      <c r="J807" s="18">
        <v>3300692.54</v>
      </c>
      <c r="K807" s="15">
        <v>406</v>
      </c>
      <c r="L807" s="13" t="s">
        <v>117</v>
      </c>
      <c r="M807" s="13" t="s">
        <v>118</v>
      </c>
      <c r="N807" s="145" t="s">
        <v>411</v>
      </c>
      <c r="O807" s="145" t="s">
        <v>411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1492</v>
      </c>
      <c r="V807" s="13" t="s">
        <v>1492</v>
      </c>
      <c r="W807" s="60">
        <f>+J807/$W$2</f>
        <v>8.6993194697493478E-5</v>
      </c>
      <c r="AC807" s="57"/>
    </row>
    <row r="808" spans="1:29">
      <c r="A808" s="13" t="s">
        <v>1329</v>
      </c>
      <c r="B808" s="13" t="s">
        <v>675</v>
      </c>
      <c r="C808" s="145">
        <v>46232</v>
      </c>
      <c r="D808" s="145" t="s">
        <v>469</v>
      </c>
      <c r="E808" s="28">
        <v>0.93207368000000002</v>
      </c>
      <c r="F808" s="13"/>
      <c r="G808" s="18">
        <v>5450000</v>
      </c>
      <c r="H808" s="18">
        <v>5079801.58</v>
      </c>
      <c r="I808" s="18">
        <v>5450000</v>
      </c>
      <c r="J808" s="18">
        <v>5079801.58</v>
      </c>
      <c r="K808" s="15">
        <v>6896</v>
      </c>
      <c r="L808" s="13" t="s">
        <v>117</v>
      </c>
      <c r="M808" s="13" t="s">
        <v>118</v>
      </c>
      <c r="N808" s="145" t="s">
        <v>528</v>
      </c>
      <c r="O808" s="145" t="s">
        <v>528</v>
      </c>
      <c r="P808" s="28">
        <v>35</v>
      </c>
      <c r="Q808" s="13" t="s">
        <v>54</v>
      </c>
      <c r="R808" s="13" t="s">
        <v>28</v>
      </c>
      <c r="S808" s="13"/>
      <c r="T808" s="13"/>
      <c r="U808" s="13" t="s">
        <v>1316</v>
      </c>
      <c r="V808" s="13" t="s">
        <v>1316</v>
      </c>
      <c r="W808" s="60">
        <f>+J808/$W$2</f>
        <v>1.338834691563168E-4</v>
      </c>
    </row>
    <row r="809" spans="1:29">
      <c r="A809" s="13" t="s">
        <v>1764</v>
      </c>
      <c r="B809" s="13" t="s">
        <v>675</v>
      </c>
      <c r="C809" s="145">
        <v>46232</v>
      </c>
      <c r="D809" s="145" t="s">
        <v>469</v>
      </c>
      <c r="E809" s="28">
        <v>0.94491051999999998</v>
      </c>
      <c r="F809" s="13"/>
      <c r="G809" s="18">
        <v>6500000</v>
      </c>
      <c r="H809" s="18">
        <v>6141918.4100000001</v>
      </c>
      <c r="I809" s="18">
        <v>6500000</v>
      </c>
      <c r="J809" s="18">
        <v>6141918.4100000001</v>
      </c>
      <c r="K809" s="15">
        <v>29175492</v>
      </c>
      <c r="L809" s="13" t="s">
        <v>117</v>
      </c>
      <c r="M809" s="13" t="s">
        <v>118</v>
      </c>
      <c r="N809" s="145" t="s">
        <v>462</v>
      </c>
      <c r="O809" s="145" t="s">
        <v>462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1740</v>
      </c>
      <c r="V809" s="13" t="s">
        <v>1740</v>
      </c>
      <c r="W809" s="60">
        <f>+J809/$W$2</f>
        <v>1.6187666605785997E-4</v>
      </c>
    </row>
    <row r="810" spans="1:29">
      <c r="A810" s="13" t="s">
        <v>1101</v>
      </c>
      <c r="B810" s="13" t="s">
        <v>675</v>
      </c>
      <c r="C810" s="145">
        <v>46232</v>
      </c>
      <c r="D810" s="145" t="s">
        <v>469</v>
      </c>
      <c r="E810" s="28">
        <v>0.94305516</v>
      </c>
      <c r="F810" s="13"/>
      <c r="G810" s="18">
        <v>5000000</v>
      </c>
      <c r="H810" s="18">
        <v>4715275.78</v>
      </c>
      <c r="I810" s="18">
        <v>5000000</v>
      </c>
      <c r="J810" s="18">
        <v>4715275.78</v>
      </c>
      <c r="K810" s="15">
        <v>43315</v>
      </c>
      <c r="L810" s="13" t="s">
        <v>117</v>
      </c>
      <c r="M810" s="13" t="s">
        <v>118</v>
      </c>
      <c r="N810" s="145" t="s">
        <v>445</v>
      </c>
      <c r="O810" s="145" t="s">
        <v>445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1334</v>
      </c>
      <c r="V810" s="13" t="s">
        <v>1334</v>
      </c>
      <c r="W810" s="60">
        <f>+J810/$W$2</f>
        <v>1.2427601147664468E-4</v>
      </c>
    </row>
    <row r="811" spans="1:29">
      <c r="A811" s="13" t="s">
        <v>1330</v>
      </c>
      <c r="B811" s="13" t="s">
        <v>675</v>
      </c>
      <c r="C811" s="145">
        <v>46232</v>
      </c>
      <c r="D811" s="145" t="s">
        <v>469</v>
      </c>
      <c r="E811" s="28">
        <v>0.94305510000000004</v>
      </c>
      <c r="F811" s="13"/>
      <c r="G811" s="18">
        <v>5000000</v>
      </c>
      <c r="H811" s="18">
        <v>4715275.5</v>
      </c>
      <c r="I811" s="18">
        <v>5000000</v>
      </c>
      <c r="J811" s="18">
        <v>4715275.5</v>
      </c>
      <c r="K811" s="15">
        <v>16779578</v>
      </c>
      <c r="L811" s="13" t="s">
        <v>117</v>
      </c>
      <c r="M811" s="13" t="s">
        <v>118</v>
      </c>
      <c r="N811" s="145" t="s">
        <v>528</v>
      </c>
      <c r="O811" s="145" t="s">
        <v>528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1258</v>
      </c>
      <c r="V811" s="13" t="s">
        <v>1258</v>
      </c>
      <c r="W811" s="60">
        <f>+J811/$W$2</f>
        <v>1.2427600409695261E-4</v>
      </c>
      <c r="AC811" s="57"/>
    </row>
    <row r="812" spans="1:29">
      <c r="A812" s="13" t="s">
        <v>1330</v>
      </c>
      <c r="B812" s="13" t="s">
        <v>675</v>
      </c>
      <c r="C812" s="145">
        <v>46232</v>
      </c>
      <c r="D812" s="145" t="s">
        <v>469</v>
      </c>
      <c r="E812" s="28">
        <v>0.94677327</v>
      </c>
      <c r="F812" s="13"/>
      <c r="G812" s="18">
        <v>20000000</v>
      </c>
      <c r="H812" s="18">
        <v>18935465.390000001</v>
      </c>
      <c r="I812" s="18">
        <v>20000000</v>
      </c>
      <c r="J812" s="18">
        <v>18935465.390000001</v>
      </c>
      <c r="K812" s="15">
        <v>66450549</v>
      </c>
      <c r="L812" s="13" t="s">
        <v>117</v>
      </c>
      <c r="M812" s="13" t="s">
        <v>118</v>
      </c>
      <c r="N812" s="145" t="s">
        <v>533</v>
      </c>
      <c r="O812" s="145" t="s">
        <v>533</v>
      </c>
      <c r="P812" s="28">
        <v>27</v>
      </c>
      <c r="Q812" s="13" t="s">
        <v>54</v>
      </c>
      <c r="R812" s="13" t="s">
        <v>28</v>
      </c>
      <c r="S812" s="13"/>
      <c r="T812" s="13"/>
      <c r="U812" s="13" t="s">
        <v>1523</v>
      </c>
      <c r="V812" s="13" t="s">
        <v>1523</v>
      </c>
      <c r="W812" s="60">
        <f>+J812/$W$2</f>
        <v>4.9906394109640979E-4</v>
      </c>
    </row>
    <row r="813" spans="1:29">
      <c r="A813" s="13" t="s">
        <v>201</v>
      </c>
      <c r="B813" s="13" t="s">
        <v>675</v>
      </c>
      <c r="C813" s="145">
        <v>46233</v>
      </c>
      <c r="D813" s="145" t="s">
        <v>469</v>
      </c>
      <c r="E813" s="28">
        <v>0.92218306999999999</v>
      </c>
      <c r="F813" s="13"/>
      <c r="G813" s="18">
        <v>20000000</v>
      </c>
      <c r="H813" s="18">
        <v>18443661.359999999</v>
      </c>
      <c r="I813" s="18">
        <v>20000000</v>
      </c>
      <c r="J813" s="18">
        <v>18443661.359999999</v>
      </c>
      <c r="K813" s="15">
        <v>4122</v>
      </c>
      <c r="L813" s="13" t="s">
        <v>117</v>
      </c>
      <c r="M813" s="13" t="s">
        <v>118</v>
      </c>
      <c r="N813" s="145" t="s">
        <v>216</v>
      </c>
      <c r="O813" s="145" t="s">
        <v>216</v>
      </c>
      <c r="P813" s="28">
        <v>40</v>
      </c>
      <c r="Q813" s="13" t="s">
        <v>54</v>
      </c>
      <c r="R813" s="13" t="s">
        <v>28</v>
      </c>
      <c r="S813" s="13"/>
      <c r="T813" s="13"/>
      <c r="U813" s="13" t="s">
        <v>1627</v>
      </c>
      <c r="V813" s="13" t="s">
        <v>1627</v>
      </c>
      <c r="W813" s="60">
        <f>+J813/$W$2</f>
        <v>4.8610193290681881E-4</v>
      </c>
    </row>
    <row r="814" spans="1:29">
      <c r="A814" s="13" t="s">
        <v>863</v>
      </c>
      <c r="B814" s="13" t="s">
        <v>675</v>
      </c>
      <c r="C814" s="145">
        <v>46233</v>
      </c>
      <c r="D814" s="145" t="s">
        <v>469</v>
      </c>
      <c r="E814" s="28">
        <v>0.94234903999999997</v>
      </c>
      <c r="F814" s="13"/>
      <c r="G814" s="18">
        <v>12500000</v>
      </c>
      <c r="H814" s="18">
        <v>11779363</v>
      </c>
      <c r="I814" s="18">
        <v>12500000</v>
      </c>
      <c r="J814" s="18">
        <v>11779363</v>
      </c>
      <c r="K814" s="15">
        <v>28996512</v>
      </c>
      <c r="L814" s="13" t="s">
        <v>117</v>
      </c>
      <c r="M814" s="13" t="s">
        <v>118</v>
      </c>
      <c r="N814" s="145" t="s">
        <v>209</v>
      </c>
      <c r="O814" s="145" t="s">
        <v>209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821</v>
      </c>
      <c r="V814" s="13" t="s">
        <v>821</v>
      </c>
      <c r="W814" s="60">
        <f>+J814/$W$2</f>
        <v>3.1045739839538367E-4</v>
      </c>
      <c r="AC814" s="57"/>
    </row>
    <row r="815" spans="1:29">
      <c r="A815" s="13" t="s">
        <v>405</v>
      </c>
      <c r="B815" s="13" t="s">
        <v>675</v>
      </c>
      <c r="C815" s="145">
        <v>46233</v>
      </c>
      <c r="D815" s="145" t="s">
        <v>469</v>
      </c>
      <c r="E815" s="28">
        <v>0.94611073999999995</v>
      </c>
      <c r="F815" s="13"/>
      <c r="G815" s="18">
        <v>75000000</v>
      </c>
      <c r="H815" s="18">
        <v>70958305.700000003</v>
      </c>
      <c r="I815" s="18">
        <v>75000000</v>
      </c>
      <c r="J815" s="18">
        <v>70958305.700000003</v>
      </c>
      <c r="K815" s="15">
        <v>16181</v>
      </c>
      <c r="L815" s="13" t="s">
        <v>117</v>
      </c>
      <c r="M815" s="13" t="s">
        <v>118</v>
      </c>
      <c r="N815" s="145" t="s">
        <v>411</v>
      </c>
      <c r="O815" s="145" t="s">
        <v>411</v>
      </c>
      <c r="P815" s="28">
        <v>27</v>
      </c>
      <c r="Q815" s="13" t="s">
        <v>54</v>
      </c>
      <c r="R815" s="13" t="s">
        <v>28</v>
      </c>
      <c r="S815" s="13"/>
      <c r="T815" s="13"/>
      <c r="U815" s="13" t="s">
        <v>1450</v>
      </c>
      <c r="V815" s="13" t="s">
        <v>1450</v>
      </c>
      <c r="W815" s="60">
        <f>+J815/$W$2</f>
        <v>1.8701801601806757E-3</v>
      </c>
    </row>
    <row r="816" spans="1:29">
      <c r="A816" s="13" t="s">
        <v>1330</v>
      </c>
      <c r="B816" s="13" t="s">
        <v>675</v>
      </c>
      <c r="C816" s="145">
        <v>46233</v>
      </c>
      <c r="D816" s="145" t="s">
        <v>469</v>
      </c>
      <c r="E816" s="28">
        <v>0.94234892000000003</v>
      </c>
      <c r="F816" s="13"/>
      <c r="G816" s="18">
        <v>5000000</v>
      </c>
      <c r="H816" s="18">
        <v>4711744.58</v>
      </c>
      <c r="I816" s="18">
        <v>5000000</v>
      </c>
      <c r="J816" s="18">
        <v>4711744.58</v>
      </c>
      <c r="K816" s="15">
        <v>16779605</v>
      </c>
      <c r="L816" s="13" t="s">
        <v>117</v>
      </c>
      <c r="M816" s="13" t="s">
        <v>118</v>
      </c>
      <c r="N816" s="145" t="s">
        <v>428</v>
      </c>
      <c r="O816" s="145" t="s">
        <v>428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1657</v>
      </c>
      <c r="V816" s="13" t="s">
        <v>1657</v>
      </c>
      <c r="W816" s="60">
        <f>+J816/$W$2</f>
        <v>1.2418294301740678E-4</v>
      </c>
    </row>
    <row r="817" spans="1:29">
      <c r="A817" s="13" t="s">
        <v>1329</v>
      </c>
      <c r="B817" s="13" t="s">
        <v>675</v>
      </c>
      <c r="C817" s="145">
        <v>46233</v>
      </c>
      <c r="D817" s="145" t="s">
        <v>469</v>
      </c>
      <c r="E817" s="28">
        <v>0.93124130999999999</v>
      </c>
      <c r="F817" s="13"/>
      <c r="G817" s="18">
        <v>5450000</v>
      </c>
      <c r="H817" s="18">
        <v>5075265.12</v>
      </c>
      <c r="I817" s="18">
        <v>5450000</v>
      </c>
      <c r="J817" s="18">
        <v>5075265.12</v>
      </c>
      <c r="K817" s="15">
        <v>6900</v>
      </c>
      <c r="L817" s="13" t="s">
        <v>117</v>
      </c>
      <c r="M817" s="13" t="s">
        <v>118</v>
      </c>
      <c r="N817" s="145" t="s">
        <v>528</v>
      </c>
      <c r="O817" s="145" t="s">
        <v>528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1322</v>
      </c>
      <c r="V817" s="13" t="s">
        <v>1322</v>
      </c>
      <c r="W817" s="60">
        <f>+J817/$W$2</f>
        <v>1.3376390602123686E-4</v>
      </c>
      <c r="AC817" s="57"/>
    </row>
    <row r="818" spans="1:29">
      <c r="A818" s="13" t="s">
        <v>254</v>
      </c>
      <c r="B818" s="13" t="s">
        <v>675</v>
      </c>
      <c r="C818" s="145">
        <v>46233</v>
      </c>
      <c r="D818" s="145" t="s">
        <v>469</v>
      </c>
      <c r="E818" s="28">
        <v>0.94234892000000003</v>
      </c>
      <c r="F818" s="13"/>
      <c r="G818" s="18">
        <v>6530318</v>
      </c>
      <c r="H818" s="18">
        <v>6153838.0899999999</v>
      </c>
      <c r="I818" s="18">
        <v>6530318</v>
      </c>
      <c r="J818" s="18">
        <v>6153838.0899999999</v>
      </c>
      <c r="K818" s="15">
        <v>69</v>
      </c>
      <c r="L818" s="13" t="s">
        <v>117</v>
      </c>
      <c r="M818" s="13" t="s">
        <v>118</v>
      </c>
      <c r="N818" s="145" t="s">
        <v>318</v>
      </c>
      <c r="O818" s="145" t="s">
        <v>318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472</v>
      </c>
      <c r="V818" s="13" t="s">
        <v>472</v>
      </c>
      <c r="W818" s="60">
        <f>+J818/$W$2</f>
        <v>1.6219082165714878E-4</v>
      </c>
    </row>
    <row r="819" spans="1:29">
      <c r="A819" s="13" t="s">
        <v>1764</v>
      </c>
      <c r="B819" s="13" t="s">
        <v>675</v>
      </c>
      <c r="C819" s="145">
        <v>46233</v>
      </c>
      <c r="D819" s="145" t="s">
        <v>469</v>
      </c>
      <c r="E819" s="28">
        <v>0.94422603000000005</v>
      </c>
      <c r="F819" s="13"/>
      <c r="G819" s="18">
        <v>6500000</v>
      </c>
      <c r="H819" s="18">
        <v>6137469.1900000004</v>
      </c>
      <c r="I819" s="18">
        <v>6500000</v>
      </c>
      <c r="J819" s="18">
        <v>6137469.1900000004</v>
      </c>
      <c r="K819" s="15">
        <v>29175493</v>
      </c>
      <c r="L819" s="13" t="s">
        <v>117</v>
      </c>
      <c r="M819" s="13" t="s">
        <v>118</v>
      </c>
      <c r="N819" s="145" t="s">
        <v>462</v>
      </c>
      <c r="O819" s="145" t="s">
        <v>462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1741</v>
      </c>
      <c r="V819" s="13" t="s">
        <v>1741</v>
      </c>
      <c r="W819" s="60">
        <f>+J819/$W$2</f>
        <v>1.6175940222397619E-4</v>
      </c>
      <c r="AC819" s="57"/>
    </row>
    <row r="820" spans="1:29">
      <c r="A820" s="13" t="s">
        <v>1101</v>
      </c>
      <c r="B820" s="13" t="s">
        <v>675</v>
      </c>
      <c r="C820" s="145">
        <v>46233</v>
      </c>
      <c r="D820" s="145" t="s">
        <v>469</v>
      </c>
      <c r="E820" s="28">
        <v>0.94234901999999998</v>
      </c>
      <c r="F820" s="13"/>
      <c r="G820" s="18">
        <v>5000000</v>
      </c>
      <c r="H820" s="18">
        <v>4711745.1100000003</v>
      </c>
      <c r="I820" s="18">
        <v>5000000</v>
      </c>
      <c r="J820" s="18">
        <v>4711745.1100000003</v>
      </c>
      <c r="K820" s="15">
        <v>43316</v>
      </c>
      <c r="L820" s="13" t="s">
        <v>117</v>
      </c>
      <c r="M820" s="13" t="s">
        <v>118</v>
      </c>
      <c r="N820" s="145" t="s">
        <v>445</v>
      </c>
      <c r="O820" s="145" t="s">
        <v>445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1335</v>
      </c>
      <c r="V820" s="13" t="s">
        <v>1335</v>
      </c>
      <c r="W820" s="60">
        <f>+J820/$W$2</f>
        <v>1.241829569861096E-4</v>
      </c>
    </row>
    <row r="821" spans="1:29">
      <c r="A821" s="13" t="s">
        <v>1330</v>
      </c>
      <c r="B821" s="13" t="s">
        <v>675</v>
      </c>
      <c r="C821" s="145">
        <v>46233</v>
      </c>
      <c r="D821" s="145" t="s">
        <v>469</v>
      </c>
      <c r="E821" s="28">
        <v>0.94234896999999995</v>
      </c>
      <c r="F821" s="13"/>
      <c r="G821" s="18">
        <v>5000000</v>
      </c>
      <c r="H821" s="18">
        <v>4711744.84</v>
      </c>
      <c r="I821" s="18">
        <v>5000000</v>
      </c>
      <c r="J821" s="18">
        <v>4711744.84</v>
      </c>
      <c r="K821" s="15">
        <v>16779579</v>
      </c>
      <c r="L821" s="13" t="s">
        <v>117</v>
      </c>
      <c r="M821" s="13" t="s">
        <v>118</v>
      </c>
      <c r="N821" s="145" t="s">
        <v>528</v>
      </c>
      <c r="O821" s="145" t="s">
        <v>528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1259</v>
      </c>
      <c r="V821" s="13" t="s">
        <v>1259</v>
      </c>
      <c r="W821" s="60">
        <f>+J821/$W$2</f>
        <v>1.2418294986997797E-4</v>
      </c>
    </row>
    <row r="822" spans="1:29">
      <c r="A822" s="13" t="s">
        <v>1251</v>
      </c>
      <c r="B822" s="13" t="s">
        <v>675</v>
      </c>
      <c r="C822" s="145">
        <v>46233</v>
      </c>
      <c r="D822" s="145" t="s">
        <v>469</v>
      </c>
      <c r="E822" s="28">
        <v>0.93676223999999997</v>
      </c>
      <c r="F822" s="13"/>
      <c r="G822" s="18">
        <v>15000000</v>
      </c>
      <c r="H822" s="18">
        <v>14051433.67</v>
      </c>
      <c r="I822" s="18">
        <v>15000000</v>
      </c>
      <c r="J822" s="18">
        <v>14051433.67</v>
      </c>
      <c r="K822" s="15">
        <v>174</v>
      </c>
      <c r="L822" s="13" t="s">
        <v>117</v>
      </c>
      <c r="M822" s="13" t="s">
        <v>118</v>
      </c>
      <c r="N822" s="145" t="s">
        <v>461</v>
      </c>
      <c r="O822" s="145" t="s">
        <v>461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1159</v>
      </c>
      <c r="V822" s="13" t="s">
        <v>1159</v>
      </c>
      <c r="W822" s="60">
        <f>+J822/$W$2</f>
        <v>3.7034019079923918E-4</v>
      </c>
      <c r="AC822" s="57"/>
    </row>
    <row r="823" spans="1:29">
      <c r="A823" s="13" t="s">
        <v>722</v>
      </c>
      <c r="B823" s="13" t="s">
        <v>675</v>
      </c>
      <c r="C823" s="145">
        <v>46233</v>
      </c>
      <c r="D823" s="145" t="s">
        <v>469</v>
      </c>
      <c r="E823" s="28">
        <v>0.93124130999999999</v>
      </c>
      <c r="F823" s="13"/>
      <c r="G823" s="18">
        <v>25000000</v>
      </c>
      <c r="H823" s="18">
        <v>23281032.670000002</v>
      </c>
      <c r="I823" s="18">
        <v>25000000</v>
      </c>
      <c r="J823" s="18">
        <v>23281032.670000002</v>
      </c>
      <c r="K823" s="15">
        <v>1310</v>
      </c>
      <c r="L823" s="13" t="s">
        <v>117</v>
      </c>
      <c r="M823" s="13" t="s">
        <v>118</v>
      </c>
      <c r="N823" s="145" t="s">
        <v>528</v>
      </c>
      <c r="O823" s="145" t="s">
        <v>528</v>
      </c>
      <c r="P823" s="28">
        <v>35</v>
      </c>
      <c r="Q823" s="13" t="s">
        <v>54</v>
      </c>
      <c r="R823" s="13" t="s">
        <v>28</v>
      </c>
      <c r="S823" s="13"/>
      <c r="T823" s="13"/>
      <c r="U823" s="13" t="s">
        <v>1328</v>
      </c>
      <c r="V823" s="13" t="s">
        <v>1328</v>
      </c>
      <c r="W823" s="60">
        <f>+J823/$W$2</f>
        <v>6.1359589942903817E-4</v>
      </c>
    </row>
    <row r="824" spans="1:29">
      <c r="A824" s="13" t="s">
        <v>676</v>
      </c>
      <c r="B824" s="13" t="s">
        <v>675</v>
      </c>
      <c r="C824" s="145">
        <v>46234</v>
      </c>
      <c r="D824" s="145" t="s">
        <v>469</v>
      </c>
      <c r="E824" s="28">
        <v>0.93975299999999995</v>
      </c>
      <c r="F824" s="13"/>
      <c r="G824" s="18">
        <v>10000000</v>
      </c>
      <c r="H824" s="18">
        <v>9397529.9800000004</v>
      </c>
      <c r="I824" s="18">
        <v>10000000</v>
      </c>
      <c r="J824" s="18">
        <v>9397529.9800000004</v>
      </c>
      <c r="K824" s="15">
        <v>499</v>
      </c>
      <c r="L824" s="13" t="s">
        <v>117</v>
      </c>
      <c r="M824" s="13" t="s">
        <v>118</v>
      </c>
      <c r="N824" s="145" t="s">
        <v>469</v>
      </c>
      <c r="O824" s="145" t="s">
        <v>469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1909</v>
      </c>
      <c r="V824" s="13" t="s">
        <v>1909</v>
      </c>
      <c r="W824" s="60">
        <f>+J824/$W$2</f>
        <v>2.4768170476904583E-4</v>
      </c>
    </row>
    <row r="825" spans="1:29">
      <c r="A825" s="13" t="s">
        <v>379</v>
      </c>
      <c r="B825" s="13" t="s">
        <v>675</v>
      </c>
      <c r="C825" s="145">
        <v>46234</v>
      </c>
      <c r="D825" s="145" t="s">
        <v>469</v>
      </c>
      <c r="E825" s="28">
        <v>0.92489374000000002</v>
      </c>
      <c r="F825" s="13"/>
      <c r="G825" s="18">
        <v>5450000</v>
      </c>
      <c r="H825" s="18">
        <v>5040670.9000000004</v>
      </c>
      <c r="I825" s="18">
        <v>5450000</v>
      </c>
      <c r="J825" s="18">
        <v>5040670.9000000004</v>
      </c>
      <c r="K825" s="15">
        <v>28516</v>
      </c>
      <c r="L825" s="13" t="s">
        <v>117</v>
      </c>
      <c r="M825" s="13" t="s">
        <v>118</v>
      </c>
      <c r="N825" s="145" t="s">
        <v>385</v>
      </c>
      <c r="O825" s="145" t="s">
        <v>385</v>
      </c>
      <c r="P825" s="28">
        <v>38</v>
      </c>
      <c r="Q825" s="13" t="s">
        <v>54</v>
      </c>
      <c r="R825" s="13" t="s">
        <v>28</v>
      </c>
      <c r="S825" s="13"/>
      <c r="T825" s="13"/>
      <c r="U825" s="13" t="s">
        <v>970</v>
      </c>
      <c r="V825" s="13" t="s">
        <v>970</v>
      </c>
      <c r="W825" s="60">
        <f>+J825/$W$2</f>
        <v>1.3285213926944245E-4</v>
      </c>
    </row>
    <row r="826" spans="1:29">
      <c r="A826" s="13" t="s">
        <v>307</v>
      </c>
      <c r="B826" s="13" t="s">
        <v>675</v>
      </c>
      <c r="C826" s="145">
        <v>46234</v>
      </c>
      <c r="D826" s="145" t="s">
        <v>469</v>
      </c>
      <c r="E826" s="28">
        <v>0.92125199000000002</v>
      </c>
      <c r="F826" s="13"/>
      <c r="G826" s="18">
        <v>4600000</v>
      </c>
      <c r="H826" s="18">
        <v>4237759.17</v>
      </c>
      <c r="I826" s="18">
        <v>4600000</v>
      </c>
      <c r="J826" s="18">
        <v>4237759.17</v>
      </c>
      <c r="K826" s="15">
        <v>1027</v>
      </c>
      <c r="L826" s="13" t="s">
        <v>117</v>
      </c>
      <c r="M826" s="13" t="s">
        <v>118</v>
      </c>
      <c r="N826" s="145" t="s">
        <v>328</v>
      </c>
      <c r="O826" s="145" t="s">
        <v>328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621</v>
      </c>
      <c r="V826" s="13" t="s">
        <v>621</v>
      </c>
      <c r="W826" s="60">
        <f>+J826/$W$2</f>
        <v>1.116905631437269E-4</v>
      </c>
      <c r="AC826" s="57"/>
    </row>
    <row r="827" spans="1:29">
      <c r="A827" s="13" t="s">
        <v>406</v>
      </c>
      <c r="B827" s="13" t="s">
        <v>675</v>
      </c>
      <c r="C827" s="145">
        <v>46234</v>
      </c>
      <c r="D827" s="145" t="s">
        <v>469</v>
      </c>
      <c r="E827" s="28">
        <v>0.94164395000000001</v>
      </c>
      <c r="F827" s="13"/>
      <c r="G827" s="18">
        <v>20000000</v>
      </c>
      <c r="H827" s="18">
        <v>18832879.079999998</v>
      </c>
      <c r="I827" s="18">
        <v>20000000</v>
      </c>
      <c r="J827" s="18">
        <v>18832879.079999998</v>
      </c>
      <c r="K827" s="15">
        <v>66179118</v>
      </c>
      <c r="L827" s="13" t="s">
        <v>117</v>
      </c>
      <c r="M827" s="13" t="s">
        <v>118</v>
      </c>
      <c r="N827" s="145" t="s">
        <v>205</v>
      </c>
      <c r="O827" s="145" t="s">
        <v>205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1050</v>
      </c>
      <c r="V827" s="13" t="s">
        <v>1050</v>
      </c>
      <c r="W827" s="60">
        <f>+J827/$W$2</f>
        <v>4.9636017189313606E-4</v>
      </c>
    </row>
    <row r="828" spans="1:29">
      <c r="A828" s="13" t="s">
        <v>406</v>
      </c>
      <c r="B828" s="13" t="s">
        <v>675</v>
      </c>
      <c r="C828" s="145">
        <v>46234</v>
      </c>
      <c r="D828" s="145" t="s">
        <v>469</v>
      </c>
      <c r="E828" s="28">
        <v>0.94164395000000001</v>
      </c>
      <c r="F828" s="13"/>
      <c r="G828" s="18">
        <v>10000000</v>
      </c>
      <c r="H828" s="18">
        <v>9416439.5399999991</v>
      </c>
      <c r="I828" s="18">
        <v>10000000</v>
      </c>
      <c r="J828" s="18">
        <v>9416439.5399999991</v>
      </c>
      <c r="K828" s="15">
        <v>491334</v>
      </c>
      <c r="L828" s="13" t="s">
        <v>117</v>
      </c>
      <c r="M828" s="13" t="s">
        <v>118</v>
      </c>
      <c r="N828" s="145" t="s">
        <v>205</v>
      </c>
      <c r="O828" s="145" t="s">
        <v>205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1051</v>
      </c>
      <c r="V828" s="13" t="s">
        <v>1051</v>
      </c>
      <c r="W828" s="60">
        <f>+J828/$W$2</f>
        <v>2.4818008594656803E-4</v>
      </c>
    </row>
    <row r="829" spans="1:29">
      <c r="A829" s="13" t="s">
        <v>1330</v>
      </c>
      <c r="B829" s="13" t="s">
        <v>675</v>
      </c>
      <c r="C829" s="145">
        <v>46234</v>
      </c>
      <c r="D829" s="145" t="s">
        <v>469</v>
      </c>
      <c r="E829" s="28">
        <v>0.93975295999999997</v>
      </c>
      <c r="F829" s="13"/>
      <c r="G829" s="18">
        <v>10000000</v>
      </c>
      <c r="H829" s="18">
        <v>9397529.5700000003</v>
      </c>
      <c r="I829" s="18">
        <v>10000000</v>
      </c>
      <c r="J829" s="18">
        <v>9397529.5700000003</v>
      </c>
      <c r="K829" s="15">
        <v>90019960</v>
      </c>
      <c r="L829" s="13" t="s">
        <v>117</v>
      </c>
      <c r="M829" s="13" t="s">
        <v>118</v>
      </c>
      <c r="N829" s="145" t="s">
        <v>411</v>
      </c>
      <c r="O829" s="145" t="s">
        <v>411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1438</v>
      </c>
      <c r="V829" s="13" t="s">
        <v>1438</v>
      </c>
      <c r="W829" s="60">
        <f>+J829/$W$2</f>
        <v>2.4768169396306819E-4</v>
      </c>
    </row>
    <row r="830" spans="1:29">
      <c r="A830" s="13" t="s">
        <v>1330</v>
      </c>
      <c r="B830" s="13" t="s">
        <v>675</v>
      </c>
      <c r="C830" s="145">
        <v>46234</v>
      </c>
      <c r="D830" s="145" t="s">
        <v>469</v>
      </c>
      <c r="E830" s="28">
        <v>0.93975299999999995</v>
      </c>
      <c r="F830" s="13"/>
      <c r="G830" s="18">
        <v>1040000</v>
      </c>
      <c r="H830" s="18">
        <v>977343.12</v>
      </c>
      <c r="I830" s="18">
        <v>1040000</v>
      </c>
      <c r="J830" s="18">
        <v>977343.12</v>
      </c>
      <c r="K830" s="15">
        <v>11001553</v>
      </c>
      <c r="L830" s="13" t="s">
        <v>117</v>
      </c>
      <c r="M830" s="13" t="s">
        <v>118</v>
      </c>
      <c r="N830" s="145" t="s">
        <v>428</v>
      </c>
      <c r="O830" s="145" t="s">
        <v>428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1654</v>
      </c>
      <c r="V830" s="13" t="s">
        <v>1654</v>
      </c>
      <c r="W830" s="60">
        <f>+J830/$W$2</f>
        <v>2.5758897350801335E-5</v>
      </c>
      <c r="AC830" s="57"/>
    </row>
    <row r="831" spans="1:29">
      <c r="A831" s="13" t="s">
        <v>1330</v>
      </c>
      <c r="B831" s="13" t="s">
        <v>675</v>
      </c>
      <c r="C831" s="145">
        <v>46234</v>
      </c>
      <c r="D831" s="145" t="s">
        <v>469</v>
      </c>
      <c r="E831" s="28">
        <v>0.94164404999999995</v>
      </c>
      <c r="F831" s="13"/>
      <c r="G831" s="18">
        <v>5000000</v>
      </c>
      <c r="H831" s="18">
        <v>4708220.25</v>
      </c>
      <c r="I831" s="18">
        <v>5000000</v>
      </c>
      <c r="J831" s="18">
        <v>4708220.25</v>
      </c>
      <c r="K831" s="15">
        <v>16779606</v>
      </c>
      <c r="L831" s="13" t="s">
        <v>117</v>
      </c>
      <c r="M831" s="13" t="s">
        <v>118</v>
      </c>
      <c r="N831" s="145" t="s">
        <v>428</v>
      </c>
      <c r="O831" s="145" t="s">
        <v>428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1656</v>
      </c>
      <c r="V831" s="13" t="s">
        <v>1656</v>
      </c>
      <c r="W831" s="60">
        <f>+J831/$W$2</f>
        <v>1.2409005562418469E-4</v>
      </c>
      <c r="AC831" s="57"/>
    </row>
    <row r="832" spans="1:29">
      <c r="A832" s="13" t="s">
        <v>1389</v>
      </c>
      <c r="B832" s="13" t="s">
        <v>675</v>
      </c>
      <c r="C832" s="145">
        <v>46234</v>
      </c>
      <c r="D832" s="145" t="s">
        <v>469</v>
      </c>
      <c r="E832" s="28">
        <v>0.94354260999999995</v>
      </c>
      <c r="F832" s="13"/>
      <c r="G832" s="18">
        <v>15000000</v>
      </c>
      <c r="H832" s="18">
        <v>14153139.189999999</v>
      </c>
      <c r="I832" s="18">
        <v>15000000</v>
      </c>
      <c r="J832" s="18">
        <v>14153139.189999999</v>
      </c>
      <c r="K832" s="15">
        <v>29131905</v>
      </c>
      <c r="L832" s="13" t="s">
        <v>117</v>
      </c>
      <c r="M832" s="13" t="s">
        <v>118</v>
      </c>
      <c r="N832" s="145" t="s">
        <v>445</v>
      </c>
      <c r="O832" s="145" t="s">
        <v>445</v>
      </c>
      <c r="P832" s="28">
        <v>28</v>
      </c>
      <c r="Q832" s="13" t="s">
        <v>54</v>
      </c>
      <c r="R832" s="13" t="s">
        <v>28</v>
      </c>
      <c r="S832" s="13"/>
      <c r="T832" s="13"/>
      <c r="U832" s="13" t="s">
        <v>1375</v>
      </c>
      <c r="V832" s="13" t="s">
        <v>1375</v>
      </c>
      <c r="W832" s="60">
        <f>+J832/$W$2</f>
        <v>3.7302074586334998E-4</v>
      </c>
    </row>
    <row r="833" spans="1:29">
      <c r="A833" s="13" t="s">
        <v>1101</v>
      </c>
      <c r="B833" s="13" t="s">
        <v>675</v>
      </c>
      <c r="C833" s="145">
        <v>46234</v>
      </c>
      <c r="D833" s="145" t="s">
        <v>469</v>
      </c>
      <c r="E833" s="28">
        <v>0.94164393999999996</v>
      </c>
      <c r="F833" s="13"/>
      <c r="G833" s="18">
        <v>5000000</v>
      </c>
      <c r="H833" s="18">
        <v>4708219.72</v>
      </c>
      <c r="I833" s="18">
        <v>5000000</v>
      </c>
      <c r="J833" s="18">
        <v>4708219.72</v>
      </c>
      <c r="K833" s="15">
        <v>43317</v>
      </c>
      <c r="L833" s="13" t="s">
        <v>117</v>
      </c>
      <c r="M833" s="13" t="s">
        <v>118</v>
      </c>
      <c r="N833" s="145" t="s">
        <v>445</v>
      </c>
      <c r="O833" s="145" t="s">
        <v>445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1336</v>
      </c>
      <c r="V833" s="13" t="s">
        <v>1336</v>
      </c>
      <c r="W833" s="60">
        <f>+J833/$W$2</f>
        <v>1.2409004165548187E-4</v>
      </c>
      <c r="AC833" s="57"/>
    </row>
    <row r="834" spans="1:29">
      <c r="A834" s="13" t="s">
        <v>1330</v>
      </c>
      <c r="B834" s="13" t="s">
        <v>675</v>
      </c>
      <c r="C834" s="145">
        <v>46234</v>
      </c>
      <c r="D834" s="145" t="s">
        <v>469</v>
      </c>
      <c r="E834" s="28">
        <v>0.94164389000000004</v>
      </c>
      <c r="F834" s="13"/>
      <c r="G834" s="18">
        <v>5000000</v>
      </c>
      <c r="H834" s="18">
        <v>4708219.45</v>
      </c>
      <c r="I834" s="18">
        <v>5000000</v>
      </c>
      <c r="J834" s="18">
        <v>4708219.45</v>
      </c>
      <c r="K834" s="15">
        <v>16779580</v>
      </c>
      <c r="L834" s="13" t="s">
        <v>117</v>
      </c>
      <c r="M834" s="13" t="s">
        <v>118</v>
      </c>
      <c r="N834" s="145" t="s">
        <v>528</v>
      </c>
      <c r="O834" s="145" t="s">
        <v>528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1260</v>
      </c>
      <c r="V834" s="13" t="s">
        <v>1260</v>
      </c>
      <c r="W834" s="60">
        <f>+J834/$W$2</f>
        <v>1.2409003453935023E-4</v>
      </c>
    </row>
    <row r="835" spans="1:29">
      <c r="A835" s="13" t="s">
        <v>722</v>
      </c>
      <c r="B835" s="13" t="s">
        <v>675</v>
      </c>
      <c r="C835" s="145">
        <v>46234</v>
      </c>
      <c r="D835" s="145" t="s">
        <v>469</v>
      </c>
      <c r="E835" s="28">
        <v>0.93041048999999998</v>
      </c>
      <c r="F835" s="13"/>
      <c r="G835" s="18">
        <v>16600000</v>
      </c>
      <c r="H835" s="18">
        <v>15444814.15</v>
      </c>
      <c r="I835" s="18">
        <v>16600000</v>
      </c>
      <c r="J835" s="18">
        <v>15444814.15</v>
      </c>
      <c r="K835" s="15">
        <v>29088024</v>
      </c>
      <c r="L835" s="13" t="s">
        <v>117</v>
      </c>
      <c r="M835" s="13" t="s">
        <v>118</v>
      </c>
      <c r="N835" s="145" t="s">
        <v>205</v>
      </c>
      <c r="O835" s="145" t="s">
        <v>205</v>
      </c>
      <c r="P835" s="28">
        <v>35</v>
      </c>
      <c r="Q835" s="13" t="s">
        <v>54</v>
      </c>
      <c r="R835" s="13" t="s">
        <v>28</v>
      </c>
      <c r="S835" s="13"/>
      <c r="T835" s="13"/>
      <c r="U835" s="13" t="s">
        <v>1060</v>
      </c>
      <c r="V835" s="13" t="s">
        <v>1060</v>
      </c>
      <c r="W835" s="60">
        <f>+J835/$W$2</f>
        <v>4.0706418672293307E-4</v>
      </c>
    </row>
    <row r="836" spans="1:29">
      <c r="A836" s="13" t="s">
        <v>1643</v>
      </c>
      <c r="B836" s="13" t="s">
        <v>675</v>
      </c>
      <c r="C836" s="145">
        <v>46234</v>
      </c>
      <c r="D836" s="145" t="s">
        <v>469</v>
      </c>
      <c r="E836" s="28">
        <v>0.93226412000000003</v>
      </c>
      <c r="F836" s="13"/>
      <c r="G836" s="18">
        <v>5000000</v>
      </c>
      <c r="H836" s="18">
        <v>4661320.62</v>
      </c>
      <c r="I836" s="18">
        <v>5000000</v>
      </c>
      <c r="J836" s="18">
        <v>4661320.62</v>
      </c>
      <c r="K836" s="15">
        <v>16815</v>
      </c>
      <c r="L836" s="13" t="s">
        <v>117</v>
      </c>
      <c r="M836" s="13" t="s">
        <v>118</v>
      </c>
      <c r="N836" s="145" t="s">
        <v>400</v>
      </c>
      <c r="O836" s="145" t="s">
        <v>400</v>
      </c>
      <c r="P836" s="28">
        <v>34</v>
      </c>
      <c r="Q836" s="13" t="s">
        <v>54</v>
      </c>
      <c r="R836" s="13" t="s">
        <v>28</v>
      </c>
      <c r="S836" s="13"/>
      <c r="T836" s="13"/>
      <c r="U836" s="13" t="s">
        <v>1639</v>
      </c>
      <c r="V836" s="13" t="s">
        <v>1639</v>
      </c>
      <c r="W836" s="60">
        <f>+J836/$W$2</f>
        <v>1.228539669566136E-4</v>
      </c>
    </row>
    <row r="837" spans="1:29">
      <c r="A837" s="13" t="s">
        <v>327</v>
      </c>
      <c r="B837" s="13" t="s">
        <v>675</v>
      </c>
      <c r="C837" s="145">
        <v>46234</v>
      </c>
      <c r="D837" s="145" t="s">
        <v>469</v>
      </c>
      <c r="E837" s="28">
        <v>0.91944194000000001</v>
      </c>
      <c r="F837" s="13"/>
      <c r="G837" s="18">
        <v>40000000</v>
      </c>
      <c r="H837" s="18">
        <v>36777677.710000001</v>
      </c>
      <c r="I837" s="18">
        <v>40000000</v>
      </c>
      <c r="J837" s="18">
        <v>36777677.710000001</v>
      </c>
      <c r="K837" s="15">
        <v>64885127</v>
      </c>
      <c r="L837" s="13" t="s">
        <v>117</v>
      </c>
      <c r="M837" s="13" t="s">
        <v>118</v>
      </c>
      <c r="N837" s="145" t="s">
        <v>290</v>
      </c>
      <c r="O837" s="145" t="s">
        <v>290</v>
      </c>
      <c r="P837" s="28">
        <v>41</v>
      </c>
      <c r="Q837" s="13" t="s">
        <v>54</v>
      </c>
      <c r="R837" s="13" t="s">
        <v>28</v>
      </c>
      <c r="S837" s="13"/>
      <c r="T837" s="13"/>
      <c r="U837" s="13" t="s">
        <v>508</v>
      </c>
      <c r="V837" s="13" t="s">
        <v>508</v>
      </c>
      <c r="W837" s="60">
        <f>+J837/$W$2</f>
        <v>9.6931405720924741E-4</v>
      </c>
      <c r="AC837" s="57"/>
    </row>
    <row r="838" spans="1:29">
      <c r="A838" s="13" t="s">
        <v>1234</v>
      </c>
      <c r="B838" s="13" t="s">
        <v>675</v>
      </c>
      <c r="C838" s="145">
        <v>46237</v>
      </c>
      <c r="D838" s="145" t="s">
        <v>469</v>
      </c>
      <c r="E838" s="28">
        <v>0.93758034999999995</v>
      </c>
      <c r="F838" s="13"/>
      <c r="G838" s="18">
        <v>10000000</v>
      </c>
      <c r="H838" s="18">
        <v>9375803.5399999991</v>
      </c>
      <c r="I838" s="18">
        <v>10000000</v>
      </c>
      <c r="J838" s="18">
        <v>9375803.5399999991</v>
      </c>
      <c r="K838" s="15">
        <v>3463102</v>
      </c>
      <c r="L838" s="13" t="s">
        <v>117</v>
      </c>
      <c r="M838" s="13" t="s">
        <v>118</v>
      </c>
      <c r="N838" s="145" t="s">
        <v>461</v>
      </c>
      <c r="O838" s="145" t="s">
        <v>461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1195</v>
      </c>
      <c r="V838" s="13" t="s">
        <v>1195</v>
      </c>
      <c r="W838" s="60">
        <f>+J838/$W$2</f>
        <v>2.471090817809612E-4</v>
      </c>
      <c r="AC838" s="57"/>
    </row>
    <row r="839" spans="1:29">
      <c r="A839" s="13" t="s">
        <v>1241</v>
      </c>
      <c r="B839" s="13" t="s">
        <v>675</v>
      </c>
      <c r="C839" s="145">
        <v>46237</v>
      </c>
      <c r="D839" s="145" t="s">
        <v>469</v>
      </c>
      <c r="E839" s="28">
        <v>0.92222972000000003</v>
      </c>
      <c r="F839" s="13"/>
      <c r="G839" s="18">
        <v>4599318.34</v>
      </c>
      <c r="H839" s="18">
        <v>4241628.07</v>
      </c>
      <c r="I839" s="18">
        <v>4599318.34</v>
      </c>
      <c r="J839" s="18">
        <v>4241628.07</v>
      </c>
      <c r="K839" s="15">
        <v>577</v>
      </c>
      <c r="L839" s="13" t="s">
        <v>117</v>
      </c>
      <c r="M839" s="13" t="s">
        <v>118</v>
      </c>
      <c r="N839" s="145" t="s">
        <v>411</v>
      </c>
      <c r="O839" s="145" t="s">
        <v>411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1473</v>
      </c>
      <c r="V839" s="13" t="s">
        <v>1473</v>
      </c>
      <c r="W839" s="60">
        <f>+J839/$W$2</f>
        <v>1.1179253203870468E-4</v>
      </c>
    </row>
    <row r="840" spans="1:29">
      <c r="A840" s="13" t="s">
        <v>1250</v>
      </c>
      <c r="B840" s="13" t="s">
        <v>675</v>
      </c>
      <c r="C840" s="145">
        <v>46237</v>
      </c>
      <c r="D840" s="145" t="s">
        <v>469</v>
      </c>
      <c r="E840" s="28">
        <v>0.92222961999999997</v>
      </c>
      <c r="F840" s="13"/>
      <c r="G840" s="18">
        <v>9978017.3200000003</v>
      </c>
      <c r="H840" s="18">
        <v>9202023.1400000006</v>
      </c>
      <c r="I840" s="18">
        <v>9978017.3200000003</v>
      </c>
      <c r="J840" s="18">
        <v>9202023.1400000006</v>
      </c>
      <c r="K840" s="15">
        <v>30001645</v>
      </c>
      <c r="L840" s="13" t="s">
        <v>117</v>
      </c>
      <c r="M840" s="13" t="s">
        <v>118</v>
      </c>
      <c r="N840" s="145" t="s">
        <v>461</v>
      </c>
      <c r="O840" s="145" t="s">
        <v>461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1168</v>
      </c>
      <c r="V840" s="13" t="s">
        <v>1168</v>
      </c>
      <c r="W840" s="60">
        <f>+J840/$W$2</f>
        <v>2.4252891807634416E-4</v>
      </c>
    </row>
    <row r="841" spans="1:29">
      <c r="A841" s="13" t="s">
        <v>405</v>
      </c>
      <c r="B841" s="13" t="s">
        <v>675</v>
      </c>
      <c r="C841" s="145">
        <v>46237</v>
      </c>
      <c r="D841" s="145" t="s">
        <v>469</v>
      </c>
      <c r="E841" s="28">
        <v>0.93953516999999998</v>
      </c>
      <c r="F841" s="13"/>
      <c r="G841" s="18">
        <v>80000000</v>
      </c>
      <c r="H841" s="18">
        <v>75162813.459999993</v>
      </c>
      <c r="I841" s="18">
        <v>80000000</v>
      </c>
      <c r="J841" s="18">
        <v>75162813.459999993</v>
      </c>
      <c r="K841" s="15">
        <v>90041869</v>
      </c>
      <c r="L841" s="13" t="s">
        <v>117</v>
      </c>
      <c r="M841" s="13" t="s">
        <v>118</v>
      </c>
      <c r="N841" s="145" t="s">
        <v>528</v>
      </c>
      <c r="O841" s="145" t="s">
        <v>528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1272</v>
      </c>
      <c r="V841" s="13" t="s">
        <v>1272</v>
      </c>
      <c r="W841" s="60">
        <f>+J841/$W$2</f>
        <v>1.9809943477307836E-3</v>
      </c>
    </row>
    <row r="842" spans="1:29">
      <c r="A842" s="13" t="s">
        <v>1330</v>
      </c>
      <c r="B842" s="13" t="s">
        <v>675</v>
      </c>
      <c r="C842" s="145">
        <v>46237</v>
      </c>
      <c r="D842" s="145" t="s">
        <v>469</v>
      </c>
      <c r="E842" s="28">
        <v>0.93758043000000002</v>
      </c>
      <c r="F842" s="13"/>
      <c r="G842" s="18">
        <v>10000000</v>
      </c>
      <c r="H842" s="18">
        <v>9375804.3399999999</v>
      </c>
      <c r="I842" s="18">
        <v>10000000</v>
      </c>
      <c r="J842" s="18">
        <v>9375804.3399999999</v>
      </c>
      <c r="K842" s="15">
        <v>90019961</v>
      </c>
      <c r="L842" s="13" t="s">
        <v>117</v>
      </c>
      <c r="M842" s="13" t="s">
        <v>118</v>
      </c>
      <c r="N842" s="145" t="s">
        <v>411</v>
      </c>
      <c r="O842" s="145" t="s">
        <v>411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1439</v>
      </c>
      <c r="V842" s="13" t="s">
        <v>1439</v>
      </c>
      <c r="W842" s="60">
        <f>+J842/$W$2</f>
        <v>2.4710910286579566E-4</v>
      </c>
      <c r="AC842" s="57"/>
    </row>
    <row r="843" spans="1:29">
      <c r="A843" s="13" t="s">
        <v>406</v>
      </c>
      <c r="B843" s="13" t="s">
        <v>675</v>
      </c>
      <c r="C843" s="145">
        <v>46237</v>
      </c>
      <c r="D843" s="145" t="s">
        <v>469</v>
      </c>
      <c r="E843" s="28">
        <v>0.93953529000000002</v>
      </c>
      <c r="F843" s="13"/>
      <c r="G843" s="18">
        <v>3500000</v>
      </c>
      <c r="H843" s="18">
        <v>3288373.5</v>
      </c>
      <c r="I843" s="18">
        <v>3500000</v>
      </c>
      <c r="J843" s="18">
        <v>3288373.5</v>
      </c>
      <c r="K843" s="15">
        <v>407</v>
      </c>
      <c r="L843" s="13" t="s">
        <v>117</v>
      </c>
      <c r="M843" s="13" t="s">
        <v>118</v>
      </c>
      <c r="N843" s="145" t="s">
        <v>411</v>
      </c>
      <c r="O843" s="145" t="s">
        <v>411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1493</v>
      </c>
      <c r="V843" s="13" t="s">
        <v>1493</v>
      </c>
      <c r="W843" s="60">
        <f>+J843/$W$2</f>
        <v>8.6668513548849988E-5</v>
      </c>
    </row>
    <row r="844" spans="1:29">
      <c r="A844" s="13" t="s">
        <v>1101</v>
      </c>
      <c r="B844" s="13" t="s">
        <v>675</v>
      </c>
      <c r="C844" s="145">
        <v>46237</v>
      </c>
      <c r="D844" s="145" t="s">
        <v>469</v>
      </c>
      <c r="E844" s="28">
        <v>0.93953520000000001</v>
      </c>
      <c r="F844" s="13"/>
      <c r="G844" s="18">
        <v>2500000</v>
      </c>
      <c r="H844" s="18">
        <v>2348838.0099999998</v>
      </c>
      <c r="I844" s="18">
        <v>2500000</v>
      </c>
      <c r="J844" s="18">
        <v>2348838.0099999998</v>
      </c>
      <c r="K844" s="15">
        <v>365</v>
      </c>
      <c r="L844" s="13" t="s">
        <v>117</v>
      </c>
      <c r="M844" s="13" t="s">
        <v>118</v>
      </c>
      <c r="N844" s="145" t="s">
        <v>461</v>
      </c>
      <c r="O844" s="145" t="s">
        <v>461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1114</v>
      </c>
      <c r="V844" s="13" t="s">
        <v>1114</v>
      </c>
      <c r="W844" s="60">
        <f>+J844/$W$2</f>
        <v>6.1906075722158334E-5</v>
      </c>
    </row>
    <row r="845" spans="1:29">
      <c r="A845" s="13" t="s">
        <v>1101</v>
      </c>
      <c r="B845" s="13" t="s">
        <v>675</v>
      </c>
      <c r="C845" s="145">
        <v>46237</v>
      </c>
      <c r="D845" s="145" t="s">
        <v>469</v>
      </c>
      <c r="E845" s="28">
        <v>0.93953522</v>
      </c>
      <c r="F845" s="13"/>
      <c r="G845" s="18">
        <v>5000000</v>
      </c>
      <c r="H845" s="18">
        <v>4697676.12</v>
      </c>
      <c r="I845" s="18">
        <v>5000000</v>
      </c>
      <c r="J845" s="18">
        <v>4697676.12</v>
      </c>
      <c r="K845" s="15">
        <v>43318</v>
      </c>
      <c r="L845" s="13" t="s">
        <v>117</v>
      </c>
      <c r="M845" s="13" t="s">
        <v>118</v>
      </c>
      <c r="N845" s="145" t="s">
        <v>445</v>
      </c>
      <c r="O845" s="145" t="s">
        <v>445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1337</v>
      </c>
      <c r="V845" s="13" t="s">
        <v>1337</v>
      </c>
      <c r="W845" s="60">
        <f>+J845/$W$2</f>
        <v>1.23812154079921E-4</v>
      </c>
    </row>
    <row r="846" spans="1:29">
      <c r="A846" s="13" t="s">
        <v>1330</v>
      </c>
      <c r="B846" s="13" t="s">
        <v>675</v>
      </c>
      <c r="C846" s="145">
        <v>46237</v>
      </c>
      <c r="D846" s="145" t="s">
        <v>469</v>
      </c>
      <c r="E846" s="28">
        <v>0.93953516999999998</v>
      </c>
      <c r="F846" s="13"/>
      <c r="G846" s="18">
        <v>5000000</v>
      </c>
      <c r="H846" s="18">
        <v>4697675.84</v>
      </c>
      <c r="I846" s="18">
        <v>5000000</v>
      </c>
      <c r="J846" s="18">
        <v>4697675.84</v>
      </c>
      <c r="K846" s="15">
        <v>16779581</v>
      </c>
      <c r="L846" s="13" t="s">
        <v>117</v>
      </c>
      <c r="M846" s="13" t="s">
        <v>118</v>
      </c>
      <c r="N846" s="145" t="s">
        <v>528</v>
      </c>
      <c r="O846" s="145" t="s">
        <v>528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1261</v>
      </c>
      <c r="V846" s="13" t="s">
        <v>1261</v>
      </c>
      <c r="W846" s="60">
        <f>+J846/$W$2</f>
        <v>1.2381214670022892E-4</v>
      </c>
    </row>
    <row r="847" spans="1:29">
      <c r="A847" s="13" t="s">
        <v>327</v>
      </c>
      <c r="B847" s="13" t="s">
        <v>675</v>
      </c>
      <c r="C847" s="145">
        <v>46237</v>
      </c>
      <c r="D847" s="145" t="s">
        <v>469</v>
      </c>
      <c r="E847" s="28">
        <v>0.92601997000000003</v>
      </c>
      <c r="F847" s="13"/>
      <c r="G847" s="18">
        <v>25000000</v>
      </c>
      <c r="H847" s="18">
        <v>23150499.350000001</v>
      </c>
      <c r="I847" s="18">
        <v>25000000</v>
      </c>
      <c r="J847" s="18">
        <v>23150499.350000001</v>
      </c>
      <c r="K847" s="15">
        <v>1165497</v>
      </c>
      <c r="L847" s="13" t="s">
        <v>117</v>
      </c>
      <c r="M847" s="13" t="s">
        <v>118</v>
      </c>
      <c r="N847" s="145" t="s">
        <v>390</v>
      </c>
      <c r="O847" s="145" t="s">
        <v>390</v>
      </c>
      <c r="P847" s="28">
        <v>36</v>
      </c>
      <c r="Q847" s="13" t="s">
        <v>54</v>
      </c>
      <c r="R847" s="13" t="s">
        <v>28</v>
      </c>
      <c r="S847" s="13"/>
      <c r="T847" s="13"/>
      <c r="U847" s="13" t="s">
        <v>942</v>
      </c>
      <c r="V847" s="13" t="s">
        <v>942</v>
      </c>
      <c r="W847" s="60">
        <f>+J847/$W$2</f>
        <v>6.1015555762692947E-4</v>
      </c>
    </row>
    <row r="848" spans="1:29">
      <c r="A848" s="13" t="s">
        <v>1251</v>
      </c>
      <c r="B848" s="13" t="s">
        <v>675</v>
      </c>
      <c r="C848" s="145">
        <v>46237</v>
      </c>
      <c r="D848" s="145" t="s">
        <v>469</v>
      </c>
      <c r="E848" s="28">
        <v>0.93369495999999996</v>
      </c>
      <c r="F848" s="13"/>
      <c r="G848" s="18">
        <v>15000000</v>
      </c>
      <c r="H848" s="18">
        <v>14005424.41</v>
      </c>
      <c r="I848" s="18">
        <v>15000000</v>
      </c>
      <c r="J848" s="18">
        <v>14005424.41</v>
      </c>
      <c r="K848" s="15">
        <v>175</v>
      </c>
      <c r="L848" s="13" t="s">
        <v>117</v>
      </c>
      <c r="M848" s="13" t="s">
        <v>118</v>
      </c>
      <c r="N848" s="145" t="s">
        <v>461</v>
      </c>
      <c r="O848" s="145" t="s">
        <v>461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1157</v>
      </c>
      <c r="V848" s="13" t="s">
        <v>1157</v>
      </c>
      <c r="W848" s="60">
        <f>+J848/$W$2</f>
        <v>3.691275687617235E-4</v>
      </c>
    </row>
    <row r="849" spans="1:29">
      <c r="A849" s="13" t="s">
        <v>1251</v>
      </c>
      <c r="B849" s="13" t="s">
        <v>675</v>
      </c>
      <c r="C849" s="145">
        <v>46237</v>
      </c>
      <c r="D849" s="145" t="s">
        <v>469</v>
      </c>
      <c r="E849" s="28">
        <v>0.93176428</v>
      </c>
      <c r="F849" s="13"/>
      <c r="G849" s="18">
        <v>21395750</v>
      </c>
      <c r="H849" s="18">
        <v>19935795.539999999</v>
      </c>
      <c r="I849" s="18">
        <v>21395750</v>
      </c>
      <c r="J849" s="18">
        <v>19935795.539999999</v>
      </c>
      <c r="K849" s="15">
        <v>3233100</v>
      </c>
      <c r="L849" s="13" t="s">
        <v>117</v>
      </c>
      <c r="M849" s="13" t="s">
        <v>118</v>
      </c>
      <c r="N849" s="145" t="s">
        <v>528</v>
      </c>
      <c r="O849" s="145" t="s">
        <v>528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1284</v>
      </c>
      <c r="V849" s="13" t="s">
        <v>1284</v>
      </c>
      <c r="W849" s="60">
        <f>+J849/$W$2</f>
        <v>5.2542868559961114E-4</v>
      </c>
      <c r="AC849"/>
    </row>
    <row r="850" spans="1:29">
      <c r="A850" s="13" t="s">
        <v>1251</v>
      </c>
      <c r="B850" s="13" t="s">
        <v>675</v>
      </c>
      <c r="C850" s="145">
        <v>46237</v>
      </c>
      <c r="D850" s="145" t="s">
        <v>469</v>
      </c>
      <c r="E850" s="28">
        <v>0.93176428</v>
      </c>
      <c r="F850" s="13"/>
      <c r="G850" s="18">
        <v>21395750</v>
      </c>
      <c r="H850" s="18">
        <v>19935795.539999999</v>
      </c>
      <c r="I850" s="18">
        <v>21395750</v>
      </c>
      <c r="J850" s="18">
        <v>19935795.539999999</v>
      </c>
      <c r="K850" s="15">
        <v>3233101</v>
      </c>
      <c r="L850" s="13" t="s">
        <v>117</v>
      </c>
      <c r="M850" s="13" t="s">
        <v>118</v>
      </c>
      <c r="N850" s="145" t="s">
        <v>528</v>
      </c>
      <c r="O850" s="145" t="s">
        <v>528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1285</v>
      </c>
      <c r="V850" s="13" t="s">
        <v>1285</v>
      </c>
      <c r="W850" s="60">
        <f>+J850/$W$2</f>
        <v>5.2542868559961114E-4</v>
      </c>
    </row>
    <row r="851" spans="1:29">
      <c r="A851" s="13" t="s">
        <v>1899</v>
      </c>
      <c r="B851" s="13" t="s">
        <v>675</v>
      </c>
      <c r="C851" s="145">
        <v>46238</v>
      </c>
      <c r="D851" s="145" t="s">
        <v>469</v>
      </c>
      <c r="E851" s="28">
        <v>0.92325601000000002</v>
      </c>
      <c r="F851" s="13"/>
      <c r="G851" s="18">
        <v>6598885.3799999999</v>
      </c>
      <c r="H851" s="18">
        <v>6092460.6100000003</v>
      </c>
      <c r="I851" s="18">
        <v>6598885.3799999999</v>
      </c>
      <c r="J851" s="18">
        <v>6092460.6100000003</v>
      </c>
      <c r="K851" s="15">
        <v>10902567</v>
      </c>
      <c r="L851" s="13" t="s">
        <v>117</v>
      </c>
      <c r="M851" s="13" t="s">
        <v>118</v>
      </c>
      <c r="N851" s="145" t="s">
        <v>470</v>
      </c>
      <c r="O851" s="145" t="s">
        <v>470</v>
      </c>
      <c r="P851" s="28">
        <v>37</v>
      </c>
      <c r="Q851" s="13" t="s">
        <v>54</v>
      </c>
      <c r="R851" s="13" t="s">
        <v>28</v>
      </c>
      <c r="S851" s="13"/>
      <c r="T851" s="13"/>
      <c r="U851" s="13" t="s">
        <v>1890</v>
      </c>
      <c r="V851" s="13" t="s">
        <v>1890</v>
      </c>
      <c r="W851" s="60">
        <f>+J851/$W$2</f>
        <v>1.6057315415162537E-4</v>
      </c>
    </row>
    <row r="852" spans="1:29">
      <c r="A852" s="13" t="s">
        <v>676</v>
      </c>
      <c r="B852" s="13" t="s">
        <v>675</v>
      </c>
      <c r="C852" s="145">
        <v>46238</v>
      </c>
      <c r="D852" s="145" t="s">
        <v>469</v>
      </c>
      <c r="E852" s="28">
        <v>0.93685839000000004</v>
      </c>
      <c r="F852" s="13"/>
      <c r="G852" s="18">
        <v>10000000</v>
      </c>
      <c r="H852" s="18">
        <v>9368583.8499999996</v>
      </c>
      <c r="I852" s="18">
        <v>10000000</v>
      </c>
      <c r="J852" s="18">
        <v>9368583.8499999996</v>
      </c>
      <c r="K852" s="15">
        <v>492</v>
      </c>
      <c r="L852" s="13" t="s">
        <v>117</v>
      </c>
      <c r="M852" s="13" t="s">
        <v>118</v>
      </c>
      <c r="N852" s="145" t="s">
        <v>470</v>
      </c>
      <c r="O852" s="145" t="s">
        <v>470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1860</v>
      </c>
      <c r="V852" s="13" t="s">
        <v>1860</v>
      </c>
      <c r="W852" s="60">
        <f>+J852/$W$2</f>
        <v>2.469187993204732E-4</v>
      </c>
    </row>
    <row r="853" spans="1:29">
      <c r="A853" s="13" t="s">
        <v>145</v>
      </c>
      <c r="B853" s="13" t="s">
        <v>675</v>
      </c>
      <c r="C853" s="145">
        <v>46238</v>
      </c>
      <c r="D853" s="145" t="s">
        <v>469</v>
      </c>
      <c r="E853" s="28">
        <v>0.85089521999999995</v>
      </c>
      <c r="F853" s="13"/>
      <c r="G853" s="18">
        <v>10000000</v>
      </c>
      <c r="H853" s="18">
        <v>8508952.1799999997</v>
      </c>
      <c r="I853" s="18">
        <v>10000000</v>
      </c>
      <c r="J853" s="18">
        <v>8508952.1799999997</v>
      </c>
      <c r="K853" s="15">
        <v>3935</v>
      </c>
      <c r="L853" s="13" t="s">
        <v>117</v>
      </c>
      <c r="M853" s="13" t="s">
        <v>118</v>
      </c>
      <c r="N853" s="145" t="s">
        <v>159</v>
      </c>
      <c r="O853" s="145" t="s">
        <v>159</v>
      </c>
      <c r="P853" s="28">
        <v>78</v>
      </c>
      <c r="Q853" s="13" t="s">
        <v>54</v>
      </c>
      <c r="R853" s="13" t="s">
        <v>28</v>
      </c>
      <c r="S853" s="13"/>
      <c r="T853" s="13"/>
      <c r="U853" s="13" t="s">
        <v>247</v>
      </c>
      <c r="V853" s="13" t="s">
        <v>247</v>
      </c>
      <c r="W853" s="60">
        <f>+J853/$W$2</f>
        <v>2.2426231001400741E-4</v>
      </c>
    </row>
    <row r="854" spans="1:29">
      <c r="A854" s="13" t="s">
        <v>391</v>
      </c>
      <c r="B854" s="13" t="s">
        <v>675</v>
      </c>
      <c r="C854" s="145">
        <v>46238</v>
      </c>
      <c r="D854" s="145" t="s">
        <v>469</v>
      </c>
      <c r="E854" s="28">
        <v>0.93097998000000004</v>
      </c>
      <c r="F854" s="13"/>
      <c r="G854" s="18">
        <v>50000000</v>
      </c>
      <c r="H854" s="18">
        <v>46548998.770000003</v>
      </c>
      <c r="I854" s="18">
        <v>50000000</v>
      </c>
      <c r="J854" s="18">
        <v>46548998.770000003</v>
      </c>
      <c r="K854" s="15">
        <v>29030848</v>
      </c>
      <c r="L854" s="13" t="s">
        <v>117</v>
      </c>
      <c r="M854" s="13" t="s">
        <v>118</v>
      </c>
      <c r="N854" s="145" t="s">
        <v>390</v>
      </c>
      <c r="O854" s="145" t="s">
        <v>390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950</v>
      </c>
      <c r="V854" s="13" t="s">
        <v>950</v>
      </c>
      <c r="W854" s="60">
        <f>+J854/$W$2</f>
        <v>1.2268474157765676E-3</v>
      </c>
    </row>
    <row r="855" spans="1:29">
      <c r="A855" s="13" t="s">
        <v>391</v>
      </c>
      <c r="B855" s="13" t="s">
        <v>675</v>
      </c>
      <c r="C855" s="145">
        <v>46238</v>
      </c>
      <c r="D855" s="145" t="s">
        <v>469</v>
      </c>
      <c r="E855" s="28">
        <v>0.93098004000000001</v>
      </c>
      <c r="F855" s="13"/>
      <c r="G855" s="18">
        <v>50000000</v>
      </c>
      <c r="H855" s="18">
        <v>46549002.079999998</v>
      </c>
      <c r="I855" s="18">
        <v>50000000</v>
      </c>
      <c r="J855" s="18">
        <v>46549002.079999998</v>
      </c>
      <c r="K855" s="15">
        <v>29007569</v>
      </c>
      <c r="L855" s="13" t="s">
        <v>117</v>
      </c>
      <c r="M855" s="13" t="s">
        <v>118</v>
      </c>
      <c r="N855" s="145" t="s">
        <v>209</v>
      </c>
      <c r="O855" s="145" t="s">
        <v>209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858</v>
      </c>
      <c r="V855" s="13" t="s">
        <v>858</v>
      </c>
      <c r="W855" s="60">
        <f>+J855/$W$2</f>
        <v>1.22684750301507E-3</v>
      </c>
    </row>
    <row r="856" spans="1:29">
      <c r="A856" s="13" t="s">
        <v>406</v>
      </c>
      <c r="B856" s="13" t="s">
        <v>675</v>
      </c>
      <c r="C856" s="145">
        <v>46238</v>
      </c>
      <c r="D856" s="145" t="s">
        <v>469</v>
      </c>
      <c r="E856" s="28">
        <v>0.93685845000000001</v>
      </c>
      <c r="F856" s="13"/>
      <c r="G856" s="18">
        <v>10000000</v>
      </c>
      <c r="H856" s="18">
        <v>9368584.4600000009</v>
      </c>
      <c r="I856" s="18">
        <v>10000000</v>
      </c>
      <c r="J856" s="18">
        <v>9368584.4600000009</v>
      </c>
      <c r="K856" s="15">
        <v>65931757</v>
      </c>
      <c r="L856" s="13" t="s">
        <v>117</v>
      </c>
      <c r="M856" s="13" t="s">
        <v>118</v>
      </c>
      <c r="N856" s="145" t="s">
        <v>291</v>
      </c>
      <c r="O856" s="145" t="s">
        <v>291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929</v>
      </c>
      <c r="V856" s="13" t="s">
        <v>929</v>
      </c>
      <c r="W856" s="60">
        <f>+J856/$W$2</f>
        <v>2.4691881539765949E-4</v>
      </c>
    </row>
    <row r="857" spans="1:29">
      <c r="A857" s="13" t="s">
        <v>957</v>
      </c>
      <c r="B857" s="13" t="s">
        <v>675</v>
      </c>
      <c r="C857" s="145">
        <v>46238</v>
      </c>
      <c r="D857" s="145" t="s">
        <v>469</v>
      </c>
      <c r="E857" s="28">
        <v>0.93293126999999998</v>
      </c>
      <c r="F857" s="13"/>
      <c r="G857" s="18">
        <v>50000000</v>
      </c>
      <c r="H857" s="18">
        <v>46646563.469999999</v>
      </c>
      <c r="I857" s="18">
        <v>50000000</v>
      </c>
      <c r="J857" s="18">
        <v>46646563.469999999</v>
      </c>
      <c r="K857" s="15">
        <v>11915482</v>
      </c>
      <c r="L857" s="13" t="s">
        <v>117</v>
      </c>
      <c r="M857" s="13" t="s">
        <v>118</v>
      </c>
      <c r="N857" s="145" t="s">
        <v>389</v>
      </c>
      <c r="O857" s="145" t="s">
        <v>389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953</v>
      </c>
      <c r="V857" s="13" t="s">
        <v>953</v>
      </c>
      <c r="W857" s="60">
        <f>+J857/$W$2</f>
        <v>1.2294188352104727E-3</v>
      </c>
    </row>
    <row r="858" spans="1:29">
      <c r="A858" s="13" t="s">
        <v>203</v>
      </c>
      <c r="B858" s="13" t="s">
        <v>675</v>
      </c>
      <c r="C858" s="145">
        <v>46238</v>
      </c>
      <c r="D858" s="145" t="s">
        <v>469</v>
      </c>
      <c r="E858" s="28">
        <v>0.94081866000000003</v>
      </c>
      <c r="F858" s="13"/>
      <c r="G858" s="18">
        <v>50000000</v>
      </c>
      <c r="H858" s="18">
        <v>47040932.850000001</v>
      </c>
      <c r="I858" s="18">
        <v>50000000</v>
      </c>
      <c r="J858" s="18">
        <v>47040932.850000001</v>
      </c>
      <c r="K858" s="15">
        <v>4577</v>
      </c>
      <c r="L858" s="13" t="s">
        <v>117</v>
      </c>
      <c r="M858" s="13" t="s">
        <v>118</v>
      </c>
      <c r="N858" s="145" t="s">
        <v>410</v>
      </c>
      <c r="O858" s="145" t="s">
        <v>410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1786</v>
      </c>
      <c r="V858" s="13" t="s">
        <v>1786</v>
      </c>
      <c r="W858" s="60">
        <f>+J858/$W$2</f>
        <v>1.2398128515695578E-3</v>
      </c>
    </row>
    <row r="859" spans="1:29">
      <c r="A859" s="13" t="s">
        <v>1101</v>
      </c>
      <c r="B859" s="13" t="s">
        <v>675</v>
      </c>
      <c r="C859" s="145">
        <v>46238</v>
      </c>
      <c r="D859" s="145" t="s">
        <v>469</v>
      </c>
      <c r="E859" s="28">
        <v>0.93883435000000004</v>
      </c>
      <c r="F859" s="13"/>
      <c r="G859" s="18">
        <v>5000000</v>
      </c>
      <c r="H859" s="18">
        <v>4694171.74</v>
      </c>
      <c r="I859" s="18">
        <v>5000000</v>
      </c>
      <c r="J859" s="18">
        <v>4694171.74</v>
      </c>
      <c r="K859" s="15">
        <v>43319</v>
      </c>
      <c r="L859" s="13" t="s">
        <v>117</v>
      </c>
      <c r="M859" s="13" t="s">
        <v>118</v>
      </c>
      <c r="N859" s="145" t="s">
        <v>445</v>
      </c>
      <c r="O859" s="145" t="s">
        <v>445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1338</v>
      </c>
      <c r="V859" s="13" t="s">
        <v>1338</v>
      </c>
      <c r="W859" s="60">
        <f>+J859/$W$2</f>
        <v>1.2371979248975784E-4</v>
      </c>
      <c r="AC859" s="57"/>
    </row>
    <row r="860" spans="1:29">
      <c r="A860" s="13" t="s">
        <v>1330</v>
      </c>
      <c r="B860" s="13" t="s">
        <v>675</v>
      </c>
      <c r="C860" s="145">
        <v>46238</v>
      </c>
      <c r="D860" s="145" t="s">
        <v>469</v>
      </c>
      <c r="E860" s="28">
        <v>0.93883448999999997</v>
      </c>
      <c r="F860" s="13"/>
      <c r="G860" s="18">
        <v>5000000</v>
      </c>
      <c r="H860" s="18">
        <v>4694172.46</v>
      </c>
      <c r="I860" s="18">
        <v>5000000</v>
      </c>
      <c r="J860" s="18">
        <v>4694172.46</v>
      </c>
      <c r="K860" s="15">
        <v>16779582</v>
      </c>
      <c r="L860" s="13" t="s">
        <v>117</v>
      </c>
      <c r="M860" s="13" t="s">
        <v>118</v>
      </c>
      <c r="N860" s="145" t="s">
        <v>528</v>
      </c>
      <c r="O860" s="145" t="s">
        <v>528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1262</v>
      </c>
      <c r="V860" s="13" t="s">
        <v>1262</v>
      </c>
      <c r="W860" s="60">
        <f>+J860/$W$2</f>
        <v>1.2371981146610885E-4</v>
      </c>
    </row>
    <row r="861" spans="1:29">
      <c r="A861" s="13" t="s">
        <v>1330</v>
      </c>
      <c r="B861" s="13" t="s">
        <v>675</v>
      </c>
      <c r="C861" s="145">
        <v>46238</v>
      </c>
      <c r="D861" s="145" t="s">
        <v>469</v>
      </c>
      <c r="E861" s="28">
        <v>0.93685848000000005</v>
      </c>
      <c r="F861" s="13"/>
      <c r="G861" s="18">
        <v>40000000</v>
      </c>
      <c r="H861" s="18">
        <v>37474339.200000003</v>
      </c>
      <c r="I861" s="18">
        <v>40000000</v>
      </c>
      <c r="J861" s="18">
        <v>37474339.200000003</v>
      </c>
      <c r="K861" s="15">
        <v>9631288</v>
      </c>
      <c r="L861" s="13" t="s">
        <v>117</v>
      </c>
      <c r="M861" s="13" t="s">
        <v>118</v>
      </c>
      <c r="N861" s="145" t="s">
        <v>533</v>
      </c>
      <c r="O861" s="145" t="s">
        <v>533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1514</v>
      </c>
      <c r="V861" s="13" t="s">
        <v>1514</v>
      </c>
      <c r="W861" s="60">
        <f>+J861/$W$2</f>
        <v>9.8767529743485662E-4</v>
      </c>
    </row>
    <row r="862" spans="1:29">
      <c r="A862" s="13" t="s">
        <v>266</v>
      </c>
      <c r="B862" s="13" t="s">
        <v>675</v>
      </c>
      <c r="C862" s="145">
        <v>46238</v>
      </c>
      <c r="D862" s="145" t="s">
        <v>469</v>
      </c>
      <c r="E862" s="28">
        <v>0.94281155999999999</v>
      </c>
      <c r="F862" s="13"/>
      <c r="G862" s="18">
        <v>27789080.199999999</v>
      </c>
      <c r="H862" s="18">
        <v>26199865.940000001</v>
      </c>
      <c r="I862" s="18">
        <v>27789080.199999999</v>
      </c>
      <c r="J862" s="18">
        <v>26199865.940000001</v>
      </c>
      <c r="K862" s="15">
        <v>540</v>
      </c>
      <c r="L862" s="13" t="s">
        <v>117</v>
      </c>
      <c r="M862" s="13" t="s">
        <v>118</v>
      </c>
      <c r="N862" s="145" t="s">
        <v>462</v>
      </c>
      <c r="O862" s="145" t="s">
        <v>462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1756</v>
      </c>
      <c r="V862" s="13" t="s">
        <v>1756</v>
      </c>
      <c r="W862" s="60">
        <f>+J862/$W$2</f>
        <v>6.9052479476523678E-4</v>
      </c>
    </row>
    <row r="863" spans="1:29">
      <c r="A863" s="13" t="s">
        <v>500</v>
      </c>
      <c r="B863" s="13" t="s">
        <v>675</v>
      </c>
      <c r="C863" s="145">
        <v>46238</v>
      </c>
      <c r="D863" s="145" t="s">
        <v>469</v>
      </c>
      <c r="E863" s="28">
        <v>0.91754663000000003</v>
      </c>
      <c r="F863" s="13"/>
      <c r="G863" s="18">
        <v>50000000</v>
      </c>
      <c r="H863" s="18">
        <v>45877331.630000003</v>
      </c>
      <c r="I863" s="18">
        <v>50000000</v>
      </c>
      <c r="J863" s="18">
        <v>45877331.630000003</v>
      </c>
      <c r="K863" s="15">
        <v>6540</v>
      </c>
      <c r="L863" s="13" t="s">
        <v>117</v>
      </c>
      <c r="M863" s="13" t="s">
        <v>118</v>
      </c>
      <c r="N863" s="145" t="s">
        <v>206</v>
      </c>
      <c r="O863" s="145" t="s">
        <v>206</v>
      </c>
      <c r="P863" s="28">
        <v>40</v>
      </c>
      <c r="Q863" s="13" t="s">
        <v>54</v>
      </c>
      <c r="R863" s="13" t="s">
        <v>28</v>
      </c>
      <c r="S863" s="13"/>
      <c r="T863" s="13"/>
      <c r="U863" s="13" t="s">
        <v>680</v>
      </c>
      <c r="V863" s="13" t="s">
        <v>680</v>
      </c>
      <c r="W863" s="60">
        <f>+J863/$W$2</f>
        <v>1.2091449277157047E-3</v>
      </c>
    </row>
    <row r="864" spans="1:29">
      <c r="A864" s="13" t="s">
        <v>1241</v>
      </c>
      <c r="B864" s="13" t="s">
        <v>675</v>
      </c>
      <c r="C864" s="145">
        <v>46239</v>
      </c>
      <c r="D864" s="145" t="s">
        <v>469</v>
      </c>
      <c r="E864" s="28">
        <v>0.92046205999999997</v>
      </c>
      <c r="F864" s="13"/>
      <c r="G864" s="18">
        <v>4500000</v>
      </c>
      <c r="H864" s="18">
        <v>4142079.26</v>
      </c>
      <c r="I864" s="18">
        <v>4500000</v>
      </c>
      <c r="J864" s="18">
        <v>4142079.26</v>
      </c>
      <c r="K864" s="15">
        <v>551</v>
      </c>
      <c r="L864" s="13" t="s">
        <v>117</v>
      </c>
      <c r="M864" s="13" t="s">
        <v>118</v>
      </c>
      <c r="N864" s="145" t="s">
        <v>411</v>
      </c>
      <c r="O864" s="145" t="s">
        <v>411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1474</v>
      </c>
      <c r="V864" s="13" t="s">
        <v>1474</v>
      </c>
      <c r="W864" s="60">
        <f>+J864/$W$2</f>
        <v>1.0916881931621226E-4</v>
      </c>
    </row>
    <row r="865" spans="1:29">
      <c r="A865" s="13" t="s">
        <v>1242</v>
      </c>
      <c r="B865" s="13" t="s">
        <v>675</v>
      </c>
      <c r="C865" s="145">
        <v>46239</v>
      </c>
      <c r="D865" s="145" t="s">
        <v>469</v>
      </c>
      <c r="E865" s="28">
        <v>0.92046220000000001</v>
      </c>
      <c r="F865" s="13"/>
      <c r="G865" s="18">
        <v>3116595.02</v>
      </c>
      <c r="H865" s="18">
        <v>2868707.91</v>
      </c>
      <c r="I865" s="18">
        <v>3116595.02</v>
      </c>
      <c r="J865" s="18">
        <v>2868707.91</v>
      </c>
      <c r="K865" s="15">
        <v>104</v>
      </c>
      <c r="L865" s="13" t="s">
        <v>117</v>
      </c>
      <c r="M865" s="13" t="s">
        <v>118</v>
      </c>
      <c r="N865" s="145" t="s">
        <v>461</v>
      </c>
      <c r="O865" s="145" t="s">
        <v>461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1178</v>
      </c>
      <c r="V865" s="13" t="s">
        <v>1178</v>
      </c>
      <c r="W865" s="60">
        <f>+J865/$W$2</f>
        <v>7.560778918986184E-5</v>
      </c>
      <c r="AC865" s="57"/>
    </row>
    <row r="866" spans="1:29">
      <c r="A866" s="13" t="s">
        <v>1244</v>
      </c>
      <c r="B866" s="13" t="s">
        <v>675</v>
      </c>
      <c r="C866" s="145">
        <v>46239</v>
      </c>
      <c r="D866" s="145" t="s">
        <v>469</v>
      </c>
      <c r="E866" s="28">
        <v>0.92046220000000001</v>
      </c>
      <c r="F866" s="13"/>
      <c r="G866" s="18">
        <v>2398145.2000000002</v>
      </c>
      <c r="H866" s="18">
        <v>2207402.02</v>
      </c>
      <c r="I866" s="18">
        <v>2398145.2000000002</v>
      </c>
      <c r="J866" s="18">
        <v>2207402.02</v>
      </c>
      <c r="K866" s="15">
        <v>13270644</v>
      </c>
      <c r="L866" s="13" t="s">
        <v>117</v>
      </c>
      <c r="M866" s="13" t="s">
        <v>118</v>
      </c>
      <c r="N866" s="145" t="s">
        <v>457</v>
      </c>
      <c r="O866" s="145" t="s">
        <v>457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1551</v>
      </c>
      <c r="V866" s="13" t="s">
        <v>1551</v>
      </c>
      <c r="W866" s="60">
        <f>+J866/$W$2</f>
        <v>5.8178382680108824E-5</v>
      </c>
    </row>
    <row r="867" spans="1:29">
      <c r="A867" s="13" t="s">
        <v>152</v>
      </c>
      <c r="B867" s="13" t="s">
        <v>153</v>
      </c>
      <c r="C867" s="145">
        <v>46239</v>
      </c>
      <c r="D867" s="145" t="s">
        <v>469</v>
      </c>
      <c r="E867" s="28">
        <v>0.97994473000000004</v>
      </c>
      <c r="F867" s="13" t="s">
        <v>1916</v>
      </c>
      <c r="G867" s="18">
        <v>50000</v>
      </c>
      <c r="H867" s="18">
        <v>48997.24</v>
      </c>
      <c r="I867" s="18">
        <v>69661614.530000001</v>
      </c>
      <c r="J867" s="18">
        <v>68264536.920000002</v>
      </c>
      <c r="K867" s="15">
        <v>144917</v>
      </c>
      <c r="L867" s="13" t="s">
        <v>117</v>
      </c>
      <c r="M867" s="13" t="s">
        <v>118</v>
      </c>
      <c r="N867" s="145" t="s">
        <v>291</v>
      </c>
      <c r="O867" s="145" t="s">
        <v>291</v>
      </c>
      <c r="P867" s="28">
        <v>9</v>
      </c>
      <c r="Q867" s="13" t="s">
        <v>54</v>
      </c>
      <c r="R867" s="13" t="s">
        <v>28</v>
      </c>
      <c r="S867" s="13"/>
      <c r="T867" s="13"/>
      <c r="U867" s="13" t="s">
        <v>938</v>
      </c>
      <c r="V867" s="13" t="s">
        <v>938</v>
      </c>
      <c r="W867" s="60">
        <f>+J867/$W$2</f>
        <v>1.7991830742332007E-3</v>
      </c>
    </row>
    <row r="868" spans="1:29">
      <c r="A868" s="13" t="s">
        <v>152</v>
      </c>
      <c r="B868" s="13" t="s">
        <v>153</v>
      </c>
      <c r="C868" s="145">
        <v>46239</v>
      </c>
      <c r="D868" s="145" t="s">
        <v>469</v>
      </c>
      <c r="E868" s="28">
        <v>0.98213337000000001</v>
      </c>
      <c r="F868" s="13" t="s">
        <v>1916</v>
      </c>
      <c r="G868" s="18">
        <v>50000</v>
      </c>
      <c r="H868" s="18">
        <v>49106.67</v>
      </c>
      <c r="I868" s="18">
        <v>69661614.530000001</v>
      </c>
      <c r="J868" s="18">
        <v>68416998.329999998</v>
      </c>
      <c r="K868" s="15">
        <v>144506</v>
      </c>
      <c r="L868" s="13" t="s">
        <v>117</v>
      </c>
      <c r="M868" s="13" t="s">
        <v>118</v>
      </c>
      <c r="N868" s="145" t="s">
        <v>447</v>
      </c>
      <c r="O868" s="145" t="s">
        <v>447</v>
      </c>
      <c r="P868" s="28">
        <v>8</v>
      </c>
      <c r="Q868" s="13" t="s">
        <v>54</v>
      </c>
      <c r="R868" s="13" t="s">
        <v>28</v>
      </c>
      <c r="S868" s="13"/>
      <c r="T868" s="13"/>
      <c r="U868" s="13" t="s">
        <v>793</v>
      </c>
      <c r="V868" s="13" t="s">
        <v>793</v>
      </c>
      <c r="W868" s="60">
        <f>+J868/$W$2</f>
        <v>1.8032013537194762E-3</v>
      </c>
    </row>
    <row r="869" spans="1:29">
      <c r="A869" s="13" t="s">
        <v>1528</v>
      </c>
      <c r="B869" s="13" t="s">
        <v>153</v>
      </c>
      <c r="C869" s="145">
        <v>46239</v>
      </c>
      <c r="D869" s="145" t="s">
        <v>469</v>
      </c>
      <c r="E869" s="28">
        <v>0.98433168000000004</v>
      </c>
      <c r="F869" s="13" t="s">
        <v>1916</v>
      </c>
      <c r="G869" s="18">
        <v>100000</v>
      </c>
      <c r="H869" s="18">
        <v>98433.17</v>
      </c>
      <c r="I869" s="18">
        <v>139323229.06</v>
      </c>
      <c r="J869" s="18">
        <v>137140270.91</v>
      </c>
      <c r="K869" s="15">
        <v>147169</v>
      </c>
      <c r="L869" s="13" t="s">
        <v>117</v>
      </c>
      <c r="M869" s="13" t="s">
        <v>118</v>
      </c>
      <c r="N869" s="145" t="s">
        <v>533</v>
      </c>
      <c r="O869" s="145" t="s">
        <v>533</v>
      </c>
      <c r="P869" s="28">
        <v>7</v>
      </c>
      <c r="Q869" s="13" t="s">
        <v>54</v>
      </c>
      <c r="R869" s="13" t="s">
        <v>28</v>
      </c>
      <c r="S869" s="13"/>
      <c r="T869" s="13"/>
      <c r="U869" s="13" t="s">
        <v>1526</v>
      </c>
      <c r="V869" s="13" t="s">
        <v>1526</v>
      </c>
      <c r="W869" s="60">
        <f>+J869/$W$2</f>
        <v>3.6144748847587696E-3</v>
      </c>
    </row>
    <row r="870" spans="1:29">
      <c r="A870" s="13" t="s">
        <v>405</v>
      </c>
      <c r="B870" s="13" t="s">
        <v>675</v>
      </c>
      <c r="C870" s="145">
        <v>46239</v>
      </c>
      <c r="D870" s="145" t="s">
        <v>469</v>
      </c>
      <c r="E870" s="28">
        <v>0.93613763999999999</v>
      </c>
      <c r="F870" s="13"/>
      <c r="G870" s="18">
        <v>8500000</v>
      </c>
      <c r="H870" s="18">
        <v>7957169.96</v>
      </c>
      <c r="I870" s="18">
        <v>8500000</v>
      </c>
      <c r="J870" s="18">
        <v>7957169.96</v>
      </c>
      <c r="K870" s="15">
        <v>1070</v>
      </c>
      <c r="L870" s="13" t="s">
        <v>117</v>
      </c>
      <c r="M870" s="13" t="s">
        <v>118</v>
      </c>
      <c r="N870" s="145" t="s">
        <v>461</v>
      </c>
      <c r="O870" s="145" t="s">
        <v>461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1188</v>
      </c>
      <c r="V870" s="13" t="s">
        <v>1188</v>
      </c>
      <c r="W870" s="60">
        <f>+J870/$W$2</f>
        <v>2.0971951406638026E-4</v>
      </c>
    </row>
    <row r="871" spans="1:29">
      <c r="A871" s="13" t="s">
        <v>405</v>
      </c>
      <c r="B871" s="13" t="s">
        <v>675</v>
      </c>
      <c r="C871" s="145">
        <v>46239</v>
      </c>
      <c r="D871" s="145" t="s">
        <v>469</v>
      </c>
      <c r="E871" s="28">
        <v>0.93613763999999999</v>
      </c>
      <c r="F871" s="13"/>
      <c r="G871" s="18">
        <v>10000000</v>
      </c>
      <c r="H871" s="18">
        <v>9361376.4299999997</v>
      </c>
      <c r="I871" s="18">
        <v>10000000</v>
      </c>
      <c r="J871" s="18">
        <v>9361376.4299999997</v>
      </c>
      <c r="K871" s="15">
        <v>40621855</v>
      </c>
      <c r="L871" s="13" t="s">
        <v>117</v>
      </c>
      <c r="M871" s="13" t="s">
        <v>118</v>
      </c>
      <c r="N871" s="145" t="s">
        <v>461</v>
      </c>
      <c r="O871" s="145" t="s">
        <v>461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1189</v>
      </c>
      <c r="V871" s="13" t="s">
        <v>1189</v>
      </c>
      <c r="W871" s="60">
        <f>+J871/$W$2</f>
        <v>2.4672884024863352E-4</v>
      </c>
    </row>
    <row r="872" spans="1:29">
      <c r="A872" s="13" t="s">
        <v>1893</v>
      </c>
      <c r="B872" s="13" t="s">
        <v>675</v>
      </c>
      <c r="C872" s="145">
        <v>46239</v>
      </c>
      <c r="D872" s="145" t="s">
        <v>469</v>
      </c>
      <c r="E872" s="28">
        <v>0.93019728000000002</v>
      </c>
      <c r="F872" s="13"/>
      <c r="G872" s="18">
        <v>50000000</v>
      </c>
      <c r="H872" s="18">
        <v>46509863.770000003</v>
      </c>
      <c r="I872" s="18">
        <v>50000000</v>
      </c>
      <c r="J872" s="18">
        <v>46509863.770000003</v>
      </c>
      <c r="K872" s="15">
        <v>136</v>
      </c>
      <c r="L872" s="13" t="s">
        <v>117</v>
      </c>
      <c r="M872" s="13" t="s">
        <v>118</v>
      </c>
      <c r="N872" s="145" t="s">
        <v>470</v>
      </c>
      <c r="O872" s="145" t="s">
        <v>470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1880</v>
      </c>
      <c r="V872" s="13" t="s">
        <v>1880</v>
      </c>
      <c r="W872" s="60">
        <f>+J872/$W$2</f>
        <v>1.2258159720315871E-3</v>
      </c>
    </row>
    <row r="873" spans="1:29">
      <c r="A873" s="13" t="s">
        <v>1330</v>
      </c>
      <c r="B873" s="13" t="s">
        <v>675</v>
      </c>
      <c r="C873" s="145">
        <v>46239</v>
      </c>
      <c r="D873" s="145" t="s">
        <v>469</v>
      </c>
      <c r="E873" s="28">
        <v>0.93613765999999998</v>
      </c>
      <c r="F873" s="13"/>
      <c r="G873" s="18">
        <v>15000000</v>
      </c>
      <c r="H873" s="18">
        <v>14042064.880000001</v>
      </c>
      <c r="I873" s="18">
        <v>15000000</v>
      </c>
      <c r="J873" s="18">
        <v>14042064.880000001</v>
      </c>
      <c r="K873" s="15">
        <v>90000127</v>
      </c>
      <c r="L873" s="13" t="s">
        <v>117</v>
      </c>
      <c r="M873" s="13" t="s">
        <v>118</v>
      </c>
      <c r="N873" s="145" t="s">
        <v>410</v>
      </c>
      <c r="O873" s="145" t="s">
        <v>410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1783</v>
      </c>
      <c r="V873" s="13" t="s">
        <v>1783</v>
      </c>
      <c r="W873" s="60">
        <f>+J873/$W$2</f>
        <v>3.7009326656662044E-4</v>
      </c>
      <c r="AC873" s="57"/>
    </row>
    <row r="874" spans="1:29">
      <c r="A874" s="13" t="s">
        <v>406</v>
      </c>
      <c r="B874" s="13" t="s">
        <v>675</v>
      </c>
      <c r="C874" s="145">
        <v>46239</v>
      </c>
      <c r="D874" s="145" t="s">
        <v>469</v>
      </c>
      <c r="E874" s="28">
        <v>0.93813462000000003</v>
      </c>
      <c r="F874" s="13"/>
      <c r="G874" s="18">
        <v>4166666.66</v>
      </c>
      <c r="H874" s="18">
        <v>3908894.23</v>
      </c>
      <c r="I874" s="18">
        <v>4166666.66</v>
      </c>
      <c r="J874" s="18">
        <v>3908894.23</v>
      </c>
      <c r="K874" s="15">
        <v>13567710</v>
      </c>
      <c r="L874" s="13" t="s">
        <v>117</v>
      </c>
      <c r="M874" s="13" t="s">
        <v>118</v>
      </c>
      <c r="N874" s="145" t="s">
        <v>428</v>
      </c>
      <c r="O874" s="145" t="s">
        <v>428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1692</v>
      </c>
      <c r="V874" s="13" t="s">
        <v>1692</v>
      </c>
      <c r="W874" s="60">
        <f>+J874/$W$2</f>
        <v>1.0302298462561401E-4</v>
      </c>
    </row>
    <row r="875" spans="1:29">
      <c r="A875" s="13" t="s">
        <v>406</v>
      </c>
      <c r="B875" s="13" t="s">
        <v>675</v>
      </c>
      <c r="C875" s="145">
        <v>46239</v>
      </c>
      <c r="D875" s="145" t="s">
        <v>469</v>
      </c>
      <c r="E875" s="28">
        <v>0.93813469000000005</v>
      </c>
      <c r="F875" s="13"/>
      <c r="G875" s="18">
        <v>12500000</v>
      </c>
      <c r="H875" s="18">
        <v>11726683.58</v>
      </c>
      <c r="I875" s="18">
        <v>12500000</v>
      </c>
      <c r="J875" s="18">
        <v>11726683.58</v>
      </c>
      <c r="K875" s="15">
        <v>4955</v>
      </c>
      <c r="L875" s="13" t="s">
        <v>117</v>
      </c>
      <c r="M875" s="13" t="s">
        <v>118</v>
      </c>
      <c r="N875" s="145" t="s">
        <v>457</v>
      </c>
      <c r="O875" s="145" t="s">
        <v>457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1534</v>
      </c>
      <c r="V875" s="13" t="s">
        <v>1534</v>
      </c>
      <c r="W875" s="60">
        <f>+J875/$W$2</f>
        <v>3.0906897733372037E-4</v>
      </c>
    </row>
    <row r="876" spans="1:29">
      <c r="A876" s="13" t="s">
        <v>1389</v>
      </c>
      <c r="B876" s="13" t="s">
        <v>675</v>
      </c>
      <c r="C876" s="145">
        <v>46239</v>
      </c>
      <c r="D876" s="145" t="s">
        <v>469</v>
      </c>
      <c r="E876" s="28">
        <v>0.94215431999999999</v>
      </c>
      <c r="F876" s="13"/>
      <c r="G876" s="18">
        <v>6060681.79</v>
      </c>
      <c r="H876" s="18">
        <v>5710097.5499999998</v>
      </c>
      <c r="I876" s="18">
        <v>6060681.79</v>
      </c>
      <c r="J876" s="18">
        <v>5710097.5499999998</v>
      </c>
      <c r="K876" s="15">
        <v>66717853</v>
      </c>
      <c r="L876" s="13" t="s">
        <v>117</v>
      </c>
      <c r="M876" s="13" t="s">
        <v>118</v>
      </c>
      <c r="N876" s="145" t="s">
        <v>429</v>
      </c>
      <c r="O876" s="145" t="s">
        <v>429</v>
      </c>
      <c r="P876" s="28">
        <v>27</v>
      </c>
      <c r="Q876" s="13" t="s">
        <v>54</v>
      </c>
      <c r="R876" s="13" t="s">
        <v>28</v>
      </c>
      <c r="S876" s="13"/>
      <c r="T876" s="13"/>
      <c r="U876" s="13" t="s">
        <v>1794</v>
      </c>
      <c r="V876" s="13" t="s">
        <v>1794</v>
      </c>
      <c r="W876" s="60">
        <f>+J876/$W$2</f>
        <v>1.5049557687939953E-4</v>
      </c>
    </row>
    <row r="877" spans="1:29">
      <c r="A877" s="13" t="s">
        <v>1764</v>
      </c>
      <c r="B877" s="13" t="s">
        <v>675</v>
      </c>
      <c r="C877" s="145">
        <v>46239</v>
      </c>
      <c r="D877" s="145" t="s">
        <v>469</v>
      </c>
      <c r="E877" s="28">
        <v>0.94014023000000002</v>
      </c>
      <c r="F877" s="13"/>
      <c r="G877" s="18">
        <v>6500000</v>
      </c>
      <c r="H877" s="18">
        <v>6110911.5199999996</v>
      </c>
      <c r="I877" s="18">
        <v>6500000</v>
      </c>
      <c r="J877" s="18">
        <v>6110911.5199999996</v>
      </c>
      <c r="K877" s="15">
        <v>29175491</v>
      </c>
      <c r="L877" s="13" t="s">
        <v>117</v>
      </c>
      <c r="M877" s="13" t="s">
        <v>118</v>
      </c>
      <c r="N877" s="145" t="s">
        <v>462</v>
      </c>
      <c r="O877" s="145" t="s">
        <v>462</v>
      </c>
      <c r="P877" s="28">
        <v>28</v>
      </c>
      <c r="Q877" s="13" t="s">
        <v>54</v>
      </c>
      <c r="R877" s="13" t="s">
        <v>28</v>
      </c>
      <c r="S877" s="13"/>
      <c r="T877" s="13"/>
      <c r="U877" s="13" t="s">
        <v>1735</v>
      </c>
      <c r="V877" s="13" t="s">
        <v>1735</v>
      </c>
      <c r="W877" s="60">
        <f>+J877/$W$2</f>
        <v>1.6105944713000012E-4</v>
      </c>
    </row>
    <row r="878" spans="1:29">
      <c r="A878" s="13" t="s">
        <v>463</v>
      </c>
      <c r="B878" s="13" t="s">
        <v>675</v>
      </c>
      <c r="C878" s="145">
        <v>46239</v>
      </c>
      <c r="D878" s="145" t="s">
        <v>469</v>
      </c>
      <c r="E878" s="28">
        <v>0.92433147999999998</v>
      </c>
      <c r="F878" s="13"/>
      <c r="G878" s="18">
        <v>16800000</v>
      </c>
      <c r="H878" s="18">
        <v>15528768.890000001</v>
      </c>
      <c r="I878" s="18">
        <v>16800000</v>
      </c>
      <c r="J878" s="18">
        <v>15528768.890000001</v>
      </c>
      <c r="K878" s="15">
        <v>32600</v>
      </c>
      <c r="L878" s="13" t="s">
        <v>117</v>
      </c>
      <c r="M878" s="13" t="s">
        <v>118</v>
      </c>
      <c r="N878" s="145" t="s">
        <v>400</v>
      </c>
      <c r="O878" s="145" t="s">
        <v>400</v>
      </c>
      <c r="P878" s="28">
        <v>36</v>
      </c>
      <c r="Q878" s="13" t="s">
        <v>54</v>
      </c>
      <c r="R878" s="13" t="s">
        <v>28</v>
      </c>
      <c r="S878" s="13"/>
      <c r="T878" s="13"/>
      <c r="U878" s="13" t="s">
        <v>1642</v>
      </c>
      <c r="V878" s="13" t="s">
        <v>1642</v>
      </c>
      <c r="W878" s="60">
        <f>+J878/$W$2</f>
        <v>4.0927690146509368E-4</v>
      </c>
    </row>
    <row r="879" spans="1:29">
      <c r="A879" s="13" t="s">
        <v>405</v>
      </c>
      <c r="B879" s="13" t="s">
        <v>675</v>
      </c>
      <c r="C879" s="145">
        <v>46240</v>
      </c>
      <c r="D879" s="145" t="s">
        <v>469</v>
      </c>
      <c r="E879" s="28">
        <v>0.93541785</v>
      </c>
      <c r="F879" s="13"/>
      <c r="G879" s="18">
        <v>8500000</v>
      </c>
      <c r="H879" s="18">
        <v>7951051.7400000002</v>
      </c>
      <c r="I879" s="18">
        <v>8500000</v>
      </c>
      <c r="J879" s="18">
        <v>7951051.7400000002</v>
      </c>
      <c r="K879" s="15">
        <v>1075</v>
      </c>
      <c r="L879" s="13" t="s">
        <v>117</v>
      </c>
      <c r="M879" s="13" t="s">
        <v>118</v>
      </c>
      <c r="N879" s="145" t="s">
        <v>461</v>
      </c>
      <c r="O879" s="145" t="s">
        <v>461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1190</v>
      </c>
      <c r="V879" s="13" t="s">
        <v>1190</v>
      </c>
      <c r="W879" s="60">
        <f>+J879/$W$2</f>
        <v>2.0955826199663672E-4</v>
      </c>
    </row>
    <row r="880" spans="1:29">
      <c r="A880" s="13" t="s">
        <v>405</v>
      </c>
      <c r="B880" s="13" t="s">
        <v>675</v>
      </c>
      <c r="C880" s="145">
        <v>46240</v>
      </c>
      <c r="D880" s="145" t="s">
        <v>469</v>
      </c>
      <c r="E880" s="28">
        <v>0.93541785</v>
      </c>
      <c r="F880" s="13"/>
      <c r="G880" s="18">
        <v>10000000</v>
      </c>
      <c r="H880" s="18">
        <v>9354178.5099999998</v>
      </c>
      <c r="I880" s="18">
        <v>10000000</v>
      </c>
      <c r="J880" s="18">
        <v>9354178.5099999998</v>
      </c>
      <c r="K880" s="15">
        <v>40621856</v>
      </c>
      <c r="L880" s="13" t="s">
        <v>117</v>
      </c>
      <c r="M880" s="13" t="s">
        <v>118</v>
      </c>
      <c r="N880" s="145" t="s">
        <v>461</v>
      </c>
      <c r="O880" s="145" t="s">
        <v>461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1192</v>
      </c>
      <c r="V880" s="13" t="s">
        <v>1192</v>
      </c>
      <c r="W880" s="60">
        <f>+J880/$W$2</f>
        <v>2.4653913155920287E-4</v>
      </c>
      <c r="AC880" s="57"/>
    </row>
    <row r="881" spans="1:29">
      <c r="A881" s="13" t="s">
        <v>1390</v>
      </c>
      <c r="B881" s="13" t="s">
        <v>675</v>
      </c>
      <c r="C881" s="145">
        <v>46240</v>
      </c>
      <c r="D881" s="145" t="s">
        <v>469</v>
      </c>
      <c r="E881" s="28">
        <v>0.93946275999999995</v>
      </c>
      <c r="F881" s="13"/>
      <c r="G881" s="18">
        <v>25000000</v>
      </c>
      <c r="H881" s="18">
        <v>23486569.07</v>
      </c>
      <c r="I881" s="18">
        <v>25000000</v>
      </c>
      <c r="J881" s="18">
        <v>23486569.07</v>
      </c>
      <c r="K881" s="15">
        <v>896</v>
      </c>
      <c r="L881" s="13" t="s">
        <v>117</v>
      </c>
      <c r="M881" s="13" t="s">
        <v>118</v>
      </c>
      <c r="N881" s="145" t="s">
        <v>411</v>
      </c>
      <c r="O881" s="145" t="s">
        <v>411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1456</v>
      </c>
      <c r="V881" s="13" t="s">
        <v>1456</v>
      </c>
      <c r="W881" s="60">
        <f>+J881/$W$2</f>
        <v>6.1901302563692842E-4</v>
      </c>
    </row>
    <row r="882" spans="1:29">
      <c r="A882" s="13" t="s">
        <v>1764</v>
      </c>
      <c r="B882" s="13" t="s">
        <v>675</v>
      </c>
      <c r="C882" s="145">
        <v>46240</v>
      </c>
      <c r="D882" s="145" t="s">
        <v>469</v>
      </c>
      <c r="E882" s="28">
        <v>0.93946262999999997</v>
      </c>
      <c r="F882" s="13"/>
      <c r="G882" s="18">
        <v>6500000</v>
      </c>
      <c r="H882" s="18">
        <v>6106507.0999999996</v>
      </c>
      <c r="I882" s="18">
        <v>6500000</v>
      </c>
      <c r="J882" s="18">
        <v>6106507.0999999996</v>
      </c>
      <c r="K882" s="15">
        <v>29175497</v>
      </c>
      <c r="L882" s="13" t="s">
        <v>117</v>
      </c>
      <c r="M882" s="13" t="s">
        <v>118</v>
      </c>
      <c r="N882" s="145" t="s">
        <v>462</v>
      </c>
      <c r="O882" s="145" t="s">
        <v>462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1727</v>
      </c>
      <c r="V882" s="13" t="s">
        <v>1727</v>
      </c>
      <c r="W882" s="60">
        <f>+J882/$W$2</f>
        <v>1.6094336404684522E-4</v>
      </c>
    </row>
    <row r="883" spans="1:29">
      <c r="A883" s="13" t="s">
        <v>722</v>
      </c>
      <c r="B883" s="13" t="s">
        <v>675</v>
      </c>
      <c r="C883" s="145">
        <v>46240</v>
      </c>
      <c r="D883" s="145" t="s">
        <v>469</v>
      </c>
      <c r="E883" s="28">
        <v>0.92545648999999996</v>
      </c>
      <c r="F883" s="13"/>
      <c r="G883" s="18">
        <v>25000000</v>
      </c>
      <c r="H883" s="18">
        <v>23136412.149999999</v>
      </c>
      <c r="I883" s="18">
        <v>25000000</v>
      </c>
      <c r="J883" s="18">
        <v>23136412.149999999</v>
      </c>
      <c r="K883" s="15">
        <v>1308</v>
      </c>
      <c r="L883" s="13" t="s">
        <v>117</v>
      </c>
      <c r="M883" s="13" t="s">
        <v>118</v>
      </c>
      <c r="N883" s="145" t="s">
        <v>528</v>
      </c>
      <c r="O883" s="145" t="s">
        <v>528</v>
      </c>
      <c r="P883" s="28">
        <v>35</v>
      </c>
      <c r="Q883" s="13" t="s">
        <v>54</v>
      </c>
      <c r="R883" s="13" t="s">
        <v>28</v>
      </c>
      <c r="S883" s="13"/>
      <c r="T883" s="13"/>
      <c r="U883" s="13" t="s">
        <v>1324</v>
      </c>
      <c r="V883" s="13" t="s">
        <v>1324</v>
      </c>
      <c r="W883" s="60">
        <f>+J883/$W$2</f>
        <v>6.0978427477719681E-4</v>
      </c>
    </row>
    <row r="884" spans="1:29">
      <c r="A884" s="13" t="s">
        <v>444</v>
      </c>
      <c r="B884" s="13" t="s">
        <v>675</v>
      </c>
      <c r="C884" s="145">
        <v>46241</v>
      </c>
      <c r="D884" s="145" t="s">
        <v>469</v>
      </c>
      <c r="E884" s="28">
        <v>0.91870136999999996</v>
      </c>
      <c r="F884" s="13"/>
      <c r="G884" s="18">
        <v>10000000</v>
      </c>
      <c r="H884" s="18">
        <v>9187013.7300000004</v>
      </c>
      <c r="I884" s="18">
        <v>10000000</v>
      </c>
      <c r="J884" s="18">
        <v>9187013.7300000004</v>
      </c>
      <c r="K884" s="15">
        <v>60524152</v>
      </c>
      <c r="L884" s="13" t="s">
        <v>117</v>
      </c>
      <c r="M884" s="13" t="s">
        <v>118</v>
      </c>
      <c r="N884" s="145" t="s">
        <v>209</v>
      </c>
      <c r="O884" s="145" t="s">
        <v>209</v>
      </c>
      <c r="P884" s="28">
        <v>38</v>
      </c>
      <c r="Q884" s="13" t="s">
        <v>54</v>
      </c>
      <c r="R884" s="13" t="s">
        <v>28</v>
      </c>
      <c r="S884" s="13"/>
      <c r="T884" s="13"/>
      <c r="U884" s="13" t="s">
        <v>859</v>
      </c>
      <c r="V884" s="13" t="s">
        <v>859</v>
      </c>
      <c r="W884" s="60">
        <f>+J884/$W$2</f>
        <v>2.4213332942014522E-4</v>
      </c>
    </row>
    <row r="885" spans="1:29">
      <c r="A885" s="13" t="s">
        <v>405</v>
      </c>
      <c r="B885" s="13" t="s">
        <v>675</v>
      </c>
      <c r="C885" s="145">
        <v>46241</v>
      </c>
      <c r="D885" s="145" t="s">
        <v>469</v>
      </c>
      <c r="E885" s="28">
        <v>0.93469917000000002</v>
      </c>
      <c r="F885" s="13"/>
      <c r="G885" s="18">
        <v>10000000</v>
      </c>
      <c r="H885" s="18">
        <v>9346991.6699999999</v>
      </c>
      <c r="I885" s="18">
        <v>10000000</v>
      </c>
      <c r="J885" s="18">
        <v>9346991.6699999999</v>
      </c>
      <c r="K885" s="15">
        <v>40621854</v>
      </c>
      <c r="L885" s="13" t="s">
        <v>117</v>
      </c>
      <c r="M885" s="13" t="s">
        <v>118</v>
      </c>
      <c r="N885" s="145" t="s">
        <v>461</v>
      </c>
      <c r="O885" s="145" t="s">
        <v>461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1193</v>
      </c>
      <c r="V885" s="13" t="s">
        <v>1193</v>
      </c>
      <c r="W885" s="60">
        <f>+J885/$W$2</f>
        <v>2.4634971489472923E-4</v>
      </c>
    </row>
    <row r="886" spans="1:29">
      <c r="A886" s="13" t="s">
        <v>1330</v>
      </c>
      <c r="B886" s="13" t="s">
        <v>675</v>
      </c>
      <c r="C886" s="145">
        <v>46241</v>
      </c>
      <c r="D886" s="145" t="s">
        <v>469</v>
      </c>
      <c r="E886" s="28">
        <v>0.93469933000000005</v>
      </c>
      <c r="F886" s="13"/>
      <c r="G886" s="18">
        <v>8000000</v>
      </c>
      <c r="H886" s="18">
        <v>7477594.6500000004</v>
      </c>
      <c r="I886" s="18">
        <v>8000000</v>
      </c>
      <c r="J886" s="18">
        <v>7477594.6500000004</v>
      </c>
      <c r="K886" s="15">
        <v>90000620</v>
      </c>
      <c r="L886" s="13" t="s">
        <v>117</v>
      </c>
      <c r="M886" s="13" t="s">
        <v>118</v>
      </c>
      <c r="N886" s="145" t="s">
        <v>462</v>
      </c>
      <c r="O886" s="145" t="s">
        <v>462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1743</v>
      </c>
      <c r="V886" s="13" t="s">
        <v>1743</v>
      </c>
      <c r="W886" s="60">
        <f>+J886/$W$2</f>
        <v>1.9707980654762398E-4</v>
      </c>
    </row>
    <row r="887" spans="1:29">
      <c r="A887" s="13" t="s">
        <v>406</v>
      </c>
      <c r="B887" s="13" t="s">
        <v>675</v>
      </c>
      <c r="C887" s="145">
        <v>46241</v>
      </c>
      <c r="D887" s="145" t="s">
        <v>469</v>
      </c>
      <c r="E887" s="28">
        <v>0.93469915999999997</v>
      </c>
      <c r="F887" s="13"/>
      <c r="G887" s="18">
        <v>10000000</v>
      </c>
      <c r="H887" s="18">
        <v>9346991.6300000008</v>
      </c>
      <c r="I887" s="18">
        <v>10000000</v>
      </c>
      <c r="J887" s="18">
        <v>9346991.6300000008</v>
      </c>
      <c r="K887" s="15">
        <v>991</v>
      </c>
      <c r="L887" s="13" t="s">
        <v>117</v>
      </c>
      <c r="M887" s="13" t="s">
        <v>118</v>
      </c>
      <c r="N887" s="145" t="s">
        <v>410</v>
      </c>
      <c r="O887" s="145" t="s">
        <v>410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1791</v>
      </c>
      <c r="V887" s="13" t="s">
        <v>1791</v>
      </c>
      <c r="W887" s="60">
        <f>+J887/$W$2</f>
        <v>2.4634971384048757E-4</v>
      </c>
      <c r="AC887" s="57"/>
    </row>
    <row r="888" spans="1:29">
      <c r="A888" s="13" t="s">
        <v>327</v>
      </c>
      <c r="B888" s="13" t="s">
        <v>675</v>
      </c>
      <c r="C888" s="145">
        <v>46241</v>
      </c>
      <c r="D888" s="145" t="s">
        <v>469</v>
      </c>
      <c r="E888" s="28">
        <v>0.9128425</v>
      </c>
      <c r="F888" s="13"/>
      <c r="G888" s="18">
        <v>50000000</v>
      </c>
      <c r="H888" s="18">
        <v>45642124.920000002</v>
      </c>
      <c r="I888" s="18">
        <v>50000000</v>
      </c>
      <c r="J888" s="18">
        <v>45642124.920000002</v>
      </c>
      <c r="K888" s="15">
        <v>1127975</v>
      </c>
      <c r="L888" s="13" t="s">
        <v>117</v>
      </c>
      <c r="M888" s="13" t="s">
        <v>118</v>
      </c>
      <c r="N888" s="145" t="s">
        <v>208</v>
      </c>
      <c r="O888" s="145" t="s">
        <v>208</v>
      </c>
      <c r="P888" s="28">
        <v>41</v>
      </c>
      <c r="Q888" s="13" t="s">
        <v>54</v>
      </c>
      <c r="R888" s="13" t="s">
        <v>28</v>
      </c>
      <c r="S888" s="13"/>
      <c r="T888" s="13"/>
      <c r="U888" s="13" t="s">
        <v>581</v>
      </c>
      <c r="V888" s="13" t="s">
        <v>581</v>
      </c>
      <c r="W888" s="60">
        <f>+J888/$W$2</f>
        <v>1.2029458095399819E-3</v>
      </c>
      <c r="AC888"/>
    </row>
    <row r="889" spans="1:29">
      <c r="A889" s="13" t="s">
        <v>864</v>
      </c>
      <c r="B889" s="13" t="s">
        <v>675</v>
      </c>
      <c r="C889" s="145">
        <v>46241</v>
      </c>
      <c r="D889" s="145" t="s">
        <v>469</v>
      </c>
      <c r="E889" s="28">
        <v>0.91870127999999995</v>
      </c>
      <c r="F889" s="13"/>
      <c r="G889" s="18">
        <v>100000000</v>
      </c>
      <c r="H889" s="18">
        <v>91870128.439999998</v>
      </c>
      <c r="I889" s="18">
        <v>100000000</v>
      </c>
      <c r="J889" s="18">
        <v>91870128.439999998</v>
      </c>
      <c r="K889" s="15">
        <v>2598</v>
      </c>
      <c r="L889" s="13" t="s">
        <v>117</v>
      </c>
      <c r="M889" s="13" t="s">
        <v>118</v>
      </c>
      <c r="N889" s="145" t="s">
        <v>386</v>
      </c>
      <c r="O889" s="145" t="s">
        <v>386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1020</v>
      </c>
      <c r="V889" s="13" t="s">
        <v>1020</v>
      </c>
      <c r="W889" s="60">
        <f>+J889/$W$2</f>
        <v>2.4213330606869103E-3</v>
      </c>
    </row>
    <row r="890" spans="1:29">
      <c r="A890" s="13" t="s">
        <v>722</v>
      </c>
      <c r="B890" s="13" t="s">
        <v>675</v>
      </c>
      <c r="C890" s="145">
        <v>46241</v>
      </c>
      <c r="D890" s="145" t="s">
        <v>469</v>
      </c>
      <c r="E890" s="28">
        <v>0.92463596000000003</v>
      </c>
      <c r="F890" s="13"/>
      <c r="G890" s="18">
        <v>17000000</v>
      </c>
      <c r="H890" s="18">
        <v>15718811.24</v>
      </c>
      <c r="I890" s="18">
        <v>17000000</v>
      </c>
      <c r="J890" s="18">
        <v>15718811.24</v>
      </c>
      <c r="K890" s="15">
        <v>29088028</v>
      </c>
      <c r="L890" s="13" t="s">
        <v>117</v>
      </c>
      <c r="M890" s="13" t="s">
        <v>118</v>
      </c>
      <c r="N890" s="145" t="s">
        <v>205</v>
      </c>
      <c r="O890" s="145" t="s">
        <v>205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1055</v>
      </c>
      <c r="V890" s="13" t="s">
        <v>1055</v>
      </c>
      <c r="W890" s="60">
        <f>+J890/$W$2</f>
        <v>4.1428566582407851E-4</v>
      </c>
    </row>
    <row r="891" spans="1:29">
      <c r="A891" s="13" t="s">
        <v>1235</v>
      </c>
      <c r="B891" s="13" t="s">
        <v>675</v>
      </c>
      <c r="C891" s="145">
        <v>46244</v>
      </c>
      <c r="D891" s="145" t="s">
        <v>469</v>
      </c>
      <c r="E891" s="28">
        <v>0.92630199000000002</v>
      </c>
      <c r="F891" s="13"/>
      <c r="G891" s="18">
        <v>5600000</v>
      </c>
      <c r="H891" s="18">
        <v>5187291.16</v>
      </c>
      <c r="I891" s="18">
        <v>5600000</v>
      </c>
      <c r="J891" s="18">
        <v>5187291.16</v>
      </c>
      <c r="K891" s="15">
        <v>3501249</v>
      </c>
      <c r="L891" s="13" t="s">
        <v>117</v>
      </c>
      <c r="M891" s="13" t="s">
        <v>118</v>
      </c>
      <c r="N891" s="145" t="s">
        <v>457</v>
      </c>
      <c r="O891" s="145" t="s">
        <v>457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1541</v>
      </c>
      <c r="V891" s="13" t="s">
        <v>1541</v>
      </c>
      <c r="W891" s="60">
        <f>+J891/$W$2</f>
        <v>1.3671646915482374E-4</v>
      </c>
    </row>
    <row r="892" spans="1:29">
      <c r="A892" s="13" t="s">
        <v>1330</v>
      </c>
      <c r="B892" s="13" t="s">
        <v>675</v>
      </c>
      <c r="C892" s="145">
        <v>46244</v>
      </c>
      <c r="D892" s="145" t="s">
        <v>469</v>
      </c>
      <c r="E892" s="28">
        <v>0.93254983999999996</v>
      </c>
      <c r="F892" s="13"/>
      <c r="G892" s="18">
        <v>1040000</v>
      </c>
      <c r="H892" s="18">
        <v>969851.83</v>
      </c>
      <c r="I892" s="18">
        <v>1040000</v>
      </c>
      <c r="J892" s="18">
        <v>969851.83</v>
      </c>
      <c r="K892" s="15">
        <v>13001545</v>
      </c>
      <c r="L892" s="13" t="s">
        <v>117</v>
      </c>
      <c r="M892" s="13" t="s">
        <v>118</v>
      </c>
      <c r="N892" s="145" t="s">
        <v>428</v>
      </c>
      <c r="O892" s="145" t="s">
        <v>428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1652</v>
      </c>
      <c r="V892" s="13" t="s">
        <v>1652</v>
      </c>
      <c r="W892" s="60">
        <f>+J892/$W$2</f>
        <v>2.556145658901945E-5</v>
      </c>
    </row>
    <row r="893" spans="1:29">
      <c r="A893" s="13" t="s">
        <v>1330</v>
      </c>
      <c r="B893" s="13" t="s">
        <v>675</v>
      </c>
      <c r="C893" s="145">
        <v>46244</v>
      </c>
      <c r="D893" s="145" t="s">
        <v>469</v>
      </c>
      <c r="E893" s="28">
        <v>0.93254992000000003</v>
      </c>
      <c r="F893" s="13"/>
      <c r="G893" s="18">
        <v>10000000</v>
      </c>
      <c r="H893" s="18">
        <v>9325499.2200000007</v>
      </c>
      <c r="I893" s="18">
        <v>10000000</v>
      </c>
      <c r="J893" s="18">
        <v>9325499.2200000007</v>
      </c>
      <c r="K893" s="15">
        <v>40200399</v>
      </c>
      <c r="L893" s="13" t="s">
        <v>117</v>
      </c>
      <c r="M893" s="13" t="s">
        <v>118</v>
      </c>
      <c r="N893" s="145" t="s">
        <v>410</v>
      </c>
      <c r="O893" s="145" t="s">
        <v>410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1784</v>
      </c>
      <c r="V893" s="13" t="s">
        <v>1784</v>
      </c>
      <c r="W893" s="60">
        <f>+J893/$W$2</f>
        <v>2.4578325895715922E-4</v>
      </c>
    </row>
    <row r="894" spans="1:29">
      <c r="A894" s="13" t="s">
        <v>323</v>
      </c>
      <c r="B894" s="13" t="s">
        <v>675</v>
      </c>
      <c r="C894" s="145">
        <v>46244</v>
      </c>
      <c r="D894" s="145" t="s">
        <v>469</v>
      </c>
      <c r="E894" s="28">
        <v>0.92837532</v>
      </c>
      <c r="F894" s="13"/>
      <c r="G894" s="18">
        <v>50000000</v>
      </c>
      <c r="H894" s="18">
        <v>46418766.109999999</v>
      </c>
      <c r="I894" s="18">
        <v>50000000</v>
      </c>
      <c r="J894" s="18">
        <v>46418766.109999999</v>
      </c>
      <c r="K894" s="15">
        <v>4578</v>
      </c>
      <c r="L894" s="13" t="s">
        <v>117</v>
      </c>
      <c r="M894" s="13" t="s">
        <v>118</v>
      </c>
      <c r="N894" s="145" t="s">
        <v>410</v>
      </c>
      <c r="O894" s="145" t="s">
        <v>410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1774</v>
      </c>
      <c r="V894" s="13" t="s">
        <v>1774</v>
      </c>
      <c r="W894" s="60">
        <f>+J894/$W$2</f>
        <v>1.2234149981823639E-3</v>
      </c>
    </row>
    <row r="895" spans="1:29">
      <c r="A895" s="13" t="s">
        <v>1584</v>
      </c>
      <c r="B895" s="13" t="s">
        <v>675</v>
      </c>
      <c r="C895" s="145">
        <v>46245</v>
      </c>
      <c r="D895" s="145" t="s">
        <v>469</v>
      </c>
      <c r="E895" s="28">
        <v>0.91519987000000003</v>
      </c>
      <c r="F895" s="13"/>
      <c r="G895" s="18">
        <v>5211510.2699999996</v>
      </c>
      <c r="H895" s="18">
        <v>4769573.54</v>
      </c>
      <c r="I895" s="18">
        <v>5211510.2699999996</v>
      </c>
      <c r="J895" s="18">
        <v>4769573.54</v>
      </c>
      <c r="K895" s="15">
        <v>90000479</v>
      </c>
      <c r="L895" s="13" t="s">
        <v>117</v>
      </c>
      <c r="M895" s="13" t="s">
        <v>118</v>
      </c>
      <c r="N895" s="145" t="s">
        <v>457</v>
      </c>
      <c r="O895" s="145" t="s">
        <v>457</v>
      </c>
      <c r="P895" s="28">
        <v>38</v>
      </c>
      <c r="Q895" s="13" t="s">
        <v>54</v>
      </c>
      <c r="R895" s="13" t="s">
        <v>28</v>
      </c>
      <c r="S895" s="13"/>
      <c r="T895" s="13"/>
      <c r="U895" s="13" t="s">
        <v>1549</v>
      </c>
      <c r="V895" s="13" t="s">
        <v>1549</v>
      </c>
      <c r="W895" s="60">
        <f>+J895/$W$2</f>
        <v>1.2570708557702658E-4</v>
      </c>
    </row>
    <row r="896" spans="1:29">
      <c r="A896" s="13" t="s">
        <v>391</v>
      </c>
      <c r="B896" s="13" t="s">
        <v>675</v>
      </c>
      <c r="C896" s="145">
        <v>46245</v>
      </c>
      <c r="D896" s="145" t="s">
        <v>469</v>
      </c>
      <c r="E896" s="28">
        <v>0.92552690000000004</v>
      </c>
      <c r="F896" s="13"/>
      <c r="G896" s="18">
        <v>50000000</v>
      </c>
      <c r="H896" s="18">
        <v>46276344.810000002</v>
      </c>
      <c r="I896" s="18">
        <v>50000000</v>
      </c>
      <c r="J896" s="18">
        <v>46276344.810000002</v>
      </c>
      <c r="K896" s="15">
        <v>29007571</v>
      </c>
      <c r="L896" s="13" t="s">
        <v>117</v>
      </c>
      <c r="M896" s="13" t="s">
        <v>118</v>
      </c>
      <c r="N896" s="145" t="s">
        <v>209</v>
      </c>
      <c r="O896" s="145" t="s">
        <v>209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851</v>
      </c>
      <c r="V896" s="13" t="s">
        <v>851</v>
      </c>
      <c r="W896" s="60">
        <f>+J896/$W$2</f>
        <v>1.2196613362675313E-3</v>
      </c>
    </row>
    <row r="897" spans="1:32">
      <c r="A897" s="13" t="s">
        <v>323</v>
      </c>
      <c r="B897" s="13" t="s">
        <v>675</v>
      </c>
      <c r="C897" s="145">
        <v>46245</v>
      </c>
      <c r="D897" s="145" t="s">
        <v>469</v>
      </c>
      <c r="E897" s="28">
        <v>0.92762023000000005</v>
      </c>
      <c r="F897" s="13"/>
      <c r="G897" s="18">
        <v>50000000</v>
      </c>
      <c r="H897" s="18">
        <v>46381011.420000002</v>
      </c>
      <c r="I897" s="18">
        <v>50000000</v>
      </c>
      <c r="J897" s="18">
        <v>46381011.420000002</v>
      </c>
      <c r="K897" s="15">
        <v>4636</v>
      </c>
      <c r="L897" s="13" t="s">
        <v>117</v>
      </c>
      <c r="M897" s="13" t="s">
        <v>118</v>
      </c>
      <c r="N897" s="145" t="s">
        <v>446</v>
      </c>
      <c r="O897" s="145" t="s">
        <v>446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1852</v>
      </c>
      <c r="V897" s="13" t="s">
        <v>1852</v>
      </c>
      <c r="W897" s="60">
        <f>+J897/$W$2</f>
        <v>1.2224199339471737E-3</v>
      </c>
    </row>
    <row r="898" spans="1:32">
      <c r="A898" s="13" t="s">
        <v>1235</v>
      </c>
      <c r="B898" s="13" t="s">
        <v>675</v>
      </c>
      <c r="C898" s="145">
        <v>46246</v>
      </c>
      <c r="D898" s="145" t="s">
        <v>469</v>
      </c>
      <c r="E898" s="28">
        <v>0.93112264</v>
      </c>
      <c r="F898" s="13"/>
      <c r="G898" s="18">
        <v>5000000</v>
      </c>
      <c r="H898" s="18">
        <v>4655613.1900000004</v>
      </c>
      <c r="I898" s="18">
        <v>5000000</v>
      </c>
      <c r="J898" s="18">
        <v>4655613.1900000004</v>
      </c>
      <c r="K898" s="15">
        <v>3501230</v>
      </c>
      <c r="L898" s="13" t="s">
        <v>117</v>
      </c>
      <c r="M898" s="13" t="s">
        <v>118</v>
      </c>
      <c r="N898" s="145" t="s">
        <v>461</v>
      </c>
      <c r="O898" s="145" t="s">
        <v>461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1201</v>
      </c>
      <c r="V898" s="13" t="s">
        <v>1201</v>
      </c>
      <c r="W898" s="60">
        <f>+J898/$W$2</f>
        <v>1.2270354168579688E-4</v>
      </c>
    </row>
    <row r="899" spans="1:32">
      <c r="A899" s="13" t="s">
        <v>1241</v>
      </c>
      <c r="B899" s="13" t="s">
        <v>675</v>
      </c>
      <c r="C899" s="145">
        <v>46246</v>
      </c>
      <c r="D899" s="145" t="s">
        <v>469</v>
      </c>
      <c r="E899" s="28">
        <v>0.91432888000000001</v>
      </c>
      <c r="F899" s="13"/>
      <c r="G899" s="18">
        <v>4957711.8099999996</v>
      </c>
      <c r="H899" s="18">
        <v>4532979.0999999996</v>
      </c>
      <c r="I899" s="18">
        <v>4957711.8099999996</v>
      </c>
      <c r="J899" s="18">
        <v>4532979.0999999996</v>
      </c>
      <c r="K899" s="15">
        <v>590</v>
      </c>
      <c r="L899" s="13" t="s">
        <v>117</v>
      </c>
      <c r="M899" s="13" t="s">
        <v>118</v>
      </c>
      <c r="N899" s="145" t="s">
        <v>457</v>
      </c>
      <c r="O899" s="145" t="s">
        <v>457</v>
      </c>
      <c r="P899" s="28">
        <v>38</v>
      </c>
      <c r="Q899" s="13" t="s">
        <v>54</v>
      </c>
      <c r="R899" s="13" t="s">
        <v>28</v>
      </c>
      <c r="S899" s="13"/>
      <c r="T899" s="13"/>
      <c r="U899" s="13" t="s">
        <v>1555</v>
      </c>
      <c r="V899" s="13" t="s">
        <v>1555</v>
      </c>
      <c r="W899" s="60">
        <f>+J899/$W$2</f>
        <v>1.1947139232967417E-4</v>
      </c>
      <c r="AC899" s="61"/>
      <c r="AD899" s="57"/>
      <c r="AE899" s="61"/>
      <c r="AF899" s="13"/>
    </row>
    <row r="900" spans="1:32">
      <c r="A900" s="13" t="s">
        <v>676</v>
      </c>
      <c r="B900" s="13" t="s">
        <v>675</v>
      </c>
      <c r="C900" s="145">
        <v>46246</v>
      </c>
      <c r="D900" s="145" t="s">
        <v>469</v>
      </c>
      <c r="E900" s="28">
        <v>0.93112254000000005</v>
      </c>
      <c r="F900" s="13"/>
      <c r="G900" s="18">
        <v>10000000</v>
      </c>
      <c r="H900" s="18">
        <v>9311225.3900000006</v>
      </c>
      <c r="I900" s="18">
        <v>10000000</v>
      </c>
      <c r="J900" s="18">
        <v>9311225.3900000006</v>
      </c>
      <c r="K900" s="15">
        <v>500</v>
      </c>
      <c r="L900" s="13" t="s">
        <v>117</v>
      </c>
      <c r="M900" s="13" t="s">
        <v>118</v>
      </c>
      <c r="N900" s="145" t="s">
        <v>469</v>
      </c>
      <c r="O900" s="145" t="s">
        <v>469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1907</v>
      </c>
      <c r="V900" s="13" t="s">
        <v>1907</v>
      </c>
      <c r="W900" s="60">
        <f>+J900/$W$2</f>
        <v>2.4540705727911109E-4</v>
      </c>
    </row>
    <row r="901" spans="1:32">
      <c r="A901" s="13" t="s">
        <v>717</v>
      </c>
      <c r="B901" s="13" t="s">
        <v>675</v>
      </c>
      <c r="C901" s="145">
        <v>46246</v>
      </c>
      <c r="D901" s="145" t="s">
        <v>469</v>
      </c>
      <c r="E901" s="28">
        <v>0.91847005999999998</v>
      </c>
      <c r="F901" s="13"/>
      <c r="G901" s="18">
        <v>65000000</v>
      </c>
      <c r="H901" s="18">
        <v>59700554</v>
      </c>
      <c r="I901" s="18">
        <v>65000000</v>
      </c>
      <c r="J901" s="18">
        <v>59700554</v>
      </c>
      <c r="K901" s="15">
        <v>312</v>
      </c>
      <c r="L901" s="13" t="s">
        <v>117</v>
      </c>
      <c r="M901" s="13" t="s">
        <v>118</v>
      </c>
      <c r="N901" s="145" t="s">
        <v>442</v>
      </c>
      <c r="O901" s="145" t="s">
        <v>442</v>
      </c>
      <c r="P901" s="28">
        <v>36</v>
      </c>
      <c r="Q901" s="13" t="s">
        <v>54</v>
      </c>
      <c r="R901" s="13" t="s">
        <v>28</v>
      </c>
      <c r="S901" s="13"/>
      <c r="T901" s="13"/>
      <c r="U901" s="13" t="s">
        <v>1002</v>
      </c>
      <c r="V901" s="13" t="s">
        <v>1002</v>
      </c>
      <c r="W901" s="60">
        <f>+J901/$W$2</f>
        <v>1.5734703716663726E-3</v>
      </c>
    </row>
    <row r="902" spans="1:32">
      <c r="A902" s="13" t="s">
        <v>405</v>
      </c>
      <c r="B902" s="13" t="s">
        <v>675</v>
      </c>
      <c r="C902" s="145">
        <v>46246</v>
      </c>
      <c r="D902" s="145" t="s">
        <v>469</v>
      </c>
      <c r="E902" s="28">
        <v>0.93326529999999996</v>
      </c>
      <c r="F902" s="13"/>
      <c r="G902" s="18">
        <v>80000000</v>
      </c>
      <c r="H902" s="18">
        <v>74661224.170000002</v>
      </c>
      <c r="I902" s="18">
        <v>80000000</v>
      </c>
      <c r="J902" s="18">
        <v>74661224.170000002</v>
      </c>
      <c r="K902" s="15">
        <v>90041870</v>
      </c>
      <c r="L902" s="13" t="s">
        <v>117</v>
      </c>
      <c r="M902" s="13" t="s">
        <v>118</v>
      </c>
      <c r="N902" s="145" t="s">
        <v>528</v>
      </c>
      <c r="O902" s="145" t="s">
        <v>528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1268</v>
      </c>
      <c r="V902" s="13" t="s">
        <v>1268</v>
      </c>
      <c r="W902" s="60">
        <f>+J902/$W$2</f>
        <v>1.9677744388073228E-3</v>
      </c>
    </row>
    <row r="903" spans="1:32">
      <c r="A903" s="13" t="s">
        <v>1764</v>
      </c>
      <c r="B903" s="13" t="s">
        <v>675</v>
      </c>
      <c r="C903" s="145">
        <v>46246</v>
      </c>
      <c r="D903" s="145" t="s">
        <v>469</v>
      </c>
      <c r="E903" s="28">
        <v>0.93541786999999998</v>
      </c>
      <c r="F903" s="13"/>
      <c r="G903" s="18">
        <v>7000000</v>
      </c>
      <c r="H903" s="18">
        <v>6547925.0599999996</v>
      </c>
      <c r="I903" s="18">
        <v>7000000</v>
      </c>
      <c r="J903" s="18">
        <v>6547925.0599999996</v>
      </c>
      <c r="K903" s="15">
        <v>29175494</v>
      </c>
      <c r="L903" s="13" t="s">
        <v>117</v>
      </c>
      <c r="M903" s="13" t="s">
        <v>118</v>
      </c>
      <c r="N903" s="145" t="s">
        <v>462</v>
      </c>
      <c r="O903" s="145" t="s">
        <v>462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1730</v>
      </c>
      <c r="V903" s="13" t="s">
        <v>1730</v>
      </c>
      <c r="W903" s="60">
        <f>+J903/$W$2</f>
        <v>1.7257739480611443E-4</v>
      </c>
    </row>
    <row r="904" spans="1:32">
      <c r="A904" s="13" t="s">
        <v>1251</v>
      </c>
      <c r="B904" s="13" t="s">
        <v>675</v>
      </c>
      <c r="C904" s="145">
        <v>46246</v>
      </c>
      <c r="D904" s="145" t="s">
        <v>469</v>
      </c>
      <c r="E904" s="28">
        <v>0.93112258000000003</v>
      </c>
      <c r="F904" s="13"/>
      <c r="G904" s="18">
        <v>10000000</v>
      </c>
      <c r="H904" s="18">
        <v>9311225.7899999991</v>
      </c>
      <c r="I904" s="18">
        <v>10000000</v>
      </c>
      <c r="J904" s="18">
        <v>9311225.7899999991</v>
      </c>
      <c r="K904" s="15">
        <v>3435966</v>
      </c>
      <c r="L904" s="13" t="s">
        <v>117</v>
      </c>
      <c r="M904" s="13" t="s">
        <v>118</v>
      </c>
      <c r="N904" s="145" t="s">
        <v>460</v>
      </c>
      <c r="O904" s="145" t="s">
        <v>460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1826</v>
      </c>
      <c r="V904" s="13" t="s">
        <v>1826</v>
      </c>
      <c r="W904" s="60">
        <f>+J904/$W$2</f>
        <v>2.4540706782152829E-4</v>
      </c>
    </row>
    <row r="905" spans="1:32">
      <c r="A905" s="13" t="s">
        <v>463</v>
      </c>
      <c r="B905" s="13" t="s">
        <v>675</v>
      </c>
      <c r="C905" s="145">
        <v>46246</v>
      </c>
      <c r="D905" s="145" t="s">
        <v>469</v>
      </c>
      <c r="E905" s="28">
        <v>0.93112258999999997</v>
      </c>
      <c r="F905" s="13"/>
      <c r="G905" s="18">
        <v>16800000</v>
      </c>
      <c r="H905" s="18">
        <v>15642859.51</v>
      </c>
      <c r="I905" s="18">
        <v>16800000</v>
      </c>
      <c r="J905" s="18">
        <v>15642859.51</v>
      </c>
      <c r="K905" s="15">
        <v>32660</v>
      </c>
      <c r="L905" s="13" t="s">
        <v>117</v>
      </c>
      <c r="M905" s="13" t="s">
        <v>118</v>
      </c>
      <c r="N905" s="145" t="s">
        <v>462</v>
      </c>
      <c r="O905" s="145" t="s">
        <v>462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1757</v>
      </c>
      <c r="V905" s="13" t="s">
        <v>1757</v>
      </c>
      <c r="W905" s="60">
        <f>+J905/$W$2</f>
        <v>4.1228387875805222E-4</v>
      </c>
    </row>
    <row r="906" spans="1:32">
      <c r="A906" s="13" t="s">
        <v>444</v>
      </c>
      <c r="B906" s="13" t="s">
        <v>675</v>
      </c>
      <c r="C906" s="145">
        <v>46247</v>
      </c>
      <c r="D906" s="145" t="s">
        <v>469</v>
      </c>
      <c r="E906" s="28">
        <v>0.91974303999999996</v>
      </c>
      <c r="F906" s="13"/>
      <c r="G906" s="18">
        <v>10000000</v>
      </c>
      <c r="H906" s="18">
        <v>9197430.3699999992</v>
      </c>
      <c r="I906" s="18">
        <v>10000000</v>
      </c>
      <c r="J906" s="18">
        <v>9197430.3699999992</v>
      </c>
      <c r="K906" s="15">
        <v>254</v>
      </c>
      <c r="L906" s="13" t="s">
        <v>117</v>
      </c>
      <c r="M906" s="13" t="s">
        <v>118</v>
      </c>
      <c r="N906" s="145" t="s">
        <v>428</v>
      </c>
      <c r="O906" s="145" t="s">
        <v>428</v>
      </c>
      <c r="P906" s="28">
        <v>35</v>
      </c>
      <c r="Q906" s="13" t="s">
        <v>54</v>
      </c>
      <c r="R906" s="13" t="s">
        <v>28</v>
      </c>
      <c r="S906" s="13"/>
      <c r="T906" s="13"/>
      <c r="U906" s="13" t="s">
        <v>1706</v>
      </c>
      <c r="V906" s="13" t="s">
        <v>1706</v>
      </c>
      <c r="W906" s="60">
        <f>+J906/$W$2</f>
        <v>2.4240787083247973E-4</v>
      </c>
    </row>
    <row r="907" spans="1:32">
      <c r="A907" s="13" t="s">
        <v>1330</v>
      </c>
      <c r="B907" s="13" t="s">
        <v>675</v>
      </c>
      <c r="C907" s="145">
        <v>46247</v>
      </c>
      <c r="D907" s="145" t="s">
        <v>469</v>
      </c>
      <c r="E907" s="28">
        <v>0.93257365999999997</v>
      </c>
      <c r="F907" s="13"/>
      <c r="G907" s="18">
        <v>5000000</v>
      </c>
      <c r="H907" s="18">
        <v>4662868.28</v>
      </c>
      <c r="I907" s="18">
        <v>5000000</v>
      </c>
      <c r="J907" s="18">
        <v>4662868.28</v>
      </c>
      <c r="K907" s="15">
        <v>6879</v>
      </c>
      <c r="L907" s="13" t="s">
        <v>117</v>
      </c>
      <c r="M907" s="13" t="s">
        <v>118</v>
      </c>
      <c r="N907" s="145" t="s">
        <v>411</v>
      </c>
      <c r="O907" s="145" t="s">
        <v>411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1406</v>
      </c>
      <c r="V907" s="13" t="s">
        <v>1406</v>
      </c>
      <c r="W907" s="60">
        <f>+J907/$W$2</f>
        <v>1.22894757150209E-4</v>
      </c>
      <c r="AC907" s="57"/>
    </row>
    <row r="908" spans="1:32">
      <c r="A908" s="13" t="s">
        <v>1857</v>
      </c>
      <c r="B908" s="13" t="s">
        <v>675</v>
      </c>
      <c r="C908" s="145">
        <v>46247</v>
      </c>
      <c r="D908" s="145" t="s">
        <v>469</v>
      </c>
      <c r="E908" s="28">
        <v>0.93693057999999996</v>
      </c>
      <c r="F908" s="13"/>
      <c r="G908" s="18">
        <v>150000000</v>
      </c>
      <c r="H908" s="18">
        <v>140539587.33000001</v>
      </c>
      <c r="I908" s="18">
        <v>150000000</v>
      </c>
      <c r="J908" s="18">
        <v>140539587.33000001</v>
      </c>
      <c r="K908" s="15">
        <v>67981</v>
      </c>
      <c r="L908" s="13" t="s">
        <v>117</v>
      </c>
      <c r="M908" s="13" t="s">
        <v>118</v>
      </c>
      <c r="N908" s="145" t="s">
        <v>446</v>
      </c>
      <c r="O908" s="145" t="s">
        <v>446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1839</v>
      </c>
      <c r="V908" s="13" t="s">
        <v>1839</v>
      </c>
      <c r="W908" s="60">
        <f>+J908/$W$2</f>
        <v>3.7040674146838525E-3</v>
      </c>
    </row>
    <row r="909" spans="1:32">
      <c r="A909" s="13" t="s">
        <v>1764</v>
      </c>
      <c r="B909" s="13" t="s">
        <v>675</v>
      </c>
      <c r="C909" s="145">
        <v>46247</v>
      </c>
      <c r="D909" s="145" t="s">
        <v>469</v>
      </c>
      <c r="E909" s="28">
        <v>0.93474705000000002</v>
      </c>
      <c r="F909" s="13"/>
      <c r="G909" s="18">
        <v>7000000</v>
      </c>
      <c r="H909" s="18">
        <v>6543229.3499999996</v>
      </c>
      <c r="I909" s="18">
        <v>7000000</v>
      </c>
      <c r="J909" s="18">
        <v>6543229.3499999996</v>
      </c>
      <c r="K909" s="15">
        <v>29175498</v>
      </c>
      <c r="L909" s="13" t="s">
        <v>117</v>
      </c>
      <c r="M909" s="13" t="s">
        <v>118</v>
      </c>
      <c r="N909" s="145" t="s">
        <v>462</v>
      </c>
      <c r="O909" s="145" t="s">
        <v>462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1731</v>
      </c>
      <c r="V909" s="13" t="s">
        <v>1731</v>
      </c>
      <c r="W909" s="60">
        <f>+J909/$W$2</f>
        <v>1.7245363447117789E-4</v>
      </c>
    </row>
    <row r="910" spans="1:32">
      <c r="A910" s="13" t="s">
        <v>323</v>
      </c>
      <c r="B910" s="13" t="s">
        <v>675</v>
      </c>
      <c r="C910" s="145">
        <v>46247</v>
      </c>
      <c r="D910" s="145" t="s">
        <v>469</v>
      </c>
      <c r="E910" s="28">
        <v>0.92611401000000004</v>
      </c>
      <c r="F910" s="13"/>
      <c r="G910" s="18">
        <v>50000000</v>
      </c>
      <c r="H910" s="18">
        <v>46305700.649999999</v>
      </c>
      <c r="I910" s="18">
        <v>50000000</v>
      </c>
      <c r="J910" s="18">
        <v>46305700.649999999</v>
      </c>
      <c r="K910" s="15">
        <v>4633</v>
      </c>
      <c r="L910" s="13" t="s">
        <v>117</v>
      </c>
      <c r="M910" s="13" t="s">
        <v>118</v>
      </c>
      <c r="N910" s="145" t="s">
        <v>446</v>
      </c>
      <c r="O910" s="145" t="s">
        <v>446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1853</v>
      </c>
      <c r="V910" s="13" t="s">
        <v>1853</v>
      </c>
      <c r="W910" s="60">
        <f>+J910/$W$2</f>
        <v>1.2204350400505041E-3</v>
      </c>
    </row>
    <row r="911" spans="1:32">
      <c r="A911" s="13" t="s">
        <v>722</v>
      </c>
      <c r="B911" s="13" t="s">
        <v>675</v>
      </c>
      <c r="C911" s="145">
        <v>46247</v>
      </c>
      <c r="D911" s="145" t="s">
        <v>469</v>
      </c>
      <c r="E911" s="28">
        <v>0.91974308999999999</v>
      </c>
      <c r="F911" s="13"/>
      <c r="G911" s="18">
        <v>25000000</v>
      </c>
      <c r="H911" s="18">
        <v>22993577.300000001</v>
      </c>
      <c r="I911" s="18">
        <v>25000000</v>
      </c>
      <c r="J911" s="18">
        <v>22993577.300000001</v>
      </c>
      <c r="K911" s="15">
        <v>1309</v>
      </c>
      <c r="L911" s="13" t="s">
        <v>117</v>
      </c>
      <c r="M911" s="13" t="s">
        <v>118</v>
      </c>
      <c r="N911" s="145" t="s">
        <v>528</v>
      </c>
      <c r="O911" s="145" t="s">
        <v>528</v>
      </c>
      <c r="P911" s="28">
        <v>35</v>
      </c>
      <c r="Q911" s="13" t="s">
        <v>54</v>
      </c>
      <c r="R911" s="13" t="s">
        <v>28</v>
      </c>
      <c r="S911" s="13"/>
      <c r="T911" s="13"/>
      <c r="U911" s="13" t="s">
        <v>1325</v>
      </c>
      <c r="V911" s="13" t="s">
        <v>1325</v>
      </c>
      <c r="W911" s="60">
        <f>+J911/$W$2</f>
        <v>6.0601971332075854E-4</v>
      </c>
    </row>
    <row r="912" spans="1:32">
      <c r="A912" s="13" t="s">
        <v>1241</v>
      </c>
      <c r="B912" s="13" t="s">
        <v>675</v>
      </c>
      <c r="C912" s="145">
        <v>46248</v>
      </c>
      <c r="D912" s="145" t="s">
        <v>469</v>
      </c>
      <c r="E912" s="28">
        <v>0.91259133999999997</v>
      </c>
      <c r="F912" s="13"/>
      <c r="G912" s="18">
        <v>4957711.8099999996</v>
      </c>
      <c r="H912" s="18">
        <v>4524364.87</v>
      </c>
      <c r="I912" s="18">
        <v>4957711.8099999996</v>
      </c>
      <c r="J912" s="18">
        <v>4524364.87</v>
      </c>
      <c r="K912" s="15">
        <v>591</v>
      </c>
      <c r="L912" s="13" t="s">
        <v>117</v>
      </c>
      <c r="M912" s="13" t="s">
        <v>118</v>
      </c>
      <c r="N912" s="145" t="s">
        <v>457</v>
      </c>
      <c r="O912" s="145" t="s">
        <v>457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1558</v>
      </c>
      <c r="V912" s="13" t="s">
        <v>1558</v>
      </c>
      <c r="W912" s="60">
        <f>+J912/$W$2</f>
        <v>1.1924435531290345E-4</v>
      </c>
    </row>
    <row r="913" spans="1:29">
      <c r="A913" s="13" t="s">
        <v>405</v>
      </c>
      <c r="B913" s="13" t="s">
        <v>675</v>
      </c>
      <c r="C913" s="145">
        <v>46248</v>
      </c>
      <c r="D913" s="145" t="s">
        <v>469</v>
      </c>
      <c r="E913" s="28">
        <v>0.93628169999999999</v>
      </c>
      <c r="F913" s="13"/>
      <c r="G913" s="18">
        <v>75000000</v>
      </c>
      <c r="H913" s="18">
        <v>70221127.290000007</v>
      </c>
      <c r="I913" s="18">
        <v>75000000</v>
      </c>
      <c r="J913" s="18">
        <v>70221127.290000007</v>
      </c>
      <c r="K913" s="15">
        <v>16182</v>
      </c>
      <c r="L913" s="13" t="s">
        <v>117</v>
      </c>
      <c r="M913" s="13" t="s">
        <v>118</v>
      </c>
      <c r="N913" s="145" t="s">
        <v>411</v>
      </c>
      <c r="O913" s="145" t="s">
        <v>411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1451</v>
      </c>
      <c r="V913" s="13" t="s">
        <v>1451</v>
      </c>
      <c r="W913" s="60">
        <f>+J913/$W$2</f>
        <v>1.8507510542670671E-3</v>
      </c>
    </row>
    <row r="914" spans="1:29">
      <c r="A914" s="13" t="s">
        <v>1330</v>
      </c>
      <c r="B914" s="13" t="s">
        <v>675</v>
      </c>
      <c r="C914" s="145">
        <v>46248</v>
      </c>
      <c r="D914" s="145" t="s">
        <v>469</v>
      </c>
      <c r="E914" s="28">
        <v>0.92969964999999999</v>
      </c>
      <c r="F914" s="13"/>
      <c r="G914" s="18">
        <v>1040000</v>
      </c>
      <c r="H914" s="18">
        <v>966887.64</v>
      </c>
      <c r="I914" s="18">
        <v>1040000</v>
      </c>
      <c r="J914" s="18">
        <v>966887.64</v>
      </c>
      <c r="K914" s="15">
        <v>10401546</v>
      </c>
      <c r="L914" s="13" t="s">
        <v>117</v>
      </c>
      <c r="M914" s="13" t="s">
        <v>118</v>
      </c>
      <c r="N914" s="145" t="s">
        <v>428</v>
      </c>
      <c r="O914" s="145" t="s">
        <v>428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1647</v>
      </c>
      <c r="V914" s="13" t="s">
        <v>1647</v>
      </c>
      <c r="W914" s="60">
        <f>+J914/$W$2</f>
        <v>2.5483332269754513E-5</v>
      </c>
    </row>
    <row r="915" spans="1:29">
      <c r="A915" s="13" t="s">
        <v>254</v>
      </c>
      <c r="B915" s="13" t="s">
        <v>675</v>
      </c>
      <c r="C915" s="145">
        <v>46248</v>
      </c>
      <c r="D915" s="145" t="s">
        <v>469</v>
      </c>
      <c r="E915" s="28">
        <v>0.93188320999999996</v>
      </c>
      <c r="F915" s="13"/>
      <c r="G915" s="18">
        <v>42000000</v>
      </c>
      <c r="H915" s="18">
        <v>39139094.979999997</v>
      </c>
      <c r="I915" s="18">
        <v>42000000</v>
      </c>
      <c r="J915" s="18">
        <v>39139094.979999997</v>
      </c>
      <c r="K915" s="15">
        <v>7578</v>
      </c>
      <c r="L915" s="13" t="s">
        <v>117</v>
      </c>
      <c r="M915" s="13" t="s">
        <v>118</v>
      </c>
      <c r="N915" s="145" t="s">
        <v>528</v>
      </c>
      <c r="O915" s="145" t="s">
        <v>528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1267</v>
      </c>
      <c r="V915" s="13" t="s">
        <v>1267</v>
      </c>
      <c r="W915" s="60">
        <f>+J915/$W$2</f>
        <v>1.0315516724495731E-3</v>
      </c>
    </row>
    <row r="916" spans="1:29">
      <c r="A916" s="13" t="s">
        <v>327</v>
      </c>
      <c r="B916" s="13" t="s">
        <v>675</v>
      </c>
      <c r="C916" s="145">
        <v>46248</v>
      </c>
      <c r="D916" s="145" t="s">
        <v>469</v>
      </c>
      <c r="E916" s="28">
        <v>0.91680912999999997</v>
      </c>
      <c r="F916" s="13"/>
      <c r="G916" s="18">
        <v>25000000</v>
      </c>
      <c r="H916" s="18">
        <v>22920228.34</v>
      </c>
      <c r="I916" s="18">
        <v>25000000</v>
      </c>
      <c r="J916" s="18">
        <v>22920228.34</v>
      </c>
      <c r="K916" s="15">
        <v>1176620</v>
      </c>
      <c r="L916" s="13" t="s">
        <v>117</v>
      </c>
      <c r="M916" s="13" t="s">
        <v>118</v>
      </c>
      <c r="N916" s="145" t="s">
        <v>205</v>
      </c>
      <c r="O916" s="145" t="s">
        <v>205</v>
      </c>
      <c r="P916" s="28">
        <v>36</v>
      </c>
      <c r="Q916" s="13" t="s">
        <v>54</v>
      </c>
      <c r="R916" s="13" t="s">
        <v>28</v>
      </c>
      <c r="S916" s="13"/>
      <c r="T916" s="13"/>
      <c r="U916" s="13" t="s">
        <v>1038</v>
      </c>
      <c r="V916" s="13" t="s">
        <v>1038</v>
      </c>
      <c r="W916" s="60">
        <f>+J916/$W$2</f>
        <v>6.0408652497291604E-4</v>
      </c>
    </row>
    <row r="917" spans="1:29">
      <c r="A917" s="13" t="s">
        <v>500</v>
      </c>
      <c r="B917" s="13" t="s">
        <v>675</v>
      </c>
      <c r="C917" s="145">
        <v>46248</v>
      </c>
      <c r="D917" s="145" t="s">
        <v>469</v>
      </c>
      <c r="E917" s="28">
        <v>0.91680912999999997</v>
      </c>
      <c r="F917" s="13"/>
      <c r="G917" s="18">
        <v>50000000</v>
      </c>
      <c r="H917" s="18">
        <v>45840456.689999998</v>
      </c>
      <c r="I917" s="18">
        <v>50000000</v>
      </c>
      <c r="J917" s="18">
        <v>45840456.689999998</v>
      </c>
      <c r="K917" s="15">
        <v>6573</v>
      </c>
      <c r="L917" s="13" t="s">
        <v>117</v>
      </c>
      <c r="M917" s="13" t="s">
        <v>118</v>
      </c>
      <c r="N917" s="145" t="s">
        <v>205</v>
      </c>
      <c r="O917" s="145" t="s">
        <v>205</v>
      </c>
      <c r="P917" s="28">
        <v>36</v>
      </c>
      <c r="Q917" s="13" t="s">
        <v>54</v>
      </c>
      <c r="R917" s="13" t="s">
        <v>28</v>
      </c>
      <c r="S917" s="13"/>
      <c r="T917" s="13"/>
      <c r="U917" s="13" t="s">
        <v>1061</v>
      </c>
      <c r="V917" s="13" t="s">
        <v>1061</v>
      </c>
      <c r="W917" s="60">
        <f>+J917/$W$2</f>
        <v>1.2081730502093925E-3</v>
      </c>
      <c r="AC917" s="57"/>
    </row>
    <row r="918" spans="1:29">
      <c r="A918" s="13" t="s">
        <v>526</v>
      </c>
      <c r="B918" s="13" t="s">
        <v>675</v>
      </c>
      <c r="C918" s="145">
        <v>46248</v>
      </c>
      <c r="D918" s="145" t="s">
        <v>469</v>
      </c>
      <c r="E918" s="28">
        <v>0.90221477999999999</v>
      </c>
      <c r="F918" s="13"/>
      <c r="G918" s="18">
        <v>3000000</v>
      </c>
      <c r="H918" s="18">
        <v>2706644.33</v>
      </c>
      <c r="I918" s="18">
        <v>3000000</v>
      </c>
      <c r="J918" s="18">
        <v>2706644.33</v>
      </c>
      <c r="K918" s="15">
        <v>3074</v>
      </c>
      <c r="L918" s="13" t="s">
        <v>117</v>
      </c>
      <c r="M918" s="13" t="s">
        <v>118</v>
      </c>
      <c r="N918" s="145" t="s">
        <v>290</v>
      </c>
      <c r="O918" s="145" t="s">
        <v>290</v>
      </c>
      <c r="P918" s="28">
        <v>43</v>
      </c>
      <c r="Q918" s="13" t="s">
        <v>54</v>
      </c>
      <c r="R918" s="13" t="s">
        <v>28</v>
      </c>
      <c r="S918" s="13"/>
      <c r="T918" s="13"/>
      <c r="U918" s="13" t="s">
        <v>510</v>
      </c>
      <c r="V918" s="13" t="s">
        <v>510</v>
      </c>
      <c r="W918" s="60">
        <f>+J918/$W$2</f>
        <v>7.1336434497639334E-5</v>
      </c>
    </row>
    <row r="919" spans="1:29">
      <c r="A919" s="13" t="s">
        <v>1235</v>
      </c>
      <c r="B919" s="13" t="s">
        <v>675</v>
      </c>
      <c r="C919" s="145">
        <v>46252</v>
      </c>
      <c r="D919" s="145" t="s">
        <v>469</v>
      </c>
      <c r="E919" s="28">
        <v>0.92686648999999999</v>
      </c>
      <c r="F919" s="13"/>
      <c r="G919" s="18">
        <v>5000000</v>
      </c>
      <c r="H919" s="18">
        <v>4634332.45</v>
      </c>
      <c r="I919" s="18">
        <v>5000000</v>
      </c>
      <c r="J919" s="18">
        <v>4634332.45</v>
      </c>
      <c r="K919" s="15">
        <v>3501229</v>
      </c>
      <c r="L919" s="13" t="s">
        <v>117</v>
      </c>
      <c r="M919" s="13" t="s">
        <v>118</v>
      </c>
      <c r="N919" s="145" t="s">
        <v>461</v>
      </c>
      <c r="O919" s="145" t="s">
        <v>461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1202</v>
      </c>
      <c r="V919" s="13" t="s">
        <v>1202</v>
      </c>
      <c r="W919" s="60">
        <f>+J919/$W$2</f>
        <v>1.2214266558610213E-4</v>
      </c>
    </row>
    <row r="920" spans="1:29">
      <c r="A920" s="13" t="s">
        <v>1235</v>
      </c>
      <c r="B920" s="13" t="s">
        <v>675</v>
      </c>
      <c r="C920" s="145">
        <v>46252</v>
      </c>
      <c r="D920" s="145" t="s">
        <v>469</v>
      </c>
      <c r="E920" s="28">
        <v>0.92013719000000005</v>
      </c>
      <c r="F920" s="13"/>
      <c r="G920" s="18">
        <v>5600000</v>
      </c>
      <c r="H920" s="18">
        <v>5152768.25</v>
      </c>
      <c r="I920" s="18">
        <v>5600000</v>
      </c>
      <c r="J920" s="18">
        <v>5152768.25</v>
      </c>
      <c r="K920" s="15">
        <v>3501250</v>
      </c>
      <c r="L920" s="13" t="s">
        <v>117</v>
      </c>
      <c r="M920" s="13" t="s">
        <v>118</v>
      </c>
      <c r="N920" s="145" t="s">
        <v>457</v>
      </c>
      <c r="O920" s="145" t="s">
        <v>457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1545</v>
      </c>
      <c r="V920" s="13" t="s">
        <v>1545</v>
      </c>
      <c r="W920" s="60">
        <f>+J920/$W$2</f>
        <v>1.3580658185245959E-4</v>
      </c>
    </row>
    <row r="921" spans="1:29">
      <c r="A921" s="13" t="s">
        <v>1104</v>
      </c>
      <c r="B921" s="13" t="s">
        <v>675</v>
      </c>
      <c r="C921" s="145">
        <v>46252</v>
      </c>
      <c r="D921" s="145" t="s">
        <v>469</v>
      </c>
      <c r="E921" s="28">
        <v>0.90480912999999996</v>
      </c>
      <c r="F921" s="13"/>
      <c r="G921" s="18">
        <v>9943984.5</v>
      </c>
      <c r="H921" s="18">
        <v>8997407.9499999993</v>
      </c>
      <c r="I921" s="18">
        <v>9943984.5</v>
      </c>
      <c r="J921" s="18">
        <v>8997407.9499999993</v>
      </c>
      <c r="K921" s="15">
        <v>1820</v>
      </c>
      <c r="L921" s="13" t="s">
        <v>117</v>
      </c>
      <c r="M921" s="13" t="s">
        <v>118</v>
      </c>
      <c r="N921" s="145" t="s">
        <v>443</v>
      </c>
      <c r="O921" s="145" t="s">
        <v>443</v>
      </c>
      <c r="P921" s="28">
        <v>40</v>
      </c>
      <c r="Q921" s="13" t="s">
        <v>54</v>
      </c>
      <c r="R921" s="13" t="s">
        <v>28</v>
      </c>
      <c r="S921" s="13"/>
      <c r="T921" s="13"/>
      <c r="U921" s="13" t="s">
        <v>1092</v>
      </c>
      <c r="V921" s="13" t="s">
        <v>1092</v>
      </c>
      <c r="W921" s="60">
        <f>+J921/$W$2</f>
        <v>2.3713607131887712E-4</v>
      </c>
    </row>
    <row r="922" spans="1:29">
      <c r="A922" s="13" t="s">
        <v>1104</v>
      </c>
      <c r="B922" s="13" t="s">
        <v>675</v>
      </c>
      <c r="C922" s="145">
        <v>46252</v>
      </c>
      <c r="D922" s="145" t="s">
        <v>469</v>
      </c>
      <c r="E922" s="28">
        <v>0.90480912999999996</v>
      </c>
      <c r="F922" s="13"/>
      <c r="G922" s="18">
        <v>9943984.5</v>
      </c>
      <c r="H922" s="18">
        <v>8997407.9499999993</v>
      </c>
      <c r="I922" s="18">
        <v>9943984.5</v>
      </c>
      <c r="J922" s="18">
        <v>8997407.9499999993</v>
      </c>
      <c r="K922" s="15">
        <v>1819</v>
      </c>
      <c r="L922" s="13" t="s">
        <v>117</v>
      </c>
      <c r="M922" s="13" t="s">
        <v>118</v>
      </c>
      <c r="N922" s="145" t="s">
        <v>443</v>
      </c>
      <c r="O922" s="145" t="s">
        <v>443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1097</v>
      </c>
      <c r="V922" s="13" t="s">
        <v>1097</v>
      </c>
      <c r="W922" s="60">
        <f>+J922/$W$2</f>
        <v>2.3713607131887712E-4</v>
      </c>
      <c r="AC922" s="57"/>
    </row>
    <row r="923" spans="1:29">
      <c r="A923" s="13" t="s">
        <v>379</v>
      </c>
      <c r="B923" s="13" t="s">
        <v>675</v>
      </c>
      <c r="C923" s="145">
        <v>46252</v>
      </c>
      <c r="D923" s="145" t="s">
        <v>469</v>
      </c>
      <c r="E923" s="28">
        <v>0.90913639000000002</v>
      </c>
      <c r="F923" s="13"/>
      <c r="G923" s="18">
        <v>5450000</v>
      </c>
      <c r="H923" s="18">
        <v>4954793.3099999996</v>
      </c>
      <c r="I923" s="18">
        <v>5450000</v>
      </c>
      <c r="J923" s="18">
        <v>4954793.3099999996</v>
      </c>
      <c r="K923" s="15">
        <v>28517</v>
      </c>
      <c r="L923" s="13" t="s">
        <v>117</v>
      </c>
      <c r="M923" s="13" t="s">
        <v>118</v>
      </c>
      <c r="N923" s="145" t="s">
        <v>385</v>
      </c>
      <c r="O923" s="145" t="s">
        <v>385</v>
      </c>
      <c r="P923" s="28">
        <v>38</v>
      </c>
      <c r="Q923" s="13" t="s">
        <v>54</v>
      </c>
      <c r="R923" s="13" t="s">
        <v>28</v>
      </c>
      <c r="S923" s="13"/>
      <c r="T923" s="13"/>
      <c r="U923" s="13" t="s">
        <v>968</v>
      </c>
      <c r="V923" s="13" t="s">
        <v>968</v>
      </c>
      <c r="W923" s="60">
        <f>+J923/$W$2</f>
        <v>1.3058874580989242E-4</v>
      </c>
    </row>
    <row r="924" spans="1:29">
      <c r="A924" s="13" t="s">
        <v>1251</v>
      </c>
      <c r="B924" s="13" t="s">
        <v>675</v>
      </c>
      <c r="C924" s="145">
        <v>46252</v>
      </c>
      <c r="D924" s="145" t="s">
        <v>469</v>
      </c>
      <c r="E924" s="28">
        <v>0.92236942</v>
      </c>
      <c r="F924" s="13"/>
      <c r="G924" s="18">
        <v>15000000</v>
      </c>
      <c r="H924" s="18">
        <v>13835541.26</v>
      </c>
      <c r="I924" s="18">
        <v>15000000</v>
      </c>
      <c r="J924" s="18">
        <v>13835541.26</v>
      </c>
      <c r="K924" s="15">
        <v>176</v>
      </c>
      <c r="L924" s="13" t="s">
        <v>117</v>
      </c>
      <c r="M924" s="13" t="s">
        <v>118</v>
      </c>
      <c r="N924" s="145" t="s">
        <v>461</v>
      </c>
      <c r="O924" s="145" t="s">
        <v>461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1155</v>
      </c>
      <c r="V924" s="13" t="s">
        <v>1155</v>
      </c>
      <c r="W924" s="60">
        <f>+J924/$W$2</f>
        <v>3.6465012114590478E-4</v>
      </c>
    </row>
    <row r="925" spans="1:29">
      <c r="A925" s="13" t="s">
        <v>526</v>
      </c>
      <c r="B925" s="13" t="s">
        <v>675</v>
      </c>
      <c r="C925" s="145">
        <v>46252</v>
      </c>
      <c r="D925" s="145" t="s">
        <v>469</v>
      </c>
      <c r="E925" s="28">
        <v>0.89839519999999995</v>
      </c>
      <c r="F925" s="13"/>
      <c r="G925" s="18">
        <v>3500000</v>
      </c>
      <c r="H925" s="18">
        <v>3144383.21</v>
      </c>
      <c r="I925" s="18">
        <v>3500000</v>
      </c>
      <c r="J925" s="18">
        <v>3144383.21</v>
      </c>
      <c r="K925" s="15">
        <v>3075</v>
      </c>
      <c r="L925" s="13" t="s">
        <v>117</v>
      </c>
      <c r="M925" s="13" t="s">
        <v>118</v>
      </c>
      <c r="N925" s="145" t="s">
        <v>290</v>
      </c>
      <c r="O925" s="145" t="s">
        <v>290</v>
      </c>
      <c r="P925" s="28">
        <v>43</v>
      </c>
      <c r="Q925" s="13" t="s">
        <v>54</v>
      </c>
      <c r="R925" s="13" t="s">
        <v>28</v>
      </c>
      <c r="S925" s="13"/>
      <c r="T925" s="13"/>
      <c r="U925" s="13" t="s">
        <v>517</v>
      </c>
      <c r="V925" s="13" t="s">
        <v>517</v>
      </c>
      <c r="W925" s="60">
        <f>+J925/$W$2</f>
        <v>8.2873499266023588E-5</v>
      </c>
    </row>
    <row r="926" spans="1:29">
      <c r="A926" s="13" t="s">
        <v>1104</v>
      </c>
      <c r="B926" s="13" t="s">
        <v>675</v>
      </c>
      <c r="C926" s="145">
        <v>46253</v>
      </c>
      <c r="D926" s="145" t="s">
        <v>469</v>
      </c>
      <c r="E926" s="28">
        <v>0.90391301999999996</v>
      </c>
      <c r="F926" s="13"/>
      <c r="G926" s="18">
        <v>9943984.5</v>
      </c>
      <c r="H926" s="18">
        <v>8988497.0500000007</v>
      </c>
      <c r="I926" s="18">
        <v>9943984.5</v>
      </c>
      <c r="J926" s="18">
        <v>8988497.0500000007</v>
      </c>
      <c r="K926" s="15">
        <v>1821</v>
      </c>
      <c r="L926" s="13" t="s">
        <v>117</v>
      </c>
      <c r="M926" s="13" t="s">
        <v>118</v>
      </c>
      <c r="N926" s="145" t="s">
        <v>443</v>
      </c>
      <c r="O926" s="145" t="s">
        <v>443</v>
      </c>
      <c r="P926" s="28">
        <v>40</v>
      </c>
      <c r="Q926" s="13" t="s">
        <v>54</v>
      </c>
      <c r="R926" s="13" t="s">
        <v>28</v>
      </c>
      <c r="S926" s="13"/>
      <c r="T926" s="13"/>
      <c r="U926" s="13" t="s">
        <v>1093</v>
      </c>
      <c r="V926" s="13" t="s">
        <v>1093</v>
      </c>
      <c r="W926" s="60">
        <f>+J926/$W$2</f>
        <v>2.3690121525481311E-4</v>
      </c>
    </row>
    <row r="927" spans="1:29">
      <c r="A927" s="13" t="s">
        <v>1104</v>
      </c>
      <c r="B927" s="13" t="s">
        <v>675</v>
      </c>
      <c r="C927" s="145">
        <v>46253</v>
      </c>
      <c r="D927" s="145" t="s">
        <v>469</v>
      </c>
      <c r="E927" s="28">
        <v>0.90391301999999996</v>
      </c>
      <c r="F927" s="13"/>
      <c r="G927" s="18">
        <v>9943984.5</v>
      </c>
      <c r="H927" s="18">
        <v>8988497.0500000007</v>
      </c>
      <c r="I927" s="18">
        <v>9943984.5</v>
      </c>
      <c r="J927" s="18">
        <v>8988497.0500000007</v>
      </c>
      <c r="K927" s="15">
        <v>1822</v>
      </c>
      <c r="L927" s="13" t="s">
        <v>117</v>
      </c>
      <c r="M927" s="13" t="s">
        <v>118</v>
      </c>
      <c r="N927" s="145" t="s">
        <v>443</v>
      </c>
      <c r="O927" s="145" t="s">
        <v>443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1098</v>
      </c>
      <c r="V927" s="13" t="s">
        <v>1098</v>
      </c>
      <c r="W927" s="60">
        <f>+J927/$W$2</f>
        <v>2.3690121525481311E-4</v>
      </c>
    </row>
    <row r="928" spans="1:29">
      <c r="A928" s="13" t="s">
        <v>145</v>
      </c>
      <c r="B928" s="13" t="s">
        <v>675</v>
      </c>
      <c r="C928" s="145">
        <v>46253</v>
      </c>
      <c r="D928" s="145" t="s">
        <v>469</v>
      </c>
      <c r="E928" s="28">
        <v>0.82830302</v>
      </c>
      <c r="F928" s="13"/>
      <c r="G928" s="18">
        <v>10000000</v>
      </c>
      <c r="H928" s="18">
        <v>8283030.1699999999</v>
      </c>
      <c r="I928" s="18">
        <v>10000000</v>
      </c>
      <c r="J928" s="18">
        <v>8283030.1699999999</v>
      </c>
      <c r="K928" s="15">
        <v>3936</v>
      </c>
      <c r="L928" s="13" t="s">
        <v>117</v>
      </c>
      <c r="M928" s="13" t="s">
        <v>118</v>
      </c>
      <c r="N928" s="145" t="s">
        <v>159</v>
      </c>
      <c r="O928" s="145" t="s">
        <v>159</v>
      </c>
      <c r="P928" s="28">
        <v>78</v>
      </c>
      <c r="Q928" s="13" t="s">
        <v>54</v>
      </c>
      <c r="R928" s="13" t="s">
        <v>28</v>
      </c>
      <c r="S928" s="13"/>
      <c r="T928" s="13"/>
      <c r="U928" s="13" t="s">
        <v>243</v>
      </c>
      <c r="V928" s="13" t="s">
        <v>243</v>
      </c>
      <c r="W928" s="60">
        <f>+J928/$W$2</f>
        <v>2.1830789979124276E-4</v>
      </c>
    </row>
    <row r="929" spans="1:35">
      <c r="A929" s="13" t="s">
        <v>391</v>
      </c>
      <c r="B929" s="13" t="s">
        <v>675</v>
      </c>
      <c r="C929" s="145">
        <v>46253</v>
      </c>
      <c r="D929" s="145" t="s">
        <v>469</v>
      </c>
      <c r="E929" s="28">
        <v>0.91937237999999999</v>
      </c>
      <c r="F929" s="13"/>
      <c r="G929" s="18">
        <v>50000000</v>
      </c>
      <c r="H929" s="18">
        <v>45968619</v>
      </c>
      <c r="I929" s="18">
        <v>50000000</v>
      </c>
      <c r="J929" s="18">
        <v>45968619</v>
      </c>
      <c r="K929" s="15">
        <v>29007570</v>
      </c>
      <c r="L929" s="13" t="s">
        <v>117</v>
      </c>
      <c r="M929" s="13" t="s">
        <v>118</v>
      </c>
      <c r="N929" s="145" t="s">
        <v>209</v>
      </c>
      <c r="O929" s="145" t="s">
        <v>209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853</v>
      </c>
      <c r="V929" s="13" t="s">
        <v>853</v>
      </c>
      <c r="W929" s="60">
        <f>+J929/$W$2</f>
        <v>1.2115509015698559E-3</v>
      </c>
      <c r="AC929" s="57"/>
      <c r="AE929" s="16"/>
      <c r="AF929" s="28"/>
      <c r="AG929" s="13"/>
      <c r="AH929" s="18"/>
      <c r="AI929" s="18"/>
    </row>
    <row r="930" spans="1:35">
      <c r="A930" s="13" t="s">
        <v>957</v>
      </c>
      <c r="B930" s="13" t="s">
        <v>675</v>
      </c>
      <c r="C930" s="145">
        <v>46253</v>
      </c>
      <c r="D930" s="145" t="s">
        <v>469</v>
      </c>
      <c r="E930" s="28">
        <v>0.92162409000000001</v>
      </c>
      <c r="F930" s="13"/>
      <c r="G930" s="18">
        <v>3243208.42</v>
      </c>
      <c r="H930" s="18">
        <v>2989018.99</v>
      </c>
      <c r="I930" s="18">
        <v>3243208.42</v>
      </c>
      <c r="J930" s="18">
        <v>2989018.99</v>
      </c>
      <c r="K930" s="15">
        <v>143910</v>
      </c>
      <c r="L930" s="13" t="s">
        <v>117</v>
      </c>
      <c r="M930" s="13" t="s">
        <v>118</v>
      </c>
      <c r="N930" s="145" t="s">
        <v>461</v>
      </c>
      <c r="O930" s="145" t="s">
        <v>461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1109</v>
      </c>
      <c r="V930" s="13" t="s">
        <v>1109</v>
      </c>
      <c r="W930" s="60">
        <f>+J930/$W$2</f>
        <v>7.8778713194405968E-5</v>
      </c>
      <c r="AC930" s="57"/>
    </row>
    <row r="931" spans="1:35">
      <c r="A931" s="13" t="s">
        <v>1330</v>
      </c>
      <c r="B931" s="13" t="s">
        <v>675</v>
      </c>
      <c r="C931" s="145">
        <v>46253</v>
      </c>
      <c r="D931" s="145" t="s">
        <v>469</v>
      </c>
      <c r="E931" s="28">
        <v>0.92844614000000003</v>
      </c>
      <c r="F931" s="13"/>
      <c r="G931" s="18">
        <v>5000000</v>
      </c>
      <c r="H931" s="18">
        <v>4642230.71</v>
      </c>
      <c r="I931" s="18">
        <v>5000000</v>
      </c>
      <c r="J931" s="18">
        <v>4642230.71</v>
      </c>
      <c r="K931" s="15">
        <v>6880</v>
      </c>
      <c r="L931" s="13" t="s">
        <v>117</v>
      </c>
      <c r="M931" s="13" t="s">
        <v>118</v>
      </c>
      <c r="N931" s="145" t="s">
        <v>411</v>
      </c>
      <c r="O931" s="145" t="s">
        <v>411</v>
      </c>
      <c r="P931" s="28">
        <v>29</v>
      </c>
      <c r="Q931" s="13" t="s">
        <v>54</v>
      </c>
      <c r="R931" s="13" t="s">
        <v>28</v>
      </c>
      <c r="S931" s="13"/>
      <c r="T931" s="13"/>
      <c r="U931" s="13" t="s">
        <v>1407</v>
      </c>
      <c r="V931" s="13" t="s">
        <v>1407</v>
      </c>
      <c r="W931" s="60">
        <f>+J931/$W$2</f>
        <v>1.2235083246672632E-4</v>
      </c>
    </row>
    <row r="932" spans="1:35">
      <c r="A932" s="13" t="s">
        <v>406</v>
      </c>
      <c r="B932" s="13" t="s">
        <v>675</v>
      </c>
      <c r="C932" s="145">
        <v>46253</v>
      </c>
      <c r="D932" s="145" t="s">
        <v>469</v>
      </c>
      <c r="E932" s="28">
        <v>0.92616109999999996</v>
      </c>
      <c r="F932" s="13"/>
      <c r="G932" s="18">
        <v>60000000</v>
      </c>
      <c r="H932" s="18">
        <v>55569665.920000002</v>
      </c>
      <c r="I932" s="18">
        <v>60000000</v>
      </c>
      <c r="J932" s="18">
        <v>55569665.920000002</v>
      </c>
      <c r="K932" s="15">
        <v>60</v>
      </c>
      <c r="L932" s="13" t="s">
        <v>117</v>
      </c>
      <c r="M932" s="13" t="s">
        <v>118</v>
      </c>
      <c r="N932" s="145" t="s">
        <v>410</v>
      </c>
      <c r="O932" s="145" t="s">
        <v>410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1790</v>
      </c>
      <c r="V932" s="13" t="s">
        <v>1790</v>
      </c>
      <c r="W932" s="60">
        <f>+J932/$W$2</f>
        <v>1.4645965075720832E-3</v>
      </c>
    </row>
    <row r="933" spans="1:35">
      <c r="A933" s="13" t="s">
        <v>406</v>
      </c>
      <c r="B933" s="13" t="s">
        <v>675</v>
      </c>
      <c r="C933" s="145">
        <v>46253</v>
      </c>
      <c r="D933" s="145" t="s">
        <v>469</v>
      </c>
      <c r="E933" s="28">
        <v>0.92844607000000001</v>
      </c>
      <c r="F933" s="13"/>
      <c r="G933" s="18">
        <v>5500000</v>
      </c>
      <c r="H933" s="18">
        <v>5106453.3899999997</v>
      </c>
      <c r="I933" s="18">
        <v>5500000</v>
      </c>
      <c r="J933" s="18">
        <v>5106453.3899999997</v>
      </c>
      <c r="K933" s="15">
        <v>66554053</v>
      </c>
      <c r="L933" s="13" t="s">
        <v>117</v>
      </c>
      <c r="M933" s="13" t="s">
        <v>118</v>
      </c>
      <c r="N933" s="145" t="s">
        <v>216</v>
      </c>
      <c r="O933" s="145" t="s">
        <v>216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1607</v>
      </c>
      <c r="V933" s="13" t="s">
        <v>1607</v>
      </c>
      <c r="W933" s="60">
        <f>+J933/$W$2</f>
        <v>1.3458590540818611E-4</v>
      </c>
    </row>
    <row r="934" spans="1:35">
      <c r="A934" s="13" t="s">
        <v>1101</v>
      </c>
      <c r="B934" s="13" t="s">
        <v>675</v>
      </c>
      <c r="C934" s="145">
        <v>46253</v>
      </c>
      <c r="D934" s="145" t="s">
        <v>469</v>
      </c>
      <c r="E934" s="28">
        <v>0.92844607000000001</v>
      </c>
      <c r="F934" s="13"/>
      <c r="G934" s="18">
        <v>2500000</v>
      </c>
      <c r="H934" s="18">
        <v>2321115.1800000002</v>
      </c>
      <c r="I934" s="18">
        <v>2500000</v>
      </c>
      <c r="J934" s="18">
        <v>2321115.1800000002</v>
      </c>
      <c r="K934" s="15">
        <v>366</v>
      </c>
      <c r="L934" s="13" t="s">
        <v>117</v>
      </c>
      <c r="M934" s="13" t="s">
        <v>118</v>
      </c>
      <c r="N934" s="145" t="s">
        <v>461</v>
      </c>
      <c r="O934" s="145" t="s">
        <v>461</v>
      </c>
      <c r="P934" s="28">
        <v>29</v>
      </c>
      <c r="Q934" s="13" t="s">
        <v>54</v>
      </c>
      <c r="R934" s="13" t="s">
        <v>28</v>
      </c>
      <c r="S934" s="13"/>
      <c r="T934" s="13"/>
      <c r="U934" s="13" t="s">
        <v>1112</v>
      </c>
      <c r="V934" s="13" t="s">
        <v>1112</v>
      </c>
      <c r="W934" s="60">
        <f>+J934/$W$2</f>
        <v>6.1175411621055637E-5</v>
      </c>
    </row>
    <row r="935" spans="1:35">
      <c r="A935" s="13" t="s">
        <v>722</v>
      </c>
      <c r="B935" s="13" t="s">
        <v>675</v>
      </c>
      <c r="C935" s="145">
        <v>46253</v>
      </c>
      <c r="D935" s="145" t="s">
        <v>469</v>
      </c>
      <c r="E935" s="28">
        <v>0.90391299999999997</v>
      </c>
      <c r="F935" s="13"/>
      <c r="G935" s="18">
        <v>40000000</v>
      </c>
      <c r="H935" s="18">
        <v>36156519.810000002</v>
      </c>
      <c r="I935" s="18">
        <v>40000000</v>
      </c>
      <c r="J935" s="18">
        <v>36156519.810000002</v>
      </c>
      <c r="K935" s="15">
        <v>223</v>
      </c>
      <c r="L935" s="13" t="s">
        <v>117</v>
      </c>
      <c r="M935" s="13" t="s">
        <v>118</v>
      </c>
      <c r="N935" s="145" t="s">
        <v>403</v>
      </c>
      <c r="O935" s="145" t="s">
        <v>403</v>
      </c>
      <c r="P935" s="28">
        <v>40</v>
      </c>
      <c r="Q935" s="13" t="s">
        <v>54</v>
      </c>
      <c r="R935" s="13" t="s">
        <v>28</v>
      </c>
      <c r="S935" s="13"/>
      <c r="T935" s="13"/>
      <c r="U935" s="13" t="s">
        <v>726</v>
      </c>
      <c r="V935" s="13" t="s">
        <v>726</v>
      </c>
      <c r="W935" s="60">
        <f>+J935/$W$2</f>
        <v>9.5294279285252975E-4</v>
      </c>
    </row>
    <row r="936" spans="1:35">
      <c r="A936" s="13" t="s">
        <v>526</v>
      </c>
      <c r="B936" s="13" t="s">
        <v>675</v>
      </c>
      <c r="C936" s="145">
        <v>46253</v>
      </c>
      <c r="D936" s="145" t="s">
        <v>469</v>
      </c>
      <c r="E936" s="28">
        <v>0.89744550000000001</v>
      </c>
      <c r="F936" s="13"/>
      <c r="G936" s="18">
        <v>3500000</v>
      </c>
      <c r="H936" s="18">
        <v>3141059.25</v>
      </c>
      <c r="I936" s="18">
        <v>3500000</v>
      </c>
      <c r="J936" s="18">
        <v>3141059.25</v>
      </c>
      <c r="K936" s="15">
        <v>3076</v>
      </c>
      <c r="L936" s="13" t="s">
        <v>117</v>
      </c>
      <c r="M936" s="13" t="s">
        <v>118</v>
      </c>
      <c r="N936" s="145" t="s">
        <v>290</v>
      </c>
      <c r="O936" s="145" t="s">
        <v>290</v>
      </c>
      <c r="P936" s="28">
        <v>43</v>
      </c>
      <c r="Q936" s="13" t="s">
        <v>54</v>
      </c>
      <c r="R936" s="13" t="s">
        <v>28</v>
      </c>
      <c r="S936" s="13"/>
      <c r="T936" s="13"/>
      <c r="U936" s="13" t="s">
        <v>521</v>
      </c>
      <c r="V936" s="13" t="s">
        <v>521</v>
      </c>
      <c r="W936" s="60">
        <f>+J936/$W$2</f>
        <v>8.2785892833148533E-5</v>
      </c>
    </row>
    <row r="937" spans="1:35">
      <c r="A937" s="13" t="s">
        <v>1792</v>
      </c>
      <c r="B937" s="13" t="s">
        <v>675</v>
      </c>
      <c r="C937" s="145">
        <v>46254</v>
      </c>
      <c r="D937" s="145" t="s">
        <v>469</v>
      </c>
      <c r="E937" s="28">
        <v>0.92545661999999995</v>
      </c>
      <c r="F937" s="13"/>
      <c r="G937" s="18">
        <v>17969542.75</v>
      </c>
      <c r="H937" s="18">
        <v>16630032.24</v>
      </c>
      <c r="I937" s="18">
        <v>17969542.75</v>
      </c>
      <c r="J937" s="18">
        <v>16630032.24</v>
      </c>
      <c r="K937" s="15">
        <v>691</v>
      </c>
      <c r="L937" s="13" t="s">
        <v>117</v>
      </c>
      <c r="M937" s="13" t="s">
        <v>118</v>
      </c>
      <c r="N937" s="145" t="s">
        <v>429</v>
      </c>
      <c r="O937" s="145" t="s">
        <v>429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1793</v>
      </c>
      <c r="V937" s="13" t="s">
        <v>1793</v>
      </c>
      <c r="W937" s="60">
        <f>+J937/$W$2</f>
        <v>4.3830184573323322E-4</v>
      </c>
      <c r="AC937"/>
    </row>
    <row r="938" spans="1:35">
      <c r="A938" s="13" t="s">
        <v>676</v>
      </c>
      <c r="B938" s="13" t="s">
        <v>675</v>
      </c>
      <c r="C938" s="145">
        <v>46254</v>
      </c>
      <c r="D938" s="145" t="s">
        <v>469</v>
      </c>
      <c r="E938" s="28">
        <v>0.92545643</v>
      </c>
      <c r="F938" s="13"/>
      <c r="G938" s="18">
        <v>10000000</v>
      </c>
      <c r="H938" s="18">
        <v>9254564.2899999991</v>
      </c>
      <c r="I938" s="18">
        <v>10000000</v>
      </c>
      <c r="J938" s="18">
        <v>9254564.2899999991</v>
      </c>
      <c r="K938" s="15">
        <v>501</v>
      </c>
      <c r="L938" s="13" t="s">
        <v>117</v>
      </c>
      <c r="M938" s="13" t="s">
        <v>118</v>
      </c>
      <c r="N938" s="145" t="s">
        <v>469</v>
      </c>
      <c r="O938" s="145" t="s">
        <v>469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1905</v>
      </c>
      <c r="V938" s="13" t="s">
        <v>1905</v>
      </c>
      <c r="W938" s="60">
        <f>+J938/$W$2</f>
        <v>2.4391369488793418E-4</v>
      </c>
    </row>
    <row r="939" spans="1:35">
      <c r="A939" s="13" t="s">
        <v>676</v>
      </c>
      <c r="B939" s="13" t="s">
        <v>675</v>
      </c>
      <c r="C939" s="145">
        <v>46254</v>
      </c>
      <c r="D939" s="145" t="s">
        <v>469</v>
      </c>
      <c r="E939" s="28">
        <v>0.92545653999999999</v>
      </c>
      <c r="F939" s="13"/>
      <c r="G939" s="18">
        <v>10000000</v>
      </c>
      <c r="H939" s="18">
        <v>9254565.4100000001</v>
      </c>
      <c r="I939" s="18">
        <v>10000000</v>
      </c>
      <c r="J939" s="18">
        <v>9254565.4100000001</v>
      </c>
      <c r="K939" s="15">
        <v>472</v>
      </c>
      <c r="L939" s="13" t="s">
        <v>117</v>
      </c>
      <c r="M939" s="13" t="s">
        <v>118</v>
      </c>
      <c r="N939" s="145" t="s">
        <v>446</v>
      </c>
      <c r="O939" s="145" t="s">
        <v>446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1849</v>
      </c>
      <c r="V939" s="13" t="s">
        <v>1849</v>
      </c>
      <c r="W939" s="60">
        <f>+J939/$W$2</f>
        <v>2.4391372440670241E-4</v>
      </c>
      <c r="AC939" s="57"/>
    </row>
    <row r="940" spans="1:35">
      <c r="A940" s="13" t="s">
        <v>795</v>
      </c>
      <c r="B940" s="13" t="s">
        <v>675</v>
      </c>
      <c r="C940" s="145">
        <v>46254</v>
      </c>
      <c r="D940" s="145" t="s">
        <v>469</v>
      </c>
      <c r="E940" s="28">
        <v>0.91409976999999998</v>
      </c>
      <c r="F940" s="13"/>
      <c r="G940" s="18">
        <v>1500000</v>
      </c>
      <c r="H940" s="18">
        <v>1371149.66</v>
      </c>
      <c r="I940" s="18">
        <v>1500000</v>
      </c>
      <c r="J940" s="18">
        <v>1371149.66</v>
      </c>
      <c r="K940" s="15">
        <v>2</v>
      </c>
      <c r="L940" s="13" t="s">
        <v>117</v>
      </c>
      <c r="M940" s="13" t="s">
        <v>118</v>
      </c>
      <c r="N940" s="145" t="s">
        <v>533</v>
      </c>
      <c r="O940" s="145" t="s">
        <v>533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1516</v>
      </c>
      <c r="V940" s="13" t="s">
        <v>1516</v>
      </c>
      <c r="W940" s="60">
        <f>+J940/$W$2</f>
        <v>3.6138079474612918E-5</v>
      </c>
      <c r="AB940" s="53"/>
      <c r="AC940" s="57"/>
    </row>
    <row r="941" spans="1:35">
      <c r="A941" s="13" t="s">
        <v>1104</v>
      </c>
      <c r="B941" s="13" t="s">
        <v>675</v>
      </c>
      <c r="C941" s="145">
        <v>46254</v>
      </c>
      <c r="D941" s="145" t="s">
        <v>469</v>
      </c>
      <c r="E941" s="28">
        <v>0.90301843000000004</v>
      </c>
      <c r="F941" s="13"/>
      <c r="G941" s="18">
        <v>7551944</v>
      </c>
      <c r="H941" s="18">
        <v>6819544.6200000001</v>
      </c>
      <c r="I941" s="18">
        <v>7551944</v>
      </c>
      <c r="J941" s="18">
        <v>6819544.6200000001</v>
      </c>
      <c r="K941" s="15">
        <v>1824</v>
      </c>
      <c r="L941" s="13" t="s">
        <v>117</v>
      </c>
      <c r="M941" s="13" t="s">
        <v>118</v>
      </c>
      <c r="N941" s="145" t="s">
        <v>443</v>
      </c>
      <c r="O941" s="145" t="s">
        <v>443</v>
      </c>
      <c r="P941" s="28">
        <v>40</v>
      </c>
      <c r="Q941" s="13" t="s">
        <v>54</v>
      </c>
      <c r="R941" s="13" t="s">
        <v>28</v>
      </c>
      <c r="S941" s="13"/>
      <c r="T941" s="13"/>
      <c r="U941" s="13" t="s">
        <v>1090</v>
      </c>
      <c r="V941" s="13" t="s">
        <v>1090</v>
      </c>
      <c r="W941" s="60">
        <f>+J941/$W$2</f>
        <v>1.7973621162421392E-4</v>
      </c>
    </row>
    <row r="942" spans="1:35">
      <c r="A942" s="13" t="s">
        <v>1104</v>
      </c>
      <c r="B942" s="13" t="s">
        <v>675</v>
      </c>
      <c r="C942" s="145">
        <v>46254</v>
      </c>
      <c r="D942" s="145" t="s">
        <v>469</v>
      </c>
      <c r="E942" s="28">
        <v>0.90301843000000004</v>
      </c>
      <c r="F942" s="13"/>
      <c r="G942" s="18">
        <v>7551944</v>
      </c>
      <c r="H942" s="18">
        <v>6819544.6200000001</v>
      </c>
      <c r="I942" s="18">
        <v>7551944</v>
      </c>
      <c r="J942" s="18">
        <v>6819544.6200000001</v>
      </c>
      <c r="K942" s="15">
        <v>1823</v>
      </c>
      <c r="L942" s="13" t="s">
        <v>117</v>
      </c>
      <c r="M942" s="13" t="s">
        <v>118</v>
      </c>
      <c r="N942" s="145" t="s">
        <v>443</v>
      </c>
      <c r="O942" s="145" t="s">
        <v>443</v>
      </c>
      <c r="P942" s="28">
        <v>40</v>
      </c>
      <c r="Q942" s="13" t="s">
        <v>54</v>
      </c>
      <c r="R942" s="13" t="s">
        <v>28</v>
      </c>
      <c r="S942" s="13"/>
      <c r="T942" s="13"/>
      <c r="U942" s="13" t="s">
        <v>1099</v>
      </c>
      <c r="V942" s="13" t="s">
        <v>1099</v>
      </c>
      <c r="W942" s="60">
        <f>+J942/$W$2</f>
        <v>1.7973621162421392E-4</v>
      </c>
    </row>
    <row r="943" spans="1:35">
      <c r="A943" s="13" t="s">
        <v>1330</v>
      </c>
      <c r="B943" s="13" t="s">
        <v>675</v>
      </c>
      <c r="C943" s="145">
        <v>46254</v>
      </c>
      <c r="D943" s="145" t="s">
        <v>469</v>
      </c>
      <c r="E943" s="28">
        <v>0.92776170999999996</v>
      </c>
      <c r="F943" s="13"/>
      <c r="G943" s="18">
        <v>6410198.7999999998</v>
      </c>
      <c r="H943" s="18">
        <v>5947136.9699999997</v>
      </c>
      <c r="I943" s="18">
        <v>6410198.7999999998</v>
      </c>
      <c r="J943" s="18">
        <v>5947136.9699999997</v>
      </c>
      <c r="K943" s="15">
        <v>5612</v>
      </c>
      <c r="L943" s="13" t="s">
        <v>117</v>
      </c>
      <c r="M943" s="13" t="s">
        <v>118</v>
      </c>
      <c r="N943" s="145" t="s">
        <v>411</v>
      </c>
      <c r="O943" s="145" t="s">
        <v>411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1402</v>
      </c>
      <c r="V943" s="13" t="s">
        <v>1402</v>
      </c>
      <c r="W943" s="60">
        <f>+J943/$W$2</f>
        <v>1.567429980387908E-4</v>
      </c>
    </row>
    <row r="944" spans="1:35">
      <c r="A944" s="13" t="s">
        <v>1330</v>
      </c>
      <c r="B944" s="13" t="s">
        <v>675</v>
      </c>
      <c r="C944" s="145">
        <v>46254</v>
      </c>
      <c r="D944" s="145" t="s">
        <v>469</v>
      </c>
      <c r="E944" s="28">
        <v>0.92776170999999996</v>
      </c>
      <c r="F944" s="13"/>
      <c r="G944" s="18">
        <v>5184831.3600000003</v>
      </c>
      <c r="H944" s="18">
        <v>4810287.9800000004</v>
      </c>
      <c r="I944" s="18">
        <v>5184831.3600000003</v>
      </c>
      <c r="J944" s="18">
        <v>4810287.9800000004</v>
      </c>
      <c r="K944" s="15">
        <v>6881</v>
      </c>
      <c r="L944" s="13" t="s">
        <v>117</v>
      </c>
      <c r="M944" s="13" t="s">
        <v>118</v>
      </c>
      <c r="N944" s="145" t="s">
        <v>411</v>
      </c>
      <c r="O944" s="145" t="s">
        <v>411</v>
      </c>
      <c r="P944" s="28">
        <v>29</v>
      </c>
      <c r="Q944" s="13" t="s">
        <v>54</v>
      </c>
      <c r="R944" s="13" t="s">
        <v>28</v>
      </c>
      <c r="S944" s="13"/>
      <c r="T944" s="13"/>
      <c r="U944" s="13" t="s">
        <v>1403</v>
      </c>
      <c r="V944" s="13" t="s">
        <v>1403</v>
      </c>
      <c r="W944" s="60">
        <f>+J944/$W$2</f>
        <v>1.2678015711065069E-4</v>
      </c>
    </row>
    <row r="945" spans="1:29">
      <c r="A945" s="13" t="s">
        <v>1330</v>
      </c>
      <c r="B945" s="13" t="s">
        <v>675</v>
      </c>
      <c r="C945" s="145">
        <v>46254</v>
      </c>
      <c r="D945" s="145" t="s">
        <v>469</v>
      </c>
      <c r="E945" s="28">
        <v>0.92545646999999998</v>
      </c>
      <c r="F945" s="13"/>
      <c r="G945" s="18">
        <v>1040000</v>
      </c>
      <c r="H945" s="18">
        <v>962474.73</v>
      </c>
      <c r="I945" s="18">
        <v>1040000</v>
      </c>
      <c r="J945" s="18">
        <v>962474.73</v>
      </c>
      <c r="K945" s="15">
        <v>13301548</v>
      </c>
      <c r="L945" s="13" t="s">
        <v>117</v>
      </c>
      <c r="M945" s="13" t="s">
        <v>118</v>
      </c>
      <c r="N945" s="145" t="s">
        <v>428</v>
      </c>
      <c r="O945" s="145" t="s">
        <v>428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1649</v>
      </c>
      <c r="V945" s="13" t="s">
        <v>1649</v>
      </c>
      <c r="W945" s="60">
        <f>+J945/$W$2</f>
        <v>2.5367025423794082E-5</v>
      </c>
    </row>
    <row r="946" spans="1:29">
      <c r="A946" s="13" t="s">
        <v>1330</v>
      </c>
      <c r="B946" s="13" t="s">
        <v>675</v>
      </c>
      <c r="C946" s="145">
        <v>46254</v>
      </c>
      <c r="D946" s="145" t="s">
        <v>469</v>
      </c>
      <c r="E946" s="28">
        <v>0.92545646999999998</v>
      </c>
      <c r="F946" s="13"/>
      <c r="G946" s="18">
        <v>1040000</v>
      </c>
      <c r="H946" s="18">
        <v>962474.73</v>
      </c>
      <c r="I946" s="18">
        <v>1040000</v>
      </c>
      <c r="J946" s="18">
        <v>962474.73</v>
      </c>
      <c r="K946" s="15">
        <v>19101547</v>
      </c>
      <c r="L946" s="13" t="s">
        <v>117</v>
      </c>
      <c r="M946" s="13" t="s">
        <v>118</v>
      </c>
      <c r="N946" s="145" t="s">
        <v>428</v>
      </c>
      <c r="O946" s="145" t="s">
        <v>428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1655</v>
      </c>
      <c r="V946" s="13" t="s">
        <v>1655</v>
      </c>
      <c r="W946" s="60">
        <f>+J946/$W$2</f>
        <v>2.5367025423794082E-5</v>
      </c>
    </row>
    <row r="947" spans="1:29">
      <c r="A947" s="13" t="s">
        <v>406</v>
      </c>
      <c r="B947" s="13" t="s">
        <v>675</v>
      </c>
      <c r="C947" s="145">
        <v>46254</v>
      </c>
      <c r="D947" s="145" t="s">
        <v>469</v>
      </c>
      <c r="E947" s="28">
        <v>0.92776179000000003</v>
      </c>
      <c r="F947" s="13"/>
      <c r="G947" s="18">
        <v>10000000</v>
      </c>
      <c r="H947" s="18">
        <v>9277617.8599999994</v>
      </c>
      <c r="I947" s="18">
        <v>10000000</v>
      </c>
      <c r="J947" s="18">
        <v>9277617.8599999994</v>
      </c>
      <c r="K947" s="15">
        <v>2149</v>
      </c>
      <c r="L947" s="13" t="s">
        <v>117</v>
      </c>
      <c r="M947" s="13" t="s">
        <v>118</v>
      </c>
      <c r="N947" s="145" t="s">
        <v>490</v>
      </c>
      <c r="O947" s="145" t="s">
        <v>490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1590</v>
      </c>
      <c r="V947" s="13" t="s">
        <v>1590</v>
      </c>
      <c r="W947" s="60">
        <f>+J947/$W$2</f>
        <v>2.4452129577143917E-4</v>
      </c>
    </row>
    <row r="948" spans="1:29">
      <c r="A948" s="13" t="s">
        <v>406</v>
      </c>
      <c r="B948" s="13" t="s">
        <v>675</v>
      </c>
      <c r="C948" s="145">
        <v>46254</v>
      </c>
      <c r="D948" s="145" t="s">
        <v>469</v>
      </c>
      <c r="E948" s="28">
        <v>0.92776179000000003</v>
      </c>
      <c r="F948" s="13"/>
      <c r="G948" s="18">
        <v>10000000</v>
      </c>
      <c r="H948" s="18">
        <v>9277617.8599999994</v>
      </c>
      <c r="I948" s="18">
        <v>10000000</v>
      </c>
      <c r="J948" s="18">
        <v>9277617.8599999994</v>
      </c>
      <c r="K948" s="15">
        <v>2150</v>
      </c>
      <c r="L948" s="13" t="s">
        <v>117</v>
      </c>
      <c r="M948" s="13" t="s">
        <v>118</v>
      </c>
      <c r="N948" s="145" t="s">
        <v>490</v>
      </c>
      <c r="O948" s="145" t="s">
        <v>490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1598</v>
      </c>
      <c r="V948" s="13" t="s">
        <v>1598</v>
      </c>
      <c r="W948" s="60">
        <f>+J948/$W$2</f>
        <v>2.4452129577143917E-4</v>
      </c>
    </row>
    <row r="949" spans="1:29">
      <c r="A949" s="13" t="s">
        <v>265</v>
      </c>
      <c r="B949" s="13" t="s">
        <v>675</v>
      </c>
      <c r="C949" s="145">
        <v>46254</v>
      </c>
      <c r="D949" s="145" t="s">
        <v>469</v>
      </c>
      <c r="E949" s="28">
        <v>0.93474710000000005</v>
      </c>
      <c r="F949" s="13"/>
      <c r="G949" s="18">
        <v>28712357.309999999</v>
      </c>
      <c r="H949" s="18">
        <v>26838792.870000001</v>
      </c>
      <c r="I949" s="18">
        <v>28712357.309999999</v>
      </c>
      <c r="J949" s="18">
        <v>26838792.870000001</v>
      </c>
      <c r="K949" s="15">
        <v>568307</v>
      </c>
      <c r="L949" s="13" t="s">
        <v>117</v>
      </c>
      <c r="M949" s="13" t="s">
        <v>118</v>
      </c>
      <c r="N949" s="145" t="s">
        <v>457</v>
      </c>
      <c r="O949" s="145" t="s">
        <v>457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1564</v>
      </c>
      <c r="V949" s="13" t="s">
        <v>1564</v>
      </c>
      <c r="W949" s="60">
        <f>+J949/$W$2</f>
        <v>7.0736438044169056E-4</v>
      </c>
    </row>
    <row r="950" spans="1:29">
      <c r="A950" s="13" t="s">
        <v>265</v>
      </c>
      <c r="B950" s="13" t="s">
        <v>675</v>
      </c>
      <c r="C950" s="145">
        <v>46254</v>
      </c>
      <c r="D950" s="145" t="s">
        <v>469</v>
      </c>
      <c r="E950" s="28">
        <v>0.93474710000000005</v>
      </c>
      <c r="F950" s="13"/>
      <c r="G950" s="18">
        <v>50399108.950000003</v>
      </c>
      <c r="H950" s="18">
        <v>47110421.18</v>
      </c>
      <c r="I950" s="18">
        <v>50399108.950000003</v>
      </c>
      <c r="J950" s="18">
        <v>47110421.18</v>
      </c>
      <c r="K950" s="15">
        <v>568283</v>
      </c>
      <c r="L950" s="13" t="s">
        <v>117</v>
      </c>
      <c r="M950" s="13" t="s">
        <v>118</v>
      </c>
      <c r="N950" s="145" t="s">
        <v>457</v>
      </c>
      <c r="O950" s="145" t="s">
        <v>457</v>
      </c>
      <c r="P950" s="28">
        <v>26</v>
      </c>
      <c r="Q950" s="13" t="s">
        <v>54</v>
      </c>
      <c r="R950" s="13" t="s">
        <v>28</v>
      </c>
      <c r="S950" s="13"/>
      <c r="T950" s="13"/>
      <c r="U950" s="13" t="s">
        <v>1565</v>
      </c>
      <c r="V950" s="13" t="s">
        <v>1565</v>
      </c>
      <c r="W950" s="60">
        <f>+J950/$W$2</f>
        <v>1.2416442889868987E-3</v>
      </c>
      <c r="AC950" s="57"/>
    </row>
    <row r="951" spans="1:29">
      <c r="A951" s="13" t="s">
        <v>265</v>
      </c>
      <c r="B951" s="13" t="s">
        <v>675</v>
      </c>
      <c r="C951" s="145">
        <v>46254</v>
      </c>
      <c r="D951" s="145" t="s">
        <v>469</v>
      </c>
      <c r="E951" s="28">
        <v>0.93474710000000005</v>
      </c>
      <c r="F951" s="13"/>
      <c r="G951" s="18">
        <v>4643215.3099999996</v>
      </c>
      <c r="H951" s="18">
        <v>4340232.07</v>
      </c>
      <c r="I951" s="18">
        <v>4643215.3099999996</v>
      </c>
      <c r="J951" s="18">
        <v>4340232.07</v>
      </c>
      <c r="K951" s="15">
        <v>568282</v>
      </c>
      <c r="L951" s="13" t="s">
        <v>117</v>
      </c>
      <c r="M951" s="13" t="s">
        <v>118</v>
      </c>
      <c r="N951" s="145" t="s">
        <v>457</v>
      </c>
      <c r="O951" s="145" t="s">
        <v>457</v>
      </c>
      <c r="P951" s="28">
        <v>26</v>
      </c>
      <c r="Q951" s="13" t="s">
        <v>54</v>
      </c>
      <c r="R951" s="13" t="s">
        <v>28</v>
      </c>
      <c r="S951" s="13"/>
      <c r="T951" s="13"/>
      <c r="U951" s="13" t="s">
        <v>1566</v>
      </c>
      <c r="V951" s="13" t="s">
        <v>1566</v>
      </c>
      <c r="W951" s="60">
        <f>+J951/$W$2</f>
        <v>1.1439134330815774E-4</v>
      </c>
      <c r="AC951" s="57"/>
    </row>
    <row r="952" spans="1:29">
      <c r="A952" s="13" t="s">
        <v>265</v>
      </c>
      <c r="B952" s="13" t="s">
        <v>675</v>
      </c>
      <c r="C952" s="145">
        <v>46254</v>
      </c>
      <c r="D952" s="145" t="s">
        <v>469</v>
      </c>
      <c r="E952" s="28">
        <v>0.93474710000000005</v>
      </c>
      <c r="F952" s="13"/>
      <c r="G952" s="18">
        <v>2120477.86</v>
      </c>
      <c r="H952" s="18">
        <v>1982110.54</v>
      </c>
      <c r="I952" s="18">
        <v>2120477.86</v>
      </c>
      <c r="J952" s="18">
        <v>1982110.54</v>
      </c>
      <c r="K952" s="15">
        <v>568321</v>
      </c>
      <c r="L952" s="13" t="s">
        <v>117</v>
      </c>
      <c r="M952" s="13" t="s">
        <v>118</v>
      </c>
      <c r="N952" s="145" t="s">
        <v>457</v>
      </c>
      <c r="O952" s="145" t="s">
        <v>457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1567</v>
      </c>
      <c r="V952" s="13" t="s">
        <v>1567</v>
      </c>
      <c r="W952" s="60">
        <f>+J952/$W$2</f>
        <v>5.2240590733171995E-5</v>
      </c>
    </row>
    <row r="953" spans="1:29">
      <c r="A953" s="13" t="s">
        <v>265</v>
      </c>
      <c r="B953" s="13" t="s">
        <v>675</v>
      </c>
      <c r="C953" s="145">
        <v>46254</v>
      </c>
      <c r="D953" s="145" t="s">
        <v>469</v>
      </c>
      <c r="E953" s="28">
        <v>0.93474710000000005</v>
      </c>
      <c r="F953" s="13"/>
      <c r="G953" s="18">
        <v>3412014.84</v>
      </c>
      <c r="H953" s="18">
        <v>3189370.99</v>
      </c>
      <c r="I953" s="18">
        <v>3412014.84</v>
      </c>
      <c r="J953" s="18">
        <v>3189370.99</v>
      </c>
      <c r="K953" s="15">
        <v>568312</v>
      </c>
      <c r="L953" s="13" t="s">
        <v>117</v>
      </c>
      <c r="M953" s="13" t="s">
        <v>118</v>
      </c>
      <c r="N953" s="145" t="s">
        <v>457</v>
      </c>
      <c r="O953" s="145" t="s">
        <v>457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1572</v>
      </c>
      <c r="V953" s="13" t="s">
        <v>1572</v>
      </c>
      <c r="W953" s="60">
        <f>+J953/$W$2</f>
        <v>8.4059199132678855E-5</v>
      </c>
    </row>
    <row r="954" spans="1:29">
      <c r="A954" s="13" t="s">
        <v>265</v>
      </c>
      <c r="B954" s="13" t="s">
        <v>675</v>
      </c>
      <c r="C954" s="145">
        <v>46254</v>
      </c>
      <c r="D954" s="145" t="s">
        <v>469</v>
      </c>
      <c r="E954" s="28">
        <v>0.93474710999999999</v>
      </c>
      <c r="F954" s="13"/>
      <c r="G954" s="18">
        <v>2502217.0699999998</v>
      </c>
      <c r="H954" s="18">
        <v>2338940.19</v>
      </c>
      <c r="I954" s="18">
        <v>2502217.0699999998</v>
      </c>
      <c r="J954" s="18">
        <v>2338940.19</v>
      </c>
      <c r="K954" s="15">
        <v>568315</v>
      </c>
      <c r="L954" s="13" t="s">
        <v>117</v>
      </c>
      <c r="M954" s="13" t="s">
        <v>118</v>
      </c>
      <c r="N954" s="145" t="s">
        <v>457</v>
      </c>
      <c r="O954" s="145" t="s">
        <v>457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1573</v>
      </c>
      <c r="V954" s="13" t="s">
        <v>1573</v>
      </c>
      <c r="W954" s="60">
        <f>+J954/$W$2</f>
        <v>6.1645208352081895E-5</v>
      </c>
    </row>
    <row r="955" spans="1:29">
      <c r="A955" s="13" t="s">
        <v>265</v>
      </c>
      <c r="B955" s="13" t="s">
        <v>675</v>
      </c>
      <c r="C955" s="145">
        <v>46254</v>
      </c>
      <c r="D955" s="145" t="s">
        <v>469</v>
      </c>
      <c r="E955" s="28">
        <v>0.93474710000000005</v>
      </c>
      <c r="F955" s="13"/>
      <c r="G955" s="18">
        <v>6395453.2000000002</v>
      </c>
      <c r="H955" s="18">
        <v>5978131.3600000003</v>
      </c>
      <c r="I955" s="18">
        <v>6395453.2000000002</v>
      </c>
      <c r="J955" s="18">
        <v>5978131.3600000003</v>
      </c>
      <c r="K955" s="15">
        <v>568311</v>
      </c>
      <c r="L955" s="13" t="s">
        <v>117</v>
      </c>
      <c r="M955" s="13" t="s">
        <v>118</v>
      </c>
      <c r="N955" s="145" t="s">
        <v>457</v>
      </c>
      <c r="O955" s="145" t="s">
        <v>457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1574</v>
      </c>
      <c r="V955" s="13" t="s">
        <v>1574</v>
      </c>
      <c r="W955" s="60">
        <f>+J955/$W$2</f>
        <v>1.5755988751611246E-4</v>
      </c>
    </row>
    <row r="956" spans="1:29">
      <c r="A956" s="13" t="s">
        <v>265</v>
      </c>
      <c r="B956" s="13" t="s">
        <v>675</v>
      </c>
      <c r="C956" s="145">
        <v>46254</v>
      </c>
      <c r="D956" s="145" t="s">
        <v>469</v>
      </c>
      <c r="E956" s="28">
        <v>0.93474710999999999</v>
      </c>
      <c r="F956" s="13"/>
      <c r="G956" s="18">
        <v>1860181.4</v>
      </c>
      <c r="H956" s="18">
        <v>1738799.19</v>
      </c>
      <c r="I956" s="18">
        <v>1860181.4</v>
      </c>
      <c r="J956" s="18">
        <v>1738799.19</v>
      </c>
      <c r="K956" s="15">
        <v>568323</v>
      </c>
      <c r="L956" s="13" t="s">
        <v>117</v>
      </c>
      <c r="M956" s="13" t="s">
        <v>118</v>
      </c>
      <c r="N956" s="145" t="s">
        <v>457</v>
      </c>
      <c r="O956" s="145" t="s">
        <v>457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1575</v>
      </c>
      <c r="V956" s="13" t="s">
        <v>1575</v>
      </c>
      <c r="W956" s="60">
        <f>+J956/$W$2</f>
        <v>4.5827866316659096E-5</v>
      </c>
    </row>
    <row r="957" spans="1:29">
      <c r="A957" s="13" t="s">
        <v>265</v>
      </c>
      <c r="B957" s="13" t="s">
        <v>675</v>
      </c>
      <c r="C957" s="145">
        <v>46254</v>
      </c>
      <c r="D957" s="145" t="s">
        <v>469</v>
      </c>
      <c r="E957" s="28">
        <v>0.93474710000000005</v>
      </c>
      <c r="F957" s="13"/>
      <c r="G957" s="18">
        <v>3621557.13</v>
      </c>
      <c r="H957" s="18">
        <v>3385240.04</v>
      </c>
      <c r="I957" s="18">
        <v>3621557.13</v>
      </c>
      <c r="J957" s="18">
        <v>3385240.04</v>
      </c>
      <c r="K957" s="15">
        <v>568292</v>
      </c>
      <c r="L957" s="13" t="s">
        <v>117</v>
      </c>
      <c r="M957" s="13" t="s">
        <v>118</v>
      </c>
      <c r="N957" s="145" t="s">
        <v>457</v>
      </c>
      <c r="O957" s="145" t="s">
        <v>457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1576</v>
      </c>
      <c r="V957" s="13" t="s">
        <v>1576</v>
      </c>
      <c r="W957" s="60">
        <f>+J957/$W$2</f>
        <v>8.9221532247735691E-5</v>
      </c>
    </row>
    <row r="958" spans="1:29">
      <c r="A958" s="13" t="s">
        <v>265</v>
      </c>
      <c r="B958" s="13" t="s">
        <v>675</v>
      </c>
      <c r="C958" s="145">
        <v>46254</v>
      </c>
      <c r="D958" s="145" t="s">
        <v>469</v>
      </c>
      <c r="E958" s="28">
        <v>0.93474710000000005</v>
      </c>
      <c r="F958" s="13"/>
      <c r="G958" s="18">
        <v>14947325.66</v>
      </c>
      <c r="H958" s="18">
        <v>13971969.390000001</v>
      </c>
      <c r="I958" s="18">
        <v>14947325.66</v>
      </c>
      <c r="J958" s="18">
        <v>13971969.390000001</v>
      </c>
      <c r="K958" s="15">
        <v>568359</v>
      </c>
      <c r="L958" s="13" t="s">
        <v>117</v>
      </c>
      <c r="M958" s="13" t="s">
        <v>118</v>
      </c>
      <c r="N958" s="145" t="s">
        <v>457</v>
      </c>
      <c r="O958" s="145" t="s">
        <v>457</v>
      </c>
      <c r="P958" s="28">
        <v>26</v>
      </c>
      <c r="Q958" s="13" t="s">
        <v>54</v>
      </c>
      <c r="R958" s="13" t="s">
        <v>28</v>
      </c>
      <c r="S958" s="13"/>
      <c r="T958" s="13"/>
      <c r="U958" s="13" t="s">
        <v>1577</v>
      </c>
      <c r="V958" s="13" t="s">
        <v>1577</v>
      </c>
      <c r="W958" s="60">
        <f>+J958/$W$2</f>
        <v>3.68245826814178E-4</v>
      </c>
    </row>
    <row r="959" spans="1:29">
      <c r="A959" s="13" t="s">
        <v>265</v>
      </c>
      <c r="B959" s="13" t="s">
        <v>675</v>
      </c>
      <c r="C959" s="145">
        <v>46254</v>
      </c>
      <c r="D959" s="145" t="s">
        <v>469</v>
      </c>
      <c r="E959" s="28">
        <v>0.93474710000000005</v>
      </c>
      <c r="F959" s="13"/>
      <c r="G959" s="18">
        <v>10604114.439999999</v>
      </c>
      <c r="H959" s="18">
        <v>9912165.2699999996</v>
      </c>
      <c r="I959" s="18">
        <v>10604114.439999999</v>
      </c>
      <c r="J959" s="18">
        <v>9912165.2699999996</v>
      </c>
      <c r="K959" s="15">
        <v>568349</v>
      </c>
      <c r="L959" s="13" t="s">
        <v>117</v>
      </c>
      <c r="M959" s="13" t="s">
        <v>118</v>
      </c>
      <c r="N959" s="145" t="s">
        <v>457</v>
      </c>
      <c r="O959" s="145" t="s">
        <v>457</v>
      </c>
      <c r="P959" s="28">
        <v>26</v>
      </c>
      <c r="Q959" s="13" t="s">
        <v>54</v>
      </c>
      <c r="R959" s="13" t="s">
        <v>28</v>
      </c>
      <c r="S959" s="13"/>
      <c r="T959" s="13"/>
      <c r="U959" s="13" t="s">
        <v>1578</v>
      </c>
      <c r="V959" s="13" t="s">
        <v>1578</v>
      </c>
      <c r="W959" s="60">
        <f>+J959/$W$2</f>
        <v>2.6124545463021012E-4</v>
      </c>
      <c r="AC959" s="57"/>
    </row>
    <row r="960" spans="1:29">
      <c r="A960" s="13" t="s">
        <v>1764</v>
      </c>
      <c r="B960" s="13" t="s">
        <v>675</v>
      </c>
      <c r="C960" s="145">
        <v>46254</v>
      </c>
      <c r="D960" s="145" t="s">
        <v>469</v>
      </c>
      <c r="E960" s="28">
        <v>0.93007857000000005</v>
      </c>
      <c r="F960" s="13"/>
      <c r="G960" s="18">
        <v>5000000</v>
      </c>
      <c r="H960" s="18">
        <v>4650392.87</v>
      </c>
      <c r="I960" s="18">
        <v>5000000</v>
      </c>
      <c r="J960" s="18">
        <v>4650392.87</v>
      </c>
      <c r="K960" s="15">
        <v>29175486</v>
      </c>
      <c r="L960" s="13" t="s">
        <v>117</v>
      </c>
      <c r="M960" s="13" t="s">
        <v>118</v>
      </c>
      <c r="N960" s="145" t="s">
        <v>462</v>
      </c>
      <c r="O960" s="145" t="s">
        <v>462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1734</v>
      </c>
      <c r="V960" s="13" t="s">
        <v>1734</v>
      </c>
      <c r="W960" s="60">
        <f>+J960/$W$2</f>
        <v>1.2256595470711292E-4</v>
      </c>
      <c r="AC960" s="57"/>
    </row>
    <row r="961" spans="1:29">
      <c r="A961" s="13" t="s">
        <v>1764</v>
      </c>
      <c r="B961" s="13" t="s">
        <v>675</v>
      </c>
      <c r="C961" s="145">
        <v>46254</v>
      </c>
      <c r="D961" s="145" t="s">
        <v>469</v>
      </c>
      <c r="E961" s="28">
        <v>0.93007857000000005</v>
      </c>
      <c r="F961" s="13"/>
      <c r="G961" s="18">
        <v>5000000</v>
      </c>
      <c r="H961" s="18">
        <v>4650392.87</v>
      </c>
      <c r="I961" s="18">
        <v>5000000</v>
      </c>
      <c r="J961" s="18">
        <v>4650392.87</v>
      </c>
      <c r="K961" s="15">
        <v>29175484</v>
      </c>
      <c r="L961" s="13" t="s">
        <v>117</v>
      </c>
      <c r="M961" s="13" t="s">
        <v>118</v>
      </c>
      <c r="N961" s="145" t="s">
        <v>462</v>
      </c>
      <c r="O961" s="145" t="s">
        <v>462</v>
      </c>
      <c r="P961" s="28">
        <v>28</v>
      </c>
      <c r="Q961" s="13" t="s">
        <v>54</v>
      </c>
      <c r="R961" s="13" t="s">
        <v>28</v>
      </c>
      <c r="S961" s="13"/>
      <c r="T961" s="13"/>
      <c r="U961" s="13" t="s">
        <v>1742</v>
      </c>
      <c r="V961" s="13" t="s">
        <v>1742</v>
      </c>
      <c r="W961" s="60">
        <f>+J961/$W$2</f>
        <v>1.2256595470711292E-4</v>
      </c>
    </row>
    <row r="962" spans="1:29">
      <c r="A962" s="13" t="s">
        <v>722</v>
      </c>
      <c r="B962" s="13" t="s">
        <v>675</v>
      </c>
      <c r="C962" s="145">
        <v>46254</v>
      </c>
      <c r="D962" s="145" t="s">
        <v>469</v>
      </c>
      <c r="E962" s="28">
        <v>0.91409980999999996</v>
      </c>
      <c r="F962" s="13"/>
      <c r="G962" s="18">
        <v>25000000</v>
      </c>
      <c r="H962" s="18">
        <v>22852495.23</v>
      </c>
      <c r="I962" s="18">
        <v>25000000</v>
      </c>
      <c r="J962" s="18">
        <v>22852495.23</v>
      </c>
      <c r="K962" s="15">
        <v>1307</v>
      </c>
      <c r="L962" s="13" t="s">
        <v>117</v>
      </c>
      <c r="M962" s="13" t="s">
        <v>118</v>
      </c>
      <c r="N962" s="145" t="s">
        <v>528</v>
      </c>
      <c r="O962" s="145" t="s">
        <v>528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1327</v>
      </c>
      <c r="V962" s="13" t="s">
        <v>1327</v>
      </c>
      <c r="W962" s="60">
        <f>+J962/$W$2</f>
        <v>6.023013482094673E-4</v>
      </c>
      <c r="AC962" s="57"/>
    </row>
    <row r="963" spans="1:29">
      <c r="A963" s="13" t="s">
        <v>463</v>
      </c>
      <c r="B963" s="13" t="s">
        <v>675</v>
      </c>
      <c r="C963" s="145">
        <v>46254</v>
      </c>
      <c r="D963" s="145" t="s">
        <v>469</v>
      </c>
      <c r="E963" s="28">
        <v>0.92545644000000005</v>
      </c>
      <c r="F963" s="13"/>
      <c r="G963" s="18">
        <v>13500000</v>
      </c>
      <c r="H963" s="18">
        <v>12493662</v>
      </c>
      <c r="I963" s="18">
        <v>13500000</v>
      </c>
      <c r="J963" s="18">
        <v>12493662</v>
      </c>
      <c r="K963" s="15">
        <v>32806</v>
      </c>
      <c r="L963" s="13" t="s">
        <v>117</v>
      </c>
      <c r="M963" s="13" t="s">
        <v>118</v>
      </c>
      <c r="N963" s="145" t="s">
        <v>591</v>
      </c>
      <c r="O963" s="145" t="s">
        <v>591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1806</v>
      </c>
      <c r="V963" s="13" t="s">
        <v>1806</v>
      </c>
      <c r="W963" s="60">
        <f>+J963/$W$2</f>
        <v>3.2928349359394614E-4</v>
      </c>
    </row>
    <row r="964" spans="1:29">
      <c r="A964" s="13" t="s">
        <v>406</v>
      </c>
      <c r="B964" s="13" t="s">
        <v>675</v>
      </c>
      <c r="C964" s="145">
        <v>46255</v>
      </c>
      <c r="D964" s="145" t="s">
        <v>469</v>
      </c>
      <c r="E964" s="28">
        <v>0.92707835000000005</v>
      </c>
      <c r="F964" s="13"/>
      <c r="G964" s="18">
        <v>10000000</v>
      </c>
      <c r="H964" s="18">
        <v>9270783.5299999993</v>
      </c>
      <c r="I964" s="18">
        <v>10000000</v>
      </c>
      <c r="J964" s="18">
        <v>9270783.5299999993</v>
      </c>
      <c r="K964" s="15">
        <v>2151</v>
      </c>
      <c r="L964" s="13" t="s">
        <v>117</v>
      </c>
      <c r="M964" s="13" t="s">
        <v>118</v>
      </c>
      <c r="N964" s="145" t="s">
        <v>490</v>
      </c>
      <c r="O964" s="145" t="s">
        <v>490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1589</v>
      </c>
      <c r="V964" s="13" t="s">
        <v>1589</v>
      </c>
      <c r="W964" s="60">
        <f>+J964/$W$2</f>
        <v>2.4434116987570305E-4</v>
      </c>
    </row>
    <row r="965" spans="1:29">
      <c r="A965" s="13" t="s">
        <v>722</v>
      </c>
      <c r="B965" s="13" t="s">
        <v>675</v>
      </c>
      <c r="C965" s="145">
        <v>46255</v>
      </c>
      <c r="D965" s="145" t="s">
        <v>469</v>
      </c>
      <c r="E965" s="28">
        <v>0.91329928000000005</v>
      </c>
      <c r="F965" s="13"/>
      <c r="G965" s="18">
        <v>16600000</v>
      </c>
      <c r="H965" s="18">
        <v>15160768.109999999</v>
      </c>
      <c r="I965" s="18">
        <v>16600000</v>
      </c>
      <c r="J965" s="18">
        <v>15160768.109999999</v>
      </c>
      <c r="K965" s="15">
        <v>29088026</v>
      </c>
      <c r="L965" s="13" t="s">
        <v>117</v>
      </c>
      <c r="M965" s="13" t="s">
        <v>118</v>
      </c>
      <c r="N965" s="145" t="s">
        <v>205</v>
      </c>
      <c r="O965" s="145" t="s">
        <v>205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1056</v>
      </c>
      <c r="V965" s="13" t="s">
        <v>1056</v>
      </c>
      <c r="W965" s="60">
        <f>+J965/$W$2</f>
        <v>3.9957785706292418E-4</v>
      </c>
    </row>
    <row r="966" spans="1:29">
      <c r="A966" s="13" t="s">
        <v>1235</v>
      </c>
      <c r="B966" s="13" t="s">
        <v>675</v>
      </c>
      <c r="C966" s="145">
        <v>46258</v>
      </c>
      <c r="D966" s="145" t="s">
        <v>469</v>
      </c>
      <c r="E966" s="28">
        <v>0.91556727999999998</v>
      </c>
      <c r="F966" s="13"/>
      <c r="G966" s="18">
        <v>5600000</v>
      </c>
      <c r="H966" s="18">
        <v>5127176.79</v>
      </c>
      <c r="I966" s="18">
        <v>5600000</v>
      </c>
      <c r="J966" s="18">
        <v>5127176.79</v>
      </c>
      <c r="K966" s="15">
        <v>3501251</v>
      </c>
      <c r="L966" s="13" t="s">
        <v>117</v>
      </c>
      <c r="M966" s="13" t="s">
        <v>118</v>
      </c>
      <c r="N966" s="145" t="s">
        <v>457</v>
      </c>
      <c r="O966" s="145" t="s">
        <v>457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1546</v>
      </c>
      <c r="V966" s="13" t="s">
        <v>1546</v>
      </c>
      <c r="W966" s="60">
        <f>+J966/$W$2</f>
        <v>1.3513209223084427E-4</v>
      </c>
    </row>
    <row r="967" spans="1:29">
      <c r="A967" s="13" t="s">
        <v>1511</v>
      </c>
      <c r="B967" s="13" t="s">
        <v>675</v>
      </c>
      <c r="C967" s="145">
        <v>46258</v>
      </c>
      <c r="D967" s="145" t="s">
        <v>469</v>
      </c>
      <c r="E967" s="28">
        <v>0.90400237999999999</v>
      </c>
      <c r="F967" s="13"/>
      <c r="G967" s="18">
        <v>7865231.25</v>
      </c>
      <c r="H967" s="18">
        <v>7110187.7999999998</v>
      </c>
      <c r="I967" s="18">
        <v>7865231.25</v>
      </c>
      <c r="J967" s="18">
        <v>7110187.7999999998</v>
      </c>
      <c r="K967" s="15">
        <v>90000558</v>
      </c>
      <c r="L967" s="13" t="s">
        <v>117</v>
      </c>
      <c r="M967" s="13" t="s">
        <v>118</v>
      </c>
      <c r="N967" s="145" t="s">
        <v>411</v>
      </c>
      <c r="O967" s="145" t="s">
        <v>411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1489</v>
      </c>
      <c r="V967" s="13" t="s">
        <v>1489</v>
      </c>
      <c r="W967" s="60">
        <f>+J967/$W$2</f>
        <v>1.8739641579010652E-4</v>
      </c>
    </row>
    <row r="968" spans="1:29">
      <c r="A968" s="13" t="s">
        <v>1104</v>
      </c>
      <c r="B968" s="13" t="s">
        <v>675</v>
      </c>
      <c r="C968" s="145">
        <v>46258</v>
      </c>
      <c r="D968" s="145" t="s">
        <v>469</v>
      </c>
      <c r="E968" s="28">
        <v>0.89945796</v>
      </c>
      <c r="F968" s="13"/>
      <c r="G968" s="18">
        <v>7551944</v>
      </c>
      <c r="H968" s="18">
        <v>6792656.1299999999</v>
      </c>
      <c r="I968" s="18">
        <v>7551944</v>
      </c>
      <c r="J968" s="18">
        <v>6792656.1299999999</v>
      </c>
      <c r="K968" s="15">
        <v>1825</v>
      </c>
      <c r="L968" s="13" t="s">
        <v>117</v>
      </c>
      <c r="M968" s="13" t="s">
        <v>118</v>
      </c>
      <c r="N968" s="145" t="s">
        <v>443</v>
      </c>
      <c r="O968" s="145" t="s">
        <v>443</v>
      </c>
      <c r="P968" s="28">
        <v>40</v>
      </c>
      <c r="Q968" s="13" t="s">
        <v>54</v>
      </c>
      <c r="R968" s="13" t="s">
        <v>28</v>
      </c>
      <c r="S968" s="13"/>
      <c r="T968" s="13"/>
      <c r="U968" s="13" t="s">
        <v>1094</v>
      </c>
      <c r="V968" s="13" t="s">
        <v>1094</v>
      </c>
      <c r="W968" s="60">
        <f>+J968/$W$2</f>
        <v>1.7902753742407422E-4</v>
      </c>
    </row>
    <row r="969" spans="1:29">
      <c r="A969" s="13" t="s">
        <v>1104</v>
      </c>
      <c r="B969" s="13" t="s">
        <v>675</v>
      </c>
      <c r="C969" s="145">
        <v>46258</v>
      </c>
      <c r="D969" s="145" t="s">
        <v>469</v>
      </c>
      <c r="E969" s="28">
        <v>0.89945796</v>
      </c>
      <c r="F969" s="13"/>
      <c r="G969" s="18">
        <v>7551944</v>
      </c>
      <c r="H969" s="18">
        <v>6792656.1299999999</v>
      </c>
      <c r="I969" s="18">
        <v>7551944</v>
      </c>
      <c r="J969" s="18">
        <v>6792656.1299999999</v>
      </c>
      <c r="K969" s="15">
        <v>1826</v>
      </c>
      <c r="L969" s="13" t="s">
        <v>117</v>
      </c>
      <c r="M969" s="13" t="s">
        <v>118</v>
      </c>
      <c r="N969" s="145" t="s">
        <v>443</v>
      </c>
      <c r="O969" s="145" t="s">
        <v>443</v>
      </c>
      <c r="P969" s="28">
        <v>40</v>
      </c>
      <c r="Q969" s="13" t="s">
        <v>54</v>
      </c>
      <c r="R969" s="13" t="s">
        <v>28</v>
      </c>
      <c r="S969" s="13"/>
      <c r="T969" s="13"/>
      <c r="U969" s="13" t="s">
        <v>1096</v>
      </c>
      <c r="V969" s="13" t="s">
        <v>1096</v>
      </c>
      <c r="W969" s="60">
        <f>+J969/$W$2</f>
        <v>1.7902753742407422E-4</v>
      </c>
    </row>
    <row r="970" spans="1:29">
      <c r="A970" s="13" t="s">
        <v>406</v>
      </c>
      <c r="B970" s="13" t="s">
        <v>675</v>
      </c>
      <c r="C970" s="145">
        <v>46258</v>
      </c>
      <c r="D970" s="145" t="s">
        <v>469</v>
      </c>
      <c r="E970" s="28">
        <v>0.92503422000000002</v>
      </c>
      <c r="F970" s="13"/>
      <c r="G970" s="18">
        <v>10000000</v>
      </c>
      <c r="H970" s="18">
        <v>9250342.1799999997</v>
      </c>
      <c r="I970" s="18">
        <v>10000000</v>
      </c>
      <c r="J970" s="18">
        <v>9250342.1799999997</v>
      </c>
      <c r="K970" s="15">
        <v>66412292</v>
      </c>
      <c r="L970" s="13" t="s">
        <v>117</v>
      </c>
      <c r="M970" s="13" t="s">
        <v>118</v>
      </c>
      <c r="N970" s="145" t="s">
        <v>411</v>
      </c>
      <c r="O970" s="145" t="s">
        <v>411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1459</v>
      </c>
      <c r="V970" s="13" t="s">
        <v>1459</v>
      </c>
      <c r="W970" s="60">
        <f>+J970/$W$2</f>
        <v>2.4380241677498876E-4</v>
      </c>
    </row>
    <row r="971" spans="1:29">
      <c r="A971" s="13" t="s">
        <v>1330</v>
      </c>
      <c r="B971" s="13" t="s">
        <v>675</v>
      </c>
      <c r="C971" s="145">
        <v>46258</v>
      </c>
      <c r="D971" s="145" t="s">
        <v>469</v>
      </c>
      <c r="E971" s="28">
        <v>0.92503426</v>
      </c>
      <c r="F971" s="13"/>
      <c r="G971" s="18">
        <v>11923076.92</v>
      </c>
      <c r="H971" s="18">
        <v>11029254.65</v>
      </c>
      <c r="I971" s="18">
        <v>11923076.92</v>
      </c>
      <c r="J971" s="18">
        <v>11029254.65</v>
      </c>
      <c r="K971" s="15">
        <v>90021985</v>
      </c>
      <c r="L971" s="13" t="s">
        <v>117</v>
      </c>
      <c r="M971" s="13" t="s">
        <v>118</v>
      </c>
      <c r="N971" s="145" t="s">
        <v>428</v>
      </c>
      <c r="O971" s="145" t="s">
        <v>428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1669</v>
      </c>
      <c r="V971" s="13" t="s">
        <v>1669</v>
      </c>
      <c r="W971" s="60">
        <f>+J971/$W$2</f>
        <v>2.9068751042642869E-4</v>
      </c>
    </row>
    <row r="972" spans="1:29">
      <c r="A972" s="13" t="s">
        <v>406</v>
      </c>
      <c r="B972" s="13" t="s">
        <v>675</v>
      </c>
      <c r="C972" s="145">
        <v>46258</v>
      </c>
      <c r="D972" s="145" t="s">
        <v>469</v>
      </c>
      <c r="E972" s="28">
        <v>0.92503429999999998</v>
      </c>
      <c r="F972" s="13"/>
      <c r="G972" s="18">
        <v>10000000</v>
      </c>
      <c r="H972" s="18">
        <v>9250342.9700000007</v>
      </c>
      <c r="I972" s="18">
        <v>10000000</v>
      </c>
      <c r="J972" s="18">
        <v>9250342.9700000007</v>
      </c>
      <c r="K972" s="15">
        <v>2152</v>
      </c>
      <c r="L972" s="13" t="s">
        <v>117</v>
      </c>
      <c r="M972" s="13" t="s">
        <v>118</v>
      </c>
      <c r="N972" s="145" t="s">
        <v>490</v>
      </c>
      <c r="O972" s="145" t="s">
        <v>490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1595</v>
      </c>
      <c r="V972" s="13" t="s">
        <v>1595</v>
      </c>
      <c r="W972" s="60">
        <f>+J972/$W$2</f>
        <v>2.438024375962628E-4</v>
      </c>
    </row>
    <row r="973" spans="1:29">
      <c r="A973" s="13" t="s">
        <v>444</v>
      </c>
      <c r="B973" s="13" t="s">
        <v>675</v>
      </c>
      <c r="C973" s="145">
        <v>46259</v>
      </c>
      <c r="D973" s="145" t="s">
        <v>469</v>
      </c>
      <c r="E973" s="28">
        <v>0.91011096999999996</v>
      </c>
      <c r="F973" s="13"/>
      <c r="G973" s="18">
        <v>10000000</v>
      </c>
      <c r="H973" s="18">
        <v>9101109.6600000001</v>
      </c>
      <c r="I973" s="18">
        <v>10000000</v>
      </c>
      <c r="J973" s="18">
        <v>9101109.6600000001</v>
      </c>
      <c r="K973" s="15">
        <v>161</v>
      </c>
      <c r="L973" s="13" t="s">
        <v>117</v>
      </c>
      <c r="M973" s="13" t="s">
        <v>118</v>
      </c>
      <c r="N973" s="145" t="s">
        <v>533</v>
      </c>
      <c r="O973" s="145" t="s">
        <v>533</v>
      </c>
      <c r="P973" s="28">
        <v>35</v>
      </c>
      <c r="Q973" s="13" t="s">
        <v>54</v>
      </c>
      <c r="R973" s="13" t="s">
        <v>28</v>
      </c>
      <c r="S973" s="13"/>
      <c r="T973" s="13"/>
      <c r="U973" s="13" t="s">
        <v>1525</v>
      </c>
      <c r="V973" s="13" t="s">
        <v>1525</v>
      </c>
      <c r="W973" s="60">
        <f>+J973/$W$2</f>
        <v>2.3986923805257508E-4</v>
      </c>
    </row>
    <row r="974" spans="1:29">
      <c r="A974" s="13" t="s">
        <v>391</v>
      </c>
      <c r="B974" s="13" t="s">
        <v>675</v>
      </c>
      <c r="C974" s="145">
        <v>46259</v>
      </c>
      <c r="D974" s="145" t="s">
        <v>469</v>
      </c>
      <c r="E974" s="28">
        <v>0.91481003000000005</v>
      </c>
      <c r="F974" s="13"/>
      <c r="G974" s="18">
        <v>50000000</v>
      </c>
      <c r="H974" s="18">
        <v>45740501.719999999</v>
      </c>
      <c r="I974" s="18">
        <v>50000000</v>
      </c>
      <c r="J974" s="18">
        <v>45740501.719999999</v>
      </c>
      <c r="K974" s="15">
        <v>29007567</v>
      </c>
      <c r="L974" s="13" t="s">
        <v>117</v>
      </c>
      <c r="M974" s="13" t="s">
        <v>118</v>
      </c>
      <c r="N974" s="145" t="s">
        <v>209</v>
      </c>
      <c r="O974" s="145" t="s">
        <v>209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855</v>
      </c>
      <c r="V974" s="13" t="s">
        <v>855</v>
      </c>
      <c r="W974" s="60">
        <f>+J974/$W$2</f>
        <v>1.2055386327164527E-3</v>
      </c>
    </row>
    <row r="975" spans="1:29">
      <c r="A975" s="13" t="s">
        <v>406</v>
      </c>
      <c r="B975" s="13" t="s">
        <v>675</v>
      </c>
      <c r="C975" s="145">
        <v>46259</v>
      </c>
      <c r="D975" s="145" t="s">
        <v>469</v>
      </c>
      <c r="E975" s="28">
        <v>0.92435500999999998</v>
      </c>
      <c r="F975" s="13"/>
      <c r="G975" s="18">
        <v>10000000</v>
      </c>
      <c r="H975" s="18">
        <v>9243550.0500000007</v>
      </c>
      <c r="I975" s="18">
        <v>10000000</v>
      </c>
      <c r="J975" s="18">
        <v>9243550.0500000007</v>
      </c>
      <c r="K975" s="15">
        <v>66412351</v>
      </c>
      <c r="L975" s="13" t="s">
        <v>117</v>
      </c>
      <c r="M975" s="13" t="s">
        <v>118</v>
      </c>
      <c r="N975" s="145" t="s">
        <v>411</v>
      </c>
      <c r="O975" s="145" t="s">
        <v>411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1466</v>
      </c>
      <c r="V975" s="13" t="s">
        <v>1466</v>
      </c>
      <c r="W975" s="60">
        <f>+J975/$W$2</f>
        <v>2.4362340310426963E-4</v>
      </c>
    </row>
    <row r="976" spans="1:29">
      <c r="A976" s="13" t="s">
        <v>1330</v>
      </c>
      <c r="B976" s="13" t="s">
        <v>675</v>
      </c>
      <c r="C976" s="145">
        <v>46259</v>
      </c>
      <c r="D976" s="145" t="s">
        <v>469</v>
      </c>
      <c r="E976" s="28">
        <v>0.92435506000000001</v>
      </c>
      <c r="F976" s="13"/>
      <c r="G976" s="18">
        <v>40000000</v>
      </c>
      <c r="H976" s="18">
        <v>36974202.329999998</v>
      </c>
      <c r="I976" s="18">
        <v>40000000</v>
      </c>
      <c r="J976" s="18">
        <v>36974202.329999998</v>
      </c>
      <c r="K976" s="15">
        <v>80939847</v>
      </c>
      <c r="L976" s="13" t="s">
        <v>117</v>
      </c>
      <c r="M976" s="13" t="s">
        <v>118</v>
      </c>
      <c r="N976" s="145" t="s">
        <v>428</v>
      </c>
      <c r="O976" s="145" t="s">
        <v>428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1671</v>
      </c>
      <c r="V976" s="13" t="s">
        <v>1671</v>
      </c>
      <c r="W976" s="60">
        <f>+J976/$W$2</f>
        <v>9.7449366855545015E-4</v>
      </c>
    </row>
    <row r="977" spans="1:29">
      <c r="A977" s="13" t="s">
        <v>406</v>
      </c>
      <c r="B977" s="13" t="s">
        <v>675</v>
      </c>
      <c r="C977" s="145">
        <v>46259</v>
      </c>
      <c r="D977" s="145" t="s">
        <v>469</v>
      </c>
      <c r="E977" s="28">
        <v>0.92435487999999999</v>
      </c>
      <c r="F977" s="13"/>
      <c r="G977" s="18">
        <v>10000000</v>
      </c>
      <c r="H977" s="18">
        <v>9243548.7799999993</v>
      </c>
      <c r="I977" s="18">
        <v>10000000</v>
      </c>
      <c r="J977" s="18">
        <v>9243548.7799999993</v>
      </c>
      <c r="K977" s="15">
        <v>2153</v>
      </c>
      <c r="L977" s="13" t="s">
        <v>117</v>
      </c>
      <c r="M977" s="13" t="s">
        <v>118</v>
      </c>
      <c r="N977" s="145" t="s">
        <v>490</v>
      </c>
      <c r="O977" s="145" t="s">
        <v>490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1593</v>
      </c>
      <c r="V977" s="13" t="s">
        <v>1593</v>
      </c>
      <c r="W977" s="60">
        <f>+J977/$W$2</f>
        <v>2.4362336963209492E-4</v>
      </c>
    </row>
    <row r="978" spans="1:29">
      <c r="A978" s="13" t="s">
        <v>406</v>
      </c>
      <c r="B978" s="13" t="s">
        <v>675</v>
      </c>
      <c r="C978" s="145">
        <v>46259</v>
      </c>
      <c r="D978" s="145" t="s">
        <v>469</v>
      </c>
      <c r="E978" s="28">
        <v>0.92435493999999996</v>
      </c>
      <c r="F978" s="13"/>
      <c r="G978" s="18">
        <v>5500000</v>
      </c>
      <c r="H978" s="18">
        <v>5083952.1399999997</v>
      </c>
      <c r="I978" s="18">
        <v>5500000</v>
      </c>
      <c r="J978" s="18">
        <v>5083952.1399999997</v>
      </c>
      <c r="K978" s="15">
        <v>66554072</v>
      </c>
      <c r="L978" s="13" t="s">
        <v>117</v>
      </c>
      <c r="M978" s="13" t="s">
        <v>118</v>
      </c>
      <c r="N978" s="145" t="s">
        <v>216</v>
      </c>
      <c r="O978" s="145" t="s">
        <v>216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1608</v>
      </c>
      <c r="V978" s="13" t="s">
        <v>1608</v>
      </c>
      <c r="W978" s="60">
        <f>+J978/$W$2</f>
        <v>1.339928614943816E-4</v>
      </c>
    </row>
    <row r="979" spans="1:29">
      <c r="A979" s="13" t="s">
        <v>406</v>
      </c>
      <c r="B979" s="13" t="s">
        <v>675</v>
      </c>
      <c r="C979" s="145">
        <v>46259</v>
      </c>
      <c r="D979" s="145" t="s">
        <v>469</v>
      </c>
      <c r="E979" s="28">
        <v>0.92435491000000003</v>
      </c>
      <c r="F979" s="13"/>
      <c r="G979" s="18">
        <v>12500000</v>
      </c>
      <c r="H979" s="18">
        <v>11554436.42</v>
      </c>
      <c r="I979" s="18">
        <v>12500000</v>
      </c>
      <c r="J979" s="18">
        <v>11554436.42</v>
      </c>
      <c r="K979" s="15">
        <v>4956</v>
      </c>
      <c r="L979" s="13" t="s">
        <v>117</v>
      </c>
      <c r="M979" s="13" t="s">
        <v>118</v>
      </c>
      <c r="N979" s="145" t="s">
        <v>457</v>
      </c>
      <c r="O979" s="145" t="s">
        <v>457</v>
      </c>
      <c r="P979" s="28">
        <v>29</v>
      </c>
      <c r="Q979" s="13" t="s">
        <v>54</v>
      </c>
      <c r="R979" s="13" t="s">
        <v>28</v>
      </c>
      <c r="S979" s="13"/>
      <c r="T979" s="13"/>
      <c r="U979" s="13" t="s">
        <v>1536</v>
      </c>
      <c r="V979" s="13" t="s">
        <v>1536</v>
      </c>
      <c r="W979" s="60">
        <f>+J979/$W$2</f>
        <v>3.0452922376855783E-4</v>
      </c>
    </row>
    <row r="980" spans="1:29">
      <c r="A980" s="13" t="s">
        <v>1101</v>
      </c>
      <c r="B980" s="13" t="s">
        <v>675</v>
      </c>
      <c r="C980" s="145">
        <v>46259</v>
      </c>
      <c r="D980" s="145" t="s">
        <v>469</v>
      </c>
      <c r="E980" s="28">
        <v>0.92677239</v>
      </c>
      <c r="F980" s="13"/>
      <c r="G980" s="18">
        <v>10000000</v>
      </c>
      <c r="H980" s="18">
        <v>9267723.8800000008</v>
      </c>
      <c r="I980" s="18">
        <v>10000000</v>
      </c>
      <c r="J980" s="18">
        <v>9267723.8800000008</v>
      </c>
      <c r="K980" s="15">
        <v>360532</v>
      </c>
      <c r="L980" s="13" t="s">
        <v>117</v>
      </c>
      <c r="M980" s="13" t="s">
        <v>118</v>
      </c>
      <c r="N980" s="145" t="s">
        <v>445</v>
      </c>
      <c r="O980" s="145" t="s">
        <v>445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1355</v>
      </c>
      <c r="V980" s="13" t="s">
        <v>1355</v>
      </c>
      <c r="W980" s="60">
        <f>+J980/$W$2</f>
        <v>2.442605296085681E-4</v>
      </c>
    </row>
    <row r="981" spans="1:29">
      <c r="A981" s="13" t="s">
        <v>1241</v>
      </c>
      <c r="B981" s="13" t="s">
        <v>675</v>
      </c>
      <c r="C981" s="145">
        <v>46260</v>
      </c>
      <c r="D981" s="145" t="s">
        <v>469</v>
      </c>
      <c r="E981" s="28">
        <v>0.90230409</v>
      </c>
      <c r="F981" s="13"/>
      <c r="G981" s="18">
        <v>4500000</v>
      </c>
      <c r="H981" s="18">
        <v>4060368.4</v>
      </c>
      <c r="I981" s="18">
        <v>4500000</v>
      </c>
      <c r="J981" s="18">
        <v>4060368.4</v>
      </c>
      <c r="K981" s="15">
        <v>555</v>
      </c>
      <c r="L981" s="13" t="s">
        <v>117</v>
      </c>
      <c r="M981" s="13" t="s">
        <v>118</v>
      </c>
      <c r="N981" s="145" t="s">
        <v>411</v>
      </c>
      <c r="O981" s="145" t="s">
        <v>411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1478</v>
      </c>
      <c r="V981" s="13" t="s">
        <v>1478</v>
      </c>
      <c r="W981" s="60">
        <f>+J981/$W$2</f>
        <v>1.0701524437194324E-4</v>
      </c>
      <c r="AC981" s="57"/>
    </row>
    <row r="982" spans="1:29">
      <c r="A982" s="13" t="s">
        <v>1244</v>
      </c>
      <c r="B982" s="13" t="s">
        <v>675</v>
      </c>
      <c r="C982" s="145">
        <v>46260</v>
      </c>
      <c r="D982" s="145" t="s">
        <v>469</v>
      </c>
      <c r="E982" s="28">
        <v>0.90230398000000001</v>
      </c>
      <c r="F982" s="13"/>
      <c r="G982" s="18">
        <v>2398145.2000000002</v>
      </c>
      <c r="H982" s="18">
        <v>2163855.96</v>
      </c>
      <c r="I982" s="18">
        <v>2398145.2000000002</v>
      </c>
      <c r="J982" s="18">
        <v>2163855.96</v>
      </c>
      <c r="K982" s="15">
        <v>13270645</v>
      </c>
      <c r="L982" s="13" t="s">
        <v>117</v>
      </c>
      <c r="M982" s="13" t="s">
        <v>118</v>
      </c>
      <c r="N982" s="145" t="s">
        <v>457</v>
      </c>
      <c r="O982" s="145" t="s">
        <v>457</v>
      </c>
      <c r="P982" s="28">
        <v>38</v>
      </c>
      <c r="Q982" s="13" t="s">
        <v>54</v>
      </c>
      <c r="R982" s="13" t="s">
        <v>28</v>
      </c>
      <c r="S982" s="13"/>
      <c r="T982" s="13"/>
      <c r="U982" s="13" t="s">
        <v>1550</v>
      </c>
      <c r="V982" s="13" t="s">
        <v>1550</v>
      </c>
      <c r="W982" s="60">
        <f>+J982/$W$2</f>
        <v>5.7030680847847665E-5</v>
      </c>
    </row>
    <row r="983" spans="1:29">
      <c r="A983" s="13" t="s">
        <v>676</v>
      </c>
      <c r="B983" s="13" t="s">
        <v>675</v>
      </c>
      <c r="C983" s="145">
        <v>46260</v>
      </c>
      <c r="D983" s="145" t="s">
        <v>469</v>
      </c>
      <c r="E983" s="28">
        <v>0.92125201999999995</v>
      </c>
      <c r="F983" s="13"/>
      <c r="G983" s="18">
        <v>10000000</v>
      </c>
      <c r="H983" s="18">
        <v>9212520.2100000009</v>
      </c>
      <c r="I983" s="18">
        <v>10000000</v>
      </c>
      <c r="J983" s="18">
        <v>9212520.2100000009</v>
      </c>
      <c r="K983" s="15">
        <v>502</v>
      </c>
      <c r="L983" s="13" t="s">
        <v>117</v>
      </c>
      <c r="M983" s="13" t="s">
        <v>118</v>
      </c>
      <c r="N983" s="145" t="s">
        <v>469</v>
      </c>
      <c r="O983" s="145" t="s">
        <v>469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1908</v>
      </c>
      <c r="V983" s="13" t="s">
        <v>1908</v>
      </c>
      <c r="W983" s="60">
        <f>+J983/$W$2</f>
        <v>2.4280557930522168E-4</v>
      </c>
    </row>
    <row r="984" spans="1:29">
      <c r="A984" s="13" t="s">
        <v>676</v>
      </c>
      <c r="B984" s="13" t="s">
        <v>675</v>
      </c>
      <c r="C984" s="145">
        <v>46260</v>
      </c>
      <c r="D984" s="145" t="s">
        <v>469</v>
      </c>
      <c r="E984" s="28">
        <v>0.92125212999999995</v>
      </c>
      <c r="F984" s="13"/>
      <c r="G984" s="18">
        <v>10000000</v>
      </c>
      <c r="H984" s="18">
        <v>9212521.3200000003</v>
      </c>
      <c r="I984" s="18">
        <v>10000000</v>
      </c>
      <c r="J984" s="18">
        <v>9212521.3200000003</v>
      </c>
      <c r="K984" s="15">
        <v>473</v>
      </c>
      <c r="L984" s="13" t="s">
        <v>117</v>
      </c>
      <c r="M984" s="13" t="s">
        <v>118</v>
      </c>
      <c r="N984" s="145" t="s">
        <v>446</v>
      </c>
      <c r="O984" s="145" t="s">
        <v>446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1847</v>
      </c>
      <c r="V984" s="13" t="s">
        <v>1847</v>
      </c>
      <c r="W984" s="60">
        <f>+J984/$W$2</f>
        <v>2.4280560856042947E-4</v>
      </c>
    </row>
    <row r="985" spans="1:29">
      <c r="A985" s="13" t="s">
        <v>406</v>
      </c>
      <c r="B985" s="13" t="s">
        <v>675</v>
      </c>
      <c r="C985" s="145">
        <v>46260</v>
      </c>
      <c r="D985" s="145" t="s">
        <v>469</v>
      </c>
      <c r="E985" s="28">
        <v>0.92367657999999997</v>
      </c>
      <c r="F985" s="13"/>
      <c r="G985" s="18">
        <v>10000000</v>
      </c>
      <c r="H985" s="18">
        <v>9236765.8300000001</v>
      </c>
      <c r="I985" s="18">
        <v>10000000</v>
      </c>
      <c r="J985" s="18">
        <v>9236765.8300000001</v>
      </c>
      <c r="K985" s="15">
        <v>66412396</v>
      </c>
      <c r="L985" s="13" t="s">
        <v>117</v>
      </c>
      <c r="M985" s="13" t="s">
        <v>118</v>
      </c>
      <c r="N985" s="145" t="s">
        <v>411</v>
      </c>
      <c r="O985" s="145" t="s">
        <v>411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1460</v>
      </c>
      <c r="V985" s="13" t="s">
        <v>1460</v>
      </c>
      <c r="W985" s="60">
        <f>+J985/$W$2</f>
        <v>2.4344459790985105E-4</v>
      </c>
    </row>
    <row r="986" spans="1:29">
      <c r="A986" s="13" t="s">
        <v>1330</v>
      </c>
      <c r="B986" s="13" t="s">
        <v>675</v>
      </c>
      <c r="C986" s="145">
        <v>46260</v>
      </c>
      <c r="D986" s="145" t="s">
        <v>469</v>
      </c>
      <c r="E986" s="28">
        <v>0.92125204999999999</v>
      </c>
      <c r="F986" s="13"/>
      <c r="G986" s="18">
        <v>1040000</v>
      </c>
      <c r="H986" s="18">
        <v>958102.13</v>
      </c>
      <c r="I986" s="18">
        <v>1040000</v>
      </c>
      <c r="J986" s="18">
        <v>958102.13</v>
      </c>
      <c r="K986" s="15">
        <v>10601549</v>
      </c>
      <c r="L986" s="13" t="s">
        <v>117</v>
      </c>
      <c r="M986" s="13" t="s">
        <v>118</v>
      </c>
      <c r="N986" s="145" t="s">
        <v>428</v>
      </c>
      <c r="O986" s="145" t="s">
        <v>428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1648</v>
      </c>
      <c r="V986" s="13" t="s">
        <v>1648</v>
      </c>
      <c r="W986" s="60">
        <f>+J986/$W$2</f>
        <v>2.5251780989929225E-5</v>
      </c>
    </row>
    <row r="987" spans="1:29">
      <c r="A987" s="13" t="s">
        <v>406</v>
      </c>
      <c r="B987" s="13" t="s">
        <v>675</v>
      </c>
      <c r="C987" s="145">
        <v>46260</v>
      </c>
      <c r="D987" s="145" t="s">
        <v>469</v>
      </c>
      <c r="E987" s="28">
        <v>0.92367666999999998</v>
      </c>
      <c r="F987" s="13"/>
      <c r="G987" s="18">
        <v>10000000</v>
      </c>
      <c r="H987" s="18">
        <v>9236766.6500000004</v>
      </c>
      <c r="I987" s="18">
        <v>10000000</v>
      </c>
      <c r="J987" s="18">
        <v>9236766.6500000004</v>
      </c>
      <c r="K987" s="15">
        <v>2154</v>
      </c>
      <c r="L987" s="13" t="s">
        <v>117</v>
      </c>
      <c r="M987" s="13" t="s">
        <v>118</v>
      </c>
      <c r="N987" s="145" t="s">
        <v>490</v>
      </c>
      <c r="O987" s="145" t="s">
        <v>490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1596</v>
      </c>
      <c r="V987" s="13" t="s">
        <v>1596</v>
      </c>
      <c r="W987" s="60">
        <f>+J987/$W$2</f>
        <v>2.4344461952180636E-4</v>
      </c>
    </row>
    <row r="988" spans="1:29">
      <c r="A988" s="13" t="s">
        <v>1764</v>
      </c>
      <c r="B988" s="13" t="s">
        <v>675</v>
      </c>
      <c r="C988" s="145">
        <v>46260</v>
      </c>
      <c r="D988" s="145" t="s">
        <v>469</v>
      </c>
      <c r="E988" s="28">
        <v>0.92611403999999997</v>
      </c>
      <c r="F988" s="13"/>
      <c r="G988" s="18">
        <v>5000000</v>
      </c>
      <c r="H988" s="18">
        <v>4630570.21</v>
      </c>
      <c r="I988" s="18">
        <v>5000000</v>
      </c>
      <c r="J988" s="18">
        <v>4630570.21</v>
      </c>
      <c r="K988" s="15">
        <v>29175487</v>
      </c>
      <c r="L988" s="13" t="s">
        <v>117</v>
      </c>
      <c r="M988" s="13" t="s">
        <v>118</v>
      </c>
      <c r="N988" s="145" t="s">
        <v>462</v>
      </c>
      <c r="O988" s="145" t="s">
        <v>462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1738</v>
      </c>
      <c r="V988" s="13" t="s">
        <v>1738</v>
      </c>
      <c r="W988" s="60">
        <f>+J988/$W$2</f>
        <v>1.2204350782667666E-4</v>
      </c>
    </row>
    <row r="989" spans="1:29">
      <c r="A989" s="13" t="s">
        <v>1101</v>
      </c>
      <c r="B989" s="13" t="s">
        <v>675</v>
      </c>
      <c r="C989" s="145">
        <v>46260</v>
      </c>
      <c r="D989" s="145" t="s">
        <v>469</v>
      </c>
      <c r="E989" s="28">
        <v>0.92611392000000003</v>
      </c>
      <c r="F989" s="13"/>
      <c r="G989" s="18">
        <v>10000000</v>
      </c>
      <c r="H989" s="18">
        <v>9261139.1600000001</v>
      </c>
      <c r="I989" s="18">
        <v>10000000</v>
      </c>
      <c r="J989" s="18">
        <v>9261139.1600000001</v>
      </c>
      <c r="K989" s="15">
        <v>360558</v>
      </c>
      <c r="L989" s="13" t="s">
        <v>117</v>
      </c>
      <c r="M989" s="13" t="s">
        <v>118</v>
      </c>
      <c r="N989" s="145" t="s">
        <v>445</v>
      </c>
      <c r="O989" s="145" t="s">
        <v>445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1357</v>
      </c>
      <c r="V989" s="13" t="s">
        <v>1357</v>
      </c>
      <c r="W989" s="60">
        <f>+J989/$W$2</f>
        <v>2.4408698244473908E-4</v>
      </c>
    </row>
    <row r="990" spans="1:29">
      <c r="A990" s="13" t="s">
        <v>1251</v>
      </c>
      <c r="B990" s="13" t="s">
        <v>675</v>
      </c>
      <c r="C990" s="145">
        <v>46260</v>
      </c>
      <c r="D990" s="145" t="s">
        <v>469</v>
      </c>
      <c r="E990" s="28">
        <v>0.91644071999999999</v>
      </c>
      <c r="F990" s="13"/>
      <c r="G990" s="18">
        <v>15000000</v>
      </c>
      <c r="H990" s="18">
        <v>13746610.779999999</v>
      </c>
      <c r="I990" s="18">
        <v>15000000</v>
      </c>
      <c r="J990" s="18">
        <v>13746610.779999999</v>
      </c>
      <c r="K990" s="15">
        <v>177</v>
      </c>
      <c r="L990" s="13" t="s">
        <v>117</v>
      </c>
      <c r="M990" s="13" t="s">
        <v>118</v>
      </c>
      <c r="N990" s="145" t="s">
        <v>461</v>
      </c>
      <c r="O990" s="145" t="s">
        <v>461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1162</v>
      </c>
      <c r="V990" s="13" t="s">
        <v>1162</v>
      </c>
      <c r="W990" s="60">
        <f>+J990/$W$2</f>
        <v>3.6230626558607083E-4</v>
      </c>
    </row>
    <row r="991" spans="1:29">
      <c r="A991" s="13" t="s">
        <v>406</v>
      </c>
      <c r="B991" s="13" t="s">
        <v>675</v>
      </c>
      <c r="C991" s="145">
        <v>46261</v>
      </c>
      <c r="D991" s="145" t="s">
        <v>469</v>
      </c>
      <c r="E991" s="28">
        <v>0.92299916000000004</v>
      </c>
      <c r="F991" s="13"/>
      <c r="G991" s="18">
        <v>10000000</v>
      </c>
      <c r="H991" s="18">
        <v>9229991.5700000003</v>
      </c>
      <c r="I991" s="18">
        <v>10000000</v>
      </c>
      <c r="J991" s="18">
        <v>9229991.5700000003</v>
      </c>
      <c r="K991" s="15">
        <v>66412433</v>
      </c>
      <c r="L991" s="13" t="s">
        <v>117</v>
      </c>
      <c r="M991" s="13" t="s">
        <v>118</v>
      </c>
      <c r="N991" s="145" t="s">
        <v>411</v>
      </c>
      <c r="O991" s="145" t="s">
        <v>411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1461</v>
      </c>
      <c r="V991" s="13" t="s">
        <v>1461</v>
      </c>
      <c r="W991" s="60">
        <f>+J991/$W$2</f>
        <v>2.4326605522162131E-4</v>
      </c>
    </row>
    <row r="992" spans="1:29">
      <c r="A992" s="13" t="s">
        <v>1330</v>
      </c>
      <c r="B992" s="13" t="s">
        <v>675</v>
      </c>
      <c r="C992" s="145">
        <v>46261</v>
      </c>
      <c r="D992" s="145" t="s">
        <v>469</v>
      </c>
      <c r="E992" s="28">
        <v>0.92299920000000002</v>
      </c>
      <c r="F992" s="13"/>
      <c r="G992" s="18">
        <v>40000000</v>
      </c>
      <c r="H992" s="18">
        <v>36919968.030000001</v>
      </c>
      <c r="I992" s="18">
        <v>40000000</v>
      </c>
      <c r="J992" s="18">
        <v>36919968.030000001</v>
      </c>
      <c r="K992" s="15">
        <v>80939846</v>
      </c>
      <c r="L992" s="13" t="s">
        <v>117</v>
      </c>
      <c r="M992" s="13" t="s">
        <v>118</v>
      </c>
      <c r="N992" s="145" t="s">
        <v>428</v>
      </c>
      <c r="O992" s="145" t="s">
        <v>428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1668</v>
      </c>
      <c r="V992" s="13" t="s">
        <v>1668</v>
      </c>
      <c r="W992" s="60">
        <f>+J992/$W$2</f>
        <v>9.7306426700956067E-4</v>
      </c>
      <c r="AC992" s="57"/>
    </row>
    <row r="993" spans="1:29">
      <c r="A993" s="13" t="s">
        <v>406</v>
      </c>
      <c r="B993" s="13" t="s">
        <v>675</v>
      </c>
      <c r="C993" s="145">
        <v>46261</v>
      </c>
      <c r="D993" s="145" t="s">
        <v>469</v>
      </c>
      <c r="E993" s="28">
        <v>0.92299924</v>
      </c>
      <c r="F993" s="13"/>
      <c r="G993" s="18">
        <v>10000000</v>
      </c>
      <c r="H993" s="18">
        <v>9229992.3800000008</v>
      </c>
      <c r="I993" s="18">
        <v>10000000</v>
      </c>
      <c r="J993" s="18">
        <v>9229992.3800000008</v>
      </c>
      <c r="K993" s="15">
        <v>2155</v>
      </c>
      <c r="L993" s="13" t="s">
        <v>117</v>
      </c>
      <c r="M993" s="13" t="s">
        <v>118</v>
      </c>
      <c r="N993" s="145" t="s">
        <v>490</v>
      </c>
      <c r="O993" s="145" t="s">
        <v>490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1594</v>
      </c>
      <c r="V993" s="13" t="s">
        <v>1594</v>
      </c>
      <c r="W993" s="60">
        <f>+J993/$W$2</f>
        <v>2.4326607657001621E-4</v>
      </c>
    </row>
    <row r="994" spans="1:29">
      <c r="A994" s="13" t="s">
        <v>1764</v>
      </c>
      <c r="B994" s="13" t="s">
        <v>675</v>
      </c>
      <c r="C994" s="145">
        <v>46261</v>
      </c>
      <c r="D994" s="145" t="s">
        <v>469</v>
      </c>
      <c r="E994" s="28">
        <v>0.92545650000000002</v>
      </c>
      <c r="F994" s="13"/>
      <c r="G994" s="18">
        <v>5000000</v>
      </c>
      <c r="H994" s="18">
        <v>4627282.49</v>
      </c>
      <c r="I994" s="18">
        <v>5000000</v>
      </c>
      <c r="J994" s="18">
        <v>4627282.49</v>
      </c>
      <c r="K994" s="15">
        <v>29175496</v>
      </c>
      <c r="L994" s="13" t="s">
        <v>117</v>
      </c>
      <c r="M994" s="13" t="s">
        <v>118</v>
      </c>
      <c r="N994" s="145" t="s">
        <v>462</v>
      </c>
      <c r="O994" s="145" t="s">
        <v>462</v>
      </c>
      <c r="P994" s="28">
        <v>28</v>
      </c>
      <c r="Q994" s="13" t="s">
        <v>54</v>
      </c>
      <c r="R994" s="13" t="s">
        <v>28</v>
      </c>
      <c r="S994" s="13"/>
      <c r="T994" s="13"/>
      <c r="U994" s="13" t="s">
        <v>1739</v>
      </c>
      <c r="V994" s="13" t="s">
        <v>1739</v>
      </c>
      <c r="W994" s="60">
        <f>+J994/$W$2</f>
        <v>1.2195685653680196E-4</v>
      </c>
    </row>
    <row r="995" spans="1:29">
      <c r="A995" s="13" t="s">
        <v>406</v>
      </c>
      <c r="B995" s="13" t="s">
        <v>675</v>
      </c>
      <c r="C995" s="145">
        <v>46262</v>
      </c>
      <c r="D995" s="145" t="s">
        <v>469</v>
      </c>
      <c r="E995" s="28">
        <v>0.92232292999999999</v>
      </c>
      <c r="F995" s="13"/>
      <c r="G995" s="18">
        <v>10000000</v>
      </c>
      <c r="H995" s="18">
        <v>9223229.2699999996</v>
      </c>
      <c r="I995" s="18">
        <v>10000000</v>
      </c>
      <c r="J995" s="18">
        <v>9223229.2699999996</v>
      </c>
      <c r="K995" s="15">
        <v>66412455</v>
      </c>
      <c r="L995" s="13" t="s">
        <v>117</v>
      </c>
      <c r="M995" s="13" t="s">
        <v>118</v>
      </c>
      <c r="N995" s="145" t="s">
        <v>411</v>
      </c>
      <c r="O995" s="145" t="s">
        <v>411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1463</v>
      </c>
      <c r="V995" s="13" t="s">
        <v>1463</v>
      </c>
      <c r="W995" s="60">
        <f>+J995/$W$2</f>
        <v>2.4308782775166651E-4</v>
      </c>
    </row>
    <row r="996" spans="1:29">
      <c r="A996" s="13" t="s">
        <v>1330</v>
      </c>
      <c r="B996" s="13" t="s">
        <v>675</v>
      </c>
      <c r="C996" s="145">
        <v>46262</v>
      </c>
      <c r="D996" s="145" t="s">
        <v>469</v>
      </c>
      <c r="E996" s="28">
        <v>0.92232276000000002</v>
      </c>
      <c r="F996" s="13"/>
      <c r="G996" s="18">
        <v>40000000</v>
      </c>
      <c r="H996" s="18">
        <v>36892910.57</v>
      </c>
      <c r="I996" s="18">
        <v>40000000</v>
      </c>
      <c r="J996" s="18">
        <v>36892910.57</v>
      </c>
      <c r="K996" s="15">
        <v>80939845</v>
      </c>
      <c r="L996" s="13" t="s">
        <v>117</v>
      </c>
      <c r="M996" s="13" t="s">
        <v>118</v>
      </c>
      <c r="N996" s="145" t="s">
        <v>428</v>
      </c>
      <c r="O996" s="145" t="s">
        <v>428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1667</v>
      </c>
      <c r="V996" s="13" t="s">
        <v>1667</v>
      </c>
      <c r="W996" s="60">
        <f>+J996/$W$2</f>
        <v>9.7235113942882579E-4</v>
      </c>
    </row>
    <row r="997" spans="1:29">
      <c r="A997" s="13" t="s">
        <v>406</v>
      </c>
      <c r="B997" s="13" t="s">
        <v>675</v>
      </c>
      <c r="C997" s="145">
        <v>46262</v>
      </c>
      <c r="D997" s="145" t="s">
        <v>469</v>
      </c>
      <c r="E997" s="28">
        <v>0.9223228</v>
      </c>
      <c r="F997" s="13"/>
      <c r="G997" s="18">
        <v>10000000</v>
      </c>
      <c r="H997" s="18">
        <v>9223228.0099999998</v>
      </c>
      <c r="I997" s="18">
        <v>10000000</v>
      </c>
      <c r="J997" s="18">
        <v>9223228.0099999998</v>
      </c>
      <c r="K997" s="15">
        <v>2156</v>
      </c>
      <c r="L997" s="13" t="s">
        <v>117</v>
      </c>
      <c r="M997" s="13" t="s">
        <v>118</v>
      </c>
      <c r="N997" s="145" t="s">
        <v>490</v>
      </c>
      <c r="O997" s="145" t="s">
        <v>490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1597</v>
      </c>
      <c r="V997" s="13" t="s">
        <v>1597</v>
      </c>
      <c r="W997" s="60">
        <f>+J997/$W$2</f>
        <v>2.4308779454305227E-4</v>
      </c>
    </row>
    <row r="998" spans="1:29">
      <c r="A998" s="13" t="s">
        <v>1101</v>
      </c>
      <c r="B998" s="13" t="s">
        <v>675</v>
      </c>
      <c r="C998" s="145">
        <v>46262</v>
      </c>
      <c r="D998" s="145" t="s">
        <v>469</v>
      </c>
      <c r="E998" s="28">
        <v>0.92479997000000003</v>
      </c>
      <c r="F998" s="13"/>
      <c r="G998" s="18">
        <v>10000000</v>
      </c>
      <c r="H998" s="18">
        <v>9247999.6699999999</v>
      </c>
      <c r="I998" s="18">
        <v>10000000</v>
      </c>
      <c r="J998" s="18">
        <v>9247999.6699999999</v>
      </c>
      <c r="K998" s="15">
        <v>360559</v>
      </c>
      <c r="L998" s="13" t="s">
        <v>117</v>
      </c>
      <c r="M998" s="13" t="s">
        <v>118</v>
      </c>
      <c r="N998" s="145" t="s">
        <v>445</v>
      </c>
      <c r="O998" s="145" t="s">
        <v>445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1360</v>
      </c>
      <c r="V998" s="13" t="s">
        <v>1360</v>
      </c>
      <c r="W998" s="60">
        <f>+J998/$W$2</f>
        <v>2.4374067748057061E-4</v>
      </c>
    </row>
    <row r="999" spans="1:29">
      <c r="A999" s="13" t="s">
        <v>1251</v>
      </c>
      <c r="B999" s="13" t="s">
        <v>675</v>
      </c>
      <c r="C999" s="145">
        <v>46262</v>
      </c>
      <c r="D999" s="145" t="s">
        <v>469</v>
      </c>
      <c r="E999" s="28">
        <v>0.91497054</v>
      </c>
      <c r="F999" s="13"/>
      <c r="G999" s="18">
        <v>15000000</v>
      </c>
      <c r="H999" s="18">
        <v>13724558.09</v>
      </c>
      <c r="I999" s="18">
        <v>15000000</v>
      </c>
      <c r="J999" s="18">
        <v>13724558.09</v>
      </c>
      <c r="K999" s="15">
        <v>178</v>
      </c>
      <c r="L999" s="13" t="s">
        <v>117</v>
      </c>
      <c r="M999" s="13" t="s">
        <v>118</v>
      </c>
      <c r="N999" s="145" t="s">
        <v>461</v>
      </c>
      <c r="O999" s="145" t="s">
        <v>461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1160</v>
      </c>
      <c r="V999" s="13" t="s">
        <v>1160</v>
      </c>
      <c r="W999" s="60">
        <f>+J999/$W$2</f>
        <v>3.6172504393893932E-4</v>
      </c>
    </row>
    <row r="1000" spans="1:29">
      <c r="A1000" s="13" t="s">
        <v>722</v>
      </c>
      <c r="B1000" s="13" t="s">
        <v>675</v>
      </c>
      <c r="C1000" s="145">
        <v>46262</v>
      </c>
      <c r="D1000" s="145" t="s">
        <v>469</v>
      </c>
      <c r="E1000" s="28">
        <v>0.90773455999999997</v>
      </c>
      <c r="F1000" s="13"/>
      <c r="G1000" s="18">
        <v>16600000</v>
      </c>
      <c r="H1000" s="18">
        <v>15068393.689999999</v>
      </c>
      <c r="I1000" s="18">
        <v>16600000</v>
      </c>
      <c r="J1000" s="18">
        <v>15068393.689999999</v>
      </c>
      <c r="K1000" s="15">
        <v>29088025</v>
      </c>
      <c r="L1000" s="13" t="s">
        <v>117</v>
      </c>
      <c r="M1000" s="13" t="s">
        <v>118</v>
      </c>
      <c r="N1000" s="145" t="s">
        <v>205</v>
      </c>
      <c r="O1000" s="145" t="s">
        <v>205</v>
      </c>
      <c r="P1000" s="28">
        <v>35</v>
      </c>
      <c r="Q1000" s="13" t="s">
        <v>54</v>
      </c>
      <c r="R1000" s="13" t="s">
        <v>28</v>
      </c>
      <c r="S1000" s="13"/>
      <c r="T1000" s="13"/>
      <c r="U1000" s="13" t="s">
        <v>1058</v>
      </c>
      <c r="V1000" s="13" t="s">
        <v>1058</v>
      </c>
      <c r="W1000" s="60">
        <f>+J1000/$W$2</f>
        <v>3.9714323287216933E-4</v>
      </c>
      <c r="AC1000" s="57"/>
    </row>
    <row r="1001" spans="1:29">
      <c r="A1001" s="13" t="s">
        <v>1235</v>
      </c>
      <c r="B1001" s="13" t="s">
        <v>675</v>
      </c>
      <c r="C1001" s="145">
        <v>46265</v>
      </c>
      <c r="D1001" s="145" t="s">
        <v>469</v>
      </c>
      <c r="E1001" s="28">
        <v>0.91777737000000004</v>
      </c>
      <c r="F1001" s="13"/>
      <c r="G1001" s="18">
        <v>5000000</v>
      </c>
      <c r="H1001" s="18">
        <v>4588886.84</v>
      </c>
      <c r="I1001" s="18">
        <v>5000000</v>
      </c>
      <c r="J1001" s="18">
        <v>4588886.84</v>
      </c>
      <c r="K1001" s="15">
        <v>3495447</v>
      </c>
      <c r="L1001" s="13" t="s">
        <v>117</v>
      </c>
      <c r="M1001" s="13" t="s">
        <v>118</v>
      </c>
      <c r="N1001" s="145" t="s">
        <v>461</v>
      </c>
      <c r="O1001" s="145" t="s">
        <v>461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1203</v>
      </c>
      <c r="V1001" s="13" t="s">
        <v>1203</v>
      </c>
      <c r="W1001" s="60">
        <f>+J1001/$W$2</f>
        <v>1.2094489913225471E-4</v>
      </c>
    </row>
    <row r="1002" spans="1:29">
      <c r="A1002" s="13" t="s">
        <v>1235</v>
      </c>
      <c r="B1002" s="13" t="s">
        <v>675</v>
      </c>
      <c r="C1002" s="145">
        <v>46265</v>
      </c>
      <c r="D1002" s="145" t="s">
        <v>469</v>
      </c>
      <c r="E1002" s="28">
        <v>0.91029269000000002</v>
      </c>
      <c r="F1002" s="13"/>
      <c r="G1002" s="18">
        <v>5600000</v>
      </c>
      <c r="H1002" s="18">
        <v>5097639.09</v>
      </c>
      <c r="I1002" s="18">
        <v>5600000</v>
      </c>
      <c r="J1002" s="18">
        <v>5097639.09</v>
      </c>
      <c r="K1002" s="15">
        <v>3501252</v>
      </c>
      <c r="L1002" s="13" t="s">
        <v>117</v>
      </c>
      <c r="M1002" s="13" t="s">
        <v>118</v>
      </c>
      <c r="N1002" s="145" t="s">
        <v>457</v>
      </c>
      <c r="O1002" s="145" t="s">
        <v>457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1543</v>
      </c>
      <c r="V1002" s="13" t="s">
        <v>1543</v>
      </c>
      <c r="W1002" s="60">
        <f>+J1002/$W$2</f>
        <v>1.3435359533788127E-4</v>
      </c>
    </row>
    <row r="1003" spans="1:29">
      <c r="A1003" s="13" t="s">
        <v>444</v>
      </c>
      <c r="B1003" s="13" t="s">
        <v>675</v>
      </c>
      <c r="C1003" s="145">
        <v>46265</v>
      </c>
      <c r="D1003" s="145" t="s">
        <v>469</v>
      </c>
      <c r="E1003" s="28">
        <v>0.90537029000000002</v>
      </c>
      <c r="F1003" s="13"/>
      <c r="G1003" s="18">
        <v>10000000</v>
      </c>
      <c r="H1003" s="18">
        <v>9053702.8599999994</v>
      </c>
      <c r="I1003" s="18">
        <v>10000000</v>
      </c>
      <c r="J1003" s="18">
        <v>9053702.8599999994</v>
      </c>
      <c r="K1003" s="15">
        <v>255</v>
      </c>
      <c r="L1003" s="13" t="s">
        <v>117</v>
      </c>
      <c r="M1003" s="13" t="s">
        <v>118</v>
      </c>
      <c r="N1003" s="145" t="s">
        <v>428</v>
      </c>
      <c r="O1003" s="145" t="s">
        <v>428</v>
      </c>
      <c r="P1003" s="28">
        <v>35</v>
      </c>
      <c r="Q1003" s="13" t="s">
        <v>54</v>
      </c>
      <c r="R1003" s="13" t="s">
        <v>28</v>
      </c>
      <c r="S1003" s="13"/>
      <c r="T1003" s="13"/>
      <c r="U1003" s="13" t="s">
        <v>1707</v>
      </c>
      <c r="V1003" s="13" t="s">
        <v>1707</v>
      </c>
      <c r="W1003" s="60">
        <f>+J1003/$W$2</f>
        <v>2.3861978239064747E-4</v>
      </c>
    </row>
    <row r="1004" spans="1:29">
      <c r="A1004" s="13" t="s">
        <v>406</v>
      </c>
      <c r="B1004" s="13" t="s">
        <v>675</v>
      </c>
      <c r="C1004" s="145">
        <v>46265</v>
      </c>
      <c r="D1004" s="145" t="s">
        <v>469</v>
      </c>
      <c r="E1004" s="28">
        <v>0.92029956000000002</v>
      </c>
      <c r="F1004" s="13"/>
      <c r="G1004" s="18">
        <v>10000000</v>
      </c>
      <c r="H1004" s="18">
        <v>9202995.6099999994</v>
      </c>
      <c r="I1004" s="18">
        <v>10000000</v>
      </c>
      <c r="J1004" s="18">
        <v>9202995.6099999994</v>
      </c>
      <c r="K1004" s="15">
        <v>66412480</v>
      </c>
      <c r="L1004" s="13" t="s">
        <v>117</v>
      </c>
      <c r="M1004" s="13" t="s">
        <v>118</v>
      </c>
      <c r="N1004" s="145" t="s">
        <v>411</v>
      </c>
      <c r="O1004" s="145" t="s">
        <v>411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1464</v>
      </c>
      <c r="V1004" s="13" t="s">
        <v>1464</v>
      </c>
      <c r="W1004" s="60">
        <f>+J1004/$W$2</f>
        <v>2.425545485375344E-4</v>
      </c>
    </row>
    <row r="1005" spans="1:29">
      <c r="A1005" s="13" t="s">
        <v>219</v>
      </c>
      <c r="B1005" s="13" t="s">
        <v>675</v>
      </c>
      <c r="C1005" s="145">
        <v>46265</v>
      </c>
      <c r="D1005" s="145" t="s">
        <v>469</v>
      </c>
      <c r="E1005" s="28">
        <v>0.92283581999999997</v>
      </c>
      <c r="F1005" s="13"/>
      <c r="G1005" s="18">
        <v>35000000</v>
      </c>
      <c r="H1005" s="18">
        <v>32299253.84</v>
      </c>
      <c r="I1005" s="18">
        <v>35000000</v>
      </c>
      <c r="J1005" s="18">
        <v>32299253.84</v>
      </c>
      <c r="K1005" s="15">
        <v>3329632</v>
      </c>
      <c r="L1005" s="13" t="s">
        <v>117</v>
      </c>
      <c r="M1005" s="13" t="s">
        <v>118</v>
      </c>
      <c r="N1005" s="145" t="s">
        <v>428</v>
      </c>
      <c r="O1005" s="145" t="s">
        <v>428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1681</v>
      </c>
      <c r="V1005" s="13" t="s">
        <v>1681</v>
      </c>
      <c r="W1005" s="60">
        <f>+J1005/$W$2</f>
        <v>8.5128052487036066E-4</v>
      </c>
    </row>
    <row r="1006" spans="1:29">
      <c r="A1006" s="13" t="s">
        <v>406</v>
      </c>
      <c r="B1006" s="13" t="s">
        <v>675</v>
      </c>
      <c r="C1006" s="145">
        <v>46265</v>
      </c>
      <c r="D1006" s="145" t="s">
        <v>469</v>
      </c>
      <c r="E1006" s="28">
        <v>0.92029963999999997</v>
      </c>
      <c r="F1006" s="13"/>
      <c r="G1006" s="18">
        <v>10000000</v>
      </c>
      <c r="H1006" s="18">
        <v>9202996.4000000004</v>
      </c>
      <c r="I1006" s="18">
        <v>10000000</v>
      </c>
      <c r="J1006" s="18">
        <v>9202996.4000000004</v>
      </c>
      <c r="K1006" s="15">
        <v>2157</v>
      </c>
      <c r="L1006" s="13" t="s">
        <v>117</v>
      </c>
      <c r="M1006" s="13" t="s">
        <v>118</v>
      </c>
      <c r="N1006" s="145" t="s">
        <v>490</v>
      </c>
      <c r="O1006" s="145" t="s">
        <v>490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1592</v>
      </c>
      <c r="V1006" s="13" t="s">
        <v>1592</v>
      </c>
      <c r="W1006" s="60">
        <f>+J1006/$W$2</f>
        <v>2.4255456935880844E-4</v>
      </c>
    </row>
    <row r="1007" spans="1:29">
      <c r="A1007" s="13" t="s">
        <v>1241</v>
      </c>
      <c r="B1007" s="13" t="s">
        <v>675</v>
      </c>
      <c r="C1007" s="145">
        <v>46266</v>
      </c>
      <c r="D1007" s="145" t="s">
        <v>469</v>
      </c>
      <c r="E1007" s="28">
        <v>0.89724702000000001</v>
      </c>
      <c r="F1007" s="13"/>
      <c r="G1007" s="18">
        <v>4500000</v>
      </c>
      <c r="H1007" s="18">
        <v>4037611.58</v>
      </c>
      <c r="I1007" s="18">
        <v>4500000</v>
      </c>
      <c r="J1007" s="18">
        <v>4037611.58</v>
      </c>
      <c r="K1007" s="15">
        <v>556</v>
      </c>
      <c r="L1007" s="13" t="s">
        <v>117</v>
      </c>
      <c r="M1007" s="13" t="s">
        <v>118</v>
      </c>
      <c r="N1007" s="145" t="s">
        <v>411</v>
      </c>
      <c r="O1007" s="145" t="s">
        <v>411</v>
      </c>
      <c r="P1007" s="28">
        <v>38</v>
      </c>
      <c r="Q1007" s="13" t="s">
        <v>54</v>
      </c>
      <c r="R1007" s="13" t="s">
        <v>28</v>
      </c>
      <c r="S1007" s="13"/>
      <c r="T1007" s="13"/>
      <c r="U1007" s="13" t="s">
        <v>1471</v>
      </c>
      <c r="V1007" s="13" t="s">
        <v>1471</v>
      </c>
      <c r="W1007" s="60">
        <f>+J1007/$W$2</f>
        <v>1.0641546464421502E-4</v>
      </c>
    </row>
    <row r="1008" spans="1:29">
      <c r="A1008" s="13" t="s">
        <v>1103</v>
      </c>
      <c r="B1008" s="13" t="s">
        <v>675</v>
      </c>
      <c r="C1008" s="145">
        <v>46266</v>
      </c>
      <c r="D1008" s="145" t="s">
        <v>469</v>
      </c>
      <c r="E1008" s="28">
        <v>0.89242058999999996</v>
      </c>
      <c r="F1008" s="13"/>
      <c r="G1008" s="18">
        <v>9972860.4499999993</v>
      </c>
      <c r="H1008" s="18">
        <v>8899985.9700000007</v>
      </c>
      <c r="I1008" s="18">
        <v>9972860.4499999993</v>
      </c>
      <c r="J1008" s="18">
        <v>8899985.9700000007</v>
      </c>
      <c r="K1008" s="15">
        <v>1179204</v>
      </c>
      <c r="L1008" s="13" t="s">
        <v>117</v>
      </c>
      <c r="M1008" s="13" t="s">
        <v>118</v>
      </c>
      <c r="N1008" s="145" t="s">
        <v>443</v>
      </c>
      <c r="O1008" s="145" t="s">
        <v>443</v>
      </c>
      <c r="P1008" s="28">
        <v>40</v>
      </c>
      <c r="Q1008" s="13" t="s">
        <v>54</v>
      </c>
      <c r="R1008" s="13" t="s">
        <v>28</v>
      </c>
      <c r="S1008" s="13"/>
      <c r="T1008" s="13"/>
      <c r="U1008" s="13" t="s">
        <v>1088</v>
      </c>
      <c r="V1008" s="13" t="s">
        <v>1088</v>
      </c>
      <c r="W1008" s="60">
        <f>+J1008/$W$2</f>
        <v>2.3456841341943665E-4</v>
      </c>
    </row>
    <row r="1009" spans="1:30">
      <c r="A1009" s="13" t="s">
        <v>379</v>
      </c>
      <c r="B1009" s="13" t="s">
        <v>675</v>
      </c>
      <c r="C1009" s="145">
        <v>46266</v>
      </c>
      <c r="D1009" s="145" t="s">
        <v>469</v>
      </c>
      <c r="E1009" s="28">
        <v>0.89724680000000001</v>
      </c>
      <c r="F1009" s="13"/>
      <c r="G1009" s="18">
        <v>5450000</v>
      </c>
      <c r="H1009" s="18">
        <v>4889995.08</v>
      </c>
      <c r="I1009" s="18">
        <v>5450000</v>
      </c>
      <c r="J1009" s="18">
        <v>4889995.08</v>
      </c>
      <c r="K1009" s="15">
        <v>28518</v>
      </c>
      <c r="L1009" s="13" t="s">
        <v>117</v>
      </c>
      <c r="M1009" s="13" t="s">
        <v>118</v>
      </c>
      <c r="N1009" s="145" t="s">
        <v>385</v>
      </c>
      <c r="O1009" s="145" t="s">
        <v>385</v>
      </c>
      <c r="P1009" s="28">
        <v>38</v>
      </c>
      <c r="Q1009" s="13" t="s">
        <v>54</v>
      </c>
      <c r="R1009" s="13" t="s">
        <v>28</v>
      </c>
      <c r="S1009" s="13"/>
      <c r="T1009" s="13"/>
      <c r="U1009" s="13" t="s">
        <v>967</v>
      </c>
      <c r="V1009" s="13" t="s">
        <v>967</v>
      </c>
      <c r="W1009" s="60">
        <f>+J1009/$W$2</f>
        <v>1.2888092087008662E-4</v>
      </c>
    </row>
    <row r="1010" spans="1:30">
      <c r="A1010" s="13" t="s">
        <v>145</v>
      </c>
      <c r="B1010" s="13" t="s">
        <v>675</v>
      </c>
      <c r="C1010" s="145">
        <v>46266</v>
      </c>
      <c r="D1010" s="145" t="s">
        <v>469</v>
      </c>
      <c r="E1010" s="28">
        <v>0.80967177999999995</v>
      </c>
      <c r="F1010" s="13"/>
      <c r="G1010" s="18">
        <v>10000000</v>
      </c>
      <c r="H1010" s="18">
        <v>8096717.7999999998</v>
      </c>
      <c r="I1010" s="18">
        <v>10000000</v>
      </c>
      <c r="J1010" s="18">
        <v>8096717.7999999998</v>
      </c>
      <c r="K1010" s="15">
        <v>3937</v>
      </c>
      <c r="L1010" s="13" t="s">
        <v>117</v>
      </c>
      <c r="M1010" s="13" t="s">
        <v>118</v>
      </c>
      <c r="N1010" s="145" t="s">
        <v>159</v>
      </c>
      <c r="O1010" s="145" t="s">
        <v>159</v>
      </c>
      <c r="P1010" s="28">
        <v>78</v>
      </c>
      <c r="Q1010" s="13" t="s">
        <v>54</v>
      </c>
      <c r="R1010" s="13" t="s">
        <v>28</v>
      </c>
      <c r="S1010" s="13"/>
      <c r="T1010" s="13"/>
      <c r="U1010" s="13" t="s">
        <v>245</v>
      </c>
      <c r="V1010" s="13" t="s">
        <v>245</v>
      </c>
      <c r="W1010" s="60">
        <f>+J1010/$W$2</f>
        <v>2.1339744294573436E-4</v>
      </c>
    </row>
    <row r="1011" spans="1:30">
      <c r="A1011" s="13" t="s">
        <v>391</v>
      </c>
      <c r="B1011" s="13" t="s">
        <v>675</v>
      </c>
      <c r="C1011" s="145">
        <v>46266</v>
      </c>
      <c r="D1011" s="145" t="s">
        <v>469</v>
      </c>
      <c r="E1011" s="28">
        <v>0.90954407000000004</v>
      </c>
      <c r="F1011" s="13"/>
      <c r="G1011" s="18">
        <v>50000000</v>
      </c>
      <c r="H1011" s="18">
        <v>45477203.719999999</v>
      </c>
      <c r="I1011" s="18">
        <v>50000000</v>
      </c>
      <c r="J1011" s="18">
        <v>45477203.719999999</v>
      </c>
      <c r="K1011" s="15">
        <v>29030847</v>
      </c>
      <c r="L1011" s="13" t="s">
        <v>117</v>
      </c>
      <c r="M1011" s="13" t="s">
        <v>118</v>
      </c>
      <c r="N1011" s="145" t="s">
        <v>390</v>
      </c>
      <c r="O1011" s="145" t="s">
        <v>390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949</v>
      </c>
      <c r="V1011" s="13" t="s">
        <v>949</v>
      </c>
      <c r="W1011" s="60">
        <f>+J1011/$W$2</f>
        <v>1.1985991392920029E-3</v>
      </c>
    </row>
    <row r="1012" spans="1:30">
      <c r="A1012" s="13" t="s">
        <v>406</v>
      </c>
      <c r="B1012" s="13" t="s">
        <v>675</v>
      </c>
      <c r="C1012" s="145">
        <v>46266</v>
      </c>
      <c r="D1012" s="145" t="s">
        <v>469</v>
      </c>
      <c r="E1012" s="28">
        <v>0.91962728000000005</v>
      </c>
      <c r="F1012" s="13"/>
      <c r="G1012" s="18">
        <v>10000000</v>
      </c>
      <c r="H1012" s="18">
        <v>9196272.8100000005</v>
      </c>
      <c r="I1012" s="18">
        <v>10000000</v>
      </c>
      <c r="J1012" s="18">
        <v>9196272.8100000005</v>
      </c>
      <c r="K1012" s="15">
        <v>66412510</v>
      </c>
      <c r="L1012" s="13" t="s">
        <v>117</v>
      </c>
      <c r="M1012" s="13" t="s">
        <v>118</v>
      </c>
      <c r="N1012" s="145" t="s">
        <v>411</v>
      </c>
      <c r="O1012" s="145" t="s">
        <v>411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1465</v>
      </c>
      <c r="V1012" s="13" t="s">
        <v>1465</v>
      </c>
      <c r="W1012" s="60">
        <f>+J1012/$W$2</f>
        <v>2.4237736213128034E-4</v>
      </c>
    </row>
    <row r="1013" spans="1:30">
      <c r="A1013" s="13" t="s">
        <v>406</v>
      </c>
      <c r="B1013" s="13" t="s">
        <v>675</v>
      </c>
      <c r="C1013" s="145">
        <v>46266</v>
      </c>
      <c r="D1013" s="145" t="s">
        <v>469</v>
      </c>
      <c r="E1013" s="28">
        <v>0.91962714999999995</v>
      </c>
      <c r="F1013" s="13"/>
      <c r="G1013" s="18">
        <v>10000000</v>
      </c>
      <c r="H1013" s="18">
        <v>9196271.5299999993</v>
      </c>
      <c r="I1013" s="18">
        <v>10000000</v>
      </c>
      <c r="J1013" s="18">
        <v>9196271.5299999993</v>
      </c>
      <c r="K1013" s="15">
        <v>2158</v>
      </c>
      <c r="L1013" s="13" t="s">
        <v>117</v>
      </c>
      <c r="M1013" s="13" t="s">
        <v>118</v>
      </c>
      <c r="N1013" s="145" t="s">
        <v>490</v>
      </c>
      <c r="O1013" s="145" t="s">
        <v>490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1591</v>
      </c>
      <c r="V1013" s="13" t="s">
        <v>1591</v>
      </c>
      <c r="W1013" s="60">
        <f>+J1013/$W$2</f>
        <v>2.4237732839554519E-4</v>
      </c>
    </row>
    <row r="1014" spans="1:30">
      <c r="A1014" s="13" t="s">
        <v>1100</v>
      </c>
      <c r="B1014" s="13" t="s">
        <v>675</v>
      </c>
      <c r="C1014" s="145">
        <v>46266</v>
      </c>
      <c r="D1014" s="145" t="s">
        <v>469</v>
      </c>
      <c r="E1014" s="28">
        <v>0.91708551999999999</v>
      </c>
      <c r="F1014" s="13"/>
      <c r="G1014" s="18">
        <v>25000000</v>
      </c>
      <c r="H1014" s="18">
        <v>22927138.02</v>
      </c>
      <c r="I1014" s="18">
        <v>25000000</v>
      </c>
      <c r="J1014" s="18">
        <v>22927138.02</v>
      </c>
      <c r="K1014" s="15">
        <v>718978</v>
      </c>
      <c r="L1014" s="13" t="s">
        <v>117</v>
      </c>
      <c r="M1014" s="13" t="s">
        <v>118</v>
      </c>
      <c r="N1014" s="145" t="s">
        <v>461</v>
      </c>
      <c r="O1014" s="145" t="s">
        <v>461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1115</v>
      </c>
      <c r="V1014" s="13" t="s">
        <v>1115</v>
      </c>
      <c r="W1014" s="60">
        <f>+J1014/$W$2</f>
        <v>6.0426863679649643E-4</v>
      </c>
      <c r="AA1014" s="13"/>
      <c r="AB1014" s="13"/>
      <c r="AC1014" s="23"/>
      <c r="AD1014" s="16"/>
    </row>
    <row r="1015" spans="1:30">
      <c r="A1015" s="13" t="s">
        <v>1101</v>
      </c>
      <c r="B1015" s="13" t="s">
        <v>675</v>
      </c>
      <c r="C1015" s="145">
        <v>46266</v>
      </c>
      <c r="D1015" s="145" t="s">
        <v>469</v>
      </c>
      <c r="E1015" s="28">
        <v>0.91962719999999998</v>
      </c>
      <c r="F1015" s="13"/>
      <c r="G1015" s="18">
        <v>2500000</v>
      </c>
      <c r="H1015" s="18">
        <v>2299067.9900000002</v>
      </c>
      <c r="I1015" s="18">
        <v>2500000</v>
      </c>
      <c r="J1015" s="18">
        <v>2299067.9900000002</v>
      </c>
      <c r="K1015" s="15">
        <v>367</v>
      </c>
      <c r="L1015" s="13" t="s">
        <v>117</v>
      </c>
      <c r="M1015" s="13" t="s">
        <v>118</v>
      </c>
      <c r="N1015" s="145" t="s">
        <v>461</v>
      </c>
      <c r="O1015" s="145" t="s">
        <v>461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1113</v>
      </c>
      <c r="V1015" s="13" t="s">
        <v>1113</v>
      </c>
      <c r="W1015" s="60">
        <f>+J1015/$W$2</f>
        <v>6.0594334932160934E-5</v>
      </c>
    </row>
    <row r="1016" spans="1:30">
      <c r="A1016" s="13" t="s">
        <v>1101</v>
      </c>
      <c r="B1016" s="13" t="s">
        <v>675</v>
      </c>
      <c r="C1016" s="145">
        <v>46266</v>
      </c>
      <c r="D1016" s="145" t="s">
        <v>469</v>
      </c>
      <c r="E1016" s="28">
        <v>0.92218303000000001</v>
      </c>
      <c r="F1016" s="13"/>
      <c r="G1016" s="18">
        <v>10000000</v>
      </c>
      <c r="H1016" s="18">
        <v>9221830.3100000005</v>
      </c>
      <c r="I1016" s="18">
        <v>10000000</v>
      </c>
      <c r="J1016" s="18">
        <v>9221830.3100000005</v>
      </c>
      <c r="K1016" s="15">
        <v>360560</v>
      </c>
      <c r="L1016" s="13" t="s">
        <v>117</v>
      </c>
      <c r="M1016" s="13" t="s">
        <v>118</v>
      </c>
      <c r="N1016" s="145" t="s">
        <v>445</v>
      </c>
      <c r="O1016" s="145" t="s">
        <v>445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1363</v>
      </c>
      <c r="V1016" s="13" t="s">
        <v>1363</v>
      </c>
      <c r="W1016" s="60">
        <f>+J1016/$W$2</f>
        <v>2.430509567016735E-4</v>
      </c>
    </row>
    <row r="1017" spans="1:30">
      <c r="A1017" s="13" t="s">
        <v>1251</v>
      </c>
      <c r="B1017" s="13" t="s">
        <v>675</v>
      </c>
      <c r="C1017" s="145">
        <v>46266</v>
      </c>
      <c r="D1017" s="145" t="s">
        <v>469</v>
      </c>
      <c r="E1017" s="28">
        <v>0.90954405000000005</v>
      </c>
      <c r="F1017" s="13"/>
      <c r="G1017" s="18">
        <v>21395750</v>
      </c>
      <c r="H1017" s="18">
        <v>19460377.039999999</v>
      </c>
      <c r="I1017" s="18">
        <v>21395750</v>
      </c>
      <c r="J1017" s="18">
        <v>19460377.039999999</v>
      </c>
      <c r="K1017" s="15">
        <v>3233102</v>
      </c>
      <c r="L1017" s="13" t="s">
        <v>117</v>
      </c>
      <c r="M1017" s="13" t="s">
        <v>118</v>
      </c>
      <c r="N1017" s="145" t="s">
        <v>528</v>
      </c>
      <c r="O1017" s="145" t="s">
        <v>528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1280</v>
      </c>
      <c r="V1017" s="13" t="s">
        <v>1280</v>
      </c>
      <c r="W1017" s="60">
        <f>+J1017/$W$2</f>
        <v>5.1289853514418875E-4</v>
      </c>
    </row>
    <row r="1018" spans="1:30">
      <c r="A1018" s="13" t="s">
        <v>1251</v>
      </c>
      <c r="B1018" s="13" t="s">
        <v>675</v>
      </c>
      <c r="C1018" s="145">
        <v>46266</v>
      </c>
      <c r="D1018" s="145" t="s">
        <v>469</v>
      </c>
      <c r="E1018" s="28">
        <v>0.90954405000000005</v>
      </c>
      <c r="F1018" s="13"/>
      <c r="G1018" s="18">
        <v>21395750</v>
      </c>
      <c r="H1018" s="18">
        <v>19460377.039999999</v>
      </c>
      <c r="I1018" s="18">
        <v>21395750</v>
      </c>
      <c r="J1018" s="18">
        <v>19460377.039999999</v>
      </c>
      <c r="K1018" s="15">
        <v>3233103</v>
      </c>
      <c r="L1018" s="13" t="s">
        <v>117</v>
      </c>
      <c r="M1018" s="13" t="s">
        <v>118</v>
      </c>
      <c r="N1018" s="145" t="s">
        <v>528</v>
      </c>
      <c r="O1018" s="145" t="s">
        <v>528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1281</v>
      </c>
      <c r="V1018" s="13" t="s">
        <v>1281</v>
      </c>
      <c r="W1018" s="60">
        <f>+J1018/$W$2</f>
        <v>5.1289853514418875E-4</v>
      </c>
    </row>
    <row r="1019" spans="1:30">
      <c r="A1019" s="13" t="s">
        <v>1234</v>
      </c>
      <c r="B1019" s="13" t="s">
        <v>675</v>
      </c>
      <c r="C1019" s="145">
        <v>46267</v>
      </c>
      <c r="D1019" s="145" t="s">
        <v>469</v>
      </c>
      <c r="E1019" s="28">
        <v>0.91639472</v>
      </c>
      <c r="F1019" s="13"/>
      <c r="G1019" s="18">
        <v>10000000</v>
      </c>
      <c r="H1019" s="18">
        <v>9163947.1600000001</v>
      </c>
      <c r="I1019" s="18">
        <v>10000000</v>
      </c>
      <c r="J1019" s="18">
        <v>9163947.1600000001</v>
      </c>
      <c r="K1019" s="15">
        <v>3463103</v>
      </c>
      <c r="L1019" s="13" t="s">
        <v>117</v>
      </c>
      <c r="M1019" s="13" t="s">
        <v>118</v>
      </c>
      <c r="N1019" s="145" t="s">
        <v>461</v>
      </c>
      <c r="O1019" s="145" t="s">
        <v>461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1196</v>
      </c>
      <c r="V1019" s="13" t="s">
        <v>1196</v>
      </c>
      <c r="W1019" s="60">
        <f>+J1019/$W$2</f>
        <v>2.415253859080805E-4</v>
      </c>
    </row>
    <row r="1020" spans="1:30">
      <c r="A1020" s="13" t="s">
        <v>1332</v>
      </c>
      <c r="B1020" s="13" t="s">
        <v>675</v>
      </c>
      <c r="C1020" s="145">
        <v>46267</v>
      </c>
      <c r="D1020" s="145" t="s">
        <v>469</v>
      </c>
      <c r="E1020" s="28">
        <v>0.90380092000000001</v>
      </c>
      <c r="F1020" s="13"/>
      <c r="G1020" s="18">
        <v>19999999</v>
      </c>
      <c r="H1020" s="18">
        <v>18076017.469999999</v>
      </c>
      <c r="I1020" s="18">
        <v>19999999</v>
      </c>
      <c r="J1020" s="18">
        <v>18076017.469999999</v>
      </c>
      <c r="K1020" s="15">
        <v>43</v>
      </c>
      <c r="L1020" s="13" t="s">
        <v>117</v>
      </c>
      <c r="M1020" s="13" t="s">
        <v>118</v>
      </c>
      <c r="N1020" s="145" t="s">
        <v>528</v>
      </c>
      <c r="O1020" s="145" t="s">
        <v>528</v>
      </c>
      <c r="P1020" s="28">
        <v>35</v>
      </c>
      <c r="Q1020" s="13" t="s">
        <v>54</v>
      </c>
      <c r="R1020" s="13" t="s">
        <v>28</v>
      </c>
      <c r="S1020" s="13"/>
      <c r="T1020" s="13"/>
      <c r="U1020" s="13" t="s">
        <v>1323</v>
      </c>
      <c r="V1020" s="13" t="s">
        <v>1323</v>
      </c>
      <c r="W1020" s="60">
        <f>+J1020/$W$2</f>
        <v>4.7641229471285542E-4</v>
      </c>
    </row>
    <row r="1021" spans="1:30">
      <c r="A1021" s="13" t="s">
        <v>1765</v>
      </c>
      <c r="B1021" s="13" t="s">
        <v>675</v>
      </c>
      <c r="C1021" s="145">
        <v>46267</v>
      </c>
      <c r="D1021" s="145" t="s">
        <v>469</v>
      </c>
      <c r="E1021" s="28">
        <v>0.91639486999999997</v>
      </c>
      <c r="F1021" s="13"/>
      <c r="G1021" s="18">
        <v>50000000</v>
      </c>
      <c r="H1021" s="18">
        <v>45819743.700000003</v>
      </c>
      <c r="I1021" s="18">
        <v>50000000</v>
      </c>
      <c r="J1021" s="18">
        <v>45819743.700000003</v>
      </c>
      <c r="K1021" s="15">
        <v>5491</v>
      </c>
      <c r="L1021" s="13" t="s">
        <v>117</v>
      </c>
      <c r="M1021" s="13" t="s">
        <v>118</v>
      </c>
      <c r="N1021" s="145" t="s">
        <v>462</v>
      </c>
      <c r="O1021" s="145" t="s">
        <v>462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1761</v>
      </c>
      <c r="V1021" s="13" t="s">
        <v>1761</v>
      </c>
      <c r="W1021" s="60">
        <f>+J1021/$W$2</f>
        <v>1.2076271377531426E-3</v>
      </c>
      <c r="AC1021" s="57"/>
    </row>
    <row r="1022" spans="1:30">
      <c r="A1022" s="13" t="s">
        <v>1765</v>
      </c>
      <c r="B1022" s="13" t="s">
        <v>675</v>
      </c>
      <c r="C1022" s="145">
        <v>46267</v>
      </c>
      <c r="D1022" s="145" t="s">
        <v>469</v>
      </c>
      <c r="E1022" s="28">
        <v>0.91639486999999997</v>
      </c>
      <c r="F1022" s="13"/>
      <c r="G1022" s="18">
        <v>50000000</v>
      </c>
      <c r="H1022" s="18">
        <v>45819743.700000003</v>
      </c>
      <c r="I1022" s="18">
        <v>50000000</v>
      </c>
      <c r="J1022" s="18">
        <v>45819743.700000003</v>
      </c>
      <c r="K1022" s="15">
        <v>5490</v>
      </c>
      <c r="L1022" s="13" t="s">
        <v>117</v>
      </c>
      <c r="M1022" s="13" t="s">
        <v>118</v>
      </c>
      <c r="N1022" s="145" t="s">
        <v>462</v>
      </c>
      <c r="O1022" s="145" t="s">
        <v>462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1762</v>
      </c>
      <c r="V1022" s="13" t="s">
        <v>1762</v>
      </c>
      <c r="W1022" s="60">
        <f>+J1022/$W$2</f>
        <v>1.2076271377531426E-3</v>
      </c>
    </row>
    <row r="1023" spans="1:30">
      <c r="A1023" s="13" t="s">
        <v>676</v>
      </c>
      <c r="B1023" s="13" t="s">
        <v>675</v>
      </c>
      <c r="C1023" s="145">
        <v>46267</v>
      </c>
      <c r="D1023" s="145" t="s">
        <v>469</v>
      </c>
      <c r="E1023" s="28">
        <v>0.91639482999999999</v>
      </c>
      <c r="F1023" s="13"/>
      <c r="G1023" s="18">
        <v>10000000</v>
      </c>
      <c r="H1023" s="18">
        <v>9163948.2599999998</v>
      </c>
      <c r="I1023" s="18">
        <v>10000000</v>
      </c>
      <c r="J1023" s="18">
        <v>9163948.2599999998</v>
      </c>
      <c r="K1023" s="15">
        <v>503</v>
      </c>
      <c r="L1023" s="13" t="s">
        <v>117</v>
      </c>
      <c r="M1023" s="13" t="s">
        <v>118</v>
      </c>
      <c r="N1023" s="145" t="s">
        <v>469</v>
      </c>
      <c r="O1023" s="145" t="s">
        <v>469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1906</v>
      </c>
      <c r="V1023" s="13" t="s">
        <v>1906</v>
      </c>
      <c r="W1023" s="60">
        <f>+J1023/$W$2</f>
        <v>2.4152541489972786E-4</v>
      </c>
      <c r="AC1023" s="57"/>
    </row>
    <row r="1024" spans="1:30">
      <c r="A1024" s="13" t="s">
        <v>676</v>
      </c>
      <c r="B1024" s="13" t="s">
        <v>675</v>
      </c>
      <c r="C1024" s="145">
        <v>46267</v>
      </c>
      <c r="D1024" s="145" t="s">
        <v>469</v>
      </c>
      <c r="E1024" s="28">
        <v>0.91639475999999997</v>
      </c>
      <c r="F1024" s="13"/>
      <c r="G1024" s="18">
        <v>10000000</v>
      </c>
      <c r="H1024" s="18">
        <v>9163947.5700000003</v>
      </c>
      <c r="I1024" s="18">
        <v>10000000</v>
      </c>
      <c r="J1024" s="18">
        <v>9163947.5700000003</v>
      </c>
      <c r="K1024" s="15">
        <v>493</v>
      </c>
      <c r="L1024" s="13" t="s">
        <v>117</v>
      </c>
      <c r="M1024" s="13" t="s">
        <v>118</v>
      </c>
      <c r="N1024" s="145" t="s">
        <v>470</v>
      </c>
      <c r="O1024" s="145" t="s">
        <v>470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1861</v>
      </c>
      <c r="V1024" s="13" t="s">
        <v>1861</v>
      </c>
      <c r="W1024" s="60">
        <f>+J1024/$W$2</f>
        <v>2.4152539671405817E-4</v>
      </c>
      <c r="AC1024" s="57"/>
    </row>
    <row r="1025" spans="1:29">
      <c r="A1025" s="13" t="s">
        <v>795</v>
      </c>
      <c r="B1025" s="13" t="s">
        <v>675</v>
      </c>
      <c r="C1025" s="145">
        <v>46267</v>
      </c>
      <c r="D1025" s="145" t="s">
        <v>469</v>
      </c>
      <c r="E1025" s="28">
        <v>0.89154865999999999</v>
      </c>
      <c r="F1025" s="13"/>
      <c r="G1025" s="18">
        <v>2000000</v>
      </c>
      <c r="H1025" s="18">
        <v>1783097.33</v>
      </c>
      <c r="I1025" s="18">
        <v>2000000</v>
      </c>
      <c r="J1025" s="18">
        <v>1783097.33</v>
      </c>
      <c r="K1025" s="15">
        <v>39</v>
      </c>
      <c r="L1025" s="13" t="s">
        <v>117</v>
      </c>
      <c r="M1025" s="13" t="s">
        <v>118</v>
      </c>
      <c r="N1025" s="145" t="s">
        <v>447</v>
      </c>
      <c r="O1025" s="145" t="s">
        <v>447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791</v>
      </c>
      <c r="V1025" s="13" t="s">
        <v>791</v>
      </c>
      <c r="W1025" s="60">
        <f>+J1025/$W$2</f>
        <v>4.69953900017815E-5</v>
      </c>
    </row>
    <row r="1026" spans="1:29">
      <c r="A1026" s="13" t="s">
        <v>1103</v>
      </c>
      <c r="B1026" s="13" t="s">
        <v>675</v>
      </c>
      <c r="C1026" s="145">
        <v>46267</v>
      </c>
      <c r="D1026" s="145" t="s">
        <v>469</v>
      </c>
      <c r="E1026" s="28">
        <v>0.89154884000000001</v>
      </c>
      <c r="F1026" s="13"/>
      <c r="G1026" s="18">
        <v>9972570.8200000003</v>
      </c>
      <c r="H1026" s="18">
        <v>8891033.9399999995</v>
      </c>
      <c r="I1026" s="18">
        <v>9972570.8200000003</v>
      </c>
      <c r="J1026" s="18">
        <v>8891033.9399999995</v>
      </c>
      <c r="K1026" s="15">
        <v>1179207</v>
      </c>
      <c r="L1026" s="13" t="s">
        <v>117</v>
      </c>
      <c r="M1026" s="13" t="s">
        <v>118</v>
      </c>
      <c r="N1026" s="145" t="s">
        <v>443</v>
      </c>
      <c r="O1026" s="145" t="s">
        <v>443</v>
      </c>
      <c r="P1026" s="28">
        <v>40</v>
      </c>
      <c r="Q1026" s="13" t="s">
        <v>54</v>
      </c>
      <c r="R1026" s="13" t="s">
        <v>28</v>
      </c>
      <c r="S1026" s="13"/>
      <c r="T1026" s="13"/>
      <c r="U1026" s="13" t="s">
        <v>1085</v>
      </c>
      <c r="V1026" s="13" t="s">
        <v>1085</v>
      </c>
      <c r="W1026" s="60">
        <f>+J1026/$W$2</f>
        <v>2.3433247333132172E-4</v>
      </c>
    </row>
    <row r="1027" spans="1:29">
      <c r="A1027" s="13" t="s">
        <v>1103</v>
      </c>
      <c r="B1027" s="13" t="s">
        <v>675</v>
      </c>
      <c r="C1027" s="145">
        <v>46267</v>
      </c>
      <c r="D1027" s="145" t="s">
        <v>469</v>
      </c>
      <c r="E1027" s="28">
        <v>0.89154884000000001</v>
      </c>
      <c r="F1027" s="13"/>
      <c r="G1027" s="18">
        <v>9972350.7799999993</v>
      </c>
      <c r="H1027" s="18">
        <v>8890837.7699999996</v>
      </c>
      <c r="I1027" s="18">
        <v>9972350.7799999993</v>
      </c>
      <c r="J1027" s="18">
        <v>8890837.7699999996</v>
      </c>
      <c r="K1027" s="15">
        <v>1179206</v>
      </c>
      <c r="L1027" s="13" t="s">
        <v>117</v>
      </c>
      <c r="M1027" s="13" t="s">
        <v>118</v>
      </c>
      <c r="N1027" s="145" t="s">
        <v>443</v>
      </c>
      <c r="O1027" s="145" t="s">
        <v>443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1086</v>
      </c>
      <c r="V1027" s="13" t="s">
        <v>1086</v>
      </c>
      <c r="W1027" s="60">
        <f>+J1027/$W$2</f>
        <v>2.3432730306635551E-4</v>
      </c>
    </row>
    <row r="1028" spans="1:29">
      <c r="A1028" s="13" t="s">
        <v>1103</v>
      </c>
      <c r="B1028" s="13" t="s">
        <v>675</v>
      </c>
      <c r="C1028" s="145">
        <v>46267</v>
      </c>
      <c r="D1028" s="145" t="s">
        <v>469</v>
      </c>
      <c r="E1028" s="28">
        <v>0.89154884000000001</v>
      </c>
      <c r="F1028" s="13"/>
      <c r="G1028" s="18">
        <v>9973200</v>
      </c>
      <c r="H1028" s="18">
        <v>8891594.8900000006</v>
      </c>
      <c r="I1028" s="18">
        <v>9973200</v>
      </c>
      <c r="J1028" s="18">
        <v>8891594.8900000006</v>
      </c>
      <c r="K1028" s="15">
        <v>1179205</v>
      </c>
      <c r="L1028" s="13" t="s">
        <v>117</v>
      </c>
      <c r="M1028" s="13" t="s">
        <v>118</v>
      </c>
      <c r="N1028" s="145" t="s">
        <v>443</v>
      </c>
      <c r="O1028" s="145" t="s">
        <v>443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1087</v>
      </c>
      <c r="V1028" s="13" t="s">
        <v>1087</v>
      </c>
      <c r="W1028" s="60">
        <f>+J1028/$W$2</f>
        <v>2.3434725775367378E-4</v>
      </c>
    </row>
    <row r="1029" spans="1:29">
      <c r="A1029" s="13" t="s">
        <v>444</v>
      </c>
      <c r="B1029" s="13" t="s">
        <v>675</v>
      </c>
      <c r="C1029" s="145">
        <v>46267</v>
      </c>
      <c r="D1029" s="145" t="s">
        <v>469</v>
      </c>
      <c r="E1029" s="28">
        <v>0.90380112000000001</v>
      </c>
      <c r="F1029" s="13"/>
      <c r="G1029" s="18">
        <v>10000000</v>
      </c>
      <c r="H1029" s="18">
        <v>9038011.1699999999</v>
      </c>
      <c r="I1029" s="18">
        <v>10000000</v>
      </c>
      <c r="J1029" s="18">
        <v>9038011.1699999999</v>
      </c>
      <c r="K1029" s="15">
        <v>162</v>
      </c>
      <c r="L1029" s="13" t="s">
        <v>117</v>
      </c>
      <c r="M1029" s="13" t="s">
        <v>118</v>
      </c>
      <c r="N1029" s="145" t="s">
        <v>533</v>
      </c>
      <c r="O1029" s="145" t="s">
        <v>533</v>
      </c>
      <c r="P1029" s="28">
        <v>35</v>
      </c>
      <c r="Q1029" s="13" t="s">
        <v>54</v>
      </c>
      <c r="R1029" s="13" t="s">
        <v>28</v>
      </c>
      <c r="S1029" s="13"/>
      <c r="T1029" s="13"/>
      <c r="U1029" s="13" t="s">
        <v>1524</v>
      </c>
      <c r="V1029" s="13" t="s">
        <v>1524</v>
      </c>
      <c r="W1029" s="60">
        <f>+J1029/$W$2</f>
        <v>2.3820621153339258E-4</v>
      </c>
    </row>
    <row r="1030" spans="1:29">
      <c r="A1030" s="13" t="s">
        <v>1100</v>
      </c>
      <c r="B1030" s="13" t="s">
        <v>675</v>
      </c>
      <c r="C1030" s="145">
        <v>46267</v>
      </c>
      <c r="D1030" s="145" t="s">
        <v>469</v>
      </c>
      <c r="E1030" s="28">
        <v>0.91639472</v>
      </c>
      <c r="F1030" s="13"/>
      <c r="G1030" s="18">
        <v>25000000</v>
      </c>
      <c r="H1030" s="18">
        <v>22909867.890000001</v>
      </c>
      <c r="I1030" s="18">
        <v>25000000</v>
      </c>
      <c r="J1030" s="18">
        <v>22909867.890000001</v>
      </c>
      <c r="K1030" s="15">
        <v>718979</v>
      </c>
      <c r="L1030" s="13" t="s">
        <v>117</v>
      </c>
      <c r="M1030" s="13" t="s">
        <v>118</v>
      </c>
      <c r="N1030" s="145" t="s">
        <v>461</v>
      </c>
      <c r="O1030" s="145" t="s">
        <v>461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1118</v>
      </c>
      <c r="V1030" s="13" t="s">
        <v>1118</v>
      </c>
      <c r="W1030" s="60">
        <f>+J1030/$W$2</f>
        <v>6.0381346450664086E-4</v>
      </c>
    </row>
    <row r="1031" spans="1:29">
      <c r="A1031" s="13" t="s">
        <v>1101</v>
      </c>
      <c r="B1031" s="13" t="s">
        <v>675</v>
      </c>
      <c r="C1031" s="145">
        <v>46267</v>
      </c>
      <c r="D1031" s="145" t="s">
        <v>469</v>
      </c>
      <c r="E1031" s="28">
        <v>0.92153105999999996</v>
      </c>
      <c r="F1031" s="13"/>
      <c r="G1031" s="18">
        <v>10000000</v>
      </c>
      <c r="H1031" s="18">
        <v>9215310.6099999994</v>
      </c>
      <c r="I1031" s="18">
        <v>10000000</v>
      </c>
      <c r="J1031" s="18">
        <v>9215310.6099999994</v>
      </c>
      <c r="K1031" s="15">
        <v>360561</v>
      </c>
      <c r="L1031" s="13" t="s">
        <v>117</v>
      </c>
      <c r="M1031" s="13" t="s">
        <v>118</v>
      </c>
      <c r="N1031" s="145" t="s">
        <v>445</v>
      </c>
      <c r="O1031" s="145" t="s">
        <v>445</v>
      </c>
      <c r="P1031" s="28">
        <v>28</v>
      </c>
      <c r="Q1031" s="13" t="s">
        <v>54</v>
      </c>
      <c r="R1031" s="13" t="s">
        <v>28</v>
      </c>
      <c r="S1031" s="13"/>
      <c r="T1031" s="13"/>
      <c r="U1031" s="13" t="s">
        <v>1362</v>
      </c>
      <c r="V1031" s="13" t="s">
        <v>1362</v>
      </c>
      <c r="W1031" s="60">
        <f>+J1031/$W$2</f>
        <v>2.4287912320776394E-4</v>
      </c>
      <c r="AC1031" s="57"/>
    </row>
    <row r="1032" spans="1:29">
      <c r="A1032" s="13" t="s">
        <v>1251</v>
      </c>
      <c r="B1032" s="13" t="s">
        <v>675</v>
      </c>
      <c r="C1032" s="145">
        <v>46267</v>
      </c>
      <c r="D1032" s="145" t="s">
        <v>469</v>
      </c>
      <c r="E1032" s="28">
        <v>0.91131532999999998</v>
      </c>
      <c r="F1032" s="13"/>
      <c r="G1032" s="18">
        <v>15000000</v>
      </c>
      <c r="H1032" s="18">
        <v>13669729.960000001</v>
      </c>
      <c r="I1032" s="18">
        <v>15000000</v>
      </c>
      <c r="J1032" s="18">
        <v>13669729.960000001</v>
      </c>
      <c r="K1032" s="15">
        <v>179</v>
      </c>
      <c r="L1032" s="13" t="s">
        <v>117</v>
      </c>
      <c r="M1032" s="13" t="s">
        <v>118</v>
      </c>
      <c r="N1032" s="145" t="s">
        <v>461</v>
      </c>
      <c r="O1032" s="145" t="s">
        <v>461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1158</v>
      </c>
      <c r="V1032" s="13" t="s">
        <v>1158</v>
      </c>
      <c r="W1032" s="60">
        <f>+J1032/$W$2</f>
        <v>3.6027999138400204E-4</v>
      </c>
      <c r="AB1032" s="53"/>
      <c r="AC1032" s="57"/>
    </row>
    <row r="1033" spans="1:29">
      <c r="A1033" s="13" t="s">
        <v>1251</v>
      </c>
      <c r="B1033" s="13" t="s">
        <v>675</v>
      </c>
      <c r="C1033" s="145">
        <v>46267</v>
      </c>
      <c r="D1033" s="145" t="s">
        <v>469</v>
      </c>
      <c r="E1033" s="28">
        <v>0.91639468000000002</v>
      </c>
      <c r="F1033" s="13"/>
      <c r="G1033" s="18">
        <v>6000000</v>
      </c>
      <c r="H1033" s="18">
        <v>5498368.0800000001</v>
      </c>
      <c r="I1033" s="18">
        <v>6000000</v>
      </c>
      <c r="J1033" s="18">
        <v>5498368.0800000001</v>
      </c>
      <c r="K1033" s="15">
        <v>10926495</v>
      </c>
      <c r="L1033" s="13" t="s">
        <v>117</v>
      </c>
      <c r="M1033" s="13" t="s">
        <v>118</v>
      </c>
      <c r="N1033" s="145" t="s">
        <v>528</v>
      </c>
      <c r="O1033" s="145" t="s">
        <v>528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1276</v>
      </c>
      <c r="V1033" s="13" t="s">
        <v>1276</v>
      </c>
      <c r="W1033" s="60">
        <f>+J1033/$W$2</f>
        <v>1.4491522585194301E-4</v>
      </c>
    </row>
    <row r="1034" spans="1:29">
      <c r="A1034" s="13" t="s">
        <v>1858</v>
      </c>
      <c r="B1034" s="13" t="s">
        <v>675</v>
      </c>
      <c r="C1034" s="145">
        <v>46268</v>
      </c>
      <c r="D1034" s="145" t="s">
        <v>469</v>
      </c>
      <c r="E1034" s="28">
        <v>0.89067861999999998</v>
      </c>
      <c r="F1034" s="13"/>
      <c r="G1034" s="18">
        <v>12166667</v>
      </c>
      <c r="H1034" s="18">
        <v>10836590.15</v>
      </c>
      <c r="I1034" s="18">
        <v>12166667</v>
      </c>
      <c r="J1034" s="18">
        <v>10836590.15</v>
      </c>
      <c r="K1034" s="15">
        <v>90020550</v>
      </c>
      <c r="L1034" s="13" t="s">
        <v>117</v>
      </c>
      <c r="M1034" s="13" t="s">
        <v>118</v>
      </c>
      <c r="N1034" s="145" t="s">
        <v>446</v>
      </c>
      <c r="O1034" s="145" t="s">
        <v>446</v>
      </c>
      <c r="P1034" s="28">
        <v>40</v>
      </c>
      <c r="Q1034" s="13" t="s">
        <v>54</v>
      </c>
      <c r="R1034" s="13" t="s">
        <v>28</v>
      </c>
      <c r="S1034" s="13"/>
      <c r="T1034" s="13"/>
      <c r="U1034" s="13" t="s">
        <v>1842</v>
      </c>
      <c r="V1034" s="13" t="s">
        <v>1842</v>
      </c>
      <c r="W1034" s="60">
        <f>+J1034/$W$2</f>
        <v>2.8560963656914563E-4</v>
      </c>
    </row>
    <row r="1035" spans="1:29">
      <c r="A1035" s="13" t="s">
        <v>1103</v>
      </c>
      <c r="B1035" s="13" t="s">
        <v>675</v>
      </c>
      <c r="C1035" s="145">
        <v>46268</v>
      </c>
      <c r="D1035" s="145" t="s">
        <v>469</v>
      </c>
      <c r="E1035" s="28">
        <v>0.89067854000000002</v>
      </c>
      <c r="F1035" s="13"/>
      <c r="G1035" s="18">
        <v>9972890.5500000007</v>
      </c>
      <c r="H1035" s="18">
        <v>8882639.6199999992</v>
      </c>
      <c r="I1035" s="18">
        <v>9972890.5500000007</v>
      </c>
      <c r="J1035" s="18">
        <v>8882639.6199999992</v>
      </c>
      <c r="K1035" s="15">
        <v>1179208</v>
      </c>
      <c r="L1035" s="13" t="s">
        <v>117</v>
      </c>
      <c r="M1035" s="13" t="s">
        <v>118</v>
      </c>
      <c r="N1035" s="145" t="s">
        <v>443</v>
      </c>
      <c r="O1035" s="145" t="s">
        <v>443</v>
      </c>
      <c r="P1035" s="28">
        <v>40</v>
      </c>
      <c r="Q1035" s="13" t="s">
        <v>54</v>
      </c>
      <c r="R1035" s="13" t="s">
        <v>28</v>
      </c>
      <c r="S1035" s="13"/>
      <c r="T1035" s="13"/>
      <c r="U1035" s="13" t="s">
        <v>1078</v>
      </c>
      <c r="V1035" s="13" t="s">
        <v>1078</v>
      </c>
      <c r="W1035" s="60">
        <f>+J1035/$W$2</f>
        <v>2.3411123227197933E-4</v>
      </c>
      <c r="AC1035"/>
    </row>
    <row r="1036" spans="1:29">
      <c r="A1036" s="13" t="s">
        <v>1528</v>
      </c>
      <c r="B1036" s="13" t="s">
        <v>153</v>
      </c>
      <c r="C1036" s="145">
        <v>46268</v>
      </c>
      <c r="D1036" s="145" t="s">
        <v>469</v>
      </c>
      <c r="E1036" s="28">
        <v>0.97897226999999998</v>
      </c>
      <c r="F1036" s="13" t="s">
        <v>1916</v>
      </c>
      <c r="G1036" s="18">
        <v>100000</v>
      </c>
      <c r="H1036" s="18">
        <v>97897.23</v>
      </c>
      <c r="I1036" s="18">
        <v>139323229.06</v>
      </c>
      <c r="J1036" s="18">
        <v>136393581.99000001</v>
      </c>
      <c r="K1036" s="15">
        <v>147170</v>
      </c>
      <c r="L1036" s="13" t="s">
        <v>117</v>
      </c>
      <c r="M1036" s="13" t="s">
        <v>118</v>
      </c>
      <c r="N1036" s="145" t="s">
        <v>533</v>
      </c>
      <c r="O1036" s="145" t="s">
        <v>533</v>
      </c>
      <c r="P1036" s="28">
        <v>7</v>
      </c>
      <c r="Q1036" s="13" t="s">
        <v>54</v>
      </c>
      <c r="R1036" s="13" t="s">
        <v>28</v>
      </c>
      <c r="S1036" s="13"/>
      <c r="T1036" s="13"/>
      <c r="U1036" s="13" t="s">
        <v>1527</v>
      </c>
      <c r="V1036" s="13" t="s">
        <v>1527</v>
      </c>
      <c r="W1036" s="60">
        <f>+J1036/$W$2</f>
        <v>3.5947951194341206E-3</v>
      </c>
    </row>
    <row r="1037" spans="1:29">
      <c r="A1037" s="13" t="s">
        <v>1858</v>
      </c>
      <c r="B1037" s="13" t="s">
        <v>675</v>
      </c>
      <c r="C1037" s="145">
        <v>46269</v>
      </c>
      <c r="D1037" s="145" t="s">
        <v>469</v>
      </c>
      <c r="E1037" s="28">
        <v>0.88980999999999999</v>
      </c>
      <c r="F1037" s="13"/>
      <c r="G1037" s="18">
        <v>15166667</v>
      </c>
      <c r="H1037" s="18">
        <v>13495452.01</v>
      </c>
      <c r="I1037" s="18">
        <v>15166667</v>
      </c>
      <c r="J1037" s="18">
        <v>13495452.01</v>
      </c>
      <c r="K1037" s="15">
        <v>90020551</v>
      </c>
      <c r="L1037" s="13" t="s">
        <v>117</v>
      </c>
      <c r="M1037" s="13" t="s">
        <v>118</v>
      </c>
      <c r="N1037" s="145" t="s">
        <v>446</v>
      </c>
      <c r="O1037" s="145" t="s">
        <v>446</v>
      </c>
      <c r="P1037" s="28">
        <v>40</v>
      </c>
      <c r="Q1037" s="13" t="s">
        <v>54</v>
      </c>
      <c r="R1037" s="13" t="s">
        <v>28</v>
      </c>
      <c r="S1037" s="13"/>
      <c r="T1037" s="13"/>
      <c r="U1037" s="13" t="s">
        <v>1843</v>
      </c>
      <c r="V1037" s="13" t="s">
        <v>1843</v>
      </c>
      <c r="W1037" s="60">
        <f>+J1037/$W$2</f>
        <v>3.5568671423016267E-4</v>
      </c>
      <c r="AC1037"/>
    </row>
    <row r="1038" spans="1:29">
      <c r="A1038" s="13" t="s">
        <v>1330</v>
      </c>
      <c r="B1038" s="13" t="s">
        <v>675</v>
      </c>
      <c r="C1038" s="145">
        <v>46269</v>
      </c>
      <c r="D1038" s="145" t="s">
        <v>469</v>
      </c>
      <c r="E1038" s="28">
        <v>0.91501633999999998</v>
      </c>
      <c r="F1038" s="13"/>
      <c r="G1038" s="18">
        <v>5000000</v>
      </c>
      <c r="H1038" s="18">
        <v>4575081.71</v>
      </c>
      <c r="I1038" s="18">
        <v>5000000</v>
      </c>
      <c r="J1038" s="18">
        <v>4575081.71</v>
      </c>
      <c r="K1038" s="15">
        <v>58</v>
      </c>
      <c r="L1038" s="13" t="s">
        <v>117</v>
      </c>
      <c r="M1038" s="13" t="s">
        <v>118</v>
      </c>
      <c r="N1038" s="145" t="s">
        <v>428</v>
      </c>
      <c r="O1038" s="145" t="s">
        <v>428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1666</v>
      </c>
      <c r="V1038" s="13" t="s">
        <v>1666</v>
      </c>
      <c r="W1038" s="60">
        <f>+J1038/$W$2</f>
        <v>1.2058105053158674E-4</v>
      </c>
    </row>
    <row r="1039" spans="1:29">
      <c r="A1039" s="13" t="s">
        <v>406</v>
      </c>
      <c r="B1039" s="13" t="s">
        <v>675</v>
      </c>
      <c r="C1039" s="145">
        <v>46269</v>
      </c>
      <c r="D1039" s="145" t="s">
        <v>469</v>
      </c>
      <c r="E1039" s="28">
        <v>0.91761574999999995</v>
      </c>
      <c r="F1039" s="13"/>
      <c r="G1039" s="18">
        <v>10000000</v>
      </c>
      <c r="H1039" s="18">
        <v>9176157.5199999996</v>
      </c>
      <c r="I1039" s="18">
        <v>10000000</v>
      </c>
      <c r="J1039" s="18">
        <v>9176157.5199999996</v>
      </c>
      <c r="K1039" s="15">
        <v>66613066</v>
      </c>
      <c r="L1039" s="13" t="s">
        <v>117</v>
      </c>
      <c r="M1039" s="13" t="s">
        <v>118</v>
      </c>
      <c r="N1039" s="145" t="s">
        <v>428</v>
      </c>
      <c r="O1039" s="145" t="s">
        <v>428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1702</v>
      </c>
      <c r="V1039" s="13" t="s">
        <v>1702</v>
      </c>
      <c r="W1039" s="60">
        <f>+J1039/$W$2</f>
        <v>2.4184720268196469E-4</v>
      </c>
      <c r="AC1039" s="57"/>
    </row>
    <row r="1040" spans="1:29">
      <c r="A1040" s="13" t="s">
        <v>722</v>
      </c>
      <c r="B1040" s="13" t="s">
        <v>675</v>
      </c>
      <c r="C1040" s="145">
        <v>46269</v>
      </c>
      <c r="D1040" s="145" t="s">
        <v>469</v>
      </c>
      <c r="E1040" s="28">
        <v>0.90223724000000005</v>
      </c>
      <c r="F1040" s="13"/>
      <c r="G1040" s="18">
        <v>16600000</v>
      </c>
      <c r="H1040" s="18">
        <v>14977138.140000001</v>
      </c>
      <c r="I1040" s="18">
        <v>16600000</v>
      </c>
      <c r="J1040" s="18">
        <v>14977138.140000001</v>
      </c>
      <c r="K1040" s="15">
        <v>29088027</v>
      </c>
      <c r="L1040" s="13" t="s">
        <v>117</v>
      </c>
      <c r="M1040" s="13" t="s">
        <v>118</v>
      </c>
      <c r="N1040" s="145" t="s">
        <v>205</v>
      </c>
      <c r="O1040" s="145" t="s">
        <v>205</v>
      </c>
      <c r="P1040" s="28">
        <v>35</v>
      </c>
      <c r="Q1040" s="13" t="s">
        <v>54</v>
      </c>
      <c r="R1040" s="13" t="s">
        <v>28</v>
      </c>
      <c r="S1040" s="13"/>
      <c r="T1040" s="13"/>
      <c r="U1040" s="13" t="s">
        <v>1053</v>
      </c>
      <c r="V1040" s="13" t="s">
        <v>1053</v>
      </c>
      <c r="W1040" s="60">
        <f>+J1040/$W$2</f>
        <v>3.9473809766730816E-4</v>
      </c>
    </row>
    <row r="1041" spans="1:29">
      <c r="A1041" s="13" t="s">
        <v>1241</v>
      </c>
      <c r="B1041" s="13" t="s">
        <v>675</v>
      </c>
      <c r="C1041" s="145">
        <v>46272</v>
      </c>
      <c r="D1041" s="145" t="s">
        <v>469</v>
      </c>
      <c r="E1041" s="28">
        <v>0.89224621000000004</v>
      </c>
      <c r="F1041" s="13"/>
      <c r="G1041" s="18">
        <v>4957711.8099999996</v>
      </c>
      <c r="H1041" s="18">
        <v>4423499.55</v>
      </c>
      <c r="I1041" s="18">
        <v>4957711.8099999996</v>
      </c>
      <c r="J1041" s="18">
        <v>4423499.55</v>
      </c>
      <c r="K1041" s="15">
        <v>598</v>
      </c>
      <c r="L1041" s="13" t="s">
        <v>117</v>
      </c>
      <c r="M1041" s="13" t="s">
        <v>118</v>
      </c>
      <c r="N1041" s="145" t="s">
        <v>457</v>
      </c>
      <c r="O1041" s="145" t="s">
        <v>457</v>
      </c>
      <c r="P1041" s="28">
        <v>38</v>
      </c>
      <c r="Q1041" s="13" t="s">
        <v>54</v>
      </c>
      <c r="R1041" s="13" t="s">
        <v>28</v>
      </c>
      <c r="S1041" s="13"/>
      <c r="T1041" s="13"/>
      <c r="U1041" s="13" t="s">
        <v>1553</v>
      </c>
      <c r="V1041" s="13" t="s">
        <v>1553</v>
      </c>
      <c r="W1041" s="60">
        <f>+J1041/$W$2</f>
        <v>1.1658594459616792E-4</v>
      </c>
    </row>
    <row r="1042" spans="1:29">
      <c r="A1042" s="13" t="s">
        <v>1248</v>
      </c>
      <c r="B1042" s="13" t="s">
        <v>675</v>
      </c>
      <c r="C1042" s="145">
        <v>46273</v>
      </c>
      <c r="D1042" s="145" t="s">
        <v>469</v>
      </c>
      <c r="E1042" s="28">
        <v>0.89141820000000005</v>
      </c>
      <c r="F1042" s="13"/>
      <c r="G1042" s="18">
        <v>7162509.1500000004</v>
      </c>
      <c r="H1042" s="18">
        <v>6384791.0099999998</v>
      </c>
      <c r="I1042" s="18">
        <v>7162509.1500000004</v>
      </c>
      <c r="J1042" s="18">
        <v>6384791.0099999998</v>
      </c>
      <c r="K1042" s="15">
        <v>65964541</v>
      </c>
      <c r="L1042" s="13" t="s">
        <v>117</v>
      </c>
      <c r="M1042" s="13" t="s">
        <v>118</v>
      </c>
      <c r="N1042" s="145" t="s">
        <v>411</v>
      </c>
      <c r="O1042" s="145" t="s">
        <v>411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1480</v>
      </c>
      <c r="V1042" s="13" t="s">
        <v>1480</v>
      </c>
      <c r="W1042" s="60">
        <f>+J1042/$W$2</f>
        <v>1.6827782676048222E-4</v>
      </c>
    </row>
    <row r="1043" spans="1:29">
      <c r="A1043" s="13" t="s">
        <v>1858</v>
      </c>
      <c r="B1043" s="13" t="s">
        <v>675</v>
      </c>
      <c r="C1043" s="145">
        <v>46273</v>
      </c>
      <c r="D1043" s="145" t="s">
        <v>469</v>
      </c>
      <c r="E1043" s="28">
        <v>0.88635271999999998</v>
      </c>
      <c r="F1043" s="13"/>
      <c r="G1043" s="18">
        <v>12166667</v>
      </c>
      <c r="H1043" s="18">
        <v>10783958.41</v>
      </c>
      <c r="I1043" s="18">
        <v>12166667</v>
      </c>
      <c r="J1043" s="18">
        <v>10783958.41</v>
      </c>
      <c r="K1043" s="15">
        <v>90020552</v>
      </c>
      <c r="L1043" s="13" t="s">
        <v>117</v>
      </c>
      <c r="M1043" s="13" t="s">
        <v>118</v>
      </c>
      <c r="N1043" s="145" t="s">
        <v>446</v>
      </c>
      <c r="O1043" s="145" t="s">
        <v>446</v>
      </c>
      <c r="P1043" s="28">
        <v>40</v>
      </c>
      <c r="Q1043" s="13" t="s">
        <v>54</v>
      </c>
      <c r="R1043" s="13" t="s">
        <v>28</v>
      </c>
      <c r="S1043" s="13"/>
      <c r="T1043" s="13"/>
      <c r="U1043" s="13" t="s">
        <v>1840</v>
      </c>
      <c r="V1043" s="13" t="s">
        <v>1840</v>
      </c>
      <c r="W1043" s="60">
        <f>+J1043/$W$2</f>
        <v>2.8422247216361516E-4</v>
      </c>
    </row>
    <row r="1044" spans="1:29">
      <c r="A1044" s="13" t="s">
        <v>1330</v>
      </c>
      <c r="B1044" s="13" t="s">
        <v>675</v>
      </c>
      <c r="C1044" s="145">
        <v>46273</v>
      </c>
      <c r="D1044" s="145" t="s">
        <v>469</v>
      </c>
      <c r="E1044" s="28">
        <v>0.91494750999999996</v>
      </c>
      <c r="F1044" s="13"/>
      <c r="G1044" s="18">
        <v>11923076.92</v>
      </c>
      <c r="H1044" s="18">
        <v>10908989.52</v>
      </c>
      <c r="I1044" s="18">
        <v>11923076.92</v>
      </c>
      <c r="J1044" s="18">
        <v>10908989.52</v>
      </c>
      <c r="K1044" s="15">
        <v>90021986</v>
      </c>
      <c r="L1044" s="13" t="s">
        <v>117</v>
      </c>
      <c r="M1044" s="13" t="s">
        <v>118</v>
      </c>
      <c r="N1044" s="145" t="s">
        <v>428</v>
      </c>
      <c r="O1044" s="145" t="s">
        <v>428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1670</v>
      </c>
      <c r="V1044" s="13" t="s">
        <v>1670</v>
      </c>
      <c r="W1044" s="60">
        <f>+J1044/$W$2</f>
        <v>2.8751779748206291E-4</v>
      </c>
    </row>
    <row r="1045" spans="1:29">
      <c r="A1045" s="13" t="s">
        <v>406</v>
      </c>
      <c r="B1045" s="13" t="s">
        <v>675</v>
      </c>
      <c r="C1045" s="145">
        <v>46273</v>
      </c>
      <c r="D1045" s="145" t="s">
        <v>469</v>
      </c>
      <c r="E1045" s="28">
        <v>0.91227203999999995</v>
      </c>
      <c r="F1045" s="13"/>
      <c r="G1045" s="18">
        <v>60000000</v>
      </c>
      <c r="H1045" s="18">
        <v>54736322.649999999</v>
      </c>
      <c r="I1045" s="18">
        <v>60000000</v>
      </c>
      <c r="J1045" s="18">
        <v>54736322.649999999</v>
      </c>
      <c r="K1045" s="15">
        <v>61</v>
      </c>
      <c r="L1045" s="13" t="s">
        <v>117</v>
      </c>
      <c r="M1045" s="13" t="s">
        <v>118</v>
      </c>
      <c r="N1045" s="145" t="s">
        <v>410</v>
      </c>
      <c r="O1045" s="145" t="s">
        <v>410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1787</v>
      </c>
      <c r="V1045" s="13" t="s">
        <v>1787</v>
      </c>
      <c r="W1045" s="60">
        <f>+J1045/$W$2</f>
        <v>1.4426328764678797E-3</v>
      </c>
    </row>
    <row r="1046" spans="1:29">
      <c r="A1046" s="13" t="s">
        <v>406</v>
      </c>
      <c r="B1046" s="13" t="s">
        <v>675</v>
      </c>
      <c r="C1046" s="145">
        <v>46273</v>
      </c>
      <c r="D1046" s="145" t="s">
        <v>469</v>
      </c>
      <c r="E1046" s="28">
        <v>0.91494750999999996</v>
      </c>
      <c r="F1046" s="13"/>
      <c r="G1046" s="18">
        <v>10000000</v>
      </c>
      <c r="H1046" s="18">
        <v>9149475.0899999999</v>
      </c>
      <c r="I1046" s="18">
        <v>10000000</v>
      </c>
      <c r="J1046" s="18">
        <v>9149475.0899999999</v>
      </c>
      <c r="K1046" s="15">
        <v>66613291</v>
      </c>
      <c r="L1046" s="13" t="s">
        <v>117</v>
      </c>
      <c r="M1046" s="13" t="s">
        <v>118</v>
      </c>
      <c r="N1046" s="145" t="s">
        <v>428</v>
      </c>
      <c r="O1046" s="145" t="s">
        <v>428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1703</v>
      </c>
      <c r="V1046" s="13" t="s">
        <v>1703</v>
      </c>
      <c r="W1046" s="60">
        <f>+J1046/$W$2</f>
        <v>2.4114395940805702E-4</v>
      </c>
    </row>
    <row r="1047" spans="1:29">
      <c r="A1047" s="13" t="s">
        <v>1100</v>
      </c>
      <c r="B1047" s="13" t="s">
        <v>675</v>
      </c>
      <c r="C1047" s="145">
        <v>46273</v>
      </c>
      <c r="D1047" s="145" t="s">
        <v>469</v>
      </c>
      <c r="E1047" s="28">
        <v>0.91227203999999995</v>
      </c>
      <c r="F1047" s="13"/>
      <c r="G1047" s="18">
        <v>24000000</v>
      </c>
      <c r="H1047" s="18">
        <v>21894529.059999999</v>
      </c>
      <c r="I1047" s="18">
        <v>24000000</v>
      </c>
      <c r="J1047" s="18">
        <v>21894529.059999999</v>
      </c>
      <c r="K1047" s="15">
        <v>718980</v>
      </c>
      <c r="L1047" s="13" t="s">
        <v>117</v>
      </c>
      <c r="M1047" s="13" t="s">
        <v>118</v>
      </c>
      <c r="N1047" s="145" t="s">
        <v>461</v>
      </c>
      <c r="O1047" s="145" t="s">
        <v>461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1116</v>
      </c>
      <c r="V1047" s="13" t="s">
        <v>1116</v>
      </c>
      <c r="W1047" s="60">
        <f>+J1047/$W$2</f>
        <v>5.7705315058715191E-4</v>
      </c>
    </row>
    <row r="1048" spans="1:29">
      <c r="A1048" s="13" t="s">
        <v>1101</v>
      </c>
      <c r="B1048" s="13" t="s">
        <v>675</v>
      </c>
      <c r="C1048" s="145">
        <v>46273</v>
      </c>
      <c r="D1048" s="145" t="s">
        <v>469</v>
      </c>
      <c r="E1048" s="28">
        <v>0.91763890000000004</v>
      </c>
      <c r="F1048" s="13"/>
      <c r="G1048" s="18">
        <v>10000000</v>
      </c>
      <c r="H1048" s="18">
        <v>9176389.0399999991</v>
      </c>
      <c r="I1048" s="18">
        <v>10000000</v>
      </c>
      <c r="J1048" s="18">
        <v>9176389.0399999991</v>
      </c>
      <c r="K1048" s="15">
        <v>360562</v>
      </c>
      <c r="L1048" s="13" t="s">
        <v>117</v>
      </c>
      <c r="M1048" s="13" t="s">
        <v>118</v>
      </c>
      <c r="N1048" s="145" t="s">
        <v>445</v>
      </c>
      <c r="O1048" s="145" t="s">
        <v>445</v>
      </c>
      <c r="P1048" s="28">
        <v>28</v>
      </c>
      <c r="Q1048" s="13" t="s">
        <v>54</v>
      </c>
      <c r="R1048" s="13" t="s">
        <v>28</v>
      </c>
      <c r="S1048" s="13"/>
      <c r="T1048" s="13"/>
      <c r="U1048" s="13" t="s">
        <v>1341</v>
      </c>
      <c r="V1048" s="13" t="s">
        <v>1341</v>
      </c>
      <c r="W1048" s="60">
        <f>+J1048/$W$2</f>
        <v>2.418533046330529E-4</v>
      </c>
    </row>
    <row r="1049" spans="1:29">
      <c r="A1049" s="13" t="s">
        <v>1249</v>
      </c>
      <c r="B1049" s="13" t="s">
        <v>675</v>
      </c>
      <c r="C1049" s="145">
        <v>46274</v>
      </c>
      <c r="D1049" s="145" t="s">
        <v>469</v>
      </c>
      <c r="E1049" s="28">
        <v>0.89059160999999998</v>
      </c>
      <c r="F1049" s="13"/>
      <c r="G1049" s="18">
        <v>7133529.1399999997</v>
      </c>
      <c r="H1049" s="18">
        <v>6353061.2300000004</v>
      </c>
      <c r="I1049" s="18">
        <v>7133529.1399999997</v>
      </c>
      <c r="J1049" s="18">
        <v>6353061.2300000004</v>
      </c>
      <c r="K1049" s="15">
        <v>90000168</v>
      </c>
      <c r="L1049" s="13" t="s">
        <v>117</v>
      </c>
      <c r="M1049" s="13" t="s">
        <v>118</v>
      </c>
      <c r="N1049" s="145" t="s">
        <v>411</v>
      </c>
      <c r="O1049" s="145" t="s">
        <v>411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1485</v>
      </c>
      <c r="V1049" s="13" t="s">
        <v>1485</v>
      </c>
      <c r="W1049" s="60">
        <f>+J1049/$W$2</f>
        <v>1.6744155531265794E-4</v>
      </c>
    </row>
    <row r="1050" spans="1:29">
      <c r="A1050" s="13" t="s">
        <v>1858</v>
      </c>
      <c r="B1050" s="13" t="s">
        <v>675</v>
      </c>
      <c r="C1050" s="145">
        <v>46274</v>
      </c>
      <c r="D1050" s="145" t="s">
        <v>469</v>
      </c>
      <c r="E1050" s="28">
        <v>0.88549252000000001</v>
      </c>
      <c r="F1050" s="13"/>
      <c r="G1050" s="18">
        <v>15166667</v>
      </c>
      <c r="H1050" s="18">
        <v>13429970.140000001</v>
      </c>
      <c r="I1050" s="18">
        <v>15166667</v>
      </c>
      <c r="J1050" s="18">
        <v>13429970.140000001</v>
      </c>
      <c r="K1050" s="15">
        <v>90020553</v>
      </c>
      <c r="L1050" s="13" t="s">
        <v>117</v>
      </c>
      <c r="M1050" s="13" t="s">
        <v>118</v>
      </c>
      <c r="N1050" s="145" t="s">
        <v>446</v>
      </c>
      <c r="O1050" s="145" t="s">
        <v>460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1841</v>
      </c>
      <c r="V1050" s="13" t="s">
        <v>1841</v>
      </c>
      <c r="W1050" s="60">
        <f>+J1050/$W$2</f>
        <v>3.5396087124508232E-4</v>
      </c>
    </row>
    <row r="1051" spans="1:29">
      <c r="A1051" s="13" t="s">
        <v>406</v>
      </c>
      <c r="B1051" s="13" t="s">
        <v>675</v>
      </c>
      <c r="C1051" s="145">
        <v>46274</v>
      </c>
      <c r="D1051" s="145" t="s">
        <v>469</v>
      </c>
      <c r="E1051" s="28">
        <v>0.91428303</v>
      </c>
      <c r="F1051" s="13"/>
      <c r="G1051" s="18">
        <v>10000000</v>
      </c>
      <c r="H1051" s="18">
        <v>9142830.3300000001</v>
      </c>
      <c r="I1051" s="18">
        <v>10000000</v>
      </c>
      <c r="J1051" s="18">
        <v>9142830.3300000001</v>
      </c>
      <c r="K1051" s="15">
        <v>66613416</v>
      </c>
      <c r="L1051" s="13" t="s">
        <v>117</v>
      </c>
      <c r="M1051" s="13" t="s">
        <v>118</v>
      </c>
      <c r="N1051" s="145" t="s">
        <v>428</v>
      </c>
      <c r="O1051" s="145" t="s">
        <v>428</v>
      </c>
      <c r="P1051" s="28">
        <v>29</v>
      </c>
      <c r="Q1051" s="13" t="s">
        <v>54</v>
      </c>
      <c r="R1051" s="13" t="s">
        <v>28</v>
      </c>
      <c r="S1051" s="13"/>
      <c r="T1051" s="13"/>
      <c r="U1051" s="13" t="s">
        <v>1704</v>
      </c>
      <c r="V1051" s="13" t="s">
        <v>1704</v>
      </c>
      <c r="W1051" s="60">
        <f>+J1051/$W$2</f>
        <v>2.4096882982740299E-4</v>
      </c>
      <c r="AC1051" s="57"/>
    </row>
    <row r="1052" spans="1:29">
      <c r="A1052" s="13" t="s">
        <v>327</v>
      </c>
      <c r="B1052" s="13" t="s">
        <v>675</v>
      </c>
      <c r="C1052" s="145">
        <v>46274</v>
      </c>
      <c r="D1052" s="145" t="s">
        <v>469</v>
      </c>
      <c r="E1052" s="28">
        <v>0.90624689999999997</v>
      </c>
      <c r="F1052" s="13"/>
      <c r="G1052" s="18">
        <v>25000000</v>
      </c>
      <c r="H1052" s="18">
        <v>22656172.609999999</v>
      </c>
      <c r="I1052" s="18">
        <v>25000000</v>
      </c>
      <c r="J1052" s="18">
        <v>22656172.609999999</v>
      </c>
      <c r="K1052" s="15">
        <v>475878</v>
      </c>
      <c r="L1052" s="13" t="s">
        <v>117</v>
      </c>
      <c r="M1052" s="13" t="s">
        <v>118</v>
      </c>
      <c r="N1052" s="145" t="s">
        <v>464</v>
      </c>
      <c r="O1052" s="145" t="s">
        <v>464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1811</v>
      </c>
      <c r="V1052" s="13" t="s">
        <v>1811</v>
      </c>
      <c r="W1052" s="60">
        <f>+J1052/$W$2</f>
        <v>5.9712706078396166E-4</v>
      </c>
    </row>
    <row r="1053" spans="1:29">
      <c r="A1053" s="13" t="s">
        <v>444</v>
      </c>
      <c r="B1053" s="13" t="s">
        <v>675</v>
      </c>
      <c r="C1053" s="145">
        <v>46275</v>
      </c>
      <c r="D1053" s="145" t="s">
        <v>469</v>
      </c>
      <c r="E1053" s="28">
        <v>0.90286206000000002</v>
      </c>
      <c r="F1053" s="13"/>
      <c r="G1053" s="18">
        <v>10000000</v>
      </c>
      <c r="H1053" s="18">
        <v>9028620.5500000007</v>
      </c>
      <c r="I1053" s="18">
        <v>10000000</v>
      </c>
      <c r="J1053" s="18">
        <v>9028620.5500000007</v>
      </c>
      <c r="K1053" s="15">
        <v>326</v>
      </c>
      <c r="L1053" s="13" t="s">
        <v>117</v>
      </c>
      <c r="M1053" s="13" t="s">
        <v>118</v>
      </c>
      <c r="N1053" s="145" t="s">
        <v>469</v>
      </c>
      <c r="O1053" s="145" t="s">
        <v>469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1910</v>
      </c>
      <c r="V1053" s="13" t="s">
        <v>1910</v>
      </c>
      <c r="W1053" s="60">
        <f>+J1053/$W$2</f>
        <v>2.3795871194835395E-4</v>
      </c>
    </row>
    <row r="1054" spans="1:29">
      <c r="A1054" s="13" t="s">
        <v>406</v>
      </c>
      <c r="B1054" s="13" t="s">
        <v>675</v>
      </c>
      <c r="C1054" s="145">
        <v>46275</v>
      </c>
      <c r="D1054" s="145" t="s">
        <v>469</v>
      </c>
      <c r="E1054" s="28">
        <v>0.91361919000000003</v>
      </c>
      <c r="F1054" s="13"/>
      <c r="G1054" s="18">
        <v>5500000</v>
      </c>
      <c r="H1054" s="18">
        <v>5024905.5199999996</v>
      </c>
      <c r="I1054" s="18">
        <v>5500000</v>
      </c>
      <c r="J1054" s="18">
        <v>5024905.5199999996</v>
      </c>
      <c r="K1054" s="15">
        <v>66554093</v>
      </c>
      <c r="L1054" s="13" t="s">
        <v>117</v>
      </c>
      <c r="M1054" s="13" t="s">
        <v>118</v>
      </c>
      <c r="N1054" s="145" t="s">
        <v>216</v>
      </c>
      <c r="O1054" s="145" t="s">
        <v>216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1606</v>
      </c>
      <c r="V1054" s="13" t="s">
        <v>1606</v>
      </c>
      <c r="W1054" s="60">
        <f>+J1054/$W$2</f>
        <v>1.3243662623537474E-4</v>
      </c>
    </row>
    <row r="1055" spans="1:29">
      <c r="A1055" s="13" t="s">
        <v>1329</v>
      </c>
      <c r="B1055" s="13" t="s">
        <v>675</v>
      </c>
      <c r="C1055" s="145">
        <v>46275</v>
      </c>
      <c r="D1055" s="145" t="s">
        <v>469</v>
      </c>
      <c r="E1055" s="28">
        <v>0.89757796000000001</v>
      </c>
      <c r="F1055" s="13"/>
      <c r="G1055" s="18">
        <v>4250000</v>
      </c>
      <c r="H1055" s="18">
        <v>3814706.34</v>
      </c>
      <c r="I1055" s="18">
        <v>4250000</v>
      </c>
      <c r="J1055" s="18">
        <v>3814706.34</v>
      </c>
      <c r="K1055" s="15">
        <v>6839</v>
      </c>
      <c r="L1055" s="13" t="s">
        <v>117</v>
      </c>
      <c r="M1055" s="13" t="s">
        <v>118</v>
      </c>
      <c r="N1055" s="145" t="s">
        <v>528</v>
      </c>
      <c r="O1055" s="145" t="s">
        <v>528</v>
      </c>
      <c r="P1055" s="28">
        <v>35</v>
      </c>
      <c r="Q1055" s="13" t="s">
        <v>54</v>
      </c>
      <c r="R1055" s="13" t="s">
        <v>28</v>
      </c>
      <c r="S1055" s="13"/>
      <c r="T1055" s="13"/>
      <c r="U1055" s="13" t="s">
        <v>1318</v>
      </c>
      <c r="V1055" s="13" t="s">
        <v>1318</v>
      </c>
      <c r="W1055" s="60">
        <f>+J1055/$W$2</f>
        <v>1.0054056454145915E-4</v>
      </c>
    </row>
    <row r="1056" spans="1:29">
      <c r="A1056" s="13" t="s">
        <v>1251</v>
      </c>
      <c r="B1056" s="13" t="s">
        <v>675</v>
      </c>
      <c r="C1056" s="145">
        <v>46275</v>
      </c>
      <c r="D1056" s="145" t="s">
        <v>469</v>
      </c>
      <c r="E1056" s="28">
        <v>0.91090605000000002</v>
      </c>
      <c r="F1056" s="13"/>
      <c r="G1056" s="18">
        <v>10000000</v>
      </c>
      <c r="H1056" s="18">
        <v>9109060.5299999993</v>
      </c>
      <c r="I1056" s="18">
        <v>10000000</v>
      </c>
      <c r="J1056" s="18">
        <v>9109060.5299999993</v>
      </c>
      <c r="K1056" s="15">
        <v>3435967</v>
      </c>
      <c r="L1056" s="13" t="s">
        <v>117</v>
      </c>
      <c r="M1056" s="13" t="s">
        <v>118</v>
      </c>
      <c r="N1056" s="145" t="s">
        <v>460</v>
      </c>
      <c r="O1056" s="145" t="s">
        <v>460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1827</v>
      </c>
      <c r="V1056" s="13" t="s">
        <v>1827</v>
      </c>
      <c r="W1056" s="60">
        <f>+J1056/$W$2</f>
        <v>2.4007879152462442E-4</v>
      </c>
      <c r="AC1056" s="57"/>
    </row>
    <row r="1057" spans="1:29">
      <c r="A1057" s="13" t="s">
        <v>1241</v>
      </c>
      <c r="B1057" s="13" t="s">
        <v>675</v>
      </c>
      <c r="C1057" s="145">
        <v>46276</v>
      </c>
      <c r="D1057" s="145" t="s">
        <v>469</v>
      </c>
      <c r="E1057" s="28">
        <v>0.88894318000000005</v>
      </c>
      <c r="F1057" s="13"/>
      <c r="G1057" s="18">
        <v>4957711.8099999996</v>
      </c>
      <c r="H1057" s="18">
        <v>4407124.08</v>
      </c>
      <c r="I1057" s="18">
        <v>4957711.8099999996</v>
      </c>
      <c r="J1057" s="18">
        <v>4407124.08</v>
      </c>
      <c r="K1057" s="15">
        <v>600</v>
      </c>
      <c r="L1057" s="13" t="s">
        <v>117</v>
      </c>
      <c r="M1057" s="13" t="s">
        <v>118</v>
      </c>
      <c r="N1057" s="145" t="s">
        <v>457</v>
      </c>
      <c r="O1057" s="145" t="s">
        <v>457</v>
      </c>
      <c r="P1057" s="28">
        <v>38</v>
      </c>
      <c r="Q1057" s="13" t="s">
        <v>54</v>
      </c>
      <c r="R1057" s="13" t="s">
        <v>28</v>
      </c>
      <c r="S1057" s="13"/>
      <c r="T1057" s="13"/>
      <c r="U1057" s="13" t="s">
        <v>1556</v>
      </c>
      <c r="V1057" s="13" t="s">
        <v>1556</v>
      </c>
      <c r="W1057" s="60">
        <f>+J1057/$W$2</f>
        <v>1.1615435200379246E-4</v>
      </c>
      <c r="AC1057" s="57"/>
    </row>
    <row r="1058" spans="1:29">
      <c r="A1058" s="13" t="s">
        <v>676</v>
      </c>
      <c r="B1058" s="13" t="s">
        <v>675</v>
      </c>
      <c r="C1058" s="145">
        <v>46276</v>
      </c>
      <c r="D1058" s="145" t="s">
        <v>469</v>
      </c>
      <c r="E1058" s="28">
        <v>0.91022446999999995</v>
      </c>
      <c r="F1058" s="13"/>
      <c r="G1058" s="18">
        <v>10000000</v>
      </c>
      <c r="H1058" s="18">
        <v>9102244.6899999995</v>
      </c>
      <c r="I1058" s="18">
        <v>10000000</v>
      </c>
      <c r="J1058" s="18">
        <v>9102244.6899999995</v>
      </c>
      <c r="K1058" s="15">
        <v>504</v>
      </c>
      <c r="L1058" s="13" t="s">
        <v>117</v>
      </c>
      <c r="M1058" s="13" t="s">
        <v>118</v>
      </c>
      <c r="N1058" s="145" t="s">
        <v>469</v>
      </c>
      <c r="O1058" s="145" t="s">
        <v>469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1904</v>
      </c>
      <c r="V1058" s="13" t="s">
        <v>1904</v>
      </c>
      <c r="W1058" s="60">
        <f>+J1058/$W$2</f>
        <v>2.3989915295212445E-4</v>
      </c>
    </row>
    <row r="1059" spans="1:29">
      <c r="A1059" s="13" t="s">
        <v>265</v>
      </c>
      <c r="B1059" s="13" t="s">
        <v>675</v>
      </c>
      <c r="C1059" s="145">
        <v>46276</v>
      </c>
      <c r="D1059" s="145" t="s">
        <v>469</v>
      </c>
      <c r="E1059" s="28">
        <v>0.92125201999999995</v>
      </c>
      <c r="F1059" s="13"/>
      <c r="G1059" s="18">
        <v>100046704.59999999</v>
      </c>
      <c r="H1059" s="18">
        <v>92168228.290000007</v>
      </c>
      <c r="I1059" s="18">
        <v>100046704.59999999</v>
      </c>
      <c r="J1059" s="18">
        <v>92168228.290000007</v>
      </c>
      <c r="K1059" s="15">
        <v>568280</v>
      </c>
      <c r="L1059" s="13" t="s">
        <v>117</v>
      </c>
      <c r="M1059" s="13" t="s">
        <v>118</v>
      </c>
      <c r="N1059" s="145" t="s">
        <v>457</v>
      </c>
      <c r="O1059" s="145" t="s">
        <v>457</v>
      </c>
      <c r="P1059" s="28">
        <v>26</v>
      </c>
      <c r="Q1059" s="13" t="s">
        <v>54</v>
      </c>
      <c r="R1059" s="13" t="s">
        <v>28</v>
      </c>
      <c r="S1059" s="13"/>
      <c r="T1059" s="13"/>
      <c r="U1059" s="13" t="s">
        <v>1559</v>
      </c>
      <c r="V1059" s="13" t="s">
        <v>1559</v>
      </c>
      <c r="W1059" s="60">
        <f>+J1059/$W$2</f>
        <v>2.4291897931683747E-3</v>
      </c>
      <c r="AC1059" s="57"/>
    </row>
    <row r="1060" spans="1:29">
      <c r="A1060" s="13" t="s">
        <v>1101</v>
      </c>
      <c r="B1060" s="13" t="s">
        <v>675</v>
      </c>
      <c r="C1060" s="145">
        <v>46279</v>
      </c>
      <c r="D1060" s="145" t="s">
        <v>469</v>
      </c>
      <c r="E1060" s="28">
        <v>0.91377929000000002</v>
      </c>
      <c r="F1060" s="13"/>
      <c r="G1060" s="18">
        <v>10000000</v>
      </c>
      <c r="H1060" s="18">
        <v>9137792.9100000001</v>
      </c>
      <c r="I1060" s="18">
        <v>10000000</v>
      </c>
      <c r="J1060" s="18">
        <v>9137792.9100000001</v>
      </c>
      <c r="K1060" s="15">
        <v>360563</v>
      </c>
      <c r="L1060" s="13" t="s">
        <v>117</v>
      </c>
      <c r="M1060" s="13" t="s">
        <v>118</v>
      </c>
      <c r="N1060" s="145" t="s">
        <v>445</v>
      </c>
      <c r="O1060" s="145" t="s">
        <v>445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1344</v>
      </c>
      <c r="V1060" s="13" t="s">
        <v>1344</v>
      </c>
      <c r="W1060" s="60">
        <f>+J1060/$W$2</f>
        <v>2.4083606336899394E-4</v>
      </c>
    </row>
    <row r="1061" spans="1:29">
      <c r="A1061" s="13" t="s">
        <v>1103</v>
      </c>
      <c r="B1061" s="13" t="s">
        <v>675</v>
      </c>
      <c r="C1061" s="145">
        <v>46280</v>
      </c>
      <c r="D1061" s="145" t="s">
        <v>469</v>
      </c>
      <c r="E1061" s="28">
        <v>0.88036671</v>
      </c>
      <c r="F1061" s="13"/>
      <c r="G1061" s="18">
        <v>9975100.8000000007</v>
      </c>
      <c r="H1061" s="18">
        <v>8781746.6500000004</v>
      </c>
      <c r="I1061" s="18">
        <v>9975100.8000000007</v>
      </c>
      <c r="J1061" s="18">
        <v>8781746.6500000004</v>
      </c>
      <c r="K1061" s="15">
        <v>1179209</v>
      </c>
      <c r="L1061" s="13" t="s">
        <v>117</v>
      </c>
      <c r="M1061" s="13" t="s">
        <v>118</v>
      </c>
      <c r="N1061" s="145" t="s">
        <v>443</v>
      </c>
      <c r="O1061" s="145" t="s">
        <v>443</v>
      </c>
      <c r="P1061" s="28">
        <v>40</v>
      </c>
      <c r="Q1061" s="13" t="s">
        <v>54</v>
      </c>
      <c r="R1061" s="13" t="s">
        <v>28</v>
      </c>
      <c r="S1061" s="13"/>
      <c r="T1061" s="13"/>
      <c r="U1061" s="13" t="s">
        <v>1082</v>
      </c>
      <c r="V1061" s="13" t="s">
        <v>1082</v>
      </c>
      <c r="W1061" s="60">
        <f>+J1061/$W$2</f>
        <v>2.3145209281065336E-4</v>
      </c>
    </row>
    <row r="1062" spans="1:29">
      <c r="A1062" s="13" t="s">
        <v>1857</v>
      </c>
      <c r="B1062" s="13" t="s">
        <v>675</v>
      </c>
      <c r="C1062" s="145">
        <v>46280</v>
      </c>
      <c r="D1062" s="145" t="s">
        <v>469</v>
      </c>
      <c r="E1062" s="28">
        <v>0.91598082999999997</v>
      </c>
      <c r="F1062" s="13"/>
      <c r="G1062" s="18">
        <v>150000000</v>
      </c>
      <c r="H1062" s="18">
        <v>137397124.83000001</v>
      </c>
      <c r="I1062" s="18">
        <v>150000000</v>
      </c>
      <c r="J1062" s="18">
        <v>137397124.83000001</v>
      </c>
      <c r="K1062" s="15">
        <v>67980</v>
      </c>
      <c r="L1062" s="13" t="s">
        <v>117</v>
      </c>
      <c r="M1062" s="13" t="s">
        <v>118</v>
      </c>
      <c r="N1062" s="145" t="s">
        <v>446</v>
      </c>
      <c r="O1062" s="145" t="s">
        <v>446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1837</v>
      </c>
      <c r="V1062" s="13" t="s">
        <v>1837</v>
      </c>
      <c r="W1062" s="60">
        <f>+J1062/$W$2</f>
        <v>3.6212445377332863E-3</v>
      </c>
    </row>
    <row r="1063" spans="1:29">
      <c r="A1063" s="13" t="s">
        <v>254</v>
      </c>
      <c r="B1063" s="13" t="s">
        <v>675</v>
      </c>
      <c r="C1063" s="145">
        <v>46280</v>
      </c>
      <c r="D1063" s="145" t="s">
        <v>469</v>
      </c>
      <c r="E1063" s="28">
        <v>0.91031532999999998</v>
      </c>
      <c r="F1063" s="13"/>
      <c r="G1063" s="18">
        <v>42000000</v>
      </c>
      <c r="H1063" s="18">
        <v>38233244.009999998</v>
      </c>
      <c r="I1063" s="18">
        <v>42000000</v>
      </c>
      <c r="J1063" s="18">
        <v>38233244.009999998</v>
      </c>
      <c r="K1063" s="15">
        <v>7579</v>
      </c>
      <c r="L1063" s="13" t="s">
        <v>117</v>
      </c>
      <c r="M1063" s="13" t="s">
        <v>118</v>
      </c>
      <c r="N1063" s="145" t="s">
        <v>528</v>
      </c>
      <c r="O1063" s="145" t="s">
        <v>528</v>
      </c>
      <c r="P1063" s="28">
        <v>29</v>
      </c>
      <c r="Q1063" s="13" t="s">
        <v>54</v>
      </c>
      <c r="R1063" s="13" t="s">
        <v>28</v>
      </c>
      <c r="S1063" s="13"/>
      <c r="T1063" s="13"/>
      <c r="U1063" s="13" t="s">
        <v>1266</v>
      </c>
      <c r="V1063" s="13" t="s">
        <v>1266</v>
      </c>
      <c r="W1063" s="60">
        <f>+J1063/$W$2</f>
        <v>1.0076770252823082E-3</v>
      </c>
    </row>
    <row r="1064" spans="1:29">
      <c r="A1064" s="13" t="s">
        <v>1103</v>
      </c>
      <c r="B1064" s="13" t="s">
        <v>675</v>
      </c>
      <c r="C1064" s="145">
        <v>46281</v>
      </c>
      <c r="D1064" s="145" t="s">
        <v>469</v>
      </c>
      <c r="E1064" s="28">
        <v>0.87951809000000003</v>
      </c>
      <c r="F1064" s="13"/>
      <c r="G1064" s="18">
        <v>9974100</v>
      </c>
      <c r="H1064" s="18">
        <v>8772401.4199999999</v>
      </c>
      <c r="I1064" s="18">
        <v>9974100</v>
      </c>
      <c r="J1064" s="18">
        <v>8772401.4199999999</v>
      </c>
      <c r="K1064" s="15">
        <v>1179211</v>
      </c>
      <c r="L1064" s="13" t="s">
        <v>117</v>
      </c>
      <c r="M1064" s="13" t="s">
        <v>118</v>
      </c>
      <c r="N1064" s="145" t="s">
        <v>443</v>
      </c>
      <c r="O1064" s="145" t="s">
        <v>443</v>
      </c>
      <c r="P1064" s="28">
        <v>40</v>
      </c>
      <c r="Q1064" s="13" t="s">
        <v>54</v>
      </c>
      <c r="R1064" s="13" t="s">
        <v>28</v>
      </c>
      <c r="S1064" s="13"/>
      <c r="T1064" s="13"/>
      <c r="U1064" s="13" t="s">
        <v>1076</v>
      </c>
      <c r="V1064" s="13" t="s">
        <v>1076</v>
      </c>
      <c r="W1064" s="60">
        <f>+J1064/$W$2</f>
        <v>2.3120578952640899E-4</v>
      </c>
    </row>
    <row r="1065" spans="1:29">
      <c r="A1065" s="13" t="s">
        <v>1103</v>
      </c>
      <c r="B1065" s="13" t="s">
        <v>675</v>
      </c>
      <c r="C1065" s="145">
        <v>46281</v>
      </c>
      <c r="D1065" s="145" t="s">
        <v>469</v>
      </c>
      <c r="E1065" s="28">
        <v>0.87951809000000003</v>
      </c>
      <c r="F1065" s="13"/>
      <c r="G1065" s="18">
        <v>9973400</v>
      </c>
      <c r="H1065" s="18">
        <v>8771785.75</v>
      </c>
      <c r="I1065" s="18">
        <v>9973400</v>
      </c>
      <c r="J1065" s="18">
        <v>8771785.75</v>
      </c>
      <c r="K1065" s="15">
        <v>1179210</v>
      </c>
      <c r="L1065" s="13" t="s">
        <v>117</v>
      </c>
      <c r="M1065" s="13" t="s">
        <v>118</v>
      </c>
      <c r="N1065" s="145" t="s">
        <v>443</v>
      </c>
      <c r="O1065" s="145" t="s">
        <v>443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1084</v>
      </c>
      <c r="V1065" s="13" t="s">
        <v>1084</v>
      </c>
      <c r="W1065" s="60">
        <f>+J1065/$W$2</f>
        <v>2.3118956290138094E-4</v>
      </c>
    </row>
    <row r="1066" spans="1:29">
      <c r="A1066" s="13" t="s">
        <v>1103</v>
      </c>
      <c r="B1066" s="13" t="s">
        <v>675</v>
      </c>
      <c r="C1066" s="145">
        <v>46281</v>
      </c>
      <c r="D1066" s="145" t="s">
        <v>469</v>
      </c>
      <c r="E1066" s="28">
        <v>0.87951809000000003</v>
      </c>
      <c r="F1066" s="13"/>
      <c r="G1066" s="18">
        <v>9973360.4700000007</v>
      </c>
      <c r="H1066" s="18">
        <v>8771750.9900000002</v>
      </c>
      <c r="I1066" s="18">
        <v>9973360.4700000007</v>
      </c>
      <c r="J1066" s="18">
        <v>8771750.9900000002</v>
      </c>
      <c r="K1066" s="15">
        <v>1179212</v>
      </c>
      <c r="L1066" s="13" t="s">
        <v>117</v>
      </c>
      <c r="M1066" s="13" t="s">
        <v>118</v>
      </c>
      <c r="N1066" s="145" t="s">
        <v>443</v>
      </c>
      <c r="O1066" s="145" t="s">
        <v>443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1089</v>
      </c>
      <c r="V1066" s="13" t="s">
        <v>1089</v>
      </c>
      <c r="W1066" s="60">
        <f>+J1066/$W$2</f>
        <v>2.3118864676532436E-4</v>
      </c>
    </row>
    <row r="1067" spans="1:29">
      <c r="A1067" s="13" t="s">
        <v>1101</v>
      </c>
      <c r="B1067" s="13" t="s">
        <v>675</v>
      </c>
      <c r="C1067" s="145">
        <v>46281</v>
      </c>
      <c r="D1067" s="145" t="s">
        <v>469</v>
      </c>
      <c r="E1067" s="28">
        <v>0.91250008999999999</v>
      </c>
      <c r="F1067" s="13"/>
      <c r="G1067" s="18">
        <v>10000000</v>
      </c>
      <c r="H1067" s="18">
        <v>9125000.8800000008</v>
      </c>
      <c r="I1067" s="18">
        <v>10000000</v>
      </c>
      <c r="J1067" s="18">
        <v>9125000.8800000008</v>
      </c>
      <c r="K1067" s="15">
        <v>360564</v>
      </c>
      <c r="L1067" s="13" t="s">
        <v>117</v>
      </c>
      <c r="M1067" s="13" t="s">
        <v>118</v>
      </c>
      <c r="N1067" s="145" t="s">
        <v>445</v>
      </c>
      <c r="O1067" s="145" t="s">
        <v>445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1346</v>
      </c>
      <c r="V1067" s="13" t="s">
        <v>1346</v>
      </c>
      <c r="W1067" s="60">
        <f>+J1067/$W$2</f>
        <v>2.4049891607554559E-4</v>
      </c>
    </row>
    <row r="1068" spans="1:29">
      <c r="A1068" s="13" t="s">
        <v>1251</v>
      </c>
      <c r="B1068" s="13" t="s">
        <v>675</v>
      </c>
      <c r="C1068" s="145">
        <v>46281</v>
      </c>
      <c r="D1068" s="145" t="s">
        <v>469</v>
      </c>
      <c r="E1068" s="28">
        <v>0.91250005999999995</v>
      </c>
      <c r="F1068" s="13"/>
      <c r="G1068" s="18">
        <v>10000000</v>
      </c>
      <c r="H1068" s="18">
        <v>9125000.6300000008</v>
      </c>
      <c r="I1068" s="18">
        <v>10000000</v>
      </c>
      <c r="J1068" s="18">
        <v>9125000.6300000008</v>
      </c>
      <c r="K1068" s="15">
        <v>3487822</v>
      </c>
      <c r="L1068" s="13" t="s">
        <v>117</v>
      </c>
      <c r="M1068" s="13" t="s">
        <v>118</v>
      </c>
      <c r="N1068" s="145" t="s">
        <v>410</v>
      </c>
      <c r="O1068" s="145" t="s">
        <v>410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1775</v>
      </c>
      <c r="V1068" s="13" t="s">
        <v>1775</v>
      </c>
      <c r="W1068" s="60">
        <f>+J1068/$W$2</f>
        <v>2.4049890948653482E-4</v>
      </c>
    </row>
    <row r="1069" spans="1:29">
      <c r="A1069" s="13" t="s">
        <v>795</v>
      </c>
      <c r="B1069" s="13" t="s">
        <v>675</v>
      </c>
      <c r="C1069" s="145">
        <v>46282</v>
      </c>
      <c r="D1069" s="145" t="s">
        <v>469</v>
      </c>
      <c r="E1069" s="28">
        <v>0.89220255999999998</v>
      </c>
      <c r="F1069" s="13"/>
      <c r="G1069" s="18">
        <v>1500000</v>
      </c>
      <c r="H1069" s="18">
        <v>1338303.8400000001</v>
      </c>
      <c r="I1069" s="18">
        <v>1500000</v>
      </c>
      <c r="J1069" s="18">
        <v>1338303.8400000001</v>
      </c>
      <c r="K1069" s="15">
        <v>3</v>
      </c>
      <c r="L1069" s="13" t="s">
        <v>117</v>
      </c>
      <c r="M1069" s="13" t="s">
        <v>118</v>
      </c>
      <c r="N1069" s="145" t="s">
        <v>533</v>
      </c>
      <c r="O1069" s="145" t="s">
        <v>533</v>
      </c>
      <c r="P1069" s="28">
        <v>35</v>
      </c>
      <c r="Q1069" s="13" t="s">
        <v>54</v>
      </c>
      <c r="R1069" s="13" t="s">
        <v>28</v>
      </c>
      <c r="S1069" s="13"/>
      <c r="T1069" s="13"/>
      <c r="U1069" s="13" t="s">
        <v>1519</v>
      </c>
      <c r="V1069" s="13" t="s">
        <v>1519</v>
      </c>
      <c r="W1069" s="60">
        <f>+J1069/$W$2</f>
        <v>3.5272393628496874E-5</v>
      </c>
    </row>
    <row r="1070" spans="1:29">
      <c r="A1070" s="13" t="s">
        <v>1103</v>
      </c>
      <c r="B1070" s="13" t="s">
        <v>675</v>
      </c>
      <c r="C1070" s="145">
        <v>46282</v>
      </c>
      <c r="D1070" s="145" t="s">
        <v>469</v>
      </c>
      <c r="E1070" s="28">
        <v>0.87867136000000001</v>
      </c>
      <c r="F1070" s="13"/>
      <c r="G1070" s="18">
        <v>9972899.9900000002</v>
      </c>
      <c r="H1070" s="18">
        <v>8762901.6300000008</v>
      </c>
      <c r="I1070" s="18">
        <v>9972899.9900000002</v>
      </c>
      <c r="J1070" s="18">
        <v>8762901.6300000008</v>
      </c>
      <c r="K1070" s="15">
        <v>1179213</v>
      </c>
      <c r="L1070" s="13" t="s">
        <v>117</v>
      </c>
      <c r="M1070" s="13" t="s">
        <v>118</v>
      </c>
      <c r="N1070" s="145" t="s">
        <v>443</v>
      </c>
      <c r="O1070" s="145" t="s">
        <v>443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1080</v>
      </c>
      <c r="V1070" s="13" t="s">
        <v>1080</v>
      </c>
      <c r="W1070" s="60">
        <f>+J1070/$W$2</f>
        <v>2.3095541265214997E-4</v>
      </c>
    </row>
    <row r="1071" spans="1:29">
      <c r="A1071" s="13" t="s">
        <v>379</v>
      </c>
      <c r="B1071" s="13" t="s">
        <v>675</v>
      </c>
      <c r="C1071" s="145">
        <v>46282</v>
      </c>
      <c r="D1071" s="145" t="s">
        <v>469</v>
      </c>
      <c r="E1071" s="28">
        <v>0.90333136999999997</v>
      </c>
      <c r="F1071" s="13"/>
      <c r="G1071" s="18">
        <v>16500000</v>
      </c>
      <c r="H1071" s="18">
        <v>14904967.630000001</v>
      </c>
      <c r="I1071" s="18">
        <v>16500000</v>
      </c>
      <c r="J1071" s="18">
        <v>14904967.630000001</v>
      </c>
      <c r="K1071" s="15">
        <v>28674</v>
      </c>
      <c r="L1071" s="13" t="s">
        <v>117</v>
      </c>
      <c r="M1071" s="13" t="s">
        <v>118</v>
      </c>
      <c r="N1071" s="145" t="s">
        <v>490</v>
      </c>
      <c r="O1071" s="145" t="s">
        <v>490</v>
      </c>
      <c r="P1071" s="28">
        <v>31</v>
      </c>
      <c r="Q1071" s="13" t="s">
        <v>54</v>
      </c>
      <c r="R1071" s="13" t="s">
        <v>28</v>
      </c>
      <c r="S1071" s="13"/>
      <c r="T1071" s="13"/>
      <c r="U1071" s="13" t="s">
        <v>1586</v>
      </c>
      <c r="V1071" s="13" t="s">
        <v>1586</v>
      </c>
      <c r="W1071" s="60">
        <f>+J1071/$W$2</f>
        <v>3.9283596859840451E-4</v>
      </c>
    </row>
    <row r="1072" spans="1:29">
      <c r="A1072" s="13" t="s">
        <v>444</v>
      </c>
      <c r="B1072" s="13" t="s">
        <v>675</v>
      </c>
      <c r="C1072" s="145">
        <v>46282</v>
      </c>
      <c r="D1072" s="145" t="s">
        <v>469</v>
      </c>
      <c r="E1072" s="28">
        <v>0.89773243000000003</v>
      </c>
      <c r="F1072" s="13"/>
      <c r="G1072" s="18">
        <v>10000000</v>
      </c>
      <c r="H1072" s="18">
        <v>8977324.3200000003</v>
      </c>
      <c r="I1072" s="18">
        <v>10000000</v>
      </c>
      <c r="J1072" s="18">
        <v>8977324.3200000003</v>
      </c>
      <c r="K1072" s="15">
        <v>327</v>
      </c>
      <c r="L1072" s="13" t="s">
        <v>117</v>
      </c>
      <c r="M1072" s="13" t="s">
        <v>118</v>
      </c>
      <c r="N1072" s="145" t="s">
        <v>469</v>
      </c>
      <c r="O1072" s="145" t="s">
        <v>469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1911</v>
      </c>
      <c r="V1072" s="13" t="s">
        <v>1911</v>
      </c>
      <c r="W1072" s="60">
        <f>+J1072/$W$2</f>
        <v>2.3660674630188465E-4</v>
      </c>
    </row>
    <row r="1073" spans="1:23">
      <c r="A1073" s="13" t="s">
        <v>957</v>
      </c>
      <c r="B1073" s="13" t="s">
        <v>675</v>
      </c>
      <c r="C1073" s="145">
        <v>46282</v>
      </c>
      <c r="D1073" s="145" t="s">
        <v>469</v>
      </c>
      <c r="E1073" s="28">
        <v>0.90052306000000004</v>
      </c>
      <c r="F1073" s="13"/>
      <c r="G1073" s="18">
        <v>3243208.42</v>
      </c>
      <c r="H1073" s="18">
        <v>2920583.98</v>
      </c>
      <c r="I1073" s="18">
        <v>3243208.42</v>
      </c>
      <c r="J1073" s="18">
        <v>2920583.98</v>
      </c>
      <c r="K1073" s="15">
        <v>143911</v>
      </c>
      <c r="L1073" s="13" t="s">
        <v>117</v>
      </c>
      <c r="M1073" s="13" t="s">
        <v>118</v>
      </c>
      <c r="N1073" s="145" t="s">
        <v>461</v>
      </c>
      <c r="O1073" s="145" t="s">
        <v>461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1110</v>
      </c>
      <c r="V1073" s="13" t="s">
        <v>1110</v>
      </c>
      <c r="W1073" s="60">
        <f>+J1073/$W$2</f>
        <v>7.6975037124336456E-5</v>
      </c>
    </row>
    <row r="1074" spans="1:23">
      <c r="A1074" s="13" t="s">
        <v>1330</v>
      </c>
      <c r="B1074" s="13" t="s">
        <v>675</v>
      </c>
      <c r="C1074" s="145">
        <v>46283</v>
      </c>
      <c r="D1074" s="145" t="s">
        <v>469</v>
      </c>
      <c r="E1074" s="28">
        <v>0.90263870999999996</v>
      </c>
      <c r="F1074" s="13"/>
      <c r="G1074" s="18">
        <v>3000000</v>
      </c>
      <c r="H1074" s="18">
        <v>2707916.14</v>
      </c>
      <c r="I1074" s="18">
        <v>3000000</v>
      </c>
      <c r="J1074" s="18">
        <v>2707916.14</v>
      </c>
      <c r="K1074" s="15">
        <v>90003467</v>
      </c>
      <c r="L1074" s="13" t="s">
        <v>117</v>
      </c>
      <c r="M1074" s="13" t="s">
        <v>118</v>
      </c>
      <c r="N1074" s="145" t="s">
        <v>411</v>
      </c>
      <c r="O1074" s="145" t="s">
        <v>411</v>
      </c>
      <c r="P1074" s="28">
        <v>31</v>
      </c>
      <c r="Q1074" s="13" t="s">
        <v>54</v>
      </c>
      <c r="R1074" s="13" t="s">
        <v>28</v>
      </c>
      <c r="S1074" s="13"/>
      <c r="T1074" s="13"/>
      <c r="U1074" s="13" t="s">
        <v>1447</v>
      </c>
      <c r="V1074" s="13" t="s">
        <v>1447</v>
      </c>
      <c r="W1074" s="60">
        <f>+J1074/$W$2</f>
        <v>7.1369954376757867E-5</v>
      </c>
    </row>
    <row r="1075" spans="1:23">
      <c r="A1075" s="13" t="s">
        <v>265</v>
      </c>
      <c r="B1075" s="13" t="s">
        <v>675</v>
      </c>
      <c r="C1075" s="145">
        <v>46283</v>
      </c>
      <c r="D1075" s="145" t="s">
        <v>469</v>
      </c>
      <c r="E1075" s="28">
        <v>0.91703948000000002</v>
      </c>
      <c r="F1075" s="13"/>
      <c r="G1075" s="18">
        <v>92806889.260000005</v>
      </c>
      <c r="H1075" s="18">
        <v>85107581.680000007</v>
      </c>
      <c r="I1075" s="18">
        <v>92806889.260000005</v>
      </c>
      <c r="J1075" s="18">
        <v>85107581.680000007</v>
      </c>
      <c r="K1075" s="15">
        <v>568306</v>
      </c>
      <c r="L1075" s="13" t="s">
        <v>117</v>
      </c>
      <c r="M1075" s="13" t="s">
        <v>118</v>
      </c>
      <c r="N1075" s="145" t="s">
        <v>457</v>
      </c>
      <c r="O1075" s="145" t="s">
        <v>457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1562</v>
      </c>
      <c r="V1075" s="13" t="s">
        <v>1562</v>
      </c>
      <c r="W1075" s="60">
        <f>+J1075/$W$2</f>
        <v>2.243099087114933E-3</v>
      </c>
    </row>
    <row r="1076" spans="1:23">
      <c r="A1076" s="13" t="s">
        <v>265</v>
      </c>
      <c r="B1076" s="13" t="s">
        <v>675</v>
      </c>
      <c r="C1076" s="145">
        <v>46283</v>
      </c>
      <c r="D1076" s="145" t="s">
        <v>469</v>
      </c>
      <c r="E1076" s="28">
        <v>0.91703948000000002</v>
      </c>
      <c r="F1076" s="13"/>
      <c r="G1076" s="18">
        <v>20411147.440000001</v>
      </c>
      <c r="H1076" s="18">
        <v>18717828.079999998</v>
      </c>
      <c r="I1076" s="18">
        <v>20411147.440000001</v>
      </c>
      <c r="J1076" s="18">
        <v>18717828.079999998</v>
      </c>
      <c r="K1076" s="15">
        <v>568296</v>
      </c>
      <c r="L1076" s="13" t="s">
        <v>117</v>
      </c>
      <c r="M1076" s="13" t="s">
        <v>118</v>
      </c>
      <c r="N1076" s="145" t="s">
        <v>457</v>
      </c>
      <c r="O1076" s="145" t="s">
        <v>457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1563</v>
      </c>
      <c r="V1076" s="13" t="s">
        <v>1563</v>
      </c>
      <c r="W1076" s="60">
        <f>+J1076/$W$2</f>
        <v>4.9332788278354776E-4</v>
      </c>
    </row>
    <row r="1077" spans="1:23">
      <c r="A1077" s="13" t="s">
        <v>265</v>
      </c>
      <c r="B1077" s="13" t="s">
        <v>675</v>
      </c>
      <c r="C1077" s="145">
        <v>46283</v>
      </c>
      <c r="D1077" s="145" t="s">
        <v>469</v>
      </c>
      <c r="E1077" s="28">
        <v>0.91703948000000002</v>
      </c>
      <c r="F1077" s="13"/>
      <c r="G1077" s="18">
        <v>68728608.280000001</v>
      </c>
      <c r="H1077" s="18">
        <v>63026847.359999999</v>
      </c>
      <c r="I1077" s="18">
        <v>68728608.280000001</v>
      </c>
      <c r="J1077" s="18">
        <v>63026847.359999999</v>
      </c>
      <c r="K1077" s="15">
        <v>568281</v>
      </c>
      <c r="L1077" s="13" t="s">
        <v>117</v>
      </c>
      <c r="M1077" s="13" t="s">
        <v>118</v>
      </c>
      <c r="N1077" s="145" t="s">
        <v>457</v>
      </c>
      <c r="O1077" s="145" t="s">
        <v>457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1568</v>
      </c>
      <c r="V1077" s="13" t="s">
        <v>1568</v>
      </c>
      <c r="W1077" s="60">
        <f>+J1077/$W$2</f>
        <v>1.6611383026780442E-3</v>
      </c>
    </row>
    <row r="1078" spans="1:23">
      <c r="A1078" s="13" t="s">
        <v>265</v>
      </c>
      <c r="B1078" s="13" t="s">
        <v>675</v>
      </c>
      <c r="C1078" s="145">
        <v>46283</v>
      </c>
      <c r="D1078" s="145" t="s">
        <v>469</v>
      </c>
      <c r="E1078" s="28">
        <v>0.91703948000000002</v>
      </c>
      <c r="F1078" s="13"/>
      <c r="G1078" s="18">
        <v>6875275.0899999999</v>
      </c>
      <c r="H1078" s="18">
        <v>6304898.71</v>
      </c>
      <c r="I1078" s="18">
        <v>6875275.0899999999</v>
      </c>
      <c r="J1078" s="18">
        <v>6304898.71</v>
      </c>
      <c r="K1078" s="15">
        <v>568310</v>
      </c>
      <c r="L1078" s="13" t="s">
        <v>117</v>
      </c>
      <c r="M1078" s="13" t="s">
        <v>118</v>
      </c>
      <c r="N1078" s="145" t="s">
        <v>457</v>
      </c>
      <c r="O1078" s="145" t="s">
        <v>457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1569</v>
      </c>
      <c r="V1078" s="13" t="s">
        <v>1569</v>
      </c>
      <c r="W1078" s="60">
        <f>+J1078/$W$2</f>
        <v>1.6617218186187237E-4</v>
      </c>
    </row>
    <row r="1079" spans="1:23">
      <c r="A1079" s="13" t="s">
        <v>265</v>
      </c>
      <c r="B1079" s="13" t="s">
        <v>675</v>
      </c>
      <c r="C1079" s="145">
        <v>46283</v>
      </c>
      <c r="D1079" s="145" t="s">
        <v>469</v>
      </c>
      <c r="E1079" s="28">
        <v>0.91703948000000002</v>
      </c>
      <c r="F1079" s="13"/>
      <c r="G1079" s="18">
        <v>6937722.3200000003</v>
      </c>
      <c r="H1079" s="18">
        <v>6362165.2800000003</v>
      </c>
      <c r="I1079" s="18">
        <v>6937722.3200000003</v>
      </c>
      <c r="J1079" s="18">
        <v>6362165.2800000003</v>
      </c>
      <c r="K1079" s="15">
        <v>568313</v>
      </c>
      <c r="L1079" s="13" t="s">
        <v>117</v>
      </c>
      <c r="M1079" s="13" t="s">
        <v>118</v>
      </c>
      <c r="N1079" s="145" t="s">
        <v>457</v>
      </c>
      <c r="O1079" s="145" t="s">
        <v>457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1570</v>
      </c>
      <c r="V1079" s="13" t="s">
        <v>1570</v>
      </c>
      <c r="W1079" s="60">
        <f>+J1079/$W$2</f>
        <v>1.6768150204643815E-4</v>
      </c>
    </row>
    <row r="1080" spans="1:23">
      <c r="A1080" s="13" t="s">
        <v>265</v>
      </c>
      <c r="B1080" s="13" t="s">
        <v>675</v>
      </c>
      <c r="C1080" s="145">
        <v>46283</v>
      </c>
      <c r="D1080" s="145" t="s">
        <v>469</v>
      </c>
      <c r="E1080" s="28">
        <v>0.91703948000000002</v>
      </c>
      <c r="F1080" s="13"/>
      <c r="G1080" s="18">
        <v>3090146.07</v>
      </c>
      <c r="H1080" s="18">
        <v>2833785.95</v>
      </c>
      <c r="I1080" s="18">
        <v>3090146.07</v>
      </c>
      <c r="J1080" s="18">
        <v>2833785.95</v>
      </c>
      <c r="K1080" s="15">
        <v>568383</v>
      </c>
      <c r="L1080" s="13" t="s">
        <v>117</v>
      </c>
      <c r="M1080" s="13" t="s">
        <v>118</v>
      </c>
      <c r="N1080" s="145" t="s">
        <v>457</v>
      </c>
      <c r="O1080" s="145" t="s">
        <v>457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1571</v>
      </c>
      <c r="V1080" s="13" t="s">
        <v>1571</v>
      </c>
      <c r="W1080" s="60">
        <f>+J1080/$W$2</f>
        <v>7.4687384508516361E-5</v>
      </c>
    </row>
    <row r="1081" spans="1:23">
      <c r="A1081" s="13" t="s">
        <v>265</v>
      </c>
      <c r="B1081" s="13" t="s">
        <v>675</v>
      </c>
      <c r="C1081" s="145">
        <v>46283</v>
      </c>
      <c r="D1081" s="145" t="s">
        <v>469</v>
      </c>
      <c r="E1081" s="28">
        <v>0.91703948000000002</v>
      </c>
      <c r="F1081" s="13"/>
      <c r="G1081" s="18">
        <v>7075968.3200000003</v>
      </c>
      <c r="H1081" s="18">
        <v>6488942.3200000003</v>
      </c>
      <c r="I1081" s="18">
        <v>7075968.3200000003</v>
      </c>
      <c r="J1081" s="18">
        <v>6488942.3200000003</v>
      </c>
      <c r="K1081" s="15">
        <v>568319</v>
      </c>
      <c r="L1081" s="13" t="s">
        <v>117</v>
      </c>
      <c r="M1081" s="13" t="s">
        <v>118</v>
      </c>
      <c r="N1081" s="145" t="s">
        <v>457</v>
      </c>
      <c r="O1081" s="145" t="s">
        <v>457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1579</v>
      </c>
      <c r="V1081" s="13" t="s">
        <v>1579</v>
      </c>
      <c r="W1081" s="60">
        <f>+J1081/$W$2</f>
        <v>1.7102284317113798E-4</v>
      </c>
    </row>
    <row r="1082" spans="1:23">
      <c r="A1082" s="13" t="s">
        <v>265</v>
      </c>
      <c r="B1082" s="13" t="s">
        <v>675</v>
      </c>
      <c r="C1082" s="145">
        <v>46283</v>
      </c>
      <c r="D1082" s="145" t="s">
        <v>469</v>
      </c>
      <c r="E1082" s="28">
        <v>0.91703948000000002</v>
      </c>
      <c r="F1082" s="13"/>
      <c r="G1082" s="18">
        <v>11809132.970000001</v>
      </c>
      <c r="H1082" s="18">
        <v>10829441.189999999</v>
      </c>
      <c r="I1082" s="18">
        <v>11809132.970000001</v>
      </c>
      <c r="J1082" s="18">
        <v>10829441.189999999</v>
      </c>
      <c r="K1082" s="15">
        <v>568322</v>
      </c>
      <c r="L1082" s="13" t="s">
        <v>117</v>
      </c>
      <c r="M1082" s="13" t="s">
        <v>118</v>
      </c>
      <c r="N1082" s="145" t="s">
        <v>457</v>
      </c>
      <c r="O1082" s="145" t="s">
        <v>457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1580</v>
      </c>
      <c r="V1082" s="13" t="s">
        <v>1580</v>
      </c>
      <c r="W1082" s="60">
        <f>+J1082/$W$2</f>
        <v>2.8542121827158294E-4</v>
      </c>
    </row>
    <row r="1083" spans="1:23">
      <c r="A1083" s="13" t="s">
        <v>265</v>
      </c>
      <c r="B1083" s="13" t="s">
        <v>675</v>
      </c>
      <c r="C1083" s="145">
        <v>46283</v>
      </c>
      <c r="D1083" s="145" t="s">
        <v>469</v>
      </c>
      <c r="E1083" s="28">
        <v>0.91703948000000002</v>
      </c>
      <c r="F1083" s="13"/>
      <c r="G1083" s="18">
        <v>31694713.280000001</v>
      </c>
      <c r="H1083" s="18">
        <v>29065303.460000001</v>
      </c>
      <c r="I1083" s="18">
        <v>31694713.280000001</v>
      </c>
      <c r="J1083" s="18">
        <v>29065303.460000001</v>
      </c>
      <c r="K1083" s="15">
        <v>568350</v>
      </c>
      <c r="L1083" s="13" t="s">
        <v>117</v>
      </c>
      <c r="M1083" s="13" t="s">
        <v>118</v>
      </c>
      <c r="N1083" s="145" t="s">
        <v>457</v>
      </c>
      <c r="O1083" s="145" t="s">
        <v>457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1581</v>
      </c>
      <c r="V1083" s="13" t="s">
        <v>1581</v>
      </c>
      <c r="W1083" s="60">
        <f>+J1083/$W$2</f>
        <v>7.6604638941545002E-4</v>
      </c>
    </row>
    <row r="1084" spans="1:23">
      <c r="A1084" s="13" t="s">
        <v>265</v>
      </c>
      <c r="B1084" s="13" t="s">
        <v>675</v>
      </c>
      <c r="C1084" s="145">
        <v>46283</v>
      </c>
      <c r="D1084" s="145" t="s">
        <v>469</v>
      </c>
      <c r="E1084" s="28">
        <v>0.91703948000000002</v>
      </c>
      <c r="F1084" s="13"/>
      <c r="G1084" s="18">
        <v>20011620.16</v>
      </c>
      <c r="H1084" s="18">
        <v>18351445.789999999</v>
      </c>
      <c r="I1084" s="18">
        <v>20011620.16</v>
      </c>
      <c r="J1084" s="18">
        <v>18351445.789999999</v>
      </c>
      <c r="K1084" s="15">
        <v>568324</v>
      </c>
      <c r="L1084" s="13" t="s">
        <v>117</v>
      </c>
      <c r="M1084" s="13" t="s">
        <v>118</v>
      </c>
      <c r="N1084" s="145" t="s">
        <v>457</v>
      </c>
      <c r="O1084" s="145" t="s">
        <v>457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1582</v>
      </c>
      <c r="V1084" s="13" t="s">
        <v>1582</v>
      </c>
      <c r="W1084" s="60">
        <f>+J1084/$W$2</f>
        <v>4.8367149537350331E-4</v>
      </c>
    </row>
    <row r="1085" spans="1:23">
      <c r="A1085" s="13" t="s">
        <v>265</v>
      </c>
      <c r="B1085" s="13" t="s">
        <v>675</v>
      </c>
      <c r="C1085" s="145">
        <v>46283</v>
      </c>
      <c r="D1085" s="145" t="s">
        <v>469</v>
      </c>
      <c r="E1085" s="28">
        <v>0.91703948000000002</v>
      </c>
      <c r="F1085" s="13"/>
      <c r="G1085" s="18">
        <v>34118781</v>
      </c>
      <c r="H1085" s="18">
        <v>31288269.260000002</v>
      </c>
      <c r="I1085" s="18">
        <v>34118781</v>
      </c>
      <c r="J1085" s="18">
        <v>31288269.260000002</v>
      </c>
      <c r="K1085" s="15">
        <v>568355</v>
      </c>
      <c r="L1085" s="13" t="s">
        <v>117</v>
      </c>
      <c r="M1085" s="13" t="s">
        <v>118</v>
      </c>
      <c r="N1085" s="145" t="s">
        <v>457</v>
      </c>
      <c r="O1085" s="145" t="s">
        <v>457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1583</v>
      </c>
      <c r="V1085" s="13" t="s">
        <v>1583</v>
      </c>
      <c r="W1085" s="60">
        <f>+J1085/$W$2</f>
        <v>8.2463497175134658E-4</v>
      </c>
    </row>
    <row r="1086" spans="1:23">
      <c r="A1086" s="13" t="s">
        <v>1101</v>
      </c>
      <c r="B1086" s="13" t="s">
        <v>675</v>
      </c>
      <c r="C1086" s="145">
        <v>46283</v>
      </c>
      <c r="D1086" s="145" t="s">
        <v>469</v>
      </c>
      <c r="E1086" s="28">
        <v>0.91122446000000001</v>
      </c>
      <c r="F1086" s="13"/>
      <c r="G1086" s="18">
        <v>10000000</v>
      </c>
      <c r="H1086" s="18">
        <v>9112244.6199999992</v>
      </c>
      <c r="I1086" s="18">
        <v>10000000</v>
      </c>
      <c r="J1086" s="18">
        <v>9112244.6199999992</v>
      </c>
      <c r="K1086" s="15">
        <v>360565</v>
      </c>
      <c r="L1086" s="13" t="s">
        <v>117</v>
      </c>
      <c r="M1086" s="13" t="s">
        <v>118</v>
      </c>
      <c r="N1086" s="145" t="s">
        <v>445</v>
      </c>
      <c r="O1086" s="145" t="s">
        <v>445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1349</v>
      </c>
      <c r="V1086" s="13" t="s">
        <v>1349</v>
      </c>
      <c r="W1086" s="60">
        <f>+J1086/$W$2</f>
        <v>2.401627115377573E-4</v>
      </c>
    </row>
    <row r="1087" spans="1:23">
      <c r="A1087" s="13" t="s">
        <v>265</v>
      </c>
      <c r="B1087" s="13" t="s">
        <v>675</v>
      </c>
      <c r="C1087" s="145">
        <v>46283</v>
      </c>
      <c r="D1087" s="145" t="s">
        <v>469</v>
      </c>
      <c r="E1087" s="28">
        <v>0.91703948000000002</v>
      </c>
      <c r="F1087" s="13"/>
      <c r="G1087" s="18">
        <v>215007207.40000001</v>
      </c>
      <c r="H1087" s="18">
        <v>197170098.16</v>
      </c>
      <c r="I1087" s="18">
        <v>215007207.40000001</v>
      </c>
      <c r="J1087" s="18">
        <v>197170098.16</v>
      </c>
      <c r="K1087" s="15">
        <v>568286</v>
      </c>
      <c r="L1087" s="13" t="s">
        <v>117</v>
      </c>
      <c r="M1087" s="13" t="s">
        <v>118</v>
      </c>
      <c r="N1087" s="145" t="s">
        <v>457</v>
      </c>
      <c r="O1087" s="145" t="s">
        <v>457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1560</v>
      </c>
      <c r="V1087" s="13" t="s">
        <v>1560</v>
      </c>
      <c r="W1087" s="60">
        <f>+J1087/$W$2</f>
        <v>5.1966235963791952E-3</v>
      </c>
    </row>
    <row r="1088" spans="1:23">
      <c r="A1088" s="13" t="s">
        <v>265</v>
      </c>
      <c r="B1088" s="13" t="s">
        <v>675</v>
      </c>
      <c r="C1088" s="145">
        <v>46283</v>
      </c>
      <c r="D1088" s="145" t="s">
        <v>469</v>
      </c>
      <c r="E1088" s="28">
        <v>0.91703948000000002</v>
      </c>
      <c r="F1088" s="13"/>
      <c r="G1088" s="18">
        <v>29857329.09</v>
      </c>
      <c r="H1088" s="18">
        <v>27380349.609999999</v>
      </c>
      <c r="I1088" s="18">
        <v>29857329.09</v>
      </c>
      <c r="J1088" s="18">
        <v>27380349.609999999</v>
      </c>
      <c r="K1088" s="15">
        <v>568285</v>
      </c>
      <c r="L1088" s="13" t="s">
        <v>117</v>
      </c>
      <c r="M1088" s="13" t="s">
        <v>118</v>
      </c>
      <c r="N1088" s="145" t="s">
        <v>457</v>
      </c>
      <c r="O1088" s="145" t="s">
        <v>457</v>
      </c>
      <c r="P1088" s="28">
        <v>26</v>
      </c>
      <c r="Q1088" s="13" t="s">
        <v>54</v>
      </c>
      <c r="R1088" s="13" t="s">
        <v>28</v>
      </c>
      <c r="S1088" s="13"/>
      <c r="T1088" s="13"/>
      <c r="U1088" s="13" t="s">
        <v>1561</v>
      </c>
      <c r="V1088" s="13" t="s">
        <v>1561</v>
      </c>
      <c r="W1088" s="60">
        <f>+J1088/$W$2</f>
        <v>7.2163767319817365E-4</v>
      </c>
    </row>
    <row r="1089" spans="1:29">
      <c r="A1089" s="13" t="s">
        <v>1241</v>
      </c>
      <c r="B1089" s="13" t="s">
        <v>675</v>
      </c>
      <c r="C1089" s="145">
        <v>46286</v>
      </c>
      <c r="D1089" s="145" t="s">
        <v>469</v>
      </c>
      <c r="E1089" s="28">
        <v>0.88079174999999998</v>
      </c>
      <c r="F1089" s="13"/>
      <c r="G1089" s="18">
        <v>4463318.82</v>
      </c>
      <c r="H1089" s="18">
        <v>3931254.38</v>
      </c>
      <c r="I1089" s="18">
        <v>4463318.82</v>
      </c>
      <c r="J1089" s="18">
        <v>3931254.38</v>
      </c>
      <c r="K1089" s="15">
        <v>347</v>
      </c>
      <c r="L1089" s="13" t="s">
        <v>117</v>
      </c>
      <c r="M1089" s="13" t="s">
        <v>118</v>
      </c>
      <c r="N1089" s="145" t="s">
        <v>461</v>
      </c>
      <c r="O1089" s="145" t="s">
        <v>461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1179</v>
      </c>
      <c r="V1089" s="13" t="s">
        <v>1179</v>
      </c>
      <c r="W1089" s="60">
        <f>+J1089/$W$2</f>
        <v>1.0361230970174339E-4</v>
      </c>
    </row>
    <row r="1090" spans="1:29">
      <c r="A1090" s="13" t="s">
        <v>1241</v>
      </c>
      <c r="B1090" s="13" t="s">
        <v>675</v>
      </c>
      <c r="C1090" s="145">
        <v>46286</v>
      </c>
      <c r="D1090" s="145" t="s">
        <v>469</v>
      </c>
      <c r="E1090" s="28">
        <v>0.88079160000000001</v>
      </c>
      <c r="F1090" s="13"/>
      <c r="G1090" s="18">
        <v>4500000</v>
      </c>
      <c r="H1090" s="18">
        <v>3963562.19</v>
      </c>
      <c r="I1090" s="18">
        <v>4500000</v>
      </c>
      <c r="J1090" s="18">
        <v>3963562.19</v>
      </c>
      <c r="K1090" s="15">
        <v>559</v>
      </c>
      <c r="L1090" s="13" t="s">
        <v>117</v>
      </c>
      <c r="M1090" s="13" t="s">
        <v>118</v>
      </c>
      <c r="N1090" s="145" t="s">
        <v>411</v>
      </c>
      <c r="O1090" s="145" t="s">
        <v>411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1477</v>
      </c>
      <c r="V1090" s="13" t="s">
        <v>1477</v>
      </c>
      <c r="W1090" s="60">
        <f>+J1090/$W$2</f>
        <v>1.044638157331351E-4</v>
      </c>
    </row>
    <row r="1091" spans="1:29">
      <c r="A1091" s="13" t="s">
        <v>219</v>
      </c>
      <c r="B1091" s="13" t="s">
        <v>675</v>
      </c>
      <c r="C1091" s="145">
        <v>46287</v>
      </c>
      <c r="D1091" s="145" t="s">
        <v>469</v>
      </c>
      <c r="E1091" s="28">
        <v>0.90572969000000003</v>
      </c>
      <c r="F1091" s="13"/>
      <c r="G1091" s="18">
        <v>25000000</v>
      </c>
      <c r="H1091" s="18">
        <v>22643242.210000001</v>
      </c>
      <c r="I1091" s="18">
        <v>25000000</v>
      </c>
      <c r="J1091" s="18">
        <v>22643242.210000001</v>
      </c>
      <c r="K1091" s="15">
        <v>66410159</v>
      </c>
      <c r="L1091" s="13" t="s">
        <v>117</v>
      </c>
      <c r="M1091" s="13" t="s">
        <v>118</v>
      </c>
      <c r="N1091" s="145" t="s">
        <v>411</v>
      </c>
      <c r="O1091" s="145" t="s">
        <v>411</v>
      </c>
      <c r="P1091" s="28">
        <v>29</v>
      </c>
      <c r="Q1091" s="13" t="s">
        <v>54</v>
      </c>
      <c r="R1091" s="13" t="s">
        <v>28</v>
      </c>
      <c r="S1091" s="13"/>
      <c r="T1091" s="13"/>
      <c r="U1091" s="13" t="s">
        <v>1452</v>
      </c>
      <c r="V1091" s="13" t="s">
        <v>1452</v>
      </c>
      <c r="W1091" s="60">
        <f>+J1091/$W$2</f>
        <v>5.9678626660483584E-4</v>
      </c>
    </row>
    <row r="1092" spans="1:29">
      <c r="A1092" s="13" t="s">
        <v>1330</v>
      </c>
      <c r="B1092" s="13" t="s">
        <v>675</v>
      </c>
      <c r="C1092" s="145">
        <v>46288</v>
      </c>
      <c r="D1092" s="145" t="s">
        <v>469</v>
      </c>
      <c r="E1092" s="28">
        <v>0.89919214000000003</v>
      </c>
      <c r="F1092" s="13"/>
      <c r="G1092" s="18">
        <v>3000000</v>
      </c>
      <c r="H1092" s="18">
        <v>2697576.43</v>
      </c>
      <c r="I1092" s="18">
        <v>3000000</v>
      </c>
      <c r="J1092" s="18">
        <v>2697576.43</v>
      </c>
      <c r="K1092" s="15">
        <v>90003468</v>
      </c>
      <c r="L1092" s="13" t="s">
        <v>117</v>
      </c>
      <c r="M1092" s="13" t="s">
        <v>118</v>
      </c>
      <c r="N1092" s="145" t="s">
        <v>411</v>
      </c>
      <c r="O1092" s="145" t="s">
        <v>411</v>
      </c>
      <c r="P1092" s="28">
        <v>31</v>
      </c>
      <c r="Q1092" s="13" t="s">
        <v>54</v>
      </c>
      <c r="R1092" s="13" t="s">
        <v>28</v>
      </c>
      <c r="S1092" s="13"/>
      <c r="T1092" s="13"/>
      <c r="U1092" s="13" t="s">
        <v>1448</v>
      </c>
      <c r="V1092" s="13" t="s">
        <v>1448</v>
      </c>
      <c r="W1092" s="60">
        <f>+J1092/$W$2</f>
        <v>7.1097440534815577E-5</v>
      </c>
    </row>
    <row r="1093" spans="1:29">
      <c r="A1093" s="13" t="s">
        <v>1101</v>
      </c>
      <c r="B1093" s="13" t="s">
        <v>675</v>
      </c>
      <c r="C1093" s="145">
        <v>46288</v>
      </c>
      <c r="D1093" s="145" t="s">
        <v>469</v>
      </c>
      <c r="E1093" s="28">
        <v>0.90805066000000001</v>
      </c>
      <c r="F1093" s="13"/>
      <c r="G1093" s="18">
        <v>10000000</v>
      </c>
      <c r="H1093" s="18">
        <v>9080506.5700000003</v>
      </c>
      <c r="I1093" s="18">
        <v>10000000</v>
      </c>
      <c r="J1093" s="18">
        <v>9080506.5700000003</v>
      </c>
      <c r="K1093" s="15">
        <v>360566</v>
      </c>
      <c r="L1093" s="13" t="s">
        <v>117</v>
      </c>
      <c r="M1093" s="13" t="s">
        <v>118</v>
      </c>
      <c r="N1093" s="145" t="s">
        <v>445</v>
      </c>
      <c r="O1093" s="145" t="s">
        <v>445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1356</v>
      </c>
      <c r="V1093" s="13" t="s">
        <v>1356</v>
      </c>
      <c r="W1093" s="60">
        <f>+J1093/$W$2</f>
        <v>2.3932622212545696E-4</v>
      </c>
    </row>
    <row r="1094" spans="1:29">
      <c r="A1094" s="13" t="s">
        <v>1251</v>
      </c>
      <c r="B1094" s="13" t="s">
        <v>675</v>
      </c>
      <c r="C1094" s="145">
        <v>46288</v>
      </c>
      <c r="D1094" s="145" t="s">
        <v>469</v>
      </c>
      <c r="E1094" s="28">
        <v>0.90212561000000002</v>
      </c>
      <c r="F1094" s="13"/>
      <c r="G1094" s="18">
        <v>6000000</v>
      </c>
      <c r="H1094" s="18">
        <v>5412753.6500000004</v>
      </c>
      <c r="I1094" s="18">
        <v>6000000</v>
      </c>
      <c r="J1094" s="18">
        <v>5412753.6500000004</v>
      </c>
      <c r="K1094" s="15">
        <v>10926497</v>
      </c>
      <c r="L1094" s="13" t="s">
        <v>117</v>
      </c>
      <c r="M1094" s="13" t="s">
        <v>118</v>
      </c>
      <c r="N1094" s="145" t="s">
        <v>528</v>
      </c>
      <c r="O1094" s="145" t="s">
        <v>528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1278</v>
      </c>
      <c r="V1094" s="13" t="s">
        <v>1278</v>
      </c>
      <c r="W1094" s="60">
        <f>+J1094/$W$2</f>
        <v>1.4265876824868352E-4</v>
      </c>
    </row>
    <row r="1095" spans="1:29">
      <c r="A1095" s="13" t="s">
        <v>1251</v>
      </c>
      <c r="B1095" s="13" t="s">
        <v>675</v>
      </c>
      <c r="C1095" s="145">
        <v>46288</v>
      </c>
      <c r="D1095" s="145" t="s">
        <v>469</v>
      </c>
      <c r="E1095" s="28">
        <v>0.90805062999999997</v>
      </c>
      <c r="F1095" s="13"/>
      <c r="G1095" s="18">
        <v>10000000</v>
      </c>
      <c r="H1095" s="18">
        <v>9080506.3300000001</v>
      </c>
      <c r="I1095" s="18">
        <v>10000000</v>
      </c>
      <c r="J1095" s="18">
        <v>9080506.3300000001</v>
      </c>
      <c r="K1095" s="15">
        <v>3487823</v>
      </c>
      <c r="L1095" s="13" t="s">
        <v>117</v>
      </c>
      <c r="M1095" s="13" t="s">
        <v>118</v>
      </c>
      <c r="N1095" s="145" t="s">
        <v>410</v>
      </c>
      <c r="O1095" s="145" t="s">
        <v>410</v>
      </c>
      <c r="P1095" s="28">
        <v>28</v>
      </c>
      <c r="Q1095" s="13" t="s">
        <v>54</v>
      </c>
      <c r="R1095" s="13" t="s">
        <v>28</v>
      </c>
      <c r="S1095" s="13"/>
      <c r="T1095" s="13"/>
      <c r="U1095" s="13" t="s">
        <v>1776</v>
      </c>
      <c r="V1095" s="13" t="s">
        <v>1776</v>
      </c>
      <c r="W1095" s="60">
        <f>+J1095/$W$2</f>
        <v>2.3932621580000663E-4</v>
      </c>
    </row>
    <row r="1096" spans="1:29">
      <c r="A1096" s="13" t="s">
        <v>1330</v>
      </c>
      <c r="B1096" s="13" t="s">
        <v>675</v>
      </c>
      <c r="C1096" s="145">
        <v>46290</v>
      </c>
      <c r="D1096" s="145" t="s">
        <v>469</v>
      </c>
      <c r="E1096" s="28">
        <v>0.89782068999999998</v>
      </c>
      <c r="F1096" s="13"/>
      <c r="G1096" s="18">
        <v>3000000</v>
      </c>
      <c r="H1096" s="18">
        <v>2693462.08</v>
      </c>
      <c r="I1096" s="18">
        <v>3000000</v>
      </c>
      <c r="J1096" s="18">
        <v>2693462.08</v>
      </c>
      <c r="K1096" s="15">
        <v>90003469</v>
      </c>
      <c r="L1096" s="13" t="s">
        <v>117</v>
      </c>
      <c r="M1096" s="13" t="s">
        <v>118</v>
      </c>
      <c r="N1096" s="145" t="s">
        <v>411</v>
      </c>
      <c r="O1096" s="145" t="s">
        <v>411</v>
      </c>
      <c r="P1096" s="28">
        <v>31</v>
      </c>
      <c r="Q1096" s="13" t="s">
        <v>54</v>
      </c>
      <c r="R1096" s="13" t="s">
        <v>28</v>
      </c>
      <c r="S1096" s="13"/>
      <c r="T1096" s="13"/>
      <c r="U1096" s="13" t="s">
        <v>1445</v>
      </c>
      <c r="V1096" s="13" t="s">
        <v>1445</v>
      </c>
      <c r="W1096" s="60">
        <f>+J1096/$W$2</f>
        <v>7.0989002549069822E-5</v>
      </c>
    </row>
    <row r="1097" spans="1:29">
      <c r="A1097" s="13" t="s">
        <v>1248</v>
      </c>
      <c r="B1097" s="13" t="s">
        <v>675</v>
      </c>
      <c r="C1097" s="145">
        <v>46294</v>
      </c>
      <c r="D1097" s="145" t="s">
        <v>469</v>
      </c>
      <c r="E1097" s="28">
        <v>0.87437719999999997</v>
      </c>
      <c r="F1097" s="13"/>
      <c r="G1097" s="18">
        <v>6899161.7699999996</v>
      </c>
      <c r="H1097" s="18">
        <v>6032469.7300000004</v>
      </c>
      <c r="I1097" s="18">
        <v>6899161.7699999996</v>
      </c>
      <c r="J1097" s="18">
        <v>6032469.7300000004</v>
      </c>
      <c r="K1097" s="15">
        <v>65964605</v>
      </c>
      <c r="L1097" s="13" t="s">
        <v>117</v>
      </c>
      <c r="M1097" s="13" t="s">
        <v>118</v>
      </c>
      <c r="N1097" s="145" t="s">
        <v>411</v>
      </c>
      <c r="O1097" s="145" t="s">
        <v>411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1484</v>
      </c>
      <c r="V1097" s="13" t="s">
        <v>1484</v>
      </c>
      <c r="W1097" s="60">
        <f>+J1097/$W$2</f>
        <v>1.5899203193540286E-4</v>
      </c>
      <c r="AC1097" s="57"/>
    </row>
    <row r="1098" spans="1:29">
      <c r="A1098" s="13" t="s">
        <v>1101</v>
      </c>
      <c r="B1098" s="13" t="s">
        <v>675</v>
      </c>
      <c r="C1098" s="145">
        <v>46294</v>
      </c>
      <c r="D1098" s="145" t="s">
        <v>469</v>
      </c>
      <c r="E1098" s="28">
        <v>0.90427131000000005</v>
      </c>
      <c r="F1098" s="13"/>
      <c r="G1098" s="18">
        <v>10000000</v>
      </c>
      <c r="H1098" s="18">
        <v>9042713.0899999999</v>
      </c>
      <c r="I1098" s="18">
        <v>10000000</v>
      </c>
      <c r="J1098" s="18">
        <v>9042713.0899999999</v>
      </c>
      <c r="K1098" s="15">
        <v>360567</v>
      </c>
      <c r="L1098" s="13" t="s">
        <v>117</v>
      </c>
      <c r="M1098" s="13" t="s">
        <v>118</v>
      </c>
      <c r="N1098" s="145" t="s">
        <v>445</v>
      </c>
      <c r="O1098" s="145" t="s">
        <v>445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1358</v>
      </c>
      <c r="V1098" s="13" t="s">
        <v>1358</v>
      </c>
      <c r="W1098" s="60">
        <f>+J1098/$W$2</f>
        <v>2.3833013553935649E-4</v>
      </c>
    </row>
    <row r="1099" spans="1:29">
      <c r="A1099" s="13" t="s">
        <v>1249</v>
      </c>
      <c r="B1099" s="13" t="s">
        <v>675</v>
      </c>
      <c r="C1099" s="145">
        <v>46295</v>
      </c>
      <c r="D1099" s="145" t="s">
        <v>469</v>
      </c>
      <c r="E1099" s="28">
        <v>0.87358214999999995</v>
      </c>
      <c r="F1099" s="13"/>
      <c r="G1099" s="18">
        <v>4500591.28</v>
      </c>
      <c r="H1099" s="18">
        <v>3931636.2</v>
      </c>
      <c r="I1099" s="18">
        <v>4500591.28</v>
      </c>
      <c r="J1099" s="18">
        <v>3931636.2</v>
      </c>
      <c r="K1099" s="15">
        <v>90000179</v>
      </c>
      <c r="L1099" s="13" t="s">
        <v>117</v>
      </c>
      <c r="M1099" s="13" t="s">
        <v>118</v>
      </c>
      <c r="N1099" s="145" t="s">
        <v>411</v>
      </c>
      <c r="O1099" s="145" t="s">
        <v>411</v>
      </c>
      <c r="P1099" s="28">
        <v>38</v>
      </c>
      <c r="Q1099" s="13" t="s">
        <v>54</v>
      </c>
      <c r="R1099" s="13" t="s">
        <v>28</v>
      </c>
      <c r="S1099" s="13"/>
      <c r="T1099" s="13"/>
      <c r="U1099" s="13" t="s">
        <v>1488</v>
      </c>
      <c r="V1099" s="13" t="s">
        <v>1488</v>
      </c>
      <c r="W1099" s="60">
        <f>+J1099/$W$2</f>
        <v>1.0362237296610287E-4</v>
      </c>
    </row>
    <row r="1100" spans="1:29">
      <c r="A1100" s="13" t="s">
        <v>957</v>
      </c>
      <c r="B1100" s="13" t="s">
        <v>675</v>
      </c>
      <c r="C1100" s="145">
        <v>46295</v>
      </c>
      <c r="D1100" s="145" t="s">
        <v>469</v>
      </c>
      <c r="E1100" s="28">
        <v>0.89746760999999997</v>
      </c>
      <c r="F1100" s="13"/>
      <c r="G1100" s="18">
        <v>50000000</v>
      </c>
      <c r="H1100" s="18">
        <v>44873380.390000001</v>
      </c>
      <c r="I1100" s="18">
        <v>50000000</v>
      </c>
      <c r="J1100" s="18">
        <v>44873380.390000001</v>
      </c>
      <c r="K1100" s="15">
        <v>787</v>
      </c>
      <c r="L1100" s="13" t="s">
        <v>117</v>
      </c>
      <c r="M1100" s="13" t="s">
        <v>118</v>
      </c>
      <c r="N1100" s="145" t="s">
        <v>411</v>
      </c>
      <c r="O1100" s="145" t="s">
        <v>411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1408</v>
      </c>
      <c r="V1100" s="13" t="s">
        <v>1408</v>
      </c>
      <c r="W1100" s="60">
        <f>+J1100/$W$2</f>
        <v>1.1826847456085552E-3</v>
      </c>
    </row>
    <row r="1101" spans="1:29">
      <c r="A1101" s="13" t="s">
        <v>219</v>
      </c>
      <c r="B1101" s="13" t="s">
        <v>675</v>
      </c>
      <c r="C1101" s="145">
        <v>46295</v>
      </c>
      <c r="D1101" s="145" t="s">
        <v>469</v>
      </c>
      <c r="E1101" s="28">
        <v>0.90364429999999996</v>
      </c>
      <c r="F1101" s="13"/>
      <c r="G1101" s="18">
        <v>35000000</v>
      </c>
      <c r="H1101" s="18">
        <v>31627550.550000001</v>
      </c>
      <c r="I1101" s="18">
        <v>35000000</v>
      </c>
      <c r="J1101" s="18">
        <v>31627550.550000001</v>
      </c>
      <c r="K1101" s="15">
        <v>3329633</v>
      </c>
      <c r="L1101" s="13" t="s">
        <v>117</v>
      </c>
      <c r="M1101" s="13" t="s">
        <v>118</v>
      </c>
      <c r="N1101" s="145" t="s">
        <v>428</v>
      </c>
      <c r="O1101" s="145" t="s">
        <v>428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1682</v>
      </c>
      <c r="V1101" s="13" t="s">
        <v>1682</v>
      </c>
      <c r="W1101" s="60">
        <f>+J1101/$W$2</f>
        <v>8.3357708403854148E-4</v>
      </c>
    </row>
    <row r="1102" spans="1:29">
      <c r="A1102" s="13" t="s">
        <v>1251</v>
      </c>
      <c r="B1102" s="13" t="s">
        <v>675</v>
      </c>
      <c r="C1102" s="145">
        <v>46295</v>
      </c>
      <c r="D1102" s="145" t="s">
        <v>469</v>
      </c>
      <c r="E1102" s="28">
        <v>0.90054535999999996</v>
      </c>
      <c r="F1102" s="13"/>
      <c r="G1102" s="18">
        <v>10000000</v>
      </c>
      <c r="H1102" s="18">
        <v>9005453.6099999994</v>
      </c>
      <c r="I1102" s="18">
        <v>10000000</v>
      </c>
      <c r="J1102" s="18">
        <v>9005453.6099999994</v>
      </c>
      <c r="K1102" s="15">
        <v>3487824</v>
      </c>
      <c r="L1102" s="13" t="s">
        <v>117</v>
      </c>
      <c r="M1102" s="13" t="s">
        <v>118</v>
      </c>
      <c r="N1102" s="145" t="s">
        <v>410</v>
      </c>
      <c r="O1102" s="145" t="s">
        <v>410</v>
      </c>
      <c r="P1102" s="28">
        <v>29</v>
      </c>
      <c r="Q1102" s="13" t="s">
        <v>54</v>
      </c>
      <c r="R1102" s="13" t="s">
        <v>28</v>
      </c>
      <c r="S1102" s="13"/>
      <c r="T1102" s="13"/>
      <c r="U1102" s="13" t="s">
        <v>1777</v>
      </c>
      <c r="V1102" s="13" t="s">
        <v>1777</v>
      </c>
      <c r="W1102" s="60">
        <f>+J1102/$W$2</f>
        <v>2.3734812308024773E-4</v>
      </c>
    </row>
    <row r="1103" spans="1:29">
      <c r="A1103" s="13" t="s">
        <v>379</v>
      </c>
      <c r="B1103" s="13" t="s">
        <v>675</v>
      </c>
      <c r="C1103" s="145">
        <v>46297</v>
      </c>
      <c r="D1103" s="145" t="s">
        <v>469</v>
      </c>
      <c r="E1103" s="28">
        <v>0.89305391000000001</v>
      </c>
      <c r="F1103" s="13"/>
      <c r="G1103" s="18">
        <v>16500000</v>
      </c>
      <c r="H1103" s="18">
        <v>14735389.539999999</v>
      </c>
      <c r="I1103" s="18">
        <v>16500000</v>
      </c>
      <c r="J1103" s="18">
        <v>14735389.539999999</v>
      </c>
      <c r="K1103" s="15">
        <v>28675</v>
      </c>
      <c r="L1103" s="13" t="s">
        <v>117</v>
      </c>
      <c r="M1103" s="13" t="s">
        <v>118</v>
      </c>
      <c r="N1103" s="145" t="s">
        <v>490</v>
      </c>
      <c r="O1103" s="145" t="s">
        <v>490</v>
      </c>
      <c r="P1103" s="28">
        <v>31</v>
      </c>
      <c r="Q1103" s="13" t="s">
        <v>54</v>
      </c>
      <c r="R1103" s="13" t="s">
        <v>28</v>
      </c>
      <c r="S1103" s="13"/>
      <c r="T1103" s="13"/>
      <c r="U1103" s="13" t="s">
        <v>1587</v>
      </c>
      <c r="V1103" s="13" t="s">
        <v>1587</v>
      </c>
      <c r="W1103" s="60">
        <f>+J1103/$W$2</f>
        <v>3.8836656115708035E-4</v>
      </c>
    </row>
    <row r="1104" spans="1:29">
      <c r="A1104" s="13" t="s">
        <v>1101</v>
      </c>
      <c r="B1104" s="13" t="s">
        <v>675</v>
      </c>
      <c r="C1104" s="145">
        <v>46297</v>
      </c>
      <c r="D1104" s="145" t="s">
        <v>469</v>
      </c>
      <c r="E1104" s="28">
        <v>0.90239320999999995</v>
      </c>
      <c r="F1104" s="13"/>
      <c r="G1104" s="18">
        <v>15000000</v>
      </c>
      <c r="H1104" s="18">
        <v>13535898.130000001</v>
      </c>
      <c r="I1104" s="18">
        <v>15000000</v>
      </c>
      <c r="J1104" s="18">
        <v>13535898.130000001</v>
      </c>
      <c r="K1104" s="15">
        <v>360568</v>
      </c>
      <c r="L1104" s="13" t="s">
        <v>117</v>
      </c>
      <c r="M1104" s="13" t="s">
        <v>118</v>
      </c>
      <c r="N1104" s="145" t="s">
        <v>445</v>
      </c>
      <c r="O1104" s="145" t="s">
        <v>445</v>
      </c>
      <c r="P1104" s="28">
        <v>28</v>
      </c>
      <c r="Q1104" s="13" t="s">
        <v>54</v>
      </c>
      <c r="R1104" s="13" t="s">
        <v>28</v>
      </c>
      <c r="S1104" s="13"/>
      <c r="T1104" s="13"/>
      <c r="U1104" s="13" t="s">
        <v>1361</v>
      </c>
      <c r="V1104" s="13" t="s">
        <v>1361</v>
      </c>
      <c r="W1104" s="60">
        <f>+J1104/$W$2</f>
        <v>3.5675271391031411E-4</v>
      </c>
    </row>
    <row r="1105" spans="1:29">
      <c r="A1105" s="13" t="s">
        <v>1251</v>
      </c>
      <c r="B1105" s="13" t="s">
        <v>675</v>
      </c>
      <c r="C1105" s="145">
        <v>46297</v>
      </c>
      <c r="D1105" s="145" t="s">
        <v>469</v>
      </c>
      <c r="E1105" s="28">
        <v>0.88693429999999995</v>
      </c>
      <c r="F1105" s="13"/>
      <c r="G1105" s="18">
        <v>21387500</v>
      </c>
      <c r="H1105" s="18">
        <v>18969307.34</v>
      </c>
      <c r="I1105" s="18">
        <v>21387500</v>
      </c>
      <c r="J1105" s="18">
        <v>18969307.34</v>
      </c>
      <c r="K1105" s="15">
        <v>3233105</v>
      </c>
      <c r="L1105" s="13" t="s">
        <v>117</v>
      </c>
      <c r="M1105" s="13" t="s">
        <v>118</v>
      </c>
      <c r="N1105" s="145" t="s">
        <v>528</v>
      </c>
      <c r="O1105" s="145" t="s">
        <v>528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1282</v>
      </c>
      <c r="V1105" s="13" t="s">
        <v>1282</v>
      </c>
      <c r="W1105" s="60">
        <f>+J1105/$W$2</f>
        <v>4.9995588098769486E-4</v>
      </c>
    </row>
    <row r="1106" spans="1:29">
      <c r="A1106" s="13" t="s">
        <v>1251</v>
      </c>
      <c r="B1106" s="13" t="s">
        <v>675</v>
      </c>
      <c r="C1106" s="145">
        <v>46297</v>
      </c>
      <c r="D1106" s="145" t="s">
        <v>469</v>
      </c>
      <c r="E1106" s="28">
        <v>0.89925862000000001</v>
      </c>
      <c r="F1106" s="13"/>
      <c r="G1106" s="18">
        <v>10000000</v>
      </c>
      <c r="H1106" s="18">
        <v>8992586.1999999993</v>
      </c>
      <c r="I1106" s="18">
        <v>10000000</v>
      </c>
      <c r="J1106" s="18">
        <v>8992586.1999999993</v>
      </c>
      <c r="K1106" s="15">
        <v>3487825</v>
      </c>
      <c r="L1106" s="13" t="s">
        <v>117</v>
      </c>
      <c r="M1106" s="13" t="s">
        <v>118</v>
      </c>
      <c r="N1106" s="145" t="s">
        <v>410</v>
      </c>
      <c r="O1106" s="145" t="s">
        <v>410</v>
      </c>
      <c r="P1106" s="28">
        <v>29</v>
      </c>
      <c r="Q1106" s="13" t="s">
        <v>54</v>
      </c>
      <c r="R1106" s="13" t="s">
        <v>28</v>
      </c>
      <c r="S1106" s="13"/>
      <c r="T1106" s="13"/>
      <c r="U1106" s="13" t="s">
        <v>1778</v>
      </c>
      <c r="V1106" s="13" t="s">
        <v>1778</v>
      </c>
      <c r="W1106" s="60">
        <f>+J1106/$W$2</f>
        <v>2.3700898906827382E-4</v>
      </c>
    </row>
    <row r="1107" spans="1:29">
      <c r="A1107" s="13" t="s">
        <v>1511</v>
      </c>
      <c r="B1107" s="13" t="s">
        <v>675</v>
      </c>
      <c r="C1107" s="145">
        <v>46300</v>
      </c>
      <c r="D1107" s="145" t="s">
        <v>469</v>
      </c>
      <c r="E1107" s="28">
        <v>0.86962739</v>
      </c>
      <c r="F1107" s="13"/>
      <c r="G1107" s="18">
        <v>6500236.5700000003</v>
      </c>
      <c r="H1107" s="18">
        <v>5652783.75</v>
      </c>
      <c r="I1107" s="18">
        <v>6500236.5700000003</v>
      </c>
      <c r="J1107" s="18">
        <v>5652783.75</v>
      </c>
      <c r="K1107" s="15">
        <v>90000580</v>
      </c>
      <c r="L1107" s="13" t="s">
        <v>117</v>
      </c>
      <c r="M1107" s="13" t="s">
        <v>118</v>
      </c>
      <c r="N1107" s="145" t="s">
        <v>457</v>
      </c>
      <c r="O1107" s="145" t="s">
        <v>457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1548</v>
      </c>
      <c r="V1107" s="13" t="s">
        <v>1548</v>
      </c>
      <c r="W1107" s="60">
        <f>+J1107/$W$2</f>
        <v>1.4898501189892024E-4</v>
      </c>
    </row>
    <row r="1108" spans="1:29">
      <c r="A1108" s="13" t="s">
        <v>1231</v>
      </c>
      <c r="B1108" s="13" t="s">
        <v>675</v>
      </c>
      <c r="C1108" s="145">
        <v>46300</v>
      </c>
      <c r="D1108" s="145" t="s">
        <v>469</v>
      </c>
      <c r="E1108" s="28">
        <v>0.86370093999999997</v>
      </c>
      <c r="F1108" s="13"/>
      <c r="G1108" s="18">
        <v>7203888</v>
      </c>
      <c r="H1108" s="18">
        <v>6222004.8200000003</v>
      </c>
      <c r="I1108" s="18">
        <v>7203888</v>
      </c>
      <c r="J1108" s="18">
        <v>6222004.8200000003</v>
      </c>
      <c r="K1108" s="15">
        <v>66329827</v>
      </c>
      <c r="L1108" s="13" t="s">
        <v>117</v>
      </c>
      <c r="M1108" s="13" t="s">
        <v>118</v>
      </c>
      <c r="N1108" s="145" t="s">
        <v>461</v>
      </c>
      <c r="O1108" s="145" t="s">
        <v>461</v>
      </c>
      <c r="P1108" s="28">
        <v>40</v>
      </c>
      <c r="Q1108" s="13" t="s">
        <v>54</v>
      </c>
      <c r="R1108" s="13" t="s">
        <v>28</v>
      </c>
      <c r="S1108" s="13"/>
      <c r="T1108" s="13"/>
      <c r="U1108" s="13" t="s">
        <v>1208</v>
      </c>
      <c r="V1108" s="13" t="s">
        <v>1208</v>
      </c>
      <c r="W1108" s="60">
        <f>+J1108/$W$2</f>
        <v>1.6398742692798733E-4</v>
      </c>
    </row>
    <row r="1109" spans="1:29">
      <c r="A1109" s="13" t="s">
        <v>1101</v>
      </c>
      <c r="B1109" s="13" t="s">
        <v>675</v>
      </c>
      <c r="C1109" s="145">
        <v>46301</v>
      </c>
      <c r="D1109" s="145" t="s">
        <v>469</v>
      </c>
      <c r="E1109" s="28">
        <v>0.89990143</v>
      </c>
      <c r="F1109" s="13"/>
      <c r="G1109" s="18">
        <v>2500000</v>
      </c>
      <c r="H1109" s="18">
        <v>2249753.56</v>
      </c>
      <c r="I1109" s="18">
        <v>2500000</v>
      </c>
      <c r="J1109" s="18">
        <v>2249753.56</v>
      </c>
      <c r="K1109" s="15">
        <v>90031811</v>
      </c>
      <c r="L1109" s="13" t="s">
        <v>117</v>
      </c>
      <c r="M1109" s="13" t="s">
        <v>118</v>
      </c>
      <c r="N1109" s="145" t="s">
        <v>411</v>
      </c>
      <c r="O1109" s="145" t="s">
        <v>411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1410</v>
      </c>
      <c r="V1109" s="13" t="s">
        <v>1410</v>
      </c>
      <c r="W1109" s="60">
        <f>+J1109/$W$2</f>
        <v>5.9294601691819224E-5</v>
      </c>
      <c r="AC1109" s="57"/>
    </row>
    <row r="1110" spans="1:29">
      <c r="A1110" s="13" t="s">
        <v>1101</v>
      </c>
      <c r="B1110" s="13" t="s">
        <v>675</v>
      </c>
      <c r="C1110" s="145">
        <v>46301</v>
      </c>
      <c r="D1110" s="145" t="s">
        <v>469</v>
      </c>
      <c r="E1110" s="28">
        <v>0.89990157000000004</v>
      </c>
      <c r="F1110" s="13"/>
      <c r="G1110" s="18">
        <v>25000000</v>
      </c>
      <c r="H1110" s="18">
        <v>22497539.260000002</v>
      </c>
      <c r="I1110" s="18">
        <v>25000000</v>
      </c>
      <c r="J1110" s="18">
        <v>22497539.260000002</v>
      </c>
      <c r="K1110" s="15">
        <v>360569</v>
      </c>
      <c r="L1110" s="13" t="s">
        <v>117</v>
      </c>
      <c r="M1110" s="13" t="s">
        <v>118</v>
      </c>
      <c r="N1110" s="145" t="s">
        <v>445</v>
      </c>
      <c r="O1110" s="145" t="s">
        <v>445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1339</v>
      </c>
      <c r="V1110" s="13" t="s">
        <v>1339</v>
      </c>
      <c r="W1110" s="60">
        <f>+J1110/$W$2</f>
        <v>5.9294611338130978E-4</v>
      </c>
    </row>
    <row r="1111" spans="1:29">
      <c r="A1111" s="13" t="s">
        <v>1231</v>
      </c>
      <c r="B1111" s="13" t="s">
        <v>675</v>
      </c>
      <c r="C1111" s="145">
        <v>46302</v>
      </c>
      <c r="D1111" s="145" t="s">
        <v>469</v>
      </c>
      <c r="E1111" s="28">
        <v>0.86206912000000002</v>
      </c>
      <c r="F1111" s="13"/>
      <c r="G1111" s="18">
        <v>7900000</v>
      </c>
      <c r="H1111" s="18">
        <v>6810346.0300000003</v>
      </c>
      <c r="I1111" s="18">
        <v>7900000</v>
      </c>
      <c r="J1111" s="18">
        <v>6810346.0300000003</v>
      </c>
      <c r="K1111" s="15">
        <v>877</v>
      </c>
      <c r="L1111" s="13" t="s">
        <v>117</v>
      </c>
      <c r="M1111" s="13" t="s">
        <v>118</v>
      </c>
      <c r="N1111" s="145" t="s">
        <v>461</v>
      </c>
      <c r="O1111" s="145" t="s">
        <v>461</v>
      </c>
      <c r="P1111" s="28">
        <v>40</v>
      </c>
      <c r="Q1111" s="13" t="s">
        <v>54</v>
      </c>
      <c r="R1111" s="13" t="s">
        <v>28</v>
      </c>
      <c r="S1111" s="13"/>
      <c r="T1111" s="13"/>
      <c r="U1111" s="13" t="s">
        <v>1212</v>
      </c>
      <c r="V1111" s="13" t="s">
        <v>1212</v>
      </c>
      <c r="W1111" s="60">
        <f>+J1111/$W$2</f>
        <v>1.7949377319012325E-4</v>
      </c>
      <c r="AC1111" s="57"/>
    </row>
    <row r="1112" spans="1:29">
      <c r="A1112" s="13" t="s">
        <v>1231</v>
      </c>
      <c r="B1112" s="13" t="s">
        <v>675</v>
      </c>
      <c r="C1112" s="145">
        <v>46302</v>
      </c>
      <c r="D1112" s="145" t="s">
        <v>469</v>
      </c>
      <c r="E1112" s="28">
        <v>0.86206912000000002</v>
      </c>
      <c r="F1112" s="13"/>
      <c r="G1112" s="18">
        <v>7203888</v>
      </c>
      <c r="H1112" s="18">
        <v>6210249.3700000001</v>
      </c>
      <c r="I1112" s="18">
        <v>7203888</v>
      </c>
      <c r="J1112" s="18">
        <v>6210249.3700000001</v>
      </c>
      <c r="K1112" s="15">
        <v>66329877</v>
      </c>
      <c r="L1112" s="13" t="s">
        <v>117</v>
      </c>
      <c r="M1112" s="13" t="s">
        <v>118</v>
      </c>
      <c r="N1112" s="145" t="s">
        <v>461</v>
      </c>
      <c r="O1112" s="145" t="s">
        <v>461</v>
      </c>
      <c r="P1112" s="28">
        <v>40</v>
      </c>
      <c r="Q1112" s="13" t="s">
        <v>54</v>
      </c>
      <c r="R1112" s="13" t="s">
        <v>28</v>
      </c>
      <c r="S1112" s="13"/>
      <c r="T1112" s="13"/>
      <c r="U1112" s="13" t="s">
        <v>1210</v>
      </c>
      <c r="V1112" s="13" t="s">
        <v>1210</v>
      </c>
      <c r="W1112" s="60">
        <f>+J1112/$W$2</f>
        <v>1.6367759978164954E-4</v>
      </c>
    </row>
    <row r="1113" spans="1:29">
      <c r="A1113" s="13" t="s">
        <v>1101</v>
      </c>
      <c r="B1113" s="13" t="s">
        <v>675</v>
      </c>
      <c r="C1113" s="145">
        <v>46302</v>
      </c>
      <c r="D1113" s="145" t="s">
        <v>469</v>
      </c>
      <c r="E1113" s="28">
        <v>0.89928076999999995</v>
      </c>
      <c r="F1113" s="13"/>
      <c r="G1113" s="18">
        <v>2500000</v>
      </c>
      <c r="H1113" s="18">
        <v>2248201.92</v>
      </c>
      <c r="I1113" s="18">
        <v>2500000</v>
      </c>
      <c r="J1113" s="18">
        <v>2248201.92</v>
      </c>
      <c r="K1113" s="15">
        <v>90031812</v>
      </c>
      <c r="L1113" s="13" t="s">
        <v>117</v>
      </c>
      <c r="M1113" s="13" t="s">
        <v>118</v>
      </c>
      <c r="N1113" s="145" t="s">
        <v>411</v>
      </c>
      <c r="O1113" s="145" t="s">
        <v>411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1411</v>
      </c>
      <c r="V1113" s="13" t="s">
        <v>1411</v>
      </c>
      <c r="W1113" s="60">
        <f>+J1113/$W$2</f>
        <v>5.9253706601172447E-5</v>
      </c>
    </row>
    <row r="1114" spans="1:29">
      <c r="A1114" s="13" t="s">
        <v>1896</v>
      </c>
      <c r="B1114" s="13" t="s">
        <v>675</v>
      </c>
      <c r="C1114" s="145">
        <v>46303</v>
      </c>
      <c r="D1114" s="145" t="s">
        <v>469</v>
      </c>
      <c r="E1114" s="28">
        <v>0.86425320000000005</v>
      </c>
      <c r="F1114" s="13"/>
      <c r="G1114" s="18">
        <v>3750000</v>
      </c>
      <c r="H1114" s="18">
        <v>3240949.52</v>
      </c>
      <c r="I1114" s="18">
        <v>3750000</v>
      </c>
      <c r="J1114" s="18">
        <v>3240949.52</v>
      </c>
      <c r="K1114" s="15">
        <v>66919994</v>
      </c>
      <c r="L1114" s="13" t="s">
        <v>117</v>
      </c>
      <c r="M1114" s="13" t="s">
        <v>118</v>
      </c>
      <c r="N1114" s="145" t="s">
        <v>470</v>
      </c>
      <c r="O1114" s="145" t="s">
        <v>470</v>
      </c>
      <c r="P1114" s="28">
        <v>39</v>
      </c>
      <c r="Q1114" s="13" t="s">
        <v>54</v>
      </c>
      <c r="R1114" s="13" t="s">
        <v>28</v>
      </c>
      <c r="S1114" s="13"/>
      <c r="T1114" s="13"/>
      <c r="U1114" s="13" t="s">
        <v>1862</v>
      </c>
      <c r="V1114" s="13" t="s">
        <v>1862</v>
      </c>
      <c r="W1114" s="60">
        <f>+J1114/$W$2</f>
        <v>8.5418605090102712E-5</v>
      </c>
    </row>
    <row r="1115" spans="1:29">
      <c r="A1115" s="13" t="s">
        <v>1231</v>
      </c>
      <c r="B1115" s="13" t="s">
        <v>675</v>
      </c>
      <c r="C1115" s="145">
        <v>46303</v>
      </c>
      <c r="D1115" s="145" t="s">
        <v>469</v>
      </c>
      <c r="E1115" s="28">
        <v>0.86125538999999995</v>
      </c>
      <c r="F1115" s="13"/>
      <c r="G1115" s="18">
        <v>7900000</v>
      </c>
      <c r="H1115" s="18">
        <v>6803917.5800000001</v>
      </c>
      <c r="I1115" s="18">
        <v>7900000</v>
      </c>
      <c r="J1115" s="18">
        <v>6803917.5800000001</v>
      </c>
      <c r="K1115" s="15">
        <v>15</v>
      </c>
      <c r="L1115" s="13" t="s">
        <v>117</v>
      </c>
      <c r="M1115" s="13" t="s">
        <v>118</v>
      </c>
      <c r="N1115" s="145" t="s">
        <v>461</v>
      </c>
      <c r="O1115" s="145" t="s">
        <v>461</v>
      </c>
      <c r="P1115" s="28">
        <v>40</v>
      </c>
      <c r="Q1115" s="13" t="s">
        <v>54</v>
      </c>
      <c r="R1115" s="13" t="s">
        <v>28</v>
      </c>
      <c r="S1115" s="13"/>
      <c r="T1115" s="13"/>
      <c r="U1115" s="13" t="s">
        <v>1205</v>
      </c>
      <c r="V1115" s="13" t="s">
        <v>1205</v>
      </c>
      <c r="W1115" s="60">
        <f>+J1115/$W$2</f>
        <v>1.7932434468514256E-4</v>
      </c>
    </row>
    <row r="1116" spans="1:29">
      <c r="A1116" s="13" t="s">
        <v>1231</v>
      </c>
      <c r="B1116" s="13" t="s">
        <v>675</v>
      </c>
      <c r="C1116" s="145">
        <v>46303</v>
      </c>
      <c r="D1116" s="145" t="s">
        <v>469</v>
      </c>
      <c r="E1116" s="28">
        <v>0.86125538999999995</v>
      </c>
      <c r="F1116" s="13"/>
      <c r="G1116" s="18">
        <v>7203888</v>
      </c>
      <c r="H1116" s="18">
        <v>6204387.3899999997</v>
      </c>
      <c r="I1116" s="18">
        <v>7203888</v>
      </c>
      <c r="J1116" s="18">
        <v>6204387.3899999997</v>
      </c>
      <c r="K1116" s="15">
        <v>876</v>
      </c>
      <c r="L1116" s="13" t="s">
        <v>117</v>
      </c>
      <c r="M1116" s="13" t="s">
        <v>118</v>
      </c>
      <c r="N1116" s="145" t="s">
        <v>461</v>
      </c>
      <c r="O1116" s="145" t="s">
        <v>461</v>
      </c>
      <c r="P1116" s="28">
        <v>40</v>
      </c>
      <c r="Q1116" s="13" t="s">
        <v>54</v>
      </c>
      <c r="R1116" s="13" t="s">
        <v>28</v>
      </c>
      <c r="S1116" s="13"/>
      <c r="T1116" s="13"/>
      <c r="U1116" s="13" t="s">
        <v>1207</v>
      </c>
      <c r="V1116" s="13" t="s">
        <v>1207</v>
      </c>
      <c r="W1116" s="60">
        <f>+J1116/$W$2</f>
        <v>1.6352310118437853E-4</v>
      </c>
    </row>
    <row r="1117" spans="1:29">
      <c r="A1117" s="13" t="s">
        <v>1101</v>
      </c>
      <c r="B1117" s="13" t="s">
        <v>675</v>
      </c>
      <c r="C1117" s="145">
        <v>46304</v>
      </c>
      <c r="D1117" s="145" t="s">
        <v>469</v>
      </c>
      <c r="E1117" s="28">
        <v>0.89804161000000005</v>
      </c>
      <c r="F1117" s="13"/>
      <c r="G1117" s="18">
        <v>2500000</v>
      </c>
      <c r="H1117" s="18">
        <v>2245104.0299999998</v>
      </c>
      <c r="I1117" s="18">
        <v>2500000</v>
      </c>
      <c r="J1117" s="18">
        <v>2245104.0299999998</v>
      </c>
      <c r="K1117" s="15">
        <v>90031813</v>
      </c>
      <c r="L1117" s="13" t="s">
        <v>117</v>
      </c>
      <c r="M1117" s="13" t="s">
        <v>118</v>
      </c>
      <c r="N1117" s="145" t="s">
        <v>411</v>
      </c>
      <c r="O1117" s="145" t="s">
        <v>411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1412</v>
      </c>
      <c r="V1117" s="13" t="s">
        <v>1412</v>
      </c>
      <c r="W1117" s="60">
        <f>+J1117/$W$2</f>
        <v>5.9172058478950972E-5</v>
      </c>
      <c r="AC1117" s="57"/>
    </row>
    <row r="1118" spans="1:29">
      <c r="A1118" s="13" t="s">
        <v>1896</v>
      </c>
      <c r="B1118" s="13" t="s">
        <v>675</v>
      </c>
      <c r="C1118" s="145">
        <v>46308</v>
      </c>
      <c r="D1118" s="145" t="s">
        <v>469</v>
      </c>
      <c r="E1118" s="28">
        <v>0.86028097000000003</v>
      </c>
      <c r="F1118" s="13"/>
      <c r="G1118" s="18">
        <v>3750000</v>
      </c>
      <c r="H1118" s="18">
        <v>3226053.64</v>
      </c>
      <c r="I1118" s="18">
        <v>3750000</v>
      </c>
      <c r="J1118" s="18">
        <v>3226053.64</v>
      </c>
      <c r="K1118" s="15">
        <v>66920072</v>
      </c>
      <c r="L1118" s="13" t="s">
        <v>117</v>
      </c>
      <c r="M1118" s="13" t="s">
        <v>118</v>
      </c>
      <c r="N1118" s="145" t="s">
        <v>470</v>
      </c>
      <c r="O1118" s="145" t="s">
        <v>470</v>
      </c>
      <c r="P1118" s="28">
        <v>39</v>
      </c>
      <c r="Q1118" s="13" t="s">
        <v>54</v>
      </c>
      <c r="R1118" s="13" t="s">
        <v>28</v>
      </c>
      <c r="S1118" s="13"/>
      <c r="T1118" s="13"/>
      <c r="U1118" s="13" t="s">
        <v>1863</v>
      </c>
      <c r="V1118" s="13" t="s">
        <v>1863</v>
      </c>
      <c r="W1118" s="60">
        <f>+J1118/$W$2</f>
        <v>8.5026008635471863E-5</v>
      </c>
    </row>
    <row r="1119" spans="1:29">
      <c r="A1119" s="13" t="s">
        <v>1101</v>
      </c>
      <c r="B1119" s="13" t="s">
        <v>675</v>
      </c>
      <c r="C1119" s="145">
        <v>46309</v>
      </c>
      <c r="D1119" s="145" t="s">
        <v>469</v>
      </c>
      <c r="E1119" s="28">
        <v>0.89495880999999999</v>
      </c>
      <c r="F1119" s="13"/>
      <c r="G1119" s="18">
        <v>2500000</v>
      </c>
      <c r="H1119" s="18">
        <v>2237397.0299999998</v>
      </c>
      <c r="I1119" s="18">
        <v>2500000</v>
      </c>
      <c r="J1119" s="18">
        <v>2237397.0299999998</v>
      </c>
      <c r="K1119" s="15">
        <v>90031814</v>
      </c>
      <c r="L1119" s="13" t="s">
        <v>117</v>
      </c>
      <c r="M1119" s="13" t="s">
        <v>118</v>
      </c>
      <c r="N1119" s="145" t="s">
        <v>411</v>
      </c>
      <c r="O1119" s="145" t="s">
        <v>411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1414</v>
      </c>
      <c r="V1119" s="13" t="s">
        <v>1414</v>
      </c>
      <c r="W1119" s="60">
        <f>+J1119/$W$2</f>
        <v>5.8968932455121568E-5</v>
      </c>
    </row>
    <row r="1120" spans="1:29">
      <c r="A1120" s="13" t="s">
        <v>1101</v>
      </c>
      <c r="B1120" s="13" t="s">
        <v>675</v>
      </c>
      <c r="C1120" s="145">
        <v>46309</v>
      </c>
      <c r="D1120" s="145" t="s">
        <v>469</v>
      </c>
      <c r="E1120" s="28">
        <v>0.89495895999999997</v>
      </c>
      <c r="F1120" s="13"/>
      <c r="G1120" s="18">
        <v>25000000</v>
      </c>
      <c r="H1120" s="18">
        <v>22373973.960000001</v>
      </c>
      <c r="I1120" s="18">
        <v>25000000</v>
      </c>
      <c r="J1120" s="18">
        <v>22373973.960000001</v>
      </c>
      <c r="K1120" s="15">
        <v>360570</v>
      </c>
      <c r="L1120" s="13" t="s">
        <v>117</v>
      </c>
      <c r="M1120" s="13" t="s">
        <v>118</v>
      </c>
      <c r="N1120" s="145" t="s">
        <v>445</v>
      </c>
      <c r="O1120" s="145" t="s">
        <v>445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1342</v>
      </c>
      <c r="V1120" s="13" t="s">
        <v>1342</v>
      </c>
      <c r="W1120" s="60">
        <f>+J1120/$W$2</f>
        <v>5.8968942101433333E-4</v>
      </c>
    </row>
    <row r="1121" spans="1:29">
      <c r="A1121" s="13" t="s">
        <v>1101</v>
      </c>
      <c r="B1121" s="13" t="s">
        <v>675</v>
      </c>
      <c r="C1121" s="145">
        <v>46310</v>
      </c>
      <c r="D1121" s="145" t="s">
        <v>469</v>
      </c>
      <c r="E1121" s="28">
        <v>0.89434495000000003</v>
      </c>
      <c r="F1121" s="13"/>
      <c r="G1121" s="18">
        <v>2500000</v>
      </c>
      <c r="H1121" s="18">
        <v>2235862.37</v>
      </c>
      <c r="I1121" s="18">
        <v>2500000</v>
      </c>
      <c r="J1121" s="18">
        <v>2235862.37</v>
      </c>
      <c r="K1121" s="15">
        <v>90031815</v>
      </c>
      <c r="L1121" s="13" t="s">
        <v>117</v>
      </c>
      <c r="M1121" s="13" t="s">
        <v>118</v>
      </c>
      <c r="N1121" s="145" t="s">
        <v>411</v>
      </c>
      <c r="O1121" s="145" t="s">
        <v>411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1415</v>
      </c>
      <c r="V1121" s="13" t="s">
        <v>1415</v>
      </c>
      <c r="W1121" s="60">
        <f>+J1121/$W$2</f>
        <v>5.892848489008589E-5</v>
      </c>
    </row>
    <row r="1122" spans="1:29">
      <c r="A1122" s="13" t="s">
        <v>1101</v>
      </c>
      <c r="B1122" s="13" t="s">
        <v>675</v>
      </c>
      <c r="C1122" s="145">
        <v>46310</v>
      </c>
      <c r="D1122" s="145" t="s">
        <v>469</v>
      </c>
      <c r="E1122" s="28">
        <v>0.8943449</v>
      </c>
      <c r="F1122" s="13"/>
      <c r="G1122" s="18">
        <v>25000000</v>
      </c>
      <c r="H1122" s="18">
        <v>22358622.460000001</v>
      </c>
      <c r="I1122" s="18">
        <v>25000000</v>
      </c>
      <c r="J1122" s="18">
        <v>22358622.460000001</v>
      </c>
      <c r="K1122" s="15">
        <v>360571</v>
      </c>
      <c r="L1122" s="13" t="s">
        <v>117</v>
      </c>
      <c r="M1122" s="13" t="s">
        <v>118</v>
      </c>
      <c r="N1122" s="145" t="s">
        <v>445</v>
      </c>
      <c r="O1122" s="145" t="s">
        <v>445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1347</v>
      </c>
      <c r="V1122" s="13" t="s">
        <v>1347</v>
      </c>
      <c r="W1122" s="60">
        <f>+J1122/$W$2</f>
        <v>5.8928481621936546E-4</v>
      </c>
    </row>
    <row r="1123" spans="1:29">
      <c r="A1123" s="13" t="s">
        <v>1235</v>
      </c>
      <c r="B1123" s="13" t="s">
        <v>153</v>
      </c>
      <c r="C1123" s="145">
        <v>46311</v>
      </c>
      <c r="D1123" s="145" t="s">
        <v>469</v>
      </c>
      <c r="E1123" s="28">
        <v>0.96714244000000005</v>
      </c>
      <c r="F1123" s="13" t="s">
        <v>1916</v>
      </c>
      <c r="G1123" s="18">
        <v>18230</v>
      </c>
      <c r="H1123" s="18">
        <v>17631.009999999998</v>
      </c>
      <c r="I1123" s="18">
        <v>25398624.66</v>
      </c>
      <c r="J1123" s="18">
        <v>24564092.449999999</v>
      </c>
      <c r="K1123" s="15">
        <v>146445</v>
      </c>
      <c r="L1123" s="13" t="s">
        <v>117</v>
      </c>
      <c r="M1123" s="13" t="s">
        <v>118</v>
      </c>
      <c r="N1123" s="145" t="s">
        <v>461</v>
      </c>
      <c r="O1123" s="145" t="s">
        <v>461</v>
      </c>
      <c r="P1123" s="28">
        <v>8</v>
      </c>
      <c r="Q1123" s="13" t="s">
        <v>54</v>
      </c>
      <c r="R1123" s="13" t="s">
        <v>28</v>
      </c>
      <c r="S1123" s="13"/>
      <c r="T1123" s="13"/>
      <c r="U1123" s="13" t="s">
        <v>1215</v>
      </c>
      <c r="V1123" s="13" t="s">
        <v>1215</v>
      </c>
      <c r="W1123" s="60">
        <f>+J1123/$W$2</f>
        <v>6.4741227823360964E-4</v>
      </c>
    </row>
    <row r="1124" spans="1:29">
      <c r="A1124" s="13" t="s">
        <v>1896</v>
      </c>
      <c r="B1124" s="13" t="s">
        <v>675</v>
      </c>
      <c r="C1124" s="145">
        <v>46311</v>
      </c>
      <c r="D1124" s="145" t="s">
        <v>469</v>
      </c>
      <c r="E1124" s="28">
        <v>0.85791521999999998</v>
      </c>
      <c r="F1124" s="13"/>
      <c r="G1124" s="18">
        <v>3750000</v>
      </c>
      <c r="H1124" s="18">
        <v>3217182.08</v>
      </c>
      <c r="I1124" s="18">
        <v>3750000</v>
      </c>
      <c r="J1124" s="18">
        <v>3217182.08</v>
      </c>
      <c r="K1124" s="15">
        <v>66920206</v>
      </c>
      <c r="L1124" s="13" t="s">
        <v>117</v>
      </c>
      <c r="M1124" s="13" t="s">
        <v>118</v>
      </c>
      <c r="N1124" s="145" t="s">
        <v>470</v>
      </c>
      <c r="O1124" s="145" t="s">
        <v>470</v>
      </c>
      <c r="P1124" s="28">
        <v>39</v>
      </c>
      <c r="Q1124" s="13" t="s">
        <v>54</v>
      </c>
      <c r="R1124" s="13" t="s">
        <v>28</v>
      </c>
      <c r="S1124" s="13"/>
      <c r="T1124" s="13"/>
      <c r="U1124" s="13" t="s">
        <v>1865</v>
      </c>
      <c r="V1124" s="13" t="s">
        <v>1865</v>
      </c>
      <c r="W1124" s="60">
        <f>+J1124/$W$2</f>
        <v>8.4792189418141637E-5</v>
      </c>
    </row>
    <row r="1125" spans="1:29">
      <c r="A1125" s="13" t="s">
        <v>1896</v>
      </c>
      <c r="B1125" s="13" t="s">
        <v>675</v>
      </c>
      <c r="C1125" s="145">
        <v>46314</v>
      </c>
      <c r="D1125" s="145" t="s">
        <v>469</v>
      </c>
      <c r="E1125" s="28">
        <v>0.85556244999999997</v>
      </c>
      <c r="F1125" s="13"/>
      <c r="G1125" s="18">
        <v>3750000</v>
      </c>
      <c r="H1125" s="18">
        <v>3208359.19</v>
      </c>
      <c r="I1125" s="18">
        <v>3750000</v>
      </c>
      <c r="J1125" s="18">
        <v>3208359.19</v>
      </c>
      <c r="K1125" s="15">
        <v>66917997</v>
      </c>
      <c r="L1125" s="13" t="s">
        <v>117</v>
      </c>
      <c r="M1125" s="13" t="s">
        <v>118</v>
      </c>
      <c r="N1125" s="145" t="s">
        <v>470</v>
      </c>
      <c r="O1125" s="145" t="s">
        <v>470</v>
      </c>
      <c r="P1125" s="28">
        <v>39</v>
      </c>
      <c r="Q1125" s="13" t="s">
        <v>54</v>
      </c>
      <c r="R1125" s="13" t="s">
        <v>28</v>
      </c>
      <c r="S1125" s="13"/>
      <c r="T1125" s="13"/>
      <c r="U1125" s="13" t="s">
        <v>1868</v>
      </c>
      <c r="V1125" s="13" t="s">
        <v>1868</v>
      </c>
      <c r="W1125" s="60">
        <f>+J1125/$W$2</f>
        <v>8.4559652949426937E-5</v>
      </c>
      <c r="AC1125" s="57"/>
    </row>
    <row r="1126" spans="1:29">
      <c r="A1126" s="13" t="s">
        <v>795</v>
      </c>
      <c r="B1126" s="13" t="s">
        <v>675</v>
      </c>
      <c r="C1126" s="145">
        <v>46314</v>
      </c>
      <c r="D1126" s="145" t="s">
        <v>469</v>
      </c>
      <c r="E1126" s="28">
        <v>0.86842754</v>
      </c>
      <c r="F1126" s="13"/>
      <c r="G1126" s="18">
        <v>1500000</v>
      </c>
      <c r="H1126" s="18">
        <v>1302641.31</v>
      </c>
      <c r="I1126" s="18">
        <v>1500000</v>
      </c>
      <c r="J1126" s="18">
        <v>1302641.31</v>
      </c>
      <c r="K1126" s="15">
        <v>4</v>
      </c>
      <c r="L1126" s="13" t="s">
        <v>117</v>
      </c>
      <c r="M1126" s="13" t="s">
        <v>118</v>
      </c>
      <c r="N1126" s="145" t="s">
        <v>533</v>
      </c>
      <c r="O1126" s="145" t="s">
        <v>533</v>
      </c>
      <c r="P1126" s="28">
        <v>35</v>
      </c>
      <c r="Q1126" s="13" t="s">
        <v>54</v>
      </c>
      <c r="R1126" s="13" t="s">
        <v>28</v>
      </c>
      <c r="S1126" s="13"/>
      <c r="T1126" s="13"/>
      <c r="U1126" s="13" t="s">
        <v>1517</v>
      </c>
      <c r="V1126" s="13" t="s">
        <v>1517</v>
      </c>
      <c r="W1126" s="60">
        <f>+J1126/$W$2</f>
        <v>3.433247045234573E-5</v>
      </c>
    </row>
    <row r="1127" spans="1:29">
      <c r="A1127" s="13" t="s">
        <v>379</v>
      </c>
      <c r="B1127" s="13" t="s">
        <v>675</v>
      </c>
      <c r="C1127" s="145">
        <v>46314</v>
      </c>
      <c r="D1127" s="145" t="s">
        <v>469</v>
      </c>
      <c r="E1127" s="28">
        <v>0.88168511999999999</v>
      </c>
      <c r="F1127" s="13"/>
      <c r="G1127" s="18">
        <v>16500000</v>
      </c>
      <c r="H1127" s="18">
        <v>14547804.460000001</v>
      </c>
      <c r="I1127" s="18">
        <v>16500000</v>
      </c>
      <c r="J1127" s="18">
        <v>14547804.460000001</v>
      </c>
      <c r="K1127" s="15">
        <v>28676</v>
      </c>
      <c r="L1127" s="13" t="s">
        <v>117</v>
      </c>
      <c r="M1127" s="13" t="s">
        <v>118</v>
      </c>
      <c r="N1127" s="145" t="s">
        <v>490</v>
      </c>
      <c r="O1127" s="145" t="s">
        <v>490</v>
      </c>
      <c r="P1127" s="28">
        <v>31</v>
      </c>
      <c r="Q1127" s="13" t="s">
        <v>54</v>
      </c>
      <c r="R1127" s="13" t="s">
        <v>28</v>
      </c>
      <c r="S1127" s="13"/>
      <c r="T1127" s="13"/>
      <c r="U1127" s="13" t="s">
        <v>1588</v>
      </c>
      <c r="V1127" s="13" t="s">
        <v>1588</v>
      </c>
      <c r="W1127" s="60">
        <f>+J1127/$W$2</f>
        <v>3.834225607120147E-4</v>
      </c>
    </row>
    <row r="1128" spans="1:29">
      <c r="A1128" s="13" t="s">
        <v>1101</v>
      </c>
      <c r="B1128" s="13" t="s">
        <v>675</v>
      </c>
      <c r="C1128" s="145">
        <v>46314</v>
      </c>
      <c r="D1128" s="145" t="s">
        <v>469</v>
      </c>
      <c r="E1128" s="28">
        <v>0.89189731000000005</v>
      </c>
      <c r="F1128" s="13"/>
      <c r="G1128" s="18">
        <v>2500000</v>
      </c>
      <c r="H1128" s="18">
        <v>2229743.27</v>
      </c>
      <c r="I1128" s="18">
        <v>2500000</v>
      </c>
      <c r="J1128" s="18">
        <v>2229743.27</v>
      </c>
      <c r="K1128" s="15">
        <v>90031816</v>
      </c>
      <c r="L1128" s="13" t="s">
        <v>117</v>
      </c>
      <c r="M1128" s="13" t="s">
        <v>118</v>
      </c>
      <c r="N1128" s="145" t="s">
        <v>411</v>
      </c>
      <c r="O1128" s="145" t="s">
        <v>411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1431</v>
      </c>
      <c r="V1128" s="13" t="s">
        <v>1431</v>
      </c>
      <c r="W1128" s="60">
        <f>+J1128/$W$2</f>
        <v>5.8767209627024447E-5</v>
      </c>
    </row>
    <row r="1129" spans="1:29">
      <c r="A1129" s="13" t="s">
        <v>1248</v>
      </c>
      <c r="B1129" s="13" t="s">
        <v>675</v>
      </c>
      <c r="C1129" s="145">
        <v>46315</v>
      </c>
      <c r="D1129" s="145" t="s">
        <v>469</v>
      </c>
      <c r="E1129" s="28">
        <v>0.85797575000000004</v>
      </c>
      <c r="F1129" s="13"/>
      <c r="G1129" s="18">
        <v>6899161.7699999996</v>
      </c>
      <c r="H1129" s="18">
        <v>5919313.5</v>
      </c>
      <c r="I1129" s="18">
        <v>6899161.7699999996</v>
      </c>
      <c r="J1129" s="18">
        <v>5919313.5</v>
      </c>
      <c r="K1129" s="15">
        <v>65964607</v>
      </c>
      <c r="L1129" s="13" t="s">
        <v>117</v>
      </c>
      <c r="M1129" s="13" t="s">
        <v>118</v>
      </c>
      <c r="N1129" s="145" t="s">
        <v>411</v>
      </c>
      <c r="O1129" s="145" t="s">
        <v>411</v>
      </c>
      <c r="P1129" s="28">
        <v>38</v>
      </c>
      <c r="Q1129" s="13" t="s">
        <v>54</v>
      </c>
      <c r="R1129" s="13" t="s">
        <v>28</v>
      </c>
      <c r="S1129" s="13"/>
      <c r="T1129" s="13"/>
      <c r="U1129" s="13" t="s">
        <v>1481</v>
      </c>
      <c r="V1129" s="13" t="s">
        <v>1481</v>
      </c>
      <c r="W1129" s="60">
        <f>+J1129/$W$2</f>
        <v>1.5600968146551499E-4</v>
      </c>
    </row>
    <row r="1130" spans="1:29">
      <c r="A1130" s="13" t="s">
        <v>1101</v>
      </c>
      <c r="B1130" s="13" t="s">
        <v>675</v>
      </c>
      <c r="C1130" s="145">
        <v>46315</v>
      </c>
      <c r="D1130" s="145" t="s">
        <v>469</v>
      </c>
      <c r="E1130" s="28">
        <v>0.89128744000000004</v>
      </c>
      <c r="F1130" s="13"/>
      <c r="G1130" s="18">
        <v>2500000</v>
      </c>
      <c r="H1130" s="18">
        <v>2228218.6</v>
      </c>
      <c r="I1130" s="18">
        <v>2500000</v>
      </c>
      <c r="J1130" s="18">
        <v>2228218.6</v>
      </c>
      <c r="K1130" s="15">
        <v>90031817</v>
      </c>
      <c r="L1130" s="13" t="s">
        <v>117</v>
      </c>
      <c r="M1130" s="13" t="s">
        <v>118</v>
      </c>
      <c r="N1130" s="145" t="s">
        <v>411</v>
      </c>
      <c r="O1130" s="145" t="s">
        <v>411</v>
      </c>
      <c r="P1130" s="28">
        <v>28</v>
      </c>
      <c r="Q1130" s="13" t="s">
        <v>54</v>
      </c>
      <c r="R1130" s="13" t="s">
        <v>28</v>
      </c>
      <c r="S1130" s="13"/>
      <c r="T1130" s="13"/>
      <c r="U1130" s="13" t="s">
        <v>1428</v>
      </c>
      <c r="V1130" s="13" t="s">
        <v>1428</v>
      </c>
      <c r="W1130" s="60">
        <f>+J1130/$W$2</f>
        <v>5.8727025358858888E-5</v>
      </c>
    </row>
    <row r="1131" spans="1:29">
      <c r="A1131" s="13" t="s">
        <v>1101</v>
      </c>
      <c r="B1131" s="13" t="s">
        <v>675</v>
      </c>
      <c r="C1131" s="145">
        <v>46315</v>
      </c>
      <c r="D1131" s="145" t="s">
        <v>469</v>
      </c>
      <c r="E1131" s="28">
        <v>0.89128739000000001</v>
      </c>
      <c r="F1131" s="13"/>
      <c r="G1131" s="18">
        <v>25000000</v>
      </c>
      <c r="H1131" s="18">
        <v>22282184.710000001</v>
      </c>
      <c r="I1131" s="18">
        <v>25000000</v>
      </c>
      <c r="J1131" s="18">
        <v>22282184.710000001</v>
      </c>
      <c r="K1131" s="15">
        <v>360572</v>
      </c>
      <c r="L1131" s="13" t="s">
        <v>117</v>
      </c>
      <c r="M1131" s="13" t="s">
        <v>118</v>
      </c>
      <c r="N1131" s="145" t="s">
        <v>445</v>
      </c>
      <c r="O1131" s="145" t="s">
        <v>445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1351</v>
      </c>
      <c r="V1131" s="13" t="s">
        <v>1351</v>
      </c>
      <c r="W1131" s="60">
        <f>+J1131/$W$2</f>
        <v>5.8727021958929334E-4</v>
      </c>
    </row>
    <row r="1132" spans="1:29">
      <c r="A1132" s="13" t="s">
        <v>1249</v>
      </c>
      <c r="B1132" s="13" t="s">
        <v>675</v>
      </c>
      <c r="C1132" s="145">
        <v>46316</v>
      </c>
      <c r="D1132" s="145" t="s">
        <v>469</v>
      </c>
      <c r="E1132" s="28">
        <v>0.85720998999999998</v>
      </c>
      <c r="F1132" s="13"/>
      <c r="G1132" s="18">
        <v>7133529.1399999997</v>
      </c>
      <c r="H1132" s="18">
        <v>6114932.4699999997</v>
      </c>
      <c r="I1132" s="18">
        <v>7133529.1399999997</v>
      </c>
      <c r="J1132" s="18">
        <v>6114932.4699999997</v>
      </c>
      <c r="K1132" s="15">
        <v>90000170</v>
      </c>
      <c r="L1132" s="13" t="s">
        <v>117</v>
      </c>
      <c r="M1132" s="13" t="s">
        <v>118</v>
      </c>
      <c r="N1132" s="145" t="s">
        <v>411</v>
      </c>
      <c r="O1132" s="145" t="s">
        <v>411</v>
      </c>
      <c r="P1132" s="28">
        <v>38</v>
      </c>
      <c r="Q1132" s="13" t="s">
        <v>54</v>
      </c>
      <c r="R1132" s="13" t="s">
        <v>28</v>
      </c>
      <c r="S1132" s="13"/>
      <c r="T1132" s="13"/>
      <c r="U1132" s="13" t="s">
        <v>1487</v>
      </c>
      <c r="V1132" s="13" t="s">
        <v>1487</v>
      </c>
      <c r="W1132" s="60">
        <f>+J1132/$W$2</f>
        <v>1.6116542346132447E-4</v>
      </c>
    </row>
    <row r="1133" spans="1:29">
      <c r="A1133" s="13" t="s">
        <v>1101</v>
      </c>
      <c r="B1133" s="13" t="s">
        <v>675</v>
      </c>
      <c r="C1133" s="145">
        <v>46316</v>
      </c>
      <c r="D1133" s="145" t="s">
        <v>469</v>
      </c>
      <c r="E1133" s="28">
        <v>0.89067854999999996</v>
      </c>
      <c r="F1133" s="13"/>
      <c r="G1133" s="18">
        <v>25000000</v>
      </c>
      <c r="H1133" s="18">
        <v>22266963.670000002</v>
      </c>
      <c r="I1133" s="18">
        <v>25000000</v>
      </c>
      <c r="J1133" s="18">
        <v>22266963.670000002</v>
      </c>
      <c r="K1133" s="15">
        <v>360573</v>
      </c>
      <c r="L1133" s="13" t="s">
        <v>117</v>
      </c>
      <c r="M1133" s="13" t="s">
        <v>118</v>
      </c>
      <c r="N1133" s="145" t="s">
        <v>445</v>
      </c>
      <c r="O1133" s="145" t="s">
        <v>445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1353</v>
      </c>
      <c r="V1133" s="13" t="s">
        <v>1353</v>
      </c>
      <c r="W1133" s="60">
        <f>+J1133/$W$2</f>
        <v>5.8686905320370257E-4</v>
      </c>
    </row>
    <row r="1134" spans="1:29">
      <c r="A1134" s="13" t="s">
        <v>1251</v>
      </c>
      <c r="B1134" s="13" t="s">
        <v>675</v>
      </c>
      <c r="C1134" s="145">
        <v>46316</v>
      </c>
      <c r="D1134" s="145" t="s">
        <v>469</v>
      </c>
      <c r="E1134" s="28">
        <v>0.88377731999999998</v>
      </c>
      <c r="F1134" s="13"/>
      <c r="G1134" s="18">
        <v>11923076.92</v>
      </c>
      <c r="H1134" s="18">
        <v>10537344.949999999</v>
      </c>
      <c r="I1134" s="18">
        <v>11923076.92</v>
      </c>
      <c r="J1134" s="18">
        <v>10537344.949999999</v>
      </c>
      <c r="K1134" s="15">
        <v>90021989</v>
      </c>
      <c r="L1134" s="13" t="s">
        <v>117</v>
      </c>
      <c r="M1134" s="13" t="s">
        <v>118</v>
      </c>
      <c r="N1134" s="145" t="s">
        <v>460</v>
      </c>
      <c r="O1134" s="145" t="s">
        <v>460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1825</v>
      </c>
      <c r="V1134" s="13" t="s">
        <v>1825</v>
      </c>
      <c r="W1134" s="60">
        <f>+J1134/$W$2</f>
        <v>2.7772271719376796E-4</v>
      </c>
      <c r="AC1134" s="57"/>
    </row>
    <row r="1135" spans="1:29">
      <c r="A1135" s="13" t="s">
        <v>1896</v>
      </c>
      <c r="B1135" s="13" t="s">
        <v>675</v>
      </c>
      <c r="C1135" s="145">
        <v>46317</v>
      </c>
      <c r="D1135" s="145" t="s">
        <v>469</v>
      </c>
      <c r="E1135" s="28">
        <v>0.85322255000000002</v>
      </c>
      <c r="F1135" s="13"/>
      <c r="G1135" s="18">
        <v>3750000</v>
      </c>
      <c r="H1135" s="18">
        <v>3199584.56</v>
      </c>
      <c r="I1135" s="18">
        <v>3750000</v>
      </c>
      <c r="J1135" s="18">
        <v>3199584.56</v>
      </c>
      <c r="K1135" s="15">
        <v>66918105</v>
      </c>
      <c r="L1135" s="13" t="s">
        <v>117</v>
      </c>
      <c r="M1135" s="13" t="s">
        <v>118</v>
      </c>
      <c r="N1135" s="145" t="s">
        <v>470</v>
      </c>
      <c r="O1135" s="145" t="s">
        <v>470</v>
      </c>
      <c r="P1135" s="28">
        <v>39</v>
      </c>
      <c r="Q1135" s="13" t="s">
        <v>54</v>
      </c>
      <c r="R1135" s="13" t="s">
        <v>28</v>
      </c>
      <c r="S1135" s="13"/>
      <c r="T1135" s="13"/>
      <c r="U1135" s="13" t="s">
        <v>1872</v>
      </c>
      <c r="V1135" s="13" t="s">
        <v>1872</v>
      </c>
      <c r="W1135" s="60">
        <f>+J1135/$W$2</f>
        <v>8.4328388423350094E-5</v>
      </c>
    </row>
    <row r="1136" spans="1:29">
      <c r="A1136" s="13" t="s">
        <v>1101</v>
      </c>
      <c r="B1136" s="13" t="s">
        <v>675</v>
      </c>
      <c r="C1136" s="145">
        <v>46317</v>
      </c>
      <c r="D1136" s="145" t="s">
        <v>469</v>
      </c>
      <c r="E1136" s="28">
        <v>0.89007040000000004</v>
      </c>
      <c r="F1136" s="13"/>
      <c r="G1136" s="18">
        <v>2500000</v>
      </c>
      <c r="H1136" s="18">
        <v>2225175.9900000002</v>
      </c>
      <c r="I1136" s="18">
        <v>2500000</v>
      </c>
      <c r="J1136" s="18">
        <v>2225175.9900000002</v>
      </c>
      <c r="K1136" s="15">
        <v>90031818</v>
      </c>
      <c r="L1136" s="13" t="s">
        <v>117</v>
      </c>
      <c r="M1136" s="13" t="s">
        <v>118</v>
      </c>
      <c r="N1136" s="145" t="s">
        <v>411</v>
      </c>
      <c r="O1136" s="145" t="s">
        <v>411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1416</v>
      </c>
      <c r="V1136" s="13" t="s">
        <v>1416</v>
      </c>
      <c r="W1136" s="60">
        <f>+J1136/$W$2</f>
        <v>5.8646834198697533E-5</v>
      </c>
    </row>
    <row r="1137" spans="1:29">
      <c r="A1137" s="13" t="s">
        <v>1101</v>
      </c>
      <c r="B1137" s="13" t="s">
        <v>675</v>
      </c>
      <c r="C1137" s="145">
        <v>46318</v>
      </c>
      <c r="D1137" s="145" t="s">
        <v>469</v>
      </c>
      <c r="E1137" s="28">
        <v>0.88946303000000004</v>
      </c>
      <c r="F1137" s="13"/>
      <c r="G1137" s="18">
        <v>2500000</v>
      </c>
      <c r="H1137" s="18">
        <v>2223657.5699999998</v>
      </c>
      <c r="I1137" s="18">
        <v>2500000</v>
      </c>
      <c r="J1137" s="18">
        <v>2223657.5699999998</v>
      </c>
      <c r="K1137" s="15">
        <v>90031819</v>
      </c>
      <c r="L1137" s="13" t="s">
        <v>117</v>
      </c>
      <c r="M1137" s="13" t="s">
        <v>118</v>
      </c>
      <c r="N1137" s="145" t="s">
        <v>411</v>
      </c>
      <c r="O1137" s="145" t="s">
        <v>411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1418</v>
      </c>
      <c r="V1137" s="13" t="s">
        <v>1418</v>
      </c>
      <c r="W1137" s="60">
        <f>+J1137/$W$2</f>
        <v>5.8606814655801057E-5</v>
      </c>
    </row>
    <row r="1138" spans="1:29">
      <c r="A1138" s="13" t="s">
        <v>1896</v>
      </c>
      <c r="B1138" s="13" t="s">
        <v>675</v>
      </c>
      <c r="C1138" s="145">
        <v>46321</v>
      </c>
      <c r="D1138" s="145" t="s">
        <v>469</v>
      </c>
      <c r="E1138" s="28">
        <v>0.85012242000000005</v>
      </c>
      <c r="F1138" s="13"/>
      <c r="G1138" s="18">
        <v>3750000</v>
      </c>
      <c r="H1138" s="18">
        <v>3187959.09</v>
      </c>
      <c r="I1138" s="18">
        <v>3750000</v>
      </c>
      <c r="J1138" s="18">
        <v>3187959.09</v>
      </c>
      <c r="K1138" s="15">
        <v>66918134</v>
      </c>
      <c r="L1138" s="13" t="s">
        <v>117</v>
      </c>
      <c r="M1138" s="13" t="s">
        <v>118</v>
      </c>
      <c r="N1138" s="145" t="s">
        <v>470</v>
      </c>
      <c r="O1138" s="145" t="s">
        <v>470</v>
      </c>
      <c r="P1138" s="28">
        <v>39</v>
      </c>
      <c r="Q1138" s="13" t="s">
        <v>54</v>
      </c>
      <c r="R1138" s="13" t="s">
        <v>28</v>
      </c>
      <c r="S1138" s="13"/>
      <c r="T1138" s="13"/>
      <c r="U1138" s="13" t="s">
        <v>1873</v>
      </c>
      <c r="V1138" s="13" t="s">
        <v>1873</v>
      </c>
      <c r="W1138" s="60">
        <f>+J1138/$W$2</f>
        <v>8.4021987035488662E-5</v>
      </c>
    </row>
    <row r="1139" spans="1:29">
      <c r="A1139" s="13" t="s">
        <v>1101</v>
      </c>
      <c r="B1139" s="13" t="s">
        <v>675</v>
      </c>
      <c r="C1139" s="145">
        <v>46321</v>
      </c>
      <c r="D1139" s="145" t="s">
        <v>469</v>
      </c>
      <c r="E1139" s="28">
        <v>0.88764606000000001</v>
      </c>
      <c r="F1139" s="13"/>
      <c r="G1139" s="18">
        <v>2500000</v>
      </c>
      <c r="H1139" s="18">
        <v>2219115.15</v>
      </c>
      <c r="I1139" s="18">
        <v>2500000</v>
      </c>
      <c r="J1139" s="18">
        <v>2219115.15</v>
      </c>
      <c r="K1139" s="15">
        <v>90031820</v>
      </c>
      <c r="L1139" s="13" t="s">
        <v>117</v>
      </c>
      <c r="M1139" s="13" t="s">
        <v>118</v>
      </c>
      <c r="N1139" s="145" t="s">
        <v>411</v>
      </c>
      <c r="O1139" s="145" t="s">
        <v>411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1420</v>
      </c>
      <c r="V1139" s="13" t="s">
        <v>1420</v>
      </c>
      <c r="W1139" s="60">
        <f>+J1139/$W$2</f>
        <v>5.8487094438704501E-5</v>
      </c>
    </row>
    <row r="1140" spans="1:29">
      <c r="A1140" s="13" t="s">
        <v>1101</v>
      </c>
      <c r="B1140" s="13" t="s">
        <v>675</v>
      </c>
      <c r="C1140" s="145">
        <v>46322</v>
      </c>
      <c r="D1140" s="145" t="s">
        <v>469</v>
      </c>
      <c r="E1140" s="28">
        <v>0.88704198999999995</v>
      </c>
      <c r="F1140" s="13"/>
      <c r="G1140" s="18">
        <v>2500000</v>
      </c>
      <c r="H1140" s="18">
        <v>2217604.9900000002</v>
      </c>
      <c r="I1140" s="18">
        <v>2500000</v>
      </c>
      <c r="J1140" s="18">
        <v>2217604.9900000002</v>
      </c>
      <c r="K1140" s="15">
        <v>90031821</v>
      </c>
      <c r="L1140" s="13" t="s">
        <v>117</v>
      </c>
      <c r="M1140" s="13" t="s">
        <v>118</v>
      </c>
      <c r="N1140" s="145" t="s">
        <v>411</v>
      </c>
      <c r="O1140" s="145" t="s">
        <v>411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1429</v>
      </c>
      <c r="V1140" s="13" t="s">
        <v>1429</v>
      </c>
      <c r="W1140" s="60">
        <f>+J1140/$W$2</f>
        <v>5.8447292596723683E-5</v>
      </c>
    </row>
    <row r="1141" spans="1:29">
      <c r="A1141" s="13" t="s">
        <v>1244</v>
      </c>
      <c r="B1141" s="13" t="s">
        <v>675</v>
      </c>
      <c r="C1141" s="145">
        <v>46323</v>
      </c>
      <c r="D1141" s="145" t="s">
        <v>469</v>
      </c>
      <c r="E1141" s="28">
        <v>0.85188834999999996</v>
      </c>
      <c r="F1141" s="13"/>
      <c r="G1141" s="18">
        <v>3511491.25</v>
      </c>
      <c r="H1141" s="18">
        <v>2991398.48</v>
      </c>
      <c r="I1141" s="18">
        <v>3511491.25</v>
      </c>
      <c r="J1141" s="18">
        <v>2991398.48</v>
      </c>
      <c r="K1141" s="15">
        <v>13270638</v>
      </c>
      <c r="L1141" s="13" t="s">
        <v>117</v>
      </c>
      <c r="M1141" s="13" t="s">
        <v>118</v>
      </c>
      <c r="N1141" s="145" t="s">
        <v>457</v>
      </c>
      <c r="O1141" s="145" t="s">
        <v>457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1552</v>
      </c>
      <c r="V1141" s="13" t="s">
        <v>1552</v>
      </c>
      <c r="W1141" s="60">
        <f>+J1141/$W$2</f>
        <v>7.8841427135296289E-5</v>
      </c>
      <c r="AC1141" s="57"/>
    </row>
    <row r="1142" spans="1:29">
      <c r="A1142" s="13" t="s">
        <v>863</v>
      </c>
      <c r="B1142" s="13" t="s">
        <v>675</v>
      </c>
      <c r="C1142" s="145">
        <v>46323</v>
      </c>
      <c r="D1142" s="145" t="s">
        <v>469</v>
      </c>
      <c r="E1142" s="28">
        <v>0.88643881000000002</v>
      </c>
      <c r="F1142" s="13"/>
      <c r="G1142" s="18">
        <v>100000000</v>
      </c>
      <c r="H1142" s="18">
        <v>88643880.640000001</v>
      </c>
      <c r="I1142" s="18">
        <v>100000000</v>
      </c>
      <c r="J1142" s="18">
        <v>88643880.640000001</v>
      </c>
      <c r="K1142" s="15">
        <v>40627526</v>
      </c>
      <c r="L1142" s="13" t="s">
        <v>117</v>
      </c>
      <c r="M1142" s="13" t="s">
        <v>118</v>
      </c>
      <c r="N1142" s="145" t="s">
        <v>462</v>
      </c>
      <c r="O1142" s="145" t="s">
        <v>462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1715</v>
      </c>
      <c r="V1142" s="13" t="s">
        <v>1715</v>
      </c>
      <c r="W1142" s="60">
        <f>+J1142/$W$2</f>
        <v>2.3363019347621191E-3</v>
      </c>
    </row>
    <row r="1143" spans="1:29">
      <c r="A1143" s="13" t="s">
        <v>219</v>
      </c>
      <c r="B1143" s="13" t="s">
        <v>675</v>
      </c>
      <c r="C1143" s="145">
        <v>46323</v>
      </c>
      <c r="D1143" s="145" t="s">
        <v>469</v>
      </c>
      <c r="E1143" s="28">
        <v>0.88643877999999998</v>
      </c>
      <c r="F1143" s="13"/>
      <c r="G1143" s="18">
        <v>30000000</v>
      </c>
      <c r="H1143" s="18">
        <v>26593163.539999999</v>
      </c>
      <c r="I1143" s="18">
        <v>30000000</v>
      </c>
      <c r="J1143" s="18">
        <v>26593163.539999999</v>
      </c>
      <c r="K1143" s="15">
        <v>3329634</v>
      </c>
      <c r="L1143" s="13" t="s">
        <v>117</v>
      </c>
      <c r="M1143" s="13" t="s">
        <v>118</v>
      </c>
      <c r="N1143" s="145" t="s">
        <v>428</v>
      </c>
      <c r="O1143" s="145" t="s">
        <v>428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1683</v>
      </c>
      <c r="V1143" s="13" t="s">
        <v>1683</v>
      </c>
      <c r="W1143" s="60">
        <f>+J1143/$W$2</f>
        <v>7.0089056324449566E-4</v>
      </c>
    </row>
    <row r="1144" spans="1:29">
      <c r="A1144" s="13" t="s">
        <v>1101</v>
      </c>
      <c r="B1144" s="13" t="s">
        <v>675</v>
      </c>
      <c r="C1144" s="145">
        <v>46323</v>
      </c>
      <c r="D1144" s="145" t="s">
        <v>469</v>
      </c>
      <c r="E1144" s="28">
        <v>0.88643875000000005</v>
      </c>
      <c r="F1144" s="13"/>
      <c r="G1144" s="18">
        <v>2500000</v>
      </c>
      <c r="H1144" s="18">
        <v>2216096.87</v>
      </c>
      <c r="I1144" s="18">
        <v>2500000</v>
      </c>
      <c r="J1144" s="18">
        <v>2216096.87</v>
      </c>
      <c r="K1144" s="15">
        <v>90031822</v>
      </c>
      <c r="L1144" s="13" t="s">
        <v>117</v>
      </c>
      <c r="M1144" s="13" t="s">
        <v>118</v>
      </c>
      <c r="N1144" s="145" t="s">
        <v>411</v>
      </c>
      <c r="O1144" s="145" t="s">
        <v>411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1422</v>
      </c>
      <c r="V1144" s="13" t="s">
        <v>1422</v>
      </c>
      <c r="W1144" s="60">
        <f>+J1144/$W$2</f>
        <v>5.8407544521070695E-5</v>
      </c>
    </row>
    <row r="1145" spans="1:29">
      <c r="A1145" s="13" t="s">
        <v>1896</v>
      </c>
      <c r="B1145" s="13" t="s">
        <v>675</v>
      </c>
      <c r="C1145" s="145">
        <v>46324</v>
      </c>
      <c r="D1145" s="145" t="s">
        <v>469</v>
      </c>
      <c r="E1145" s="28">
        <v>0.84781214000000005</v>
      </c>
      <c r="F1145" s="13"/>
      <c r="G1145" s="18">
        <v>3750000</v>
      </c>
      <c r="H1145" s="18">
        <v>3179295.54</v>
      </c>
      <c r="I1145" s="18">
        <v>3750000</v>
      </c>
      <c r="J1145" s="18">
        <v>3179295.54</v>
      </c>
      <c r="K1145" s="15">
        <v>66918205</v>
      </c>
      <c r="L1145" s="13" t="s">
        <v>117</v>
      </c>
      <c r="M1145" s="13" t="s">
        <v>118</v>
      </c>
      <c r="N1145" s="145" t="s">
        <v>470</v>
      </c>
      <c r="O1145" s="145" t="s">
        <v>470</v>
      </c>
      <c r="P1145" s="28">
        <v>39</v>
      </c>
      <c r="Q1145" s="13" t="s">
        <v>54</v>
      </c>
      <c r="R1145" s="13" t="s">
        <v>28</v>
      </c>
      <c r="S1145" s="13"/>
      <c r="T1145" s="13"/>
      <c r="U1145" s="13" t="s">
        <v>1878</v>
      </c>
      <c r="V1145" s="13" t="s">
        <v>1878</v>
      </c>
      <c r="W1145" s="60">
        <f>+J1145/$W$2</f>
        <v>8.3793650138674439E-5</v>
      </c>
    </row>
    <row r="1146" spans="1:29">
      <c r="A1146" s="13" t="s">
        <v>1101</v>
      </c>
      <c r="B1146" s="13" t="s">
        <v>675</v>
      </c>
      <c r="C1146" s="145">
        <v>46324</v>
      </c>
      <c r="D1146" s="145" t="s">
        <v>469</v>
      </c>
      <c r="E1146" s="28">
        <v>0.88583650999999997</v>
      </c>
      <c r="F1146" s="13"/>
      <c r="G1146" s="18">
        <v>2500000</v>
      </c>
      <c r="H1146" s="18">
        <v>2214591.29</v>
      </c>
      <c r="I1146" s="18">
        <v>2500000</v>
      </c>
      <c r="J1146" s="18">
        <v>2214591.29</v>
      </c>
      <c r="K1146" s="15">
        <v>90031823</v>
      </c>
      <c r="L1146" s="13" t="s">
        <v>117</v>
      </c>
      <c r="M1146" s="13" t="s">
        <v>118</v>
      </c>
      <c r="N1146" s="145" t="s">
        <v>411</v>
      </c>
      <c r="O1146" s="145" t="s">
        <v>411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1424</v>
      </c>
      <c r="V1146" s="13" t="s">
        <v>1424</v>
      </c>
      <c r="W1146" s="60">
        <f>+J1146/$W$2</f>
        <v>5.8367863389767062E-5</v>
      </c>
    </row>
    <row r="1147" spans="1:29">
      <c r="A1147" s="13" t="s">
        <v>1896</v>
      </c>
      <c r="B1147" s="13" t="s">
        <v>675</v>
      </c>
      <c r="C1147" s="145">
        <v>46328</v>
      </c>
      <c r="D1147" s="145" t="s">
        <v>469</v>
      </c>
      <c r="E1147" s="28">
        <v>0.84475113999999996</v>
      </c>
      <c r="F1147" s="13"/>
      <c r="G1147" s="18">
        <v>3750000</v>
      </c>
      <c r="H1147" s="18">
        <v>3167816.78</v>
      </c>
      <c r="I1147" s="18">
        <v>3750000</v>
      </c>
      <c r="J1147" s="18">
        <v>3167816.78</v>
      </c>
      <c r="K1147" s="15">
        <v>66918247</v>
      </c>
      <c r="L1147" s="13" t="s">
        <v>117</v>
      </c>
      <c r="M1147" s="13" t="s">
        <v>118</v>
      </c>
      <c r="N1147" s="145" t="s">
        <v>470</v>
      </c>
      <c r="O1147" s="145" t="s">
        <v>470</v>
      </c>
      <c r="P1147" s="28">
        <v>39</v>
      </c>
      <c r="Q1147" s="13" t="s">
        <v>54</v>
      </c>
      <c r="R1147" s="13" t="s">
        <v>28</v>
      </c>
      <c r="S1147" s="13"/>
      <c r="T1147" s="13"/>
      <c r="U1147" s="13" t="s">
        <v>1874</v>
      </c>
      <c r="V1147" s="13" t="s">
        <v>1874</v>
      </c>
      <c r="W1147" s="60">
        <f>+J1147/$W$2</f>
        <v>8.3491115445889682E-5</v>
      </c>
    </row>
    <row r="1148" spans="1:29">
      <c r="A1148" s="13" t="s">
        <v>1101</v>
      </c>
      <c r="B1148" s="13" t="s">
        <v>675</v>
      </c>
      <c r="C1148" s="145">
        <v>46328</v>
      </c>
      <c r="D1148" s="145" t="s">
        <v>469</v>
      </c>
      <c r="E1148" s="28">
        <v>0.88343514999999995</v>
      </c>
      <c r="F1148" s="13"/>
      <c r="G1148" s="18">
        <v>2500000</v>
      </c>
      <c r="H1148" s="18">
        <v>2208587.87</v>
      </c>
      <c r="I1148" s="18">
        <v>2500000</v>
      </c>
      <c r="J1148" s="18">
        <v>2208587.87</v>
      </c>
      <c r="K1148" s="15">
        <v>90031824</v>
      </c>
      <c r="L1148" s="13" t="s">
        <v>117</v>
      </c>
      <c r="M1148" s="13" t="s">
        <v>118</v>
      </c>
      <c r="N1148" s="145" t="s">
        <v>411</v>
      </c>
      <c r="O1148" s="145" t="s">
        <v>411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1426</v>
      </c>
      <c r="V1148" s="13" t="s">
        <v>1426</v>
      </c>
      <c r="W1148" s="60">
        <f>+J1148/$W$2</f>
        <v>5.8209636993766292E-5</v>
      </c>
    </row>
    <row r="1149" spans="1:29">
      <c r="A1149" s="13" t="s">
        <v>1896</v>
      </c>
      <c r="B1149" s="13" t="s">
        <v>675</v>
      </c>
      <c r="C1149" s="145">
        <v>46331</v>
      </c>
      <c r="D1149" s="145" t="s">
        <v>469</v>
      </c>
      <c r="E1149" s="28">
        <v>0.84246991999999998</v>
      </c>
      <c r="F1149" s="13"/>
      <c r="G1149" s="18">
        <v>3750000</v>
      </c>
      <c r="H1149" s="18">
        <v>3159262.2</v>
      </c>
      <c r="I1149" s="18">
        <v>3750000</v>
      </c>
      <c r="J1149" s="18">
        <v>3159262.2</v>
      </c>
      <c r="K1149" s="15">
        <v>66918287</v>
      </c>
      <c r="L1149" s="13" t="s">
        <v>117</v>
      </c>
      <c r="M1149" s="13" t="s">
        <v>118</v>
      </c>
      <c r="N1149" s="145" t="s">
        <v>470</v>
      </c>
      <c r="O1149" s="145" t="s">
        <v>470</v>
      </c>
      <c r="P1149" s="28">
        <v>39</v>
      </c>
      <c r="Q1149" s="13" t="s">
        <v>54</v>
      </c>
      <c r="R1149" s="13" t="s">
        <v>28</v>
      </c>
      <c r="S1149" s="13"/>
      <c r="T1149" s="13"/>
      <c r="U1149" s="13" t="s">
        <v>1875</v>
      </c>
      <c r="V1149" s="13" t="s">
        <v>1875</v>
      </c>
      <c r="W1149" s="60">
        <f>+J1149/$W$2</f>
        <v>8.3265650567087231E-5</v>
      </c>
    </row>
    <row r="1150" spans="1:29">
      <c r="A1150" s="13" t="s">
        <v>1251</v>
      </c>
      <c r="B1150" s="13" t="s">
        <v>675</v>
      </c>
      <c r="C1150" s="145">
        <v>46331</v>
      </c>
      <c r="D1150" s="145" t="s">
        <v>469</v>
      </c>
      <c r="E1150" s="28">
        <v>0.87425154999999999</v>
      </c>
      <c r="F1150" s="13"/>
      <c r="G1150" s="18">
        <v>11923076.92</v>
      </c>
      <c r="H1150" s="18">
        <v>10423768.460000001</v>
      </c>
      <c r="I1150" s="18">
        <v>11923076.92</v>
      </c>
      <c r="J1150" s="18">
        <v>10423768.460000001</v>
      </c>
      <c r="K1150" s="15">
        <v>90021990</v>
      </c>
      <c r="L1150" s="13" t="s">
        <v>117</v>
      </c>
      <c r="M1150" s="13" t="s">
        <v>118</v>
      </c>
      <c r="N1150" s="145" t="s">
        <v>460</v>
      </c>
      <c r="O1150" s="145" t="s">
        <v>460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1823</v>
      </c>
      <c r="V1150" s="13" t="s">
        <v>1823</v>
      </c>
      <c r="W1150" s="60">
        <f>+J1150/$W$2</f>
        <v>2.7472929033322559E-4</v>
      </c>
    </row>
    <row r="1151" spans="1:29">
      <c r="A1151" s="13" t="s">
        <v>1896</v>
      </c>
      <c r="B1151" s="13" t="s">
        <v>675</v>
      </c>
      <c r="C1151" s="145">
        <v>46336</v>
      </c>
      <c r="D1151" s="145" t="s">
        <v>469</v>
      </c>
      <c r="E1151" s="28">
        <v>0.83869495999999999</v>
      </c>
      <c r="F1151" s="13"/>
      <c r="G1151" s="18">
        <v>3750000</v>
      </c>
      <c r="H1151" s="18">
        <v>3145106.11</v>
      </c>
      <c r="I1151" s="18">
        <v>3750000</v>
      </c>
      <c r="J1151" s="18">
        <v>3145106.11</v>
      </c>
      <c r="K1151" s="15">
        <v>66918815</v>
      </c>
      <c r="L1151" s="13" t="s">
        <v>117</v>
      </c>
      <c r="M1151" s="13" t="s">
        <v>118</v>
      </c>
      <c r="N1151" s="145" t="s">
        <v>470</v>
      </c>
      <c r="O1151" s="145" t="s">
        <v>470</v>
      </c>
      <c r="P1151" s="28">
        <v>39</v>
      </c>
      <c r="Q1151" s="13" t="s">
        <v>54</v>
      </c>
      <c r="R1151" s="13" t="s">
        <v>28</v>
      </c>
      <c r="S1151" s="13"/>
      <c r="T1151" s="13"/>
      <c r="U1151" s="13" t="s">
        <v>1876</v>
      </c>
      <c r="V1151" s="13" t="s">
        <v>1876</v>
      </c>
      <c r="W1151" s="60">
        <f>+J1151/$W$2</f>
        <v>8.2892552049548468E-5</v>
      </c>
    </row>
    <row r="1152" spans="1:29">
      <c r="A1152" s="13" t="s">
        <v>863</v>
      </c>
      <c r="B1152" s="13" t="s">
        <v>675</v>
      </c>
      <c r="C1152" s="145">
        <v>46337</v>
      </c>
      <c r="D1152" s="145" t="s">
        <v>469</v>
      </c>
      <c r="E1152" s="28">
        <v>0.84852156999999995</v>
      </c>
      <c r="F1152" s="13"/>
      <c r="G1152" s="18">
        <v>8560000</v>
      </c>
      <c r="H1152" s="18">
        <v>7263344.6399999997</v>
      </c>
      <c r="I1152" s="18">
        <v>8560000</v>
      </c>
      <c r="J1152" s="18">
        <v>7263344.6399999997</v>
      </c>
      <c r="K1152" s="15">
        <v>13054211</v>
      </c>
      <c r="L1152" s="13" t="s">
        <v>117</v>
      </c>
      <c r="M1152" s="13" t="s">
        <v>118</v>
      </c>
      <c r="N1152" s="145" t="s">
        <v>411</v>
      </c>
      <c r="O1152" s="145" t="s">
        <v>411</v>
      </c>
      <c r="P1152" s="28">
        <v>36</v>
      </c>
      <c r="Q1152" s="13" t="s">
        <v>54</v>
      </c>
      <c r="R1152" s="13" t="s">
        <v>28</v>
      </c>
      <c r="S1152" s="13"/>
      <c r="T1152" s="13"/>
      <c r="U1152" s="13" t="s">
        <v>1400</v>
      </c>
      <c r="V1152" s="13" t="s">
        <v>1400</v>
      </c>
      <c r="W1152" s="60">
        <f>+J1152/$W$2</f>
        <v>1.9143302405940409E-4</v>
      </c>
    </row>
    <row r="1153" spans="1:29">
      <c r="A1153" s="13" t="s">
        <v>1896</v>
      </c>
      <c r="B1153" s="13" t="s">
        <v>675</v>
      </c>
      <c r="C1153" s="145">
        <v>46338</v>
      </c>
      <c r="D1153" s="145" t="s">
        <v>469</v>
      </c>
      <c r="E1153" s="28">
        <v>0.83719460000000001</v>
      </c>
      <c r="F1153" s="13"/>
      <c r="G1153" s="18">
        <v>3750000</v>
      </c>
      <c r="H1153" s="18">
        <v>3139479.75</v>
      </c>
      <c r="I1153" s="18">
        <v>3750000</v>
      </c>
      <c r="J1153" s="18">
        <v>3139479.75</v>
      </c>
      <c r="K1153" s="15">
        <v>66918856</v>
      </c>
      <c r="L1153" s="13" t="s">
        <v>117</v>
      </c>
      <c r="M1153" s="13" t="s">
        <v>118</v>
      </c>
      <c r="N1153" s="145" t="s">
        <v>470</v>
      </c>
      <c r="O1153" s="145" t="s">
        <v>470</v>
      </c>
      <c r="P1153" s="28">
        <v>39</v>
      </c>
      <c r="Q1153" s="13" t="s">
        <v>54</v>
      </c>
      <c r="R1153" s="13" t="s">
        <v>28</v>
      </c>
      <c r="S1153" s="13"/>
      <c r="T1153" s="13"/>
      <c r="U1153" s="13" t="s">
        <v>1869</v>
      </c>
      <c r="V1153" s="13" t="s">
        <v>1869</v>
      </c>
      <c r="W1153" s="60">
        <f>+J1153/$W$2</f>
        <v>8.2744263463142246E-5</v>
      </c>
    </row>
    <row r="1154" spans="1:29">
      <c r="A1154" s="13" t="s">
        <v>863</v>
      </c>
      <c r="B1154" s="13" t="s">
        <v>675</v>
      </c>
      <c r="C1154" s="145">
        <v>46338</v>
      </c>
      <c r="D1154" s="145" t="s">
        <v>469</v>
      </c>
      <c r="E1154" s="28">
        <v>0.84781196999999997</v>
      </c>
      <c r="F1154" s="13"/>
      <c r="G1154" s="18">
        <v>8560000</v>
      </c>
      <c r="H1154" s="18">
        <v>7257270.4900000002</v>
      </c>
      <c r="I1154" s="18">
        <v>8560000</v>
      </c>
      <c r="J1154" s="18">
        <v>7257270.4900000002</v>
      </c>
      <c r="K1154" s="15">
        <v>13054212</v>
      </c>
      <c r="L1154" s="13" t="s">
        <v>117</v>
      </c>
      <c r="M1154" s="13" t="s">
        <v>118</v>
      </c>
      <c r="N1154" s="145" t="s">
        <v>411</v>
      </c>
      <c r="O1154" s="145" t="s">
        <v>411</v>
      </c>
      <c r="P1154" s="28">
        <v>36</v>
      </c>
      <c r="Q1154" s="13" t="s">
        <v>54</v>
      </c>
      <c r="R1154" s="13" t="s">
        <v>28</v>
      </c>
      <c r="S1154" s="13"/>
      <c r="T1154" s="13"/>
      <c r="U1154" s="13" t="s">
        <v>1393</v>
      </c>
      <c r="V1154" s="13" t="s">
        <v>1393</v>
      </c>
      <c r="W1154" s="60">
        <f>+J1154/$W$2</f>
        <v>1.9127293350047804E-4</v>
      </c>
    </row>
    <row r="1155" spans="1:29">
      <c r="A1155" s="13" t="s">
        <v>1251</v>
      </c>
      <c r="B1155" s="13" t="s">
        <v>675</v>
      </c>
      <c r="C1155" s="145">
        <v>46338</v>
      </c>
      <c r="D1155" s="145" t="s">
        <v>469</v>
      </c>
      <c r="E1155" s="28">
        <v>0.87366562999999997</v>
      </c>
      <c r="F1155" s="13"/>
      <c r="G1155" s="18">
        <v>17118303</v>
      </c>
      <c r="H1155" s="18">
        <v>14955672.92</v>
      </c>
      <c r="I1155" s="18">
        <v>17118303</v>
      </c>
      <c r="J1155" s="18">
        <v>14955672.92</v>
      </c>
      <c r="K1155" s="15">
        <v>27672</v>
      </c>
      <c r="L1155" s="13" t="s">
        <v>117</v>
      </c>
      <c r="M1155" s="13" t="s">
        <v>118</v>
      </c>
      <c r="N1155" s="145" t="s">
        <v>428</v>
      </c>
      <c r="O1155" s="145" t="s">
        <v>428</v>
      </c>
      <c r="P1155" s="28">
        <v>29</v>
      </c>
      <c r="Q1155" s="13" t="s">
        <v>54</v>
      </c>
      <c r="R1155" s="13" t="s">
        <v>28</v>
      </c>
      <c r="S1155" s="13"/>
      <c r="T1155" s="13"/>
      <c r="U1155" s="13" t="s">
        <v>1646</v>
      </c>
      <c r="V1155" s="13" t="s">
        <v>1646</v>
      </c>
      <c r="W1155" s="60">
        <f>+J1155/$W$2</f>
        <v>3.9417235940479047E-4</v>
      </c>
    </row>
    <row r="1156" spans="1:29">
      <c r="A1156" s="13" t="s">
        <v>1896</v>
      </c>
      <c r="B1156" s="13" t="s">
        <v>675</v>
      </c>
      <c r="C1156" s="145">
        <v>46342</v>
      </c>
      <c r="D1156" s="145" t="s">
        <v>469</v>
      </c>
      <c r="E1156" s="28">
        <v>0.83420965000000002</v>
      </c>
      <c r="F1156" s="13"/>
      <c r="G1156" s="18">
        <v>3750000</v>
      </c>
      <c r="H1156" s="18">
        <v>3128286.2</v>
      </c>
      <c r="I1156" s="18">
        <v>3750000</v>
      </c>
      <c r="J1156" s="18">
        <v>3128286.2</v>
      </c>
      <c r="K1156" s="15">
        <v>66918897</v>
      </c>
      <c r="L1156" s="13" t="s">
        <v>117</v>
      </c>
      <c r="M1156" s="13" t="s">
        <v>118</v>
      </c>
      <c r="N1156" s="145" t="s">
        <v>470</v>
      </c>
      <c r="O1156" s="145" t="s">
        <v>470</v>
      </c>
      <c r="P1156" s="28">
        <v>39</v>
      </c>
      <c r="Q1156" s="13" t="s">
        <v>54</v>
      </c>
      <c r="R1156" s="13" t="s">
        <v>28</v>
      </c>
      <c r="S1156" s="13"/>
      <c r="T1156" s="13"/>
      <c r="U1156" s="13" t="s">
        <v>1870</v>
      </c>
      <c r="V1156" s="13" t="s">
        <v>1870</v>
      </c>
      <c r="W1156" s="60">
        <f>+J1156/$W$2</f>
        <v>8.2449245777397386E-5</v>
      </c>
    </row>
    <row r="1157" spans="1:29">
      <c r="A1157" s="13" t="s">
        <v>1235</v>
      </c>
      <c r="B1157" s="13" t="s">
        <v>153</v>
      </c>
      <c r="C1157" s="145">
        <v>46343</v>
      </c>
      <c r="D1157" s="145" t="s">
        <v>469</v>
      </c>
      <c r="E1157" s="28">
        <v>0.96062625000000001</v>
      </c>
      <c r="F1157" s="13" t="s">
        <v>1916</v>
      </c>
      <c r="G1157" s="18">
        <v>18230</v>
      </c>
      <c r="H1157" s="18">
        <v>17512.22</v>
      </c>
      <c r="I1157" s="18">
        <v>25398624.66</v>
      </c>
      <c r="J1157" s="18">
        <v>24398590.379999999</v>
      </c>
      <c r="K1157" s="15">
        <v>146446</v>
      </c>
      <c r="L1157" s="13" t="s">
        <v>117</v>
      </c>
      <c r="M1157" s="13" t="s">
        <v>118</v>
      </c>
      <c r="N1157" s="145" t="s">
        <v>461</v>
      </c>
      <c r="O1157" s="145" t="s">
        <v>461</v>
      </c>
      <c r="P1157" s="28">
        <v>8</v>
      </c>
      <c r="Q1157" s="13" t="s">
        <v>54</v>
      </c>
      <c r="R1157" s="13" t="s">
        <v>28</v>
      </c>
      <c r="S1157" s="13"/>
      <c r="T1157" s="13"/>
      <c r="U1157" s="13" t="s">
        <v>1213</v>
      </c>
      <c r="V1157" s="13" t="s">
        <v>1213</v>
      </c>
      <c r="W1157" s="60">
        <f>+J1157/$W$2</f>
        <v>6.4305029855090084E-4</v>
      </c>
    </row>
    <row r="1158" spans="1:29">
      <c r="A1158" s="13" t="s">
        <v>863</v>
      </c>
      <c r="B1158" s="13" t="s">
        <v>675</v>
      </c>
      <c r="C1158" s="145">
        <v>46343</v>
      </c>
      <c r="D1158" s="145" t="s">
        <v>469</v>
      </c>
      <c r="E1158" s="28">
        <v>0.84428219000000004</v>
      </c>
      <c r="F1158" s="13"/>
      <c r="G1158" s="18">
        <v>9450000</v>
      </c>
      <c r="H1158" s="18">
        <v>7978466.6500000004</v>
      </c>
      <c r="I1158" s="18">
        <v>9450000</v>
      </c>
      <c r="J1158" s="18">
        <v>7978466.6500000004</v>
      </c>
      <c r="K1158" s="15">
        <v>66335143</v>
      </c>
      <c r="L1158" s="13" t="s">
        <v>117</v>
      </c>
      <c r="M1158" s="13" t="s">
        <v>118</v>
      </c>
      <c r="N1158" s="145" t="s">
        <v>411</v>
      </c>
      <c r="O1158" s="145" t="s">
        <v>411</v>
      </c>
      <c r="P1158" s="28">
        <v>36</v>
      </c>
      <c r="Q1158" s="13" t="s">
        <v>54</v>
      </c>
      <c r="R1158" s="13" t="s">
        <v>28</v>
      </c>
      <c r="S1158" s="13"/>
      <c r="T1158" s="13"/>
      <c r="U1158" s="13" t="s">
        <v>1395</v>
      </c>
      <c r="V1158" s="13" t="s">
        <v>1395</v>
      </c>
      <c r="W1158" s="60">
        <f>+J1158/$W$2</f>
        <v>2.1028081054496174E-4</v>
      </c>
    </row>
    <row r="1159" spans="1:29">
      <c r="A1159" s="13" t="s">
        <v>795</v>
      </c>
      <c r="B1159" s="13" t="s">
        <v>675</v>
      </c>
      <c r="C1159" s="145">
        <v>46344</v>
      </c>
      <c r="D1159" s="145" t="s">
        <v>469</v>
      </c>
      <c r="E1159" s="28">
        <v>0.84726106999999995</v>
      </c>
      <c r="F1159" s="13"/>
      <c r="G1159" s="18">
        <v>1500000</v>
      </c>
      <c r="H1159" s="18">
        <v>1270891.6000000001</v>
      </c>
      <c r="I1159" s="18">
        <v>1500000</v>
      </c>
      <c r="J1159" s="18">
        <v>1270891.6000000001</v>
      </c>
      <c r="K1159" s="15">
        <v>5</v>
      </c>
      <c r="L1159" s="13" t="s">
        <v>117</v>
      </c>
      <c r="M1159" s="13" t="s">
        <v>118</v>
      </c>
      <c r="N1159" s="145" t="s">
        <v>533</v>
      </c>
      <c r="O1159" s="145" t="s">
        <v>533</v>
      </c>
      <c r="P1159" s="28">
        <v>35</v>
      </c>
      <c r="Q1159" s="13" t="s">
        <v>54</v>
      </c>
      <c r="R1159" s="13" t="s">
        <v>28</v>
      </c>
      <c r="S1159" s="13"/>
      <c r="T1159" s="13"/>
      <c r="U1159" s="13" t="s">
        <v>1518</v>
      </c>
      <c r="V1159" s="13" t="s">
        <v>1518</v>
      </c>
      <c r="W1159" s="60">
        <f>+J1159/$W$2</f>
        <v>3.3495673728583336E-5</v>
      </c>
    </row>
    <row r="1160" spans="1:29">
      <c r="A1160" s="13" t="s">
        <v>863</v>
      </c>
      <c r="B1160" s="13" t="s">
        <v>675</v>
      </c>
      <c r="C1160" s="145">
        <v>46344</v>
      </c>
      <c r="D1160" s="145" t="s">
        <v>469</v>
      </c>
      <c r="E1160" s="28">
        <v>0.84357965999999995</v>
      </c>
      <c r="F1160" s="13"/>
      <c r="G1160" s="18">
        <v>9450000</v>
      </c>
      <c r="H1160" s="18">
        <v>7971827.7599999998</v>
      </c>
      <c r="I1160" s="18">
        <v>9450000</v>
      </c>
      <c r="J1160" s="18">
        <v>7971827.7599999998</v>
      </c>
      <c r="K1160" s="15">
        <v>66335193</v>
      </c>
      <c r="L1160" s="13" t="s">
        <v>117</v>
      </c>
      <c r="M1160" s="13" t="s">
        <v>118</v>
      </c>
      <c r="N1160" s="145" t="s">
        <v>411</v>
      </c>
      <c r="O1160" s="145" t="s">
        <v>411</v>
      </c>
      <c r="P1160" s="28">
        <v>36</v>
      </c>
      <c r="Q1160" s="13" t="s">
        <v>54</v>
      </c>
      <c r="R1160" s="13" t="s">
        <v>28</v>
      </c>
      <c r="S1160" s="13"/>
      <c r="T1160" s="13"/>
      <c r="U1160" s="13" t="s">
        <v>1396</v>
      </c>
      <c r="V1160" s="13" t="s">
        <v>1396</v>
      </c>
      <c r="W1160" s="60">
        <f>+J1160/$W$2</f>
        <v>2.1010583567428043E-4</v>
      </c>
      <c r="AC1160" s="57"/>
    </row>
    <row r="1161" spans="1:29">
      <c r="A1161" s="13" t="s">
        <v>1896</v>
      </c>
      <c r="B1161" s="13" t="s">
        <v>675</v>
      </c>
      <c r="C1161" s="145">
        <v>46345</v>
      </c>
      <c r="D1161" s="145" t="s">
        <v>469</v>
      </c>
      <c r="E1161" s="28">
        <v>0.83198494000000001</v>
      </c>
      <c r="F1161" s="13"/>
      <c r="G1161" s="18">
        <v>3750000</v>
      </c>
      <c r="H1161" s="18">
        <v>3119943.51</v>
      </c>
      <c r="I1161" s="18">
        <v>3750000</v>
      </c>
      <c r="J1161" s="18">
        <v>3119943.51</v>
      </c>
      <c r="K1161" s="15">
        <v>66918963</v>
      </c>
      <c r="L1161" s="13" t="s">
        <v>117</v>
      </c>
      <c r="M1161" s="13" t="s">
        <v>118</v>
      </c>
      <c r="N1161" s="145" t="s">
        <v>470</v>
      </c>
      <c r="O1161" s="145" t="s">
        <v>470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1866</v>
      </c>
      <c r="V1161" s="13" t="s">
        <v>1866</v>
      </c>
      <c r="W1161" s="60">
        <f>+J1161/$W$2</f>
        <v>8.2229365480557956E-5</v>
      </c>
    </row>
    <row r="1162" spans="1:29">
      <c r="A1162" s="13" t="s">
        <v>863</v>
      </c>
      <c r="B1162" s="13" t="s">
        <v>675</v>
      </c>
      <c r="C1162" s="145">
        <v>46351</v>
      </c>
      <c r="D1162" s="145" t="s">
        <v>469</v>
      </c>
      <c r="E1162" s="28">
        <v>0.83869497999999998</v>
      </c>
      <c r="F1162" s="13"/>
      <c r="G1162" s="18">
        <v>9450000</v>
      </c>
      <c r="H1162" s="18">
        <v>7925667.5300000003</v>
      </c>
      <c r="I1162" s="18">
        <v>9450000</v>
      </c>
      <c r="J1162" s="18">
        <v>7925667.5300000003</v>
      </c>
      <c r="K1162" s="15">
        <v>66335232</v>
      </c>
      <c r="L1162" s="13" t="s">
        <v>117</v>
      </c>
      <c r="M1162" s="13" t="s">
        <v>118</v>
      </c>
      <c r="N1162" s="145" t="s">
        <v>411</v>
      </c>
      <c r="O1162" s="145" t="s">
        <v>411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1398</v>
      </c>
      <c r="V1162" s="13" t="s">
        <v>1398</v>
      </c>
      <c r="W1162" s="60">
        <f>+J1162/$W$2</f>
        <v>2.0888923466494467E-4</v>
      </c>
      <c r="AC1162" s="57"/>
    </row>
    <row r="1163" spans="1:29">
      <c r="A1163" s="13" t="s">
        <v>1235</v>
      </c>
      <c r="B1163" s="13" t="s">
        <v>153</v>
      </c>
      <c r="C1163" s="145">
        <v>46372</v>
      </c>
      <c r="D1163" s="145" t="s">
        <v>469</v>
      </c>
      <c r="E1163" s="28">
        <v>0.95479767999999998</v>
      </c>
      <c r="F1163" s="13" t="s">
        <v>1916</v>
      </c>
      <c r="G1163" s="18">
        <v>18230</v>
      </c>
      <c r="H1163" s="18">
        <v>17405.96</v>
      </c>
      <c r="I1163" s="18">
        <v>25398624.66</v>
      </c>
      <c r="J1163" s="18">
        <v>24250545.52</v>
      </c>
      <c r="K1163" s="15">
        <v>146447</v>
      </c>
      <c r="L1163" s="13" t="s">
        <v>117</v>
      </c>
      <c r="M1163" s="13" t="s">
        <v>118</v>
      </c>
      <c r="N1163" s="145" t="s">
        <v>461</v>
      </c>
      <c r="O1163" s="145" t="s">
        <v>461</v>
      </c>
      <c r="P1163" s="28">
        <v>8</v>
      </c>
      <c r="Q1163" s="13" t="s">
        <v>54</v>
      </c>
      <c r="R1163" s="13" t="s">
        <v>28</v>
      </c>
      <c r="S1163" s="13"/>
      <c r="T1163" s="13"/>
      <c r="U1163" s="13" t="s">
        <v>1217</v>
      </c>
      <c r="V1163" s="13" t="s">
        <v>1217</v>
      </c>
      <c r="W1163" s="60">
        <f>+J1163/$W$2</f>
        <v>6.391484218465826E-4</v>
      </c>
    </row>
    <row r="1164" spans="1:29">
      <c r="A1164" s="13" t="s">
        <v>1235</v>
      </c>
      <c r="B1164" s="13" t="s">
        <v>153</v>
      </c>
      <c r="C1164" s="145">
        <v>46401</v>
      </c>
      <c r="D1164" s="145" t="s">
        <v>469</v>
      </c>
      <c r="E1164" s="28">
        <v>0.94903828999999995</v>
      </c>
      <c r="F1164" s="13" t="s">
        <v>1916</v>
      </c>
      <c r="G1164" s="18">
        <v>18230</v>
      </c>
      <c r="H1164" s="18">
        <v>17300.97</v>
      </c>
      <c r="I1164" s="18">
        <v>25398624.66</v>
      </c>
      <c r="J1164" s="18">
        <v>24104270.059999999</v>
      </c>
      <c r="K1164" s="15">
        <v>146448</v>
      </c>
      <c r="L1164" s="13" t="s">
        <v>117</v>
      </c>
      <c r="M1164" s="13" t="s">
        <v>118</v>
      </c>
      <c r="N1164" s="145" t="s">
        <v>461</v>
      </c>
      <c r="O1164" s="145" t="s">
        <v>461</v>
      </c>
      <c r="P1164" s="28">
        <v>8</v>
      </c>
      <c r="Q1164" s="13" t="s">
        <v>54</v>
      </c>
      <c r="R1164" s="13" t="s">
        <v>28</v>
      </c>
      <c r="S1164" s="13"/>
      <c r="T1164" s="13"/>
      <c r="U1164" s="13" t="s">
        <v>1227</v>
      </c>
      <c r="V1164" s="13" t="s">
        <v>1227</v>
      </c>
      <c r="W1164" s="60">
        <f>+J1164/$W$2</f>
        <v>6.352931795248468E-4</v>
      </c>
    </row>
    <row r="1165" spans="1:29">
      <c r="A1165" s="13" t="s">
        <v>422</v>
      </c>
      <c r="B1165" s="13" t="s">
        <v>153</v>
      </c>
      <c r="C1165" s="145">
        <v>46414</v>
      </c>
      <c r="D1165" s="145" t="s">
        <v>469</v>
      </c>
      <c r="E1165" s="28">
        <v>0.93398316999999997</v>
      </c>
      <c r="F1165" s="13" t="s">
        <v>1916</v>
      </c>
      <c r="G1165" s="18">
        <v>13904</v>
      </c>
      <c r="H1165" s="18">
        <v>12986.1</v>
      </c>
      <c r="I1165" s="18">
        <v>19371501.77</v>
      </c>
      <c r="J1165" s="18">
        <v>18092653.850000001</v>
      </c>
      <c r="K1165" s="15">
        <v>134916</v>
      </c>
      <c r="L1165" s="13" t="s">
        <v>117</v>
      </c>
      <c r="M1165" s="13" t="s">
        <v>118</v>
      </c>
      <c r="N1165" s="145" t="s">
        <v>198</v>
      </c>
      <c r="O1165" s="145" t="s">
        <v>198</v>
      </c>
      <c r="P1165" s="28">
        <v>10</v>
      </c>
      <c r="Q1165" s="13" t="s">
        <v>54</v>
      </c>
      <c r="R1165" s="13" t="s">
        <v>28</v>
      </c>
      <c r="S1165" s="13"/>
      <c r="T1165" s="13"/>
      <c r="U1165" s="13" t="s">
        <v>420</v>
      </c>
      <c r="V1165" s="13" t="s">
        <v>420</v>
      </c>
      <c r="W1165" s="60">
        <f>+J1165/$W$2</f>
        <v>4.7685076386042464E-4</v>
      </c>
    </row>
    <row r="1166" spans="1:29">
      <c r="A1166" s="13" t="s">
        <v>1235</v>
      </c>
      <c r="B1166" s="13" t="s">
        <v>153</v>
      </c>
      <c r="C1166" s="145">
        <v>46433</v>
      </c>
      <c r="D1166" s="145" t="s">
        <v>469</v>
      </c>
      <c r="E1166" s="28">
        <v>0.94276305999999999</v>
      </c>
      <c r="F1166" s="13" t="s">
        <v>1916</v>
      </c>
      <c r="G1166" s="18">
        <v>18230</v>
      </c>
      <c r="H1166" s="18">
        <v>17186.57</v>
      </c>
      <c r="I1166" s="18">
        <v>25398624.66</v>
      </c>
      <c r="J1166" s="18">
        <v>23944884.289999999</v>
      </c>
      <c r="K1166" s="15">
        <v>146450</v>
      </c>
      <c r="L1166" s="13" t="s">
        <v>117</v>
      </c>
      <c r="M1166" s="13" t="s">
        <v>118</v>
      </c>
      <c r="N1166" s="145" t="s">
        <v>461</v>
      </c>
      <c r="O1166" s="145" t="s">
        <v>461</v>
      </c>
      <c r="P1166" s="28">
        <v>8</v>
      </c>
      <c r="Q1166" s="13" t="s">
        <v>54</v>
      </c>
      <c r="R1166" s="13" t="s">
        <v>28</v>
      </c>
      <c r="S1166" s="13"/>
      <c r="T1166" s="13"/>
      <c r="U1166" s="13" t="s">
        <v>1229</v>
      </c>
      <c r="V1166" s="13" t="s">
        <v>1229</v>
      </c>
      <c r="W1166" s="60">
        <f>+J1166/$W$2</f>
        <v>6.3109240130827902E-4</v>
      </c>
    </row>
    <row r="1167" spans="1:29">
      <c r="A1167" s="13" t="s">
        <v>1235</v>
      </c>
      <c r="B1167" s="13" t="s">
        <v>153</v>
      </c>
      <c r="C1167" s="145">
        <v>46463</v>
      </c>
      <c r="D1167" s="145" t="s">
        <v>469</v>
      </c>
      <c r="E1167" s="28">
        <v>0.93695485000000001</v>
      </c>
      <c r="F1167" s="13" t="s">
        <v>1916</v>
      </c>
      <c r="G1167" s="18">
        <v>18230</v>
      </c>
      <c r="H1167" s="18">
        <v>17080.689999999999</v>
      </c>
      <c r="I1167" s="18">
        <v>25398624.66</v>
      </c>
      <c r="J1167" s="18">
        <v>23797368.850000001</v>
      </c>
      <c r="K1167" s="15">
        <v>146451</v>
      </c>
      <c r="L1167" s="13" t="s">
        <v>117</v>
      </c>
      <c r="M1167" s="13" t="s">
        <v>118</v>
      </c>
      <c r="N1167" s="145" t="s">
        <v>461</v>
      </c>
      <c r="O1167" s="145" t="s">
        <v>461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1221</v>
      </c>
      <c r="V1167" s="13" t="s">
        <v>1221</v>
      </c>
      <c r="W1167" s="60">
        <f>+J1167/$W$2</f>
        <v>6.2720447802027529E-4</v>
      </c>
    </row>
    <row r="1168" spans="1:29">
      <c r="A1168" s="13" t="s">
        <v>1235</v>
      </c>
      <c r="B1168" s="13" t="s">
        <v>153</v>
      </c>
      <c r="C1168" s="145">
        <v>46491</v>
      </c>
      <c r="D1168" s="145" t="s">
        <v>469</v>
      </c>
      <c r="E1168" s="28">
        <v>0.93159775</v>
      </c>
      <c r="F1168" s="13" t="s">
        <v>1916</v>
      </c>
      <c r="G1168" s="18">
        <v>18230</v>
      </c>
      <c r="H1168" s="18">
        <v>16983.03</v>
      </c>
      <c r="I1168" s="18">
        <v>25398624.66</v>
      </c>
      <c r="J1168" s="18">
        <v>23661305.789999999</v>
      </c>
      <c r="K1168" s="15">
        <v>146452</v>
      </c>
      <c r="L1168" s="13" t="s">
        <v>117</v>
      </c>
      <c r="M1168" s="13" t="s">
        <v>118</v>
      </c>
      <c r="N1168" s="145" t="s">
        <v>461</v>
      </c>
      <c r="O1168" s="145" t="s">
        <v>461</v>
      </c>
      <c r="P1168" s="28">
        <v>8</v>
      </c>
      <c r="Q1168" s="13" t="s">
        <v>54</v>
      </c>
      <c r="R1168" s="13" t="s">
        <v>28</v>
      </c>
      <c r="S1168" s="13"/>
      <c r="T1168" s="13"/>
      <c r="U1168" s="13" t="s">
        <v>1225</v>
      </c>
      <c r="V1168" s="13" t="s">
        <v>1225</v>
      </c>
      <c r="W1168" s="60">
        <f>+J1168/$W$2</f>
        <v>6.2361839415264037E-4</v>
      </c>
    </row>
    <row r="1169" spans="1:29">
      <c r="A1169" s="13" t="s">
        <v>1235</v>
      </c>
      <c r="B1169" s="13" t="s">
        <v>153</v>
      </c>
      <c r="C1169" s="145">
        <v>46521</v>
      </c>
      <c r="D1169" s="145" t="s">
        <v>469</v>
      </c>
      <c r="E1169" s="28">
        <v>0.92592567000000003</v>
      </c>
      <c r="F1169" s="13" t="s">
        <v>1916</v>
      </c>
      <c r="G1169" s="18">
        <v>18230</v>
      </c>
      <c r="H1169" s="18">
        <v>16879.62</v>
      </c>
      <c r="I1169" s="18">
        <v>25398624.66</v>
      </c>
      <c r="J1169" s="18">
        <v>23517231.640000001</v>
      </c>
      <c r="K1169" s="15">
        <v>146453</v>
      </c>
      <c r="L1169" s="13" t="s">
        <v>117</v>
      </c>
      <c r="M1169" s="13" t="s">
        <v>118</v>
      </c>
      <c r="N1169" s="145" t="s">
        <v>461</v>
      </c>
      <c r="O1169" s="145" t="s">
        <v>461</v>
      </c>
      <c r="P1169" s="28">
        <v>8</v>
      </c>
      <c r="Q1169" s="13" t="s">
        <v>54</v>
      </c>
      <c r="R1169" s="13" t="s">
        <v>28</v>
      </c>
      <c r="S1169" s="13"/>
      <c r="T1169" s="13"/>
      <c r="U1169" s="13" t="s">
        <v>1223</v>
      </c>
      <c r="V1169" s="13" t="s">
        <v>1223</v>
      </c>
      <c r="W1169" s="60">
        <f>+J1169/$W$2</f>
        <v>6.1982116965204339E-4</v>
      </c>
    </row>
    <row r="1170" spans="1:29">
      <c r="A1170" s="13" t="s">
        <v>1235</v>
      </c>
      <c r="B1170" s="13" t="s">
        <v>153</v>
      </c>
      <c r="C1170" s="145">
        <v>46553</v>
      </c>
      <c r="D1170" s="145" t="s">
        <v>469</v>
      </c>
      <c r="E1170" s="28">
        <v>0.91995123000000001</v>
      </c>
      <c r="F1170" s="13" t="s">
        <v>1916</v>
      </c>
      <c r="G1170" s="18">
        <v>18230</v>
      </c>
      <c r="H1170" s="18">
        <v>16770.71</v>
      </c>
      <c r="I1170" s="18">
        <v>25398624.66</v>
      </c>
      <c r="J1170" s="18">
        <v>23365494.710000001</v>
      </c>
      <c r="K1170" s="15">
        <v>146455</v>
      </c>
      <c r="L1170" s="13" t="s">
        <v>117</v>
      </c>
      <c r="M1170" s="13" t="s">
        <v>118</v>
      </c>
      <c r="N1170" s="145" t="s">
        <v>461</v>
      </c>
      <c r="O1170" s="145" t="s">
        <v>461</v>
      </c>
      <c r="P1170" s="28">
        <v>8</v>
      </c>
      <c r="Q1170" s="13" t="s">
        <v>54</v>
      </c>
      <c r="R1170" s="13" t="s">
        <v>28</v>
      </c>
      <c r="S1170" s="13"/>
      <c r="T1170" s="13"/>
      <c r="U1170" s="13" t="s">
        <v>1219</v>
      </c>
      <c r="V1170" s="13" t="s">
        <v>1219</v>
      </c>
      <c r="W1170" s="60">
        <f>+J1170/$W$2</f>
        <v>6.158219845918408E-4</v>
      </c>
    </row>
    <row r="1171" spans="1:29">
      <c r="A1171" s="13" t="s">
        <v>422</v>
      </c>
      <c r="B1171" s="13" t="s">
        <v>153</v>
      </c>
      <c r="C1171" s="145">
        <v>46596</v>
      </c>
      <c r="D1171" s="145" t="s">
        <v>469</v>
      </c>
      <c r="E1171" s="28">
        <v>0.89242038000000001</v>
      </c>
      <c r="F1171" s="13" t="s">
        <v>1916</v>
      </c>
      <c r="G1171" s="18">
        <v>20856</v>
      </c>
      <c r="H1171" s="18">
        <v>18612.32</v>
      </c>
      <c r="I1171" s="18">
        <v>29057252.649999999</v>
      </c>
      <c r="J1171" s="18">
        <v>25931285.23</v>
      </c>
      <c r="K1171" s="15">
        <v>134917</v>
      </c>
      <c r="L1171" s="13" t="s">
        <v>117</v>
      </c>
      <c r="M1171" s="13" t="s">
        <v>118</v>
      </c>
      <c r="N1171" s="145" t="s">
        <v>198</v>
      </c>
      <c r="O1171" s="145" t="s">
        <v>198</v>
      </c>
      <c r="P1171" s="28">
        <v>10</v>
      </c>
      <c r="Q1171" s="13" t="s">
        <v>54</v>
      </c>
      <c r="R1171" s="13" t="s">
        <v>28</v>
      </c>
      <c r="S1171" s="13"/>
      <c r="T1171" s="13"/>
      <c r="U1171" s="13" t="s">
        <v>416</v>
      </c>
      <c r="V1171" s="13" t="s">
        <v>416</v>
      </c>
      <c r="W1171" s="60">
        <f>+J1171/$W$2</f>
        <v>6.8344607000857672E-4</v>
      </c>
    </row>
    <row r="1172" spans="1:29">
      <c r="A1172" s="13" t="s">
        <v>422</v>
      </c>
      <c r="B1172" s="13" t="s">
        <v>153</v>
      </c>
      <c r="C1172" s="145">
        <v>46779</v>
      </c>
      <c r="D1172" s="145" t="s">
        <v>469</v>
      </c>
      <c r="E1172" s="28">
        <v>0.85419919</v>
      </c>
      <c r="F1172" s="13" t="s">
        <v>1916</v>
      </c>
      <c r="G1172" s="18">
        <v>20856</v>
      </c>
      <c r="H1172" s="18">
        <v>17815.18</v>
      </c>
      <c r="I1172" s="18">
        <v>29057252.649999999</v>
      </c>
      <c r="J1172" s="18">
        <v>24820684.039999999</v>
      </c>
      <c r="K1172" s="15">
        <v>134918</v>
      </c>
      <c r="L1172" s="13" t="s">
        <v>117</v>
      </c>
      <c r="M1172" s="13" t="s">
        <v>118</v>
      </c>
      <c r="N1172" s="145" t="s">
        <v>198</v>
      </c>
      <c r="O1172" s="145" t="s">
        <v>198</v>
      </c>
      <c r="P1172" s="28">
        <v>10</v>
      </c>
      <c r="Q1172" s="13" t="s">
        <v>54</v>
      </c>
      <c r="R1172" s="13" t="s">
        <v>28</v>
      </c>
      <c r="S1172" s="13"/>
      <c r="T1172" s="13"/>
      <c r="U1172" s="13" t="s">
        <v>414</v>
      </c>
      <c r="V1172" s="13" t="s">
        <v>414</v>
      </c>
      <c r="W1172" s="60">
        <f>+J1172/$W$2</f>
        <v>6.5417501722735106E-4</v>
      </c>
    </row>
    <row r="1173" spans="1:29">
      <c r="A1173" s="13" t="s">
        <v>422</v>
      </c>
      <c r="B1173" s="13" t="s">
        <v>153</v>
      </c>
      <c r="C1173" s="145">
        <v>46961</v>
      </c>
      <c r="D1173" s="145" t="s">
        <v>469</v>
      </c>
      <c r="E1173" s="28">
        <v>0.81930546000000004</v>
      </c>
      <c r="F1173" s="13" t="s">
        <v>1916</v>
      </c>
      <c r="G1173" s="18">
        <v>20856</v>
      </c>
      <c r="H1173" s="18">
        <v>17087.43</v>
      </c>
      <c r="I1173" s="18">
        <v>29057252.649999999</v>
      </c>
      <c r="J1173" s="18">
        <v>23806759.239999998</v>
      </c>
      <c r="K1173" s="15">
        <v>134919</v>
      </c>
      <c r="L1173" s="13" t="s">
        <v>117</v>
      </c>
      <c r="M1173" s="13" t="s">
        <v>118</v>
      </c>
      <c r="N1173" s="145" t="s">
        <v>198</v>
      </c>
      <c r="O1173" s="145" t="s">
        <v>198</v>
      </c>
      <c r="P1173" s="28">
        <v>10</v>
      </c>
      <c r="Q1173" s="13" t="s">
        <v>54</v>
      </c>
      <c r="R1173" s="13" t="s">
        <v>28</v>
      </c>
      <c r="S1173" s="13"/>
      <c r="T1173" s="13"/>
      <c r="U1173" s="13" t="s">
        <v>418</v>
      </c>
      <c r="V1173" s="13" t="s">
        <v>418</v>
      </c>
      <c r="W1173" s="60">
        <f>+J1173/$W$2</f>
        <v>6.2745197154342395E-4</v>
      </c>
    </row>
    <row r="1174" spans="1:29">
      <c r="A1174" s="13"/>
      <c r="B1174" s="13"/>
      <c r="C1174" s="145"/>
      <c r="D1174" s="145"/>
      <c r="E1174" s="28"/>
      <c r="F1174" s="13"/>
      <c r="G1174" s="18"/>
      <c r="H1174" s="18"/>
      <c r="I1174" s="18"/>
      <c r="J1174" s="18"/>
      <c r="K1174" s="15"/>
      <c r="L1174" s="13"/>
      <c r="M1174" s="13"/>
      <c r="N1174" s="145"/>
      <c r="O1174" s="145"/>
      <c r="P1174" s="28"/>
      <c r="Q1174" s="13"/>
      <c r="R1174" s="13"/>
      <c r="S1174" s="13"/>
      <c r="T1174" s="13"/>
      <c r="U1174" s="13"/>
      <c r="V1174" s="13"/>
      <c r="W1174" s="60"/>
    </row>
    <row r="1175" spans="1:29">
      <c r="A1175" s="13"/>
      <c r="B1175" s="13"/>
      <c r="C1175" s="145"/>
      <c r="D1175" s="145"/>
      <c r="E1175" s="28"/>
      <c r="F1175" s="13"/>
      <c r="G1175" s="18"/>
      <c r="H1175" s="18"/>
      <c r="I1175" s="18"/>
      <c r="J1175" s="18"/>
      <c r="K1175" s="15"/>
      <c r="L1175" s="13"/>
      <c r="M1175" s="13"/>
      <c r="N1175" s="145"/>
      <c r="O1175" s="145"/>
      <c r="P1175" s="28"/>
      <c r="Q1175" s="13"/>
      <c r="R1175" s="13"/>
      <c r="S1175" s="13"/>
      <c r="T1175" s="13"/>
      <c r="U1175" s="13"/>
      <c r="V1175" s="13"/>
      <c r="W1175" s="60"/>
    </row>
    <row r="1176" spans="1:29">
      <c r="A1176" s="13"/>
      <c r="B1176" s="13"/>
      <c r="C1176" s="145"/>
      <c r="D1176" s="145"/>
      <c r="E1176" s="28"/>
      <c r="F1176" s="13"/>
      <c r="G1176" s="18"/>
      <c r="H1176" s="18"/>
      <c r="I1176" s="18"/>
      <c r="J1176" s="18"/>
      <c r="K1176" s="15"/>
      <c r="L1176" s="13"/>
      <c r="M1176" s="13"/>
      <c r="N1176" s="145"/>
      <c r="O1176" s="145"/>
      <c r="P1176" s="28"/>
      <c r="Q1176" s="13"/>
      <c r="R1176" s="13"/>
      <c r="S1176" s="13"/>
      <c r="T1176" s="13"/>
      <c r="U1176" s="13"/>
      <c r="V1176" s="13"/>
      <c r="W1176" s="60"/>
    </row>
    <row r="1177" spans="1:29">
      <c r="A1177" s="13"/>
      <c r="B1177" s="13"/>
      <c r="C1177" s="145"/>
      <c r="D1177" s="145"/>
      <c r="E1177" s="28"/>
      <c r="F1177" s="13"/>
      <c r="G1177" s="18"/>
      <c r="H1177" s="18"/>
      <c r="I1177" s="18"/>
      <c r="J1177" s="18"/>
      <c r="K1177" s="15"/>
      <c r="L1177" s="13"/>
      <c r="M1177" s="13"/>
      <c r="N1177" s="145"/>
      <c r="O1177" s="145"/>
      <c r="P1177" s="28"/>
      <c r="Q1177" s="13"/>
      <c r="R1177" s="13"/>
      <c r="S1177" s="13"/>
      <c r="T1177" s="13"/>
      <c r="U1177" s="13"/>
      <c r="V1177" s="13"/>
      <c r="W1177" s="60"/>
    </row>
    <row r="1178" spans="1:29">
      <c r="A1178" s="13"/>
      <c r="B1178" s="13"/>
      <c r="C1178" s="145"/>
      <c r="D1178" s="145"/>
      <c r="E1178" s="28"/>
      <c r="F1178" s="13"/>
      <c r="G1178" s="18"/>
      <c r="H1178" s="18"/>
      <c r="I1178" s="18"/>
      <c r="J1178" s="18"/>
      <c r="K1178" s="15"/>
      <c r="L1178" s="13"/>
      <c r="M1178" s="13"/>
      <c r="N1178" s="145"/>
      <c r="O1178" s="145"/>
      <c r="P1178" s="28"/>
      <c r="Q1178" s="13"/>
      <c r="R1178" s="13"/>
      <c r="S1178" s="13"/>
      <c r="T1178" s="13"/>
      <c r="U1178" s="13"/>
      <c r="V1178" s="13"/>
      <c r="W1178" s="60"/>
      <c r="AC1178" s="57"/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  <c r="AC1186" s="57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  <c r="AC1189" s="57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7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C22" sqref="C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527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338</v>
      </c>
      <c r="C2" s="14" t="s">
        <v>339</v>
      </c>
      <c r="D2" s="14" t="s">
        <v>340</v>
      </c>
      <c r="E2" s="14" t="s">
        <v>341</v>
      </c>
      <c r="F2" s="14" t="s">
        <v>73</v>
      </c>
      <c r="G2" s="14" t="s">
        <v>69</v>
      </c>
      <c r="H2" s="14" t="s">
        <v>342</v>
      </c>
      <c r="I2" s="14" t="s">
        <v>69</v>
      </c>
      <c r="J2" s="14" t="s">
        <v>343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344</v>
      </c>
      <c r="G3" s="14" t="s">
        <v>345</v>
      </c>
      <c r="H3" s="14"/>
      <c r="I3" s="14" t="s">
        <v>346</v>
      </c>
      <c r="J3" s="14"/>
    </row>
    <row r="4" spans="1:10">
      <c r="A4" s="13" t="s">
        <v>117</v>
      </c>
      <c r="B4" s="13" t="s">
        <v>423</v>
      </c>
      <c r="C4" s="13" t="s">
        <v>351</v>
      </c>
      <c r="D4" s="28">
        <v>334081676.28821802</v>
      </c>
      <c r="E4" s="18">
        <v>556176502.02999997</v>
      </c>
      <c r="F4" s="13" t="s">
        <v>146</v>
      </c>
      <c r="G4" s="145" t="s">
        <v>469</v>
      </c>
      <c r="H4" s="13" t="s">
        <v>349</v>
      </c>
      <c r="I4" s="95">
        <v>1.664792</v>
      </c>
      <c r="J4" s="28">
        <v>1.96779842</v>
      </c>
    </row>
    <row r="5" spans="1:10">
      <c r="A5" s="13" t="s">
        <v>117</v>
      </c>
      <c r="B5" s="13" t="s">
        <v>364</v>
      </c>
      <c r="C5" s="13" t="s">
        <v>351</v>
      </c>
      <c r="D5" s="28">
        <v>915892957.55085397</v>
      </c>
      <c r="E5" s="18">
        <v>1524771268.5899999</v>
      </c>
      <c r="F5" s="13" t="s">
        <v>146</v>
      </c>
      <c r="G5" s="145" t="s">
        <v>469</v>
      </c>
      <c r="H5" s="13" t="s">
        <v>349</v>
      </c>
      <c r="I5" s="95">
        <v>1.664792</v>
      </c>
      <c r="J5" s="28">
        <v>5.3947667199999998</v>
      </c>
    </row>
    <row r="6" spans="1:10">
      <c r="A6" s="13" t="s">
        <v>117</v>
      </c>
      <c r="B6" s="13" t="s">
        <v>347</v>
      </c>
      <c r="C6" s="13" t="s">
        <v>351</v>
      </c>
      <c r="D6" s="28">
        <v>15387704159.101292</v>
      </c>
      <c r="E6" s="18">
        <v>25617326782.439999</v>
      </c>
      <c r="F6" s="13" t="s">
        <v>146</v>
      </c>
      <c r="G6" s="145" t="s">
        <v>469</v>
      </c>
      <c r="H6" s="13" t="s">
        <v>349</v>
      </c>
      <c r="I6" s="95">
        <v>1.664792</v>
      </c>
      <c r="J6" s="28">
        <v>90.636218659999997</v>
      </c>
    </row>
    <row r="7" spans="1:10">
      <c r="A7" s="13" t="s">
        <v>117</v>
      </c>
      <c r="B7" s="13" t="s">
        <v>352</v>
      </c>
      <c r="C7" s="13" t="s">
        <v>351</v>
      </c>
      <c r="D7" s="28">
        <v>339755158.84233099</v>
      </c>
      <c r="E7" s="18">
        <v>565621670.39999998</v>
      </c>
      <c r="F7" s="13" t="s">
        <v>146</v>
      </c>
      <c r="G7" s="145" t="s">
        <v>469</v>
      </c>
      <c r="H7" s="13" t="s">
        <v>349</v>
      </c>
      <c r="I7" s="95">
        <v>1.664792</v>
      </c>
      <c r="J7" s="28">
        <v>2.0012162</v>
      </c>
    </row>
    <row r="8" spans="1:10">
      <c r="A8" s="13" t="s">
        <v>117</v>
      </c>
      <c r="B8" s="13" t="s">
        <v>347</v>
      </c>
      <c r="C8" s="13" t="s">
        <v>348</v>
      </c>
      <c r="D8" s="28">
        <v>3195810078.7712111</v>
      </c>
      <c r="E8" s="18">
        <v>4407296938.29</v>
      </c>
      <c r="F8" s="13" t="s">
        <v>146</v>
      </c>
      <c r="G8" s="145" t="s">
        <v>469</v>
      </c>
      <c r="H8" s="13" t="s">
        <v>349</v>
      </c>
      <c r="I8" s="95">
        <v>1.379086</v>
      </c>
      <c r="J8" s="28">
        <v>87.708342619999996</v>
      </c>
    </row>
    <row r="9" spans="1:10">
      <c r="A9" s="13" t="s">
        <v>117</v>
      </c>
      <c r="B9" s="13" t="s">
        <v>352</v>
      </c>
      <c r="C9" s="13" t="s">
        <v>348</v>
      </c>
      <c r="D9" s="28">
        <v>447868484.937123</v>
      </c>
      <c r="E9" s="18">
        <v>617649157.41999996</v>
      </c>
      <c r="F9" s="13" t="s">
        <v>146</v>
      </c>
      <c r="G9" s="145" t="s">
        <v>469</v>
      </c>
      <c r="H9" s="13" t="s">
        <v>349</v>
      </c>
      <c r="I9" s="95">
        <v>1.379086</v>
      </c>
      <c r="J9" s="28">
        <v>12.29165738</v>
      </c>
    </row>
    <row r="10" spans="1:10">
      <c r="A10" s="13" t="s">
        <v>117</v>
      </c>
      <c r="B10" s="13" t="s">
        <v>347</v>
      </c>
      <c r="C10" s="13" t="s">
        <v>350</v>
      </c>
      <c r="D10" s="28">
        <v>2646636392.1511259</v>
      </c>
      <c r="E10" s="18">
        <v>4373611630.8500004</v>
      </c>
      <c r="F10" s="13" t="s">
        <v>146</v>
      </c>
      <c r="G10" s="145" t="s">
        <v>469</v>
      </c>
      <c r="H10" s="13" t="s">
        <v>349</v>
      </c>
      <c r="I10" s="95">
        <v>1.652517</v>
      </c>
      <c r="J10" s="28">
        <v>93.993105159999999</v>
      </c>
    </row>
    <row r="11" spans="1:10">
      <c r="A11" s="13" t="s">
        <v>117</v>
      </c>
      <c r="B11" s="13" t="s">
        <v>352</v>
      </c>
      <c r="C11" s="13" t="s">
        <v>350</v>
      </c>
      <c r="D11" s="28">
        <v>169140773.328529</v>
      </c>
      <c r="E11" s="18">
        <v>279508003.31999999</v>
      </c>
      <c r="F11" s="13" t="s">
        <v>146</v>
      </c>
      <c r="G11" s="145" t="s">
        <v>469</v>
      </c>
      <c r="H11" s="13" t="s">
        <v>349</v>
      </c>
      <c r="I11" s="95">
        <v>1.652517</v>
      </c>
      <c r="J11" s="28">
        <v>6.0068948400000002</v>
      </c>
    </row>
    <row r="12" spans="1:10">
      <c r="A12" s="148"/>
      <c r="B12" s="148"/>
      <c r="C12" s="148"/>
      <c r="D12" s="147">
        <v>23436889680.970684</v>
      </c>
      <c r="E12" s="155">
        <v>37941961953.339996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2026-05-15T13:44:30Z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